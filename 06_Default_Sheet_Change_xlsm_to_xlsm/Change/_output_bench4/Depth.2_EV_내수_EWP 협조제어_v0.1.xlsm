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saveExternalLinkValues="0"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F:\06_vs_code\06_Default_Sheet_Change_xlsm_to_xlsm\Change\_output_bench4\"/>
    </mc:Choice>
  </mc:AlternateContent>
  <bookViews>
    <workbookView xWindow="-105" yWindow="-105" windowWidth="23250" windowHeight="12570" tabRatio="646" activeTab="3"/>
  </bookViews>
  <sheets>
    <sheet name="History" sheetId="5" r:id="rId1"/>
    <sheet name="Test Setup" sheetId="31" r:id="rId2"/>
    <sheet name="Test Case" sheetId="22" r:id="rId3"/>
    <sheet name="Tables" sheetId="34" r:id="rId4"/>
    <sheet name="Sensor" sheetId="33" r:id="rId5"/>
    <sheet name="용어" sheetId="32" r:id="rId6"/>
  </sheets>
  <functionGroups builtInGroupCount="18"/>
  <externalReferences>
    <externalReference r:id="rId7"/>
  </externalReferences>
  <definedNames>
    <definedName name="_xlnm._FilterDatabase" localSheetId="2" hidden="1">'Test Case'!$A$1:$A$2695</definedName>
    <definedName name="_xlnm._FilterDatabase" localSheetId="1" hidden="1">'Test Setup'!$J$1:$J$473</definedName>
    <definedName name="_Order1" hidden="1">255</definedName>
    <definedName name="AAFOpen">Tables!$C$362</definedName>
    <definedName name="AC_INTAKE_EN_DIS" localSheetId="3">Tables!$K$69</definedName>
    <definedName name="AcDisp" localSheetId="3">Tables!$C$77</definedName>
    <definedName name="AcnECompCnsmptPwrVal">Tables!$C$368</definedName>
    <definedName name="AcnReqSwi" localSheetId="3">Tables!$C$80</definedName>
    <definedName name="Act_Def" localSheetId="3">Tables!$C$92</definedName>
    <definedName name="Act_DrMode" localSheetId="3">Tables!$C$90</definedName>
    <definedName name="Act_DrTemp" localSheetId="3">Tables!$C$94</definedName>
    <definedName name="Act_Intake" localSheetId="3">Tables!$C$89</definedName>
    <definedName name="Act_PsMode" localSheetId="3">Tables!$C$91</definedName>
    <definedName name="Act_PsTemp" localSheetId="3">Tables!$C$95</definedName>
    <definedName name="Act_RrTemp_Cool" localSheetId="3">Tables!$C$96</definedName>
    <definedName name="Act_RrTemp_Warm" localSheetId="3">Tables!$C$97</definedName>
    <definedName name="activation_feuille" localSheetId="1" hidden="1" xlm="1">#REF!</definedName>
    <definedName name="activation_feuille" hidden="1" xlm="1">#REF!</definedName>
    <definedName name="ADS_Max" localSheetId="3">Tables!$C$152</definedName>
    <definedName name="ADS_Min" localSheetId="3">Tables!$C$151</definedName>
    <definedName name="ADSOnOffSet" localSheetId="3">Tables!$C$155</definedName>
    <definedName name="AfterBlower_ICU" localSheetId="3">Tables!$C$279</definedName>
    <definedName name="AfterBlower_OR" localSheetId="3">Tables!$C$278</definedName>
    <definedName name="AfterBlower_OS" localSheetId="3">Tables!$C$277</definedName>
    <definedName name="AfterBlower_OTA_mode" localSheetId="3">Tables!$C$282</definedName>
    <definedName name="AfterBlower_PDC" localSheetId="3">Tables!$C$280</definedName>
    <definedName name="AfterBlower_Symbol" localSheetId="3">Tables!$C$281</definedName>
    <definedName name="AfterBlower_USMSet" localSheetId="3">Tables!$C$275</definedName>
    <definedName name="AfterBlower_USMSta" localSheetId="3">Tables!$C$276</definedName>
    <definedName name="AirconPressureSensorValue" localSheetId="3">Tables!$C$227</definedName>
    <definedName name="AirconPrsRns" localSheetId="3">Tables!$C$273</definedName>
    <definedName name="Amb_IN" localSheetId="3">Tables!$C$102</definedName>
    <definedName name="Amb_OUT" localSheetId="3">Tables!$C$124</definedName>
    <definedName name="ATS_FrDrBlowerUpDn">Tables!$C$265</definedName>
    <definedName name="AutoBlowerHi_1" localSheetId="3">Tables!$C$175</definedName>
    <definedName name="AutoBlowerHi_2" localSheetId="3">Tables!$C$174</definedName>
    <definedName name="AutoBlowerHi_3" localSheetId="3">Tables!$C$173</definedName>
    <definedName name="AutoBlowerLow_1" localSheetId="3">Tables!$C$172</definedName>
    <definedName name="AutoBlowerLow_2" localSheetId="3">Tables!$C$171</definedName>
    <definedName name="AutoBlowerLow_3" localSheetId="3">Tables!$C$170</definedName>
    <definedName name="AutoCutMode" localSheetId="3">Tables!$C$272</definedName>
    <definedName name="AutoDefog_EN_DIS" localSheetId="3">Tables!$K$70</definedName>
    <definedName name="AutoDefogBlink" localSheetId="3">Tables!$C$158</definedName>
    <definedName name="AutoDefogSysOff_Disp" localSheetId="3">Tables!$C$154</definedName>
    <definedName name="AutoDisp" localSheetId="3">Tables!$C$74</definedName>
    <definedName name="AutoFre_EN_DIS" localSheetId="3">Tables!$K$71</definedName>
    <definedName name="AutoFresh_USM_Set" localSheetId="3">Tables!$C$156</definedName>
    <definedName name="AutoFrshUSMSta" localSheetId="3">Tables!$C$157</definedName>
    <definedName name="AUTOStep" localSheetId="3">Tables!$C$84</definedName>
    <definedName name="AutoWashMode" localSheetId="3">Tables!$C$271</definedName>
    <definedName name="AVN_CluUSMReset" localSheetId="3">Tables!$C$148</definedName>
    <definedName name="AVN_TempUnit_Set" localSheetId="3">Tables!$C$178</definedName>
    <definedName name="AVN_UnitReset" localSheetId="3">Tables!$C$179</definedName>
    <definedName name="BAT_ON_Initialize" localSheetId="3">Tables!$G$76</definedName>
    <definedName name="BatChllrTgtRpm">Tables!$C$394</definedName>
    <definedName name="BatEwpFltSta">Tables!$C$392</definedName>
    <definedName name="BATT_V">Tables!$C$100</definedName>
    <definedName name="BattChlrVlv_FltCode">Tables!$C$396</definedName>
    <definedName name="BattChlrVlvSta">Tables!$C$395</definedName>
    <definedName name="BattCompPwrCnsmptn">Tables!$C$367</definedName>
    <definedName name="BatteryEWPOper">Tables!$C$336</definedName>
    <definedName name="BattEvapVlv_FltCode">Tables!$C$398</definedName>
    <definedName name="BattEvapVlvSta">Tables!$C$397</definedName>
    <definedName name="BattPwrSum">Tables!$C$375</definedName>
    <definedName name="Blower_Motor_Relay">Tables!$C$234</definedName>
    <definedName name="BLW_Front" localSheetId="3">Tables!$C$93</definedName>
    <definedName name="BLW_IS_IN" localSheetId="3">Tables!$C$232</definedName>
    <definedName name="BLW_MAX" localSheetId="3">Tables!$C$231</definedName>
    <definedName name="BMS_Interlock_Req">Tables!$C$244</definedName>
    <definedName name="Button_CAN_Signal_EN_DIS" localSheetId="3">Tables!$K$75</definedName>
    <definedName name="Cell_Humidity" localSheetId="3">Tables!$C$116</definedName>
    <definedName name="Cell_Temp" localSheetId="3">Tables!$C$115</definedName>
    <definedName name="Celo_Auto" localSheetId="3">Tables!$K$51</definedName>
    <definedName name="Celo_Blower_Max" localSheetId="3">Tables!$C$144</definedName>
    <definedName name="Celo_Blower_Min" localSheetId="3">Tables!$C$143</definedName>
    <definedName name="Celo_DEF" localSheetId="3">Tables!$K$49</definedName>
    <definedName name="Celo_Mix" localSheetId="3">Tables!$K$50</definedName>
    <definedName name="CELOModeSta" localSheetId="3">Tables!$C$142</definedName>
    <definedName name="CHRG_ChargeStatus">Tables!$C$338</definedName>
    <definedName name="CionDiag_V" localSheetId="3">Tables!$C$111</definedName>
    <definedName name="CLEAN_Sign" localSheetId="3">Tables!$C$269</definedName>
    <definedName name="CLI_eComp_Interlock_Status">Tables!$C$298</definedName>
    <definedName name="ClmtLimOpSta">Tables!$C$331</definedName>
    <definedName name="ClmtPwrCnsmptn">Tables!$C$370</definedName>
    <definedName name="ClmtPwrSum">Tables!$C$374</definedName>
    <definedName name="ClmtTxtPopupOSD" localSheetId="3">Tables!$C$196</definedName>
    <definedName name="CLU_TempUnitSetReq" localSheetId="3">Tables!$C$177</definedName>
    <definedName name="CLU_USM_StaRst1Req" localSheetId="3">Tables!$C$149</definedName>
    <definedName name="CO2_EN_DIS" localSheetId="3">Tables!$K$73</definedName>
    <definedName name="CO2_OnOffSta" localSheetId="3">Tables!$C$203</definedName>
    <definedName name="CO2_OUT" localSheetId="3">Tables!$C$201</definedName>
    <definedName name="CO2_PPM_V" localSheetId="3">Tables!$C$200</definedName>
    <definedName name="CO2_Set" localSheetId="3">Tables!$C$202</definedName>
    <definedName name="CO2_Warning" localSheetId="3">Tables!$C$204</definedName>
    <definedName name="col_country" localSheetId="3">Tables!$C$40</definedName>
    <definedName name="Command_Blw" localSheetId="3">Tables!$C$223</definedName>
    <definedName name="Compressor" localSheetId="3">Tables!$C$229</definedName>
    <definedName name="CompSpd_rpm" localSheetId="3">Tables!$C$81</definedName>
    <definedName name="Const_mild_blower_v" localSheetId="3">Tables!$C$20</definedName>
    <definedName name="const_TempMd" localSheetId="3">Tables!$C$41</definedName>
    <definedName name="const_TempUnit" localSheetId="3">Tables!$C$42</definedName>
    <definedName name="const_TempUnit_1" localSheetId="3">Tables!$C$50</definedName>
    <definedName name="const_TempUnit_2" localSheetId="3">Tables!$C$51</definedName>
    <definedName name="const_Tset_default" localSheetId="3">Tables!$C$43</definedName>
    <definedName name="const_Tset_default_1" localSheetId="3">Tables!$C$52</definedName>
    <definedName name="const_Tset_default_2" localSheetId="3">Tables!$C$53</definedName>
    <definedName name="const_Tset_invalid" localSheetId="3">Tables!$C$47</definedName>
    <definedName name="const_Tset_invalid_1" localSheetId="3">Tables!$C$60</definedName>
    <definedName name="const_Tset_invalid_2" localSheetId="3">Tables!$C$61</definedName>
    <definedName name="const_Tset_max" localSheetId="3">Tables!$C$46</definedName>
    <definedName name="const_Tset_max_1" localSheetId="3">Tables!$C$58</definedName>
    <definedName name="const_Tset_max_2" localSheetId="3">Tables!$C$59</definedName>
    <definedName name="const_Tset_min" localSheetId="3">Tables!$C$45</definedName>
    <definedName name="const_Tset_min_1" localSheetId="3">Tables!$C$56</definedName>
    <definedName name="const_Tset_min_2" localSheetId="3">Tables!$C$57</definedName>
    <definedName name="const_Tset_off" localSheetId="3">Tables!$C$44</definedName>
    <definedName name="const_Tset_off_1" localSheetId="3">Tables!$C$54</definedName>
    <definedName name="const_Tset_off_2" localSheetId="3">Tables!$C$55</definedName>
    <definedName name="const_Tset_resolution" localSheetId="3">Tables!$C$48</definedName>
    <definedName name="const_Tset_resolution_1" localSheetId="3">Tables!$C$62</definedName>
    <definedName name="const_Tset_resolution_2" localSheetId="3">Tables!$C$63</definedName>
    <definedName name="Coolingfan_Duty">Tables!$C$333</definedName>
    <definedName name="CstPwrDr_W">Tables!$C$372</definedName>
    <definedName name="CstPwrPs_W">Tables!$C$373</definedName>
    <definedName name="DATC_CtrlablSta">Tables!$C$187</definedName>
    <definedName name="DATC_OpSta">Tables!$C$186</definedName>
    <definedName name="DEF_Logic" localSheetId="3">Tables!$G$71</definedName>
    <definedName name="DEFDisp" localSheetId="3">Tables!$C$83</definedName>
    <definedName name="DefLogic_USM_Set" localSheetId="3">Tables!$C$146</definedName>
    <definedName name="DfgLgcUSMSta" localSheetId="3">Tables!$C$147</definedName>
    <definedName name="DiagCodeDis">Tables!$C$86</definedName>
    <definedName name="DriverOnlyDisp" localSheetId="3">Tables!$C$82</definedName>
    <definedName name="DrOnly_Max">Tables!$S$12</definedName>
    <definedName name="DrOnly_Min">Tables!$S$4</definedName>
    <definedName name="DrTempDispC" localSheetId="3">Tables!$C$70</definedName>
    <definedName name="DrTempDispF" localSheetId="3">Tables!$C$72</definedName>
    <definedName name="DrvngModSwSta" localSheetId="3">Tables!$C$213</definedName>
    <definedName name="DTC_Clear_Service">Tables!$C$303</definedName>
    <definedName name="DTC_Code">Tables!$C$295</definedName>
    <definedName name="DTC_Read_Service">Tables!$C$304</definedName>
    <definedName name="DTC_Resp">Tables!$C$305</definedName>
    <definedName name="Duct_ALL_V" localSheetId="3">Tables!$C$105</definedName>
    <definedName name="Duct_DEF_OUT">Tables!$C$131</definedName>
    <definedName name="Duct_DEF_V">Tables!$C$110</definedName>
    <definedName name="Duct_FrFloor_OUT">Tables!$C$129</definedName>
    <definedName name="Duct_FrFloor_V">Tables!$C$108</definedName>
    <definedName name="Duct_FrVent_OUT">Tables!$C$127</definedName>
    <definedName name="Duct_FrVent_V">Tables!$C$106</definedName>
    <definedName name="Duct_PsFloor_OUT">Tables!$C$130</definedName>
    <definedName name="Duct_PsFloor_V">Tables!$C$109</definedName>
    <definedName name="Duct_PsVent_OUT">Tables!$C$128</definedName>
    <definedName name="Duct_PsVent_V">Tables!$C$107</definedName>
    <definedName name="EcoClmtLimSet">Tables!$C$329</definedName>
    <definedName name="EcoClmtLimSta">Tables!$C$330</definedName>
    <definedName name="Ecomp_CompCst_W">Tables!$C$371</definedName>
    <definedName name="eComp_Interlock_Sta">Tables!$C$240</definedName>
    <definedName name="EMS_Vehicle_Speed">Tables!$C$249</definedName>
    <definedName name="Eng_ACRS" localSheetId="3">Tables!$C$258</definedName>
    <definedName name="Eng_IdleRpm" localSheetId="3">Tables!$C$228</definedName>
    <definedName name="EngColTemp" localSheetId="3">Tables!$C$135</definedName>
    <definedName name="EngColTemp_ECT" localSheetId="3">Tables!$G$73</definedName>
    <definedName name="EngDsplceTyp" localSheetId="3">Tables!$C$217</definedName>
    <definedName name="ENGINE_rpm" localSheetId="3">Tables!$C$210</definedName>
    <definedName name="EngStartReq" localSheetId="3">Tables!$C$207</definedName>
    <definedName name="EngTyp1" localSheetId="3">Tables!$C$215</definedName>
    <definedName name="EngTyp2" localSheetId="3">Tables!$C$216</definedName>
    <definedName name="EV_Ready">Tables!$C$366</definedName>
    <definedName name="EvaDr_IN" localSheetId="3">Tables!$C$103</definedName>
    <definedName name="EvaDr_OUT" localSheetId="3">Tables!$C$125</definedName>
    <definedName name="EvaPs_IN" localSheetId="3">Tables!$C$104</definedName>
    <definedName name="EvaPs_OUT" localSheetId="3">Tables!$C$126</definedName>
    <definedName name="FATC_Interlock_Req">Tables!$C$242</definedName>
    <definedName name="FLAG_Country" localSheetId="3">Tables!$C$39</definedName>
    <definedName name="FrChgReqDis" localSheetId="3">Tables!$C$224</definedName>
    <definedName name="FrontBlwDisp" localSheetId="3">Tables!$C$79</definedName>
    <definedName name="GO" localSheetId="1" hidden="1" xlm="1">#REF!</definedName>
    <definedName name="GO" hidden="1" xlm="1">#REF!</definedName>
    <definedName name="hev_HEU_Per">Tables!$C$380</definedName>
    <definedName name="HEV_Ready">Tables!$C$251</definedName>
    <definedName name="HP_ModSta">Tables!$C$327</definedName>
    <definedName name="HTCU_Vehicle_Speed">Tables!$C$250</definedName>
    <definedName name="HtrEwpForecedOpt">Tables!$C$344</definedName>
    <definedName name="HU_MainBlowerUpDn">Tables!$C$266</definedName>
    <definedName name="HvBat_ADOS">Tables!$C$377</definedName>
    <definedName name="HVPP_CstPwrDr_W">Tables!$C$390</definedName>
    <definedName name="HVPP_CstPwrPs_W">Tables!$C$391</definedName>
    <definedName name="HVPPTargetDutyDr_Perc">Tables!$C$399</definedName>
    <definedName name="HVPPTargetDutyPs_Perc">Tables!$C$400</definedName>
    <definedName name="IBU_WasherSw" localSheetId="3">Tables!$C$194</definedName>
    <definedName name="Incar_IN" localSheetId="3">Tables!$C$101</definedName>
    <definedName name="Incar_OUT" localSheetId="3">Tables!$C$123</definedName>
    <definedName name="IntakeDisp" localSheetId="3">Tables!$C$78</definedName>
    <definedName name="IntakeSta" localSheetId="3">Tables!$C$189</definedName>
    <definedName name="ION_Sign" localSheetId="3">Tables!$C$268</definedName>
    <definedName name="IsgStat" localSheetId="3">Tables!$C$208</definedName>
    <definedName name="IsgStopReq" localSheetId="3">Tables!$C$206</definedName>
    <definedName name="K4_Max" localSheetId="3">Tables!$N$31</definedName>
    <definedName name="K4_Min" localSheetId="3">Tables!$N$24</definedName>
    <definedName name="LHD_RHD" localSheetId="3">Tables!$G$75</definedName>
    <definedName name="list_Country" localSheetId="3">Tables!$E$40:$H$40</definedName>
    <definedName name="LtrEwpFltSt">Tables!$C$393</definedName>
    <definedName name="Main_Relay_Sta">Tables!$C$245</definedName>
    <definedName name="MAX_COOL" localSheetId="3">Tables!$G$68</definedName>
    <definedName name="MAX_HOT" localSheetId="3">Tables!$G$69</definedName>
    <definedName name="MCU_Interlock_Req">Tables!$C$243</definedName>
    <definedName name="MFSW_WasherSw" localSheetId="3">Tables!$C$193</definedName>
    <definedName name="Mg1_TV">Tables!$C$363</definedName>
    <definedName name="Mg1HeatsinkTemperatureValue">Tables!$C$341</definedName>
    <definedName name="Mg2HeatsinkTemperatureValue">Tables!$C$342</definedName>
    <definedName name="MIX_Logic" localSheetId="3">Tables!$G$70</definedName>
    <definedName name="MltAutBlrTxt" localSheetId="3">Tables!$C$85</definedName>
    <definedName name="ModDisp" localSheetId="3">Tables!$C$76</definedName>
    <definedName name="Navi_AirConditionWarning" localSheetId="3">Tables!$C$190</definedName>
    <definedName name="OBC_Interlock_Req">Tables!$C$247</definedName>
    <definedName name="OpSta">Tables!$C$225</definedName>
    <definedName name="OPU_Interlock_Req">Tables!$C$248</definedName>
    <definedName name="P_SIGNAL_BCHILLER">Tables!$C$119</definedName>
    <definedName name="P_SIGNAL_COMP_OUT">Tables!$C$117</definedName>
    <definedName name="Partial_Cool">Tables!$G$78</definedName>
    <definedName name="Partial_HOT">Tables!$G$79</definedName>
    <definedName name="PeEwpRPMReq">Tables!$C$335</definedName>
    <definedName name="PeEwpRPMReq_EN_DIS">Tables!$G$77</definedName>
    <definedName name="Photo_L_V" localSheetId="3">Tables!$C$112</definedName>
    <definedName name="Photo_R_V" localSheetId="3">Tables!$C$113</definedName>
    <definedName name="PM_Blower_Max" localSheetId="3">Tables!$C$164</definedName>
    <definedName name="PM_Blower_Min" localSheetId="3">Tables!$C$163</definedName>
    <definedName name="PM_MassConcentration_2p5" localSheetId="3">Tables!$C$162</definedName>
    <definedName name="PM_PMSnsrRespErr" localSheetId="3">Tables!$C$161</definedName>
    <definedName name="PM_PMSnsrSts" localSheetId="3">Tables!$C$160</definedName>
    <definedName name="PreCharging_Sta">Tables!$C$246</definedName>
    <definedName name="PsTempDispC" localSheetId="3">Tables!$C$71</definedName>
    <definedName name="PsTempDispF" localSheetId="3">Tables!$C$73</definedName>
    <definedName name="PTC_EN_DIS" localSheetId="3">Tables!$K$76</definedName>
    <definedName name="PTC_RELAY_Sta" localSheetId="3">Tables!$C$211</definedName>
    <definedName name="PtcOprPrm">Tables!$C$388</definedName>
    <definedName name="PtcPrmPwr_W">Tables!$C$389</definedName>
    <definedName name="PtcPwrCnsmptnVal">Tables!$C$369</definedName>
    <definedName name="PTGM_Status" localSheetId="3">Tables!$C$256</definedName>
    <definedName name="PTGM_Type" localSheetId="3">Tables!$C$255</definedName>
    <definedName name="RAC_AcnCtrlReq" localSheetId="3">Tables!$C$181</definedName>
    <definedName name="RAC_DfrstCtrlReq" localSheetId="3">Tables!$C$184</definedName>
    <definedName name="RAC_TempModTyp" localSheetId="3">Tables!$C$183</definedName>
    <definedName name="RAC_TempSetVal" localSheetId="3">Tables!$C$182</definedName>
    <definedName name="RLY_AC" localSheetId="3">Tables!$C$195</definedName>
    <definedName name="SchedRmtFcn_OpSta">Tables!$C$185</definedName>
    <definedName name="SelfDiagCode" localSheetId="3">Tables!$K$74</definedName>
    <definedName name="SelfDiagDisp">Tables!$C$296</definedName>
    <definedName name="Service_Lamp_Req">Tables!$C$241</definedName>
    <definedName name="SmartVent_Set" localSheetId="3">Tables!$C$236</definedName>
    <definedName name="SmartVent_Status" localSheetId="3">Tables!$C$237</definedName>
    <definedName name="SmartVent_Symbol" localSheetId="3">Tables!$C$238</definedName>
    <definedName name="SunRoof_Open" localSheetId="3">Tables!$C$260</definedName>
    <definedName name="SyncDisp" localSheetId="3">Tables!$C$75</definedName>
    <definedName name="T_SIGNAL_BCHILLER">Tables!$C$120</definedName>
    <definedName name="T_SIGNAL_COMP_OUT">Tables!$C$118</definedName>
    <definedName name="T_windshield" localSheetId="3">Tables!$C$114</definedName>
    <definedName name="Tbl_ADS_blower_Dn" localSheetId="3">Tables!$E$62:$F$63</definedName>
    <definedName name="Tbl_ADS_blower_Up" localSheetId="3">Tables!$E$57:$F$58</definedName>
    <definedName name="Tbl_Amb_Sensor" localSheetId="3">[1]Sensor!$M$5:$O$205</definedName>
    <definedName name="Tbl_Amb_Sensor">Sensor!$M$5:$O$205</definedName>
    <definedName name="Tbl_AUTOStep" localSheetId="3">Tables!$N$49:$P$52</definedName>
    <definedName name="Tbl_Blower_DrOnly_Offset">Tables!$S$4:$V$13</definedName>
    <definedName name="Tbl_Blower_Volt" localSheetId="3">Tables!$B$4:$C$21</definedName>
    <definedName name="Tbl_BlowerDn_Display" localSheetId="3">Tables!$J$37:$L$45</definedName>
    <definedName name="Tbl_BlowerLimit_AmbDn_Volt" localSheetId="3">Tables!$P$6:$Q$17</definedName>
    <definedName name="Tbl_BlowerLimit_AmbUp_Volt" localSheetId="3">Tables!$N$6:$O$17</definedName>
    <definedName name="Tbl_BlowerUp_Display" localSheetId="3">Tables!$J$25:$L$33</definedName>
    <definedName name="Tbl_Blw_Step_Ctl">Tables!$O$80:$S$89</definedName>
    <definedName name="Tbl_Button_Display_ASSTS" localSheetId="3">'[1]Test Setup'!$J$8:$DO$114</definedName>
    <definedName name="Tbl_Button_Display_ASSTS">'Test Setup'!$J$8:$BQ$477</definedName>
    <definedName name="Tbl_CO2_Snr" localSheetId="3">Tables!$J$56:$L$61</definedName>
    <definedName name="Tbl_DefFB_Volt" localSheetId="3">Tables!$J$4:$K$21</definedName>
    <definedName name="Tbl_Duct_Sensor" localSheetId="3">[1]Sensor!$AC$5:$AE$255</definedName>
    <definedName name="Tbl_Duct_Sensor">Sensor!$AC$5:$AE$255</definedName>
    <definedName name="Tbl_ECT_blower" localSheetId="3">Tables!$E$52:$F$53</definedName>
    <definedName name="Tbl_Eva_Sensor" localSheetId="3">[1]Sensor!$U$5:$W$145</definedName>
    <definedName name="Tbl_Eva_Sensor">Sensor!$U$5:$W$145</definedName>
    <definedName name="Tbl_GlassTemp_Sensor">Sensor!$AK$5:$AM$244</definedName>
    <definedName name="Tbl_HP_Cycle">Tables!$N$98:$O$108</definedName>
    <definedName name="Tbl_Incar_Sensor" localSheetId="3">[1]Sensor!$E$5:$G$205</definedName>
    <definedName name="Tbl_Incar_Sensor">Sensor!$E$5:$G$205</definedName>
    <definedName name="Tbl_IntakeFB_Volt" localSheetId="3">Tables!$B$25:$C$37</definedName>
    <definedName name="Tbl_K4MinBlowerLimit_V" localSheetId="3">Tables!$N$24:$Q$31</definedName>
    <definedName name="Tbl_MltAutBlrTxt" localSheetId="3">Tables!$N$56:$P$59</definedName>
    <definedName name="Tbl_ModeFB_Volt" localSheetId="3">Tables!$F$4:$G$21</definedName>
    <definedName name="Tbl_PM_blower_Dn" localSheetId="3">Tables!$G$62:$H$63</definedName>
    <definedName name="Tbl_PM_blower_Up" localSheetId="3">Tables!$G$57:$H$58</definedName>
    <definedName name="Tbl_RrTempFB_Volt_Floor" localSheetId="3">Tables!$R$68:$T$76</definedName>
    <definedName name="Tbl_RrTempFB_Volt_Vent" localSheetId="3">Tables!$N$68:$P$76</definedName>
    <definedName name="Tbl_TempFB_Volt" localSheetId="3">Tables!$F$25:$G$37</definedName>
    <definedName name="Tbl_WaterVlvSta">Tables!$N$93:$P$94</definedName>
    <definedName name="TempChange_degCF" localSheetId="3">Tables!$K$68</definedName>
    <definedName name="TempDispUnit" localSheetId="3">Tables!$C$69</definedName>
    <definedName name="TqStndValExt" localSheetId="3">Tables!$C$218</definedName>
    <definedName name="TunnelFuncOff4AutoDfgReq">Tables!$C$191</definedName>
    <definedName name="User_Profile" localSheetId="3">Tables!$C$221</definedName>
    <definedName name="User_Profile2" localSheetId="3">Tables!$C$220</definedName>
    <definedName name="V01_DiagFunctnValue">Tables!$C$351</definedName>
    <definedName name="V01_EXV">Tables!$C$347</definedName>
    <definedName name="V01_EXV_DP">Tables!$E$347</definedName>
    <definedName name="V01_SystemState">Tables!$C$352</definedName>
    <definedName name="V02_DiagFunctnValue">Tables!$C$353</definedName>
    <definedName name="V02_EXV">Tables!$C$348</definedName>
    <definedName name="V02_EXV_DP">Tables!$E$348</definedName>
    <definedName name="V02_SystemState">Tables!$C$354</definedName>
    <definedName name="V04_3way">Tables!$C$349</definedName>
    <definedName name="V04_3way_DP">Tables!$E$349</definedName>
    <definedName name="V04_DiagFunctnValue">Tables!$C$355</definedName>
    <definedName name="V04_SystemState">Tables!$C$356</definedName>
    <definedName name="V05_2way">Tables!$C$350</definedName>
    <definedName name="V05_2way_DP">Tables!$E$350</definedName>
    <definedName name="V05_DiagFunctnValue">Tables!$C$357</definedName>
    <definedName name="V05_SystemState">Tables!$C$358</definedName>
    <definedName name="VC_IVRActivity" localSheetId="3">Tables!$C$263</definedName>
    <definedName name="VC_VRActivity" localSheetId="3">Tables!$C$262</definedName>
    <definedName name="VCU_HvBat_ADOS">Tables!$C$378</definedName>
    <definedName name="Vehicle_Startup">Tables!$C$253</definedName>
    <definedName name="VS_VehSpd_Kmh" localSheetId="3">Tables!$C$136</definedName>
    <definedName name="Washer_EN_DIS" localSheetId="3">Tables!$K$72</definedName>
    <definedName name="WaterCooling_ROTV">Tables!$C$360</definedName>
    <definedName name="WaterVlvSta">Tables!$C$339</definedName>
    <definedName name="WheelSpeed_FL">Tables!$C$137</definedName>
    <definedName name="WheelSpeed_FR">Tables!$C$138</definedName>
    <definedName name="WheelSpeed_RL">Tables!$C$139</definedName>
    <definedName name="WheelSpeed_RR">Tables!$C$140</definedName>
    <definedName name="WhlHeat_Ast" localSheetId="3">Tables!$C$292</definedName>
    <definedName name="WhlHeat_Drv" localSheetId="3">Tables!$C$291</definedName>
    <definedName name="WhlHeat_Heat_Set" localSheetId="3">Tables!$C$285</definedName>
    <definedName name="WhlHeat_Heat_Sta" localSheetId="3">Tables!$C$287</definedName>
    <definedName name="WhlHeat_ICU" localSheetId="3">Tables!$C$293</definedName>
    <definedName name="WhlHeat_LH_Step" localSheetId="3">Tables!$C$289</definedName>
    <definedName name="WhlHeat_RH_Step" localSheetId="3">Tables!$C$290</definedName>
    <definedName name="WhlHeat_Whl_Set" localSheetId="3">Tables!$C$284</definedName>
    <definedName name="WhlHeat_Whl_Sta" localSheetId="3">Tables!$C$286</definedName>
    <definedName name="WhlHeat_Whl_Step" localSheetId="3">Tables!$C$288</definedName>
    <definedName name="WshFldUSMSet" localSheetId="3">Tables!$C$197</definedName>
    <definedName name="WshFldUSMSta" localSheetId="3">Tables!$C$198</definedName>
    <definedName name="통합_DISP_사양" localSheetId="3">Tables!$G$72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7" i="31" l="1"/>
  <c r="AD7" i="31"/>
  <c r="AH7" i="31"/>
  <c r="AI7" i="31"/>
  <c r="AJ7" i="31"/>
  <c r="AK7" i="31"/>
  <c r="AL7" i="31"/>
  <c r="BA7" i="31"/>
  <c r="BE7" i="31"/>
  <c r="BF7" i="31"/>
  <c r="BG7" i="31"/>
  <c r="BH7" i="31"/>
  <c r="BI7" i="31"/>
  <c r="BJ7" i="31"/>
  <c r="BK7" i="31"/>
  <c r="BL7" i="31"/>
  <c r="BM7" i="31"/>
  <c r="BN7" i="31"/>
  <c r="BO7" i="31"/>
  <c r="BP7" i="31"/>
  <c r="BQ7" i="31"/>
  <c r="BR7" i="31"/>
  <c r="BS7" i="31"/>
  <c r="BT7" i="31"/>
  <c r="BU7" i="31"/>
  <c r="BV7" i="31"/>
  <c r="BW7" i="31"/>
  <c r="BX7" i="31"/>
  <c r="BY7" i="31"/>
  <c r="BZ7" i="31"/>
  <c r="CA7" i="31"/>
  <c r="CB7" i="31"/>
  <c r="CC7" i="31"/>
  <c r="CD7" i="31"/>
  <c r="CE7" i="31"/>
  <c r="CF7" i="31"/>
  <c r="CG7" i="31"/>
  <c r="CH7" i="31"/>
  <c r="CJ7" i="31"/>
  <c r="CK7" i="31"/>
  <c r="CL7" i="31"/>
  <c r="CM7" i="31"/>
  <c r="CN7" i="31"/>
  <c r="CO7" i="31"/>
  <c r="CP7" i="31"/>
  <c r="CQ7" i="31"/>
  <c r="CR7" i="31"/>
  <c r="CS7" i="31"/>
  <c r="CT7" i="31"/>
  <c r="CU7" i="31"/>
  <c r="CV7" i="31"/>
  <c r="CW7" i="31"/>
  <c r="CX7" i="31"/>
  <c r="CY7" i="31"/>
  <c r="CZ7" i="31"/>
  <c r="DA7" i="31"/>
  <c r="DB7" i="31"/>
  <c r="DC7" i="31"/>
  <c r="DD7" i="31"/>
  <c r="DE7" i="31"/>
  <c r="DF7" i="31"/>
  <c r="DG7" i="31"/>
  <c r="DH7" i="31"/>
  <c r="DI7" i="31"/>
  <c r="DJ7" i="31"/>
  <c r="K11" i="3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24" i="31" s="1"/>
  <c r="K25" i="31" s="1"/>
  <c r="K26" i="31" s="1"/>
  <c r="K27" i="31" s="1"/>
  <c r="K28" i="31" s="1"/>
  <c r="K29" i="31" s="1"/>
  <c r="K30" i="31" s="1"/>
  <c r="K31" i="31" s="1"/>
  <c r="K32" i="31" s="1"/>
  <c r="K34" i="31" s="1"/>
  <c r="K35" i="31" s="1"/>
  <c r="K36" i="31" s="1"/>
  <c r="K37" i="31" s="1"/>
  <c r="K38" i="31" s="1"/>
  <c r="K39" i="31" s="1"/>
  <c r="K40" i="31" s="1"/>
  <c r="K41" i="31" s="1"/>
  <c r="K43" i="31" s="1"/>
  <c r="K44" i="31" s="1"/>
  <c r="K45" i="31" s="1"/>
  <c r="K46" i="31" s="1"/>
  <c r="K47" i="31" s="1"/>
  <c r="K48" i="31" s="1"/>
  <c r="K49" i="31" s="1"/>
  <c r="L11" i="31"/>
  <c r="L12" i="31" s="1"/>
  <c r="L13" i="31" s="1"/>
  <c r="L14" i="31" s="1"/>
  <c r="L15" i="31" s="1"/>
  <c r="L16" i="31" s="1"/>
  <c r="L17" i="31" s="1"/>
  <c r="L18" i="31" s="1"/>
  <c r="L19" i="31" s="1"/>
  <c r="L20" i="31" s="1"/>
  <c r="L21" i="31" s="1"/>
  <c r="L22" i="31" s="1"/>
  <c r="L23" i="31" s="1"/>
  <c r="L24" i="31" s="1"/>
  <c r="L25" i="31" s="1"/>
  <c r="L26" i="31" s="1"/>
  <c r="L27" i="31" s="1"/>
  <c r="L28" i="31" s="1"/>
  <c r="L29" i="31" s="1"/>
  <c r="L30" i="31" s="1"/>
  <c r="L31" i="31" s="1"/>
  <c r="L32" i="31" s="1"/>
  <c r="L34" i="31" s="1"/>
  <c r="L35" i="31" s="1"/>
  <c r="L36" i="31" s="1"/>
  <c r="L37" i="31" s="1"/>
  <c r="L38" i="31" s="1"/>
  <c r="L39" i="31" s="1"/>
  <c r="L40" i="31" s="1"/>
  <c r="L41" i="31" s="1"/>
  <c r="M11" i="31"/>
  <c r="M12" i="31" s="1"/>
  <c r="M13" i="31" s="1"/>
  <c r="M14" i="31" s="1"/>
  <c r="M15" i="31" s="1"/>
  <c r="M16" i="31" s="1"/>
  <c r="M17" i="31" s="1"/>
  <c r="M18" i="31" s="1"/>
  <c r="M19" i="31" s="1"/>
  <c r="M20" i="31" s="1"/>
  <c r="M21" i="31" s="1"/>
  <c r="M22" i="31" s="1"/>
  <c r="M23" i="31" s="1"/>
  <c r="M24" i="31" s="1"/>
  <c r="M25" i="31" s="1"/>
  <c r="M26" i="31" s="1"/>
  <c r="M27" i="31" s="1"/>
  <c r="M28" i="31" s="1"/>
  <c r="M29" i="31" s="1"/>
  <c r="M30" i="31" s="1"/>
  <c r="M31" i="31" s="1"/>
  <c r="M32" i="31" s="1"/>
  <c r="M34" i="31" s="1"/>
  <c r="M35" i="31" s="1"/>
  <c r="M36" i="31" s="1"/>
  <c r="M37" i="31" s="1"/>
  <c r="M38" i="31" s="1"/>
  <c r="M39" i="31" s="1"/>
  <c r="M40" i="31" s="1"/>
  <c r="M41" i="31" s="1"/>
  <c r="M43" i="31" s="1"/>
  <c r="M44" i="31" s="1"/>
  <c r="M45" i="31" s="1"/>
  <c r="M46" i="31" s="1"/>
  <c r="M47" i="31" s="1"/>
  <c r="M48" i="31" s="1"/>
  <c r="M49" i="31" s="1"/>
  <c r="U11" i="31"/>
  <c r="F68" i="22" s="1"/>
  <c r="T13" i="31"/>
  <c r="E84" i="22" s="1"/>
  <c r="T14" i="31"/>
  <c r="T15" i="31"/>
  <c r="T16" i="31"/>
  <c r="E99" i="22" s="1"/>
  <c r="T17" i="31"/>
  <c r="E104" i="22" s="1"/>
  <c r="CD17" i="31"/>
  <c r="CG17" i="31"/>
  <c r="T18" i="31"/>
  <c r="E109" i="22" s="1"/>
  <c r="CD18" i="31"/>
  <c r="CG18" i="31"/>
  <c r="T19" i="31"/>
  <c r="E114" i="22" s="1"/>
  <c r="CD19" i="31"/>
  <c r="CG19" i="31"/>
  <c r="T20" i="31"/>
  <c r="CD20" i="31"/>
  <c r="CD21" i="31" s="1"/>
  <c r="CD22" i="31" s="1"/>
  <c r="CG20" i="31"/>
  <c r="CG21" i="31" s="1"/>
  <c r="CG22" i="31" s="1"/>
  <c r="T21" i="31"/>
  <c r="CD23" i="31"/>
  <c r="CG23" i="31"/>
  <c r="CG24" i="31" s="1"/>
  <c r="CG25" i="31" s="1"/>
  <c r="T24" i="31"/>
  <c r="CD24" i="31"/>
  <c r="CD25" i="31" s="1"/>
  <c r="CD26" i="31"/>
  <c r="CD27" i="31" s="1"/>
  <c r="CD28" i="31" s="1"/>
  <c r="CG26" i="31"/>
  <c r="CG27" i="31" s="1"/>
  <c r="CG28" i="31" s="1"/>
  <c r="T27" i="31"/>
  <c r="E154" i="22" s="1"/>
  <c r="CD29" i="31"/>
  <c r="CD30" i="31" s="1"/>
  <c r="CD31" i="31" s="1"/>
  <c r="CG29" i="31"/>
  <c r="CG30" i="31" s="1"/>
  <c r="CG31" i="31" s="1"/>
  <c r="T30" i="31"/>
  <c r="CD32" i="31"/>
  <c r="CG32" i="31"/>
  <c r="T34" i="31"/>
  <c r="E185" i="22" s="1"/>
  <c r="T36" i="31"/>
  <c r="E199" i="22" s="1"/>
  <c r="T37" i="31"/>
  <c r="T39" i="31"/>
  <c r="T40" i="31"/>
  <c r="U43" i="31"/>
  <c r="F240" i="22" s="1"/>
  <c r="L44" i="31"/>
  <c r="L45" i="31" s="1"/>
  <c r="L46" i="31" s="1"/>
  <c r="L47" i="31" s="1"/>
  <c r="L48" i="31" s="1"/>
  <c r="L49" i="31" s="1"/>
  <c r="T45" i="31"/>
  <c r="E255" i="22" s="1"/>
  <c r="T46" i="31"/>
  <c r="E262" i="22" s="1"/>
  <c r="T47" i="31"/>
  <c r="T48" i="31"/>
  <c r="E276" i="22" s="1"/>
  <c r="U88" i="31"/>
  <c r="K89" i="31"/>
  <c r="K90" i="31" s="1"/>
  <c r="K91" i="31" s="1"/>
  <c r="K92" i="31" s="1"/>
  <c r="L89" i="31"/>
  <c r="L90" i="31" s="1"/>
  <c r="L91" i="31" s="1"/>
  <c r="L92" i="31" s="1"/>
  <c r="M89" i="31"/>
  <c r="M90" i="31" s="1"/>
  <c r="M91" i="31" s="1"/>
  <c r="M92" i="31" s="1"/>
  <c r="T90" i="31"/>
  <c r="CD90" i="31"/>
  <c r="CD91" i="31" s="1"/>
  <c r="CD92" i="31" s="1"/>
  <c r="CD93" i="31" s="1"/>
  <c r="CD95" i="31" s="1"/>
  <c r="T91" i="31"/>
  <c r="T92" i="31"/>
  <c r="T93" i="31"/>
  <c r="T94" i="31"/>
  <c r="T95" i="31"/>
  <c r="CG95" i="31"/>
  <c r="T96" i="31"/>
  <c r="CG96" i="31"/>
  <c r="T97" i="31"/>
  <c r="CG97" i="31"/>
  <c r="T98" i="31"/>
  <c r="CG98" i="31"/>
  <c r="T99" i="31"/>
  <c r="CG99" i="31"/>
  <c r="K104" i="31"/>
  <c r="K105" i="31" s="1"/>
  <c r="K106" i="31" s="1"/>
  <c r="L104" i="31"/>
  <c r="L105" i="31" s="1"/>
  <c r="L106" i="31" s="1"/>
  <c r="M104" i="31"/>
  <c r="M105" i="31"/>
  <c r="M106" i="31" s="1"/>
  <c r="T105" i="31"/>
  <c r="K109" i="31"/>
  <c r="L109" i="31"/>
  <c r="M109" i="31"/>
  <c r="K110" i="31"/>
  <c r="L110" i="31"/>
  <c r="M110" i="31"/>
  <c r="D2" i="22"/>
  <c r="E8" i="22"/>
  <c r="E9" i="22"/>
  <c r="E13" i="22"/>
  <c r="F19" i="22"/>
  <c r="E27" i="22"/>
  <c r="E28" i="22"/>
  <c r="E29" i="22"/>
  <c r="E30" i="22"/>
  <c r="E31" i="22"/>
  <c r="E32" i="22"/>
  <c r="E33" i="22"/>
  <c r="E35" i="22"/>
  <c r="E36" i="22"/>
  <c r="E37" i="22"/>
  <c r="E38" i="22"/>
  <c r="E39" i="22"/>
  <c r="E40" i="22"/>
  <c r="E41" i="22"/>
  <c r="E42" i="22"/>
  <c r="E45" i="22"/>
  <c r="E46" i="22"/>
  <c r="E47" i="22"/>
  <c r="E48" i="22"/>
  <c r="F58" i="22"/>
  <c r="D64" i="22"/>
  <c r="E66" i="22"/>
  <c r="E67" i="22"/>
  <c r="E68" i="22"/>
  <c r="F69" i="22"/>
  <c r="G70" i="22"/>
  <c r="G71" i="22"/>
  <c r="G72" i="22"/>
  <c r="I72" i="22"/>
  <c r="G73" i="22"/>
  <c r="H73" i="22"/>
  <c r="I73" i="22" s="1"/>
  <c r="G74" i="22"/>
  <c r="I74" i="22"/>
  <c r="G75" i="22"/>
  <c r="I75" i="22"/>
  <c r="E77" i="22"/>
  <c r="F77" i="22"/>
  <c r="F78" i="22"/>
  <c r="G79" i="22"/>
  <c r="I79" i="22"/>
  <c r="G80" i="22"/>
  <c r="H80" i="22"/>
  <c r="I80" i="22" s="1"/>
  <c r="G81" i="22"/>
  <c r="I81" i="22"/>
  <c r="G82" i="22"/>
  <c r="I82" i="22"/>
  <c r="F84" i="22"/>
  <c r="F85" i="22"/>
  <c r="G86" i="22"/>
  <c r="I86" i="22"/>
  <c r="G87" i="22"/>
  <c r="I87" i="22"/>
  <c r="E89" i="22"/>
  <c r="F89" i="22"/>
  <c r="F90" i="22"/>
  <c r="G91" i="22"/>
  <c r="I91" i="22"/>
  <c r="G92" i="22"/>
  <c r="I92" i="22"/>
  <c r="E94" i="22"/>
  <c r="F94" i="22"/>
  <c r="F95" i="22"/>
  <c r="G96" i="22"/>
  <c r="I96" i="22"/>
  <c r="G97" i="22"/>
  <c r="I97" i="22"/>
  <c r="F99" i="22"/>
  <c r="F100" i="22"/>
  <c r="G101" i="22"/>
  <c r="I101" i="22"/>
  <c r="G102" i="22"/>
  <c r="I102" i="22"/>
  <c r="F104" i="22"/>
  <c r="F105" i="22"/>
  <c r="G106" i="22"/>
  <c r="I106" i="22"/>
  <c r="G107" i="22"/>
  <c r="I107" i="22"/>
  <c r="F109" i="22"/>
  <c r="F110" i="22"/>
  <c r="G111" i="22"/>
  <c r="I111" i="22"/>
  <c r="G112" i="22"/>
  <c r="I112" i="22"/>
  <c r="F114" i="22"/>
  <c r="F115" i="22"/>
  <c r="G116" i="22"/>
  <c r="I116" i="22"/>
  <c r="G117" i="22"/>
  <c r="I117" i="22"/>
  <c r="E119" i="22"/>
  <c r="F119" i="22"/>
  <c r="F120" i="22"/>
  <c r="G121" i="22"/>
  <c r="I121" i="22"/>
  <c r="G122" i="22"/>
  <c r="I122" i="22"/>
  <c r="E124" i="22"/>
  <c r="F124" i="22"/>
  <c r="F125" i="22"/>
  <c r="G126" i="22"/>
  <c r="I126" i="22"/>
  <c r="G127" i="22"/>
  <c r="I127" i="22"/>
  <c r="E129" i="22"/>
  <c r="F129" i="22"/>
  <c r="F130" i="22"/>
  <c r="G131" i="22"/>
  <c r="I131" i="22"/>
  <c r="G132" i="22"/>
  <c r="I132" i="22"/>
  <c r="E134" i="22"/>
  <c r="F134" i="22"/>
  <c r="F135" i="22"/>
  <c r="G136" i="22"/>
  <c r="I136" i="22"/>
  <c r="G137" i="22"/>
  <c r="I137" i="22"/>
  <c r="E139" i="22"/>
  <c r="F139" i="22"/>
  <c r="F140" i="22"/>
  <c r="G141" i="22"/>
  <c r="I141" i="22"/>
  <c r="G142" i="22"/>
  <c r="I142" i="22"/>
  <c r="E144" i="22"/>
  <c r="F144" i="22"/>
  <c r="F145" i="22"/>
  <c r="G146" i="22"/>
  <c r="I146" i="22"/>
  <c r="G147" i="22"/>
  <c r="I147" i="22"/>
  <c r="E149" i="22"/>
  <c r="F149" i="22"/>
  <c r="F150" i="22"/>
  <c r="G151" i="22"/>
  <c r="I151" i="22"/>
  <c r="G152" i="22"/>
  <c r="I152" i="22"/>
  <c r="F154" i="22"/>
  <c r="F155" i="22"/>
  <c r="G156" i="22"/>
  <c r="I156" i="22"/>
  <c r="G157" i="22"/>
  <c r="I157" i="22"/>
  <c r="E159" i="22"/>
  <c r="F159" i="22"/>
  <c r="F160" i="22"/>
  <c r="G161" i="22"/>
  <c r="I161" i="22"/>
  <c r="G162" i="22"/>
  <c r="I162" i="22"/>
  <c r="E164" i="22"/>
  <c r="F164" i="22"/>
  <c r="F165" i="22"/>
  <c r="G166" i="22"/>
  <c r="I166" i="22"/>
  <c r="G167" i="22"/>
  <c r="I167" i="22"/>
  <c r="E169" i="22"/>
  <c r="F169" i="22"/>
  <c r="F170" i="22"/>
  <c r="G171" i="22"/>
  <c r="I171" i="22"/>
  <c r="G172" i="22"/>
  <c r="I172" i="22"/>
  <c r="E174" i="22"/>
  <c r="F174" i="22"/>
  <c r="F175" i="22"/>
  <c r="G176" i="22"/>
  <c r="I176" i="22"/>
  <c r="G177" i="22"/>
  <c r="I177" i="22"/>
  <c r="E179" i="22"/>
  <c r="F179" i="22"/>
  <c r="F180" i="22"/>
  <c r="G181" i="22"/>
  <c r="I181" i="22"/>
  <c r="G182" i="22"/>
  <c r="I182" i="22"/>
  <c r="D183" i="22"/>
  <c r="F185" i="22"/>
  <c r="F186" i="22"/>
  <c r="G187" i="22"/>
  <c r="I187" i="22"/>
  <c r="G188" i="22"/>
  <c r="H188" i="22"/>
  <c r="I188" i="22" s="1"/>
  <c r="G189" i="22"/>
  <c r="I189" i="22"/>
  <c r="G190" i="22"/>
  <c r="I190" i="22"/>
  <c r="E192" i="22"/>
  <c r="F192" i="22"/>
  <c r="F193" i="22"/>
  <c r="G194" i="22"/>
  <c r="I194" i="22"/>
  <c r="G195" i="22"/>
  <c r="H195" i="22"/>
  <c r="I195" i="22" s="1"/>
  <c r="G196" i="22"/>
  <c r="I196" i="22"/>
  <c r="G197" i="22"/>
  <c r="I197" i="22"/>
  <c r="F199" i="22"/>
  <c r="F200" i="22"/>
  <c r="G201" i="22"/>
  <c r="H201" i="22"/>
  <c r="I201" i="22" s="1"/>
  <c r="G202" i="22"/>
  <c r="I202" i="22"/>
  <c r="G203" i="22"/>
  <c r="I203" i="22"/>
  <c r="E205" i="22"/>
  <c r="F205" i="22"/>
  <c r="F206" i="22"/>
  <c r="G207" i="22"/>
  <c r="H207" i="22"/>
  <c r="I207" i="22" s="1"/>
  <c r="G208" i="22"/>
  <c r="I208" i="22"/>
  <c r="G209" i="22"/>
  <c r="I209" i="22"/>
  <c r="E211" i="22"/>
  <c r="F211" i="22"/>
  <c r="F212" i="22"/>
  <c r="G213" i="22"/>
  <c r="H213" i="22"/>
  <c r="I213" i="22" s="1"/>
  <c r="G214" i="22"/>
  <c r="I214" i="22"/>
  <c r="G215" i="22"/>
  <c r="I215" i="22"/>
  <c r="E217" i="22"/>
  <c r="F217" i="22"/>
  <c r="F218" i="22"/>
  <c r="G219" i="22"/>
  <c r="H219" i="22"/>
  <c r="I219" i="22" s="1"/>
  <c r="G220" i="22"/>
  <c r="I220" i="22"/>
  <c r="G221" i="22"/>
  <c r="I221" i="22"/>
  <c r="E223" i="22"/>
  <c r="F223" i="22"/>
  <c r="F224" i="22"/>
  <c r="G225" i="22"/>
  <c r="H225" i="22"/>
  <c r="I225" i="22" s="1"/>
  <c r="G226" i="22"/>
  <c r="I226" i="22"/>
  <c r="G227" i="22"/>
  <c r="I227" i="22"/>
  <c r="E229" i="22"/>
  <c r="F229" i="22"/>
  <c r="F230" i="22"/>
  <c r="G231" i="22"/>
  <c r="H231" i="22"/>
  <c r="I231" i="22" s="1"/>
  <c r="G232" i="22"/>
  <c r="I232" i="22"/>
  <c r="G233" i="22"/>
  <c r="I233" i="22"/>
  <c r="D234" i="22"/>
  <c r="E236" i="22"/>
  <c r="E237" i="22"/>
  <c r="E238" i="22"/>
  <c r="E239" i="22"/>
  <c r="E240" i="22"/>
  <c r="F242" i="22"/>
  <c r="G243" i="22"/>
  <c r="I243" i="22"/>
  <c r="G244" i="22"/>
  <c r="H244" i="22"/>
  <c r="I244" i="22" s="1"/>
  <c r="G245" i="22"/>
  <c r="I245" i="22"/>
  <c r="G246" i="22"/>
  <c r="I246" i="22"/>
  <c r="E248" i="22"/>
  <c r="F248" i="22"/>
  <c r="F249" i="22"/>
  <c r="G250" i="22"/>
  <c r="I250" i="22"/>
  <c r="G251" i="22"/>
  <c r="H251" i="22"/>
  <c r="I251" i="22" s="1"/>
  <c r="G252" i="22"/>
  <c r="I252" i="22"/>
  <c r="G253" i="22"/>
  <c r="I253" i="22"/>
  <c r="F255" i="22"/>
  <c r="F256" i="22"/>
  <c r="G257" i="22"/>
  <c r="I257" i="22"/>
  <c r="G258" i="22"/>
  <c r="H258" i="22"/>
  <c r="I258" i="22" s="1"/>
  <c r="G259" i="22"/>
  <c r="I259" i="22"/>
  <c r="G260" i="22"/>
  <c r="I260" i="22"/>
  <c r="F262" i="22"/>
  <c r="F263" i="22"/>
  <c r="G264" i="22"/>
  <c r="I264" i="22"/>
  <c r="G265" i="22"/>
  <c r="H265" i="22"/>
  <c r="I265" i="22" s="1"/>
  <c r="G266" i="22"/>
  <c r="I266" i="22"/>
  <c r="G267" i="22"/>
  <c r="I267" i="22"/>
  <c r="E269" i="22"/>
  <c r="F269" i="22"/>
  <c r="F270" i="22"/>
  <c r="G271" i="22"/>
  <c r="I271" i="22"/>
  <c r="G272" i="22"/>
  <c r="H272" i="22"/>
  <c r="I272" i="22" s="1"/>
  <c r="G273" i="22"/>
  <c r="I273" i="22"/>
  <c r="G274" i="22"/>
  <c r="I274" i="22"/>
  <c r="F276" i="22"/>
  <c r="F277" i="22"/>
  <c r="G278" i="22"/>
  <c r="I278" i="22"/>
  <c r="G279" i="22"/>
  <c r="H279" i="22"/>
  <c r="I279" i="22" s="1"/>
  <c r="G280" i="22"/>
  <c r="I280" i="22"/>
  <c r="G281" i="22"/>
  <c r="I281" i="22"/>
  <c r="E283" i="22"/>
  <c r="F283" i="22"/>
  <c r="F284" i="22"/>
  <c r="G285" i="22"/>
  <c r="I285" i="22"/>
  <c r="G286" i="22"/>
  <c r="H286" i="22"/>
  <c r="I286" i="22" s="1"/>
  <c r="G287" i="22"/>
  <c r="I287" i="22"/>
  <c r="G288" i="22"/>
  <c r="I288" i="22"/>
  <c r="D289" i="22"/>
  <c r="E295" i="22"/>
  <c r="E296" i="22"/>
  <c r="E300" i="22"/>
  <c r="F306" i="22"/>
  <c r="E314" i="22"/>
  <c r="E315" i="22"/>
  <c r="E316" i="22"/>
  <c r="E317" i="22"/>
  <c r="E318" i="22"/>
  <c r="E319" i="22"/>
  <c r="E320" i="22"/>
  <c r="E322" i="22"/>
  <c r="E323" i="22"/>
  <c r="E324" i="22"/>
  <c r="E325" i="22"/>
  <c r="E326" i="22"/>
  <c r="E327" i="22"/>
  <c r="E328" i="22"/>
  <c r="E329" i="22"/>
  <c r="E332" i="22"/>
  <c r="E333" i="22"/>
  <c r="E334" i="22"/>
  <c r="E335" i="22"/>
  <c r="F345" i="22"/>
  <c r="D351" i="22"/>
  <c r="E353" i="22"/>
  <c r="E354" i="22"/>
  <c r="E355" i="22"/>
  <c r="F355" i="22"/>
  <c r="F356" i="22"/>
  <c r="G357" i="22"/>
  <c r="I357" i="22"/>
  <c r="G358" i="22"/>
  <c r="I358" i="22"/>
  <c r="G359" i="22"/>
  <c r="I359" i="22"/>
  <c r="G360" i="22"/>
  <c r="H360" i="22"/>
  <c r="I360" i="22" s="1"/>
  <c r="G361" i="22"/>
  <c r="I361" i="22"/>
  <c r="G362" i="22"/>
  <c r="I362" i="22"/>
  <c r="E364" i="22"/>
  <c r="F364" i="22"/>
  <c r="F365" i="22"/>
  <c r="G366" i="22"/>
  <c r="I366" i="22"/>
  <c r="G367" i="22"/>
  <c r="H367" i="22"/>
  <c r="I367" i="22" s="1"/>
  <c r="G368" i="22"/>
  <c r="I368" i="22"/>
  <c r="G369" i="22"/>
  <c r="I369" i="22"/>
  <c r="E371" i="22"/>
  <c r="F371" i="22"/>
  <c r="F372" i="22"/>
  <c r="G373" i="22"/>
  <c r="I373" i="22"/>
  <c r="G374" i="22"/>
  <c r="I374" i="22"/>
  <c r="E376" i="22"/>
  <c r="F376" i="22"/>
  <c r="F377" i="22"/>
  <c r="G378" i="22"/>
  <c r="I378" i="22"/>
  <c r="G379" i="22"/>
  <c r="I379" i="22"/>
  <c r="E381" i="22"/>
  <c r="F381" i="22"/>
  <c r="F382" i="22"/>
  <c r="G383" i="22"/>
  <c r="I383" i="22"/>
  <c r="G384" i="22"/>
  <c r="I384" i="22"/>
  <c r="E386" i="22"/>
  <c r="F386" i="22"/>
  <c r="F387" i="22"/>
  <c r="G388" i="22"/>
  <c r="I388" i="22"/>
  <c r="G389" i="22"/>
  <c r="I389" i="22"/>
  <c r="E391" i="22"/>
  <c r="F391" i="22"/>
  <c r="F392" i="22"/>
  <c r="G393" i="22"/>
  <c r="I393" i="22"/>
  <c r="G394" i="22"/>
  <c r="I394" i="22"/>
  <c r="E396" i="22"/>
  <c r="F396" i="22"/>
  <c r="F397" i="22"/>
  <c r="G398" i="22"/>
  <c r="I398" i="22"/>
  <c r="G399" i="22"/>
  <c r="I399" i="22"/>
  <c r="E401" i="22"/>
  <c r="F401" i="22"/>
  <c r="F402" i="22"/>
  <c r="G403" i="22"/>
  <c r="I403" i="22"/>
  <c r="G404" i="22"/>
  <c r="I404" i="22"/>
  <c r="E406" i="22"/>
  <c r="F406" i="22"/>
  <c r="F407" i="22"/>
  <c r="G408" i="22"/>
  <c r="I408" i="22"/>
  <c r="G409" i="22"/>
  <c r="I409" i="22"/>
  <c r="E411" i="22"/>
  <c r="F411" i="22"/>
  <c r="F412" i="22"/>
  <c r="G413" i="22"/>
  <c r="I413" i="22"/>
  <c r="G414" i="22"/>
  <c r="I414" i="22"/>
  <c r="E416" i="22"/>
  <c r="F416" i="22"/>
  <c r="F417" i="22"/>
  <c r="G418" i="22"/>
  <c r="I418" i="22"/>
  <c r="G419" i="22"/>
  <c r="I419" i="22"/>
  <c r="E421" i="22"/>
  <c r="F421" i="22"/>
  <c r="F422" i="22"/>
  <c r="G423" i="22"/>
  <c r="I423" i="22"/>
  <c r="G424" i="22"/>
  <c r="I424" i="22"/>
  <c r="E426" i="22"/>
  <c r="F426" i="22"/>
  <c r="F427" i="22"/>
  <c r="G428" i="22"/>
  <c r="I428" i="22"/>
  <c r="G429" i="22"/>
  <c r="I429" i="22"/>
  <c r="E431" i="22"/>
  <c r="F431" i="22"/>
  <c r="F432" i="22"/>
  <c r="G433" i="22"/>
  <c r="I433" i="22"/>
  <c r="G434" i="22"/>
  <c r="I434" i="22"/>
  <c r="E436" i="22"/>
  <c r="F436" i="22"/>
  <c r="F437" i="22"/>
  <c r="G438" i="22"/>
  <c r="I438" i="22"/>
  <c r="G439" i="22"/>
  <c r="I439" i="22"/>
  <c r="E441" i="22"/>
  <c r="F441" i="22"/>
  <c r="F442" i="22"/>
  <c r="G443" i="22"/>
  <c r="I443" i="22"/>
  <c r="G444" i="22"/>
  <c r="I444" i="22"/>
  <c r="E446" i="22"/>
  <c r="F446" i="22"/>
  <c r="F447" i="22"/>
  <c r="G448" i="22"/>
  <c r="I448" i="22"/>
  <c r="G449" i="22"/>
  <c r="I449" i="22"/>
  <c r="E451" i="22"/>
  <c r="F451" i="22"/>
  <c r="F452" i="22"/>
  <c r="G453" i="22"/>
  <c r="I453" i="22"/>
  <c r="G454" i="22"/>
  <c r="I454" i="22"/>
  <c r="E456" i="22"/>
  <c r="F456" i="22"/>
  <c r="F457" i="22"/>
  <c r="G458" i="22"/>
  <c r="I458" i="22"/>
  <c r="G459" i="22"/>
  <c r="I459" i="22"/>
  <c r="E461" i="22"/>
  <c r="F461" i="22"/>
  <c r="F462" i="22"/>
  <c r="G463" i="22"/>
  <c r="I463" i="22"/>
  <c r="G464" i="22"/>
  <c r="I464" i="22"/>
  <c r="E466" i="22"/>
  <c r="F466" i="22"/>
  <c r="F467" i="22"/>
  <c r="G468" i="22"/>
  <c r="I468" i="22"/>
  <c r="G469" i="22"/>
  <c r="I469" i="22"/>
  <c r="D470" i="22"/>
  <c r="E472" i="22"/>
  <c r="F472" i="22"/>
  <c r="F473" i="22"/>
  <c r="G474" i="22"/>
  <c r="I474" i="22"/>
  <c r="G475" i="22"/>
  <c r="H475" i="22"/>
  <c r="I475" i="22" s="1"/>
  <c r="G476" i="22"/>
  <c r="I476" i="22"/>
  <c r="G477" i="22"/>
  <c r="I477" i="22"/>
  <c r="E479" i="22"/>
  <c r="F479" i="22"/>
  <c r="F480" i="22"/>
  <c r="G481" i="22"/>
  <c r="I481" i="22"/>
  <c r="G482" i="22"/>
  <c r="H482" i="22"/>
  <c r="I482" i="22" s="1"/>
  <c r="G483" i="22"/>
  <c r="I483" i="22"/>
  <c r="G484" i="22"/>
  <c r="I484" i="22"/>
  <c r="E486" i="22"/>
  <c r="F486" i="22"/>
  <c r="F487" i="22"/>
  <c r="G488" i="22"/>
  <c r="H488" i="22"/>
  <c r="I488" i="22" s="1"/>
  <c r="G489" i="22"/>
  <c r="I489" i="22"/>
  <c r="G490" i="22"/>
  <c r="I490" i="22"/>
  <c r="E492" i="22"/>
  <c r="F492" i="22"/>
  <c r="F493" i="22"/>
  <c r="G494" i="22"/>
  <c r="H494" i="22"/>
  <c r="I494" i="22" s="1"/>
  <c r="G495" i="22"/>
  <c r="I495" i="22"/>
  <c r="G496" i="22"/>
  <c r="I496" i="22"/>
  <c r="E498" i="22"/>
  <c r="F498" i="22"/>
  <c r="F499" i="22"/>
  <c r="G500" i="22"/>
  <c r="H500" i="22"/>
  <c r="I500" i="22" s="1"/>
  <c r="G501" i="22"/>
  <c r="I501" i="22"/>
  <c r="G502" i="22"/>
  <c r="I502" i="22"/>
  <c r="E504" i="22"/>
  <c r="F504" i="22"/>
  <c r="F505" i="22"/>
  <c r="G506" i="22"/>
  <c r="H506" i="22"/>
  <c r="I506" i="22" s="1"/>
  <c r="G507" i="22"/>
  <c r="I507" i="22"/>
  <c r="G508" i="22"/>
  <c r="I508" i="22"/>
  <c r="E510" i="22"/>
  <c r="F510" i="22"/>
  <c r="F511" i="22"/>
  <c r="G512" i="22"/>
  <c r="H512" i="22"/>
  <c r="I512" i="22" s="1"/>
  <c r="G513" i="22"/>
  <c r="I513" i="22"/>
  <c r="G514" i="22"/>
  <c r="I514" i="22"/>
  <c r="E516" i="22"/>
  <c r="F516" i="22"/>
  <c r="F517" i="22"/>
  <c r="G518" i="22"/>
  <c r="H518" i="22"/>
  <c r="I518" i="22" s="1"/>
  <c r="G519" i="22"/>
  <c r="I519" i="22"/>
  <c r="G520" i="22"/>
  <c r="I520" i="22"/>
  <c r="D521" i="22"/>
  <c r="E523" i="22"/>
  <c r="E524" i="22"/>
  <c r="E525" i="22"/>
  <c r="E526" i="22"/>
  <c r="E527" i="22"/>
  <c r="F527" i="22"/>
  <c r="F529" i="22"/>
  <c r="G530" i="22"/>
  <c r="I530" i="22"/>
  <c r="G531" i="22"/>
  <c r="H531" i="22"/>
  <c r="I531" i="22" s="1"/>
  <c r="G532" i="22"/>
  <c r="I532" i="22"/>
  <c r="G533" i="22"/>
  <c r="I533" i="22"/>
  <c r="E535" i="22"/>
  <c r="F535" i="22"/>
  <c r="F536" i="22"/>
  <c r="G537" i="22"/>
  <c r="I537" i="22"/>
  <c r="G538" i="22"/>
  <c r="H538" i="22"/>
  <c r="I538" i="22" s="1"/>
  <c r="G539" i="22"/>
  <c r="I539" i="22"/>
  <c r="G540" i="22"/>
  <c r="I540" i="22"/>
  <c r="E542" i="22"/>
  <c r="F542" i="22"/>
  <c r="F543" i="22"/>
  <c r="G544" i="22"/>
  <c r="I544" i="22"/>
  <c r="G545" i="22"/>
  <c r="H545" i="22"/>
  <c r="I545" i="22" s="1"/>
  <c r="G546" i="22"/>
  <c r="I546" i="22"/>
  <c r="G547" i="22"/>
  <c r="I547" i="22"/>
  <c r="E549" i="22"/>
  <c r="F549" i="22"/>
  <c r="F550" i="22"/>
  <c r="G551" i="22"/>
  <c r="I551" i="22"/>
  <c r="G552" i="22"/>
  <c r="H552" i="22"/>
  <c r="I552" i="22" s="1"/>
  <c r="G553" i="22"/>
  <c r="I553" i="22"/>
  <c r="G554" i="22"/>
  <c r="I554" i="22"/>
  <c r="E556" i="22"/>
  <c r="F556" i="22"/>
  <c r="F557" i="22"/>
  <c r="G558" i="22"/>
  <c r="I558" i="22"/>
  <c r="G559" i="22"/>
  <c r="H559" i="22"/>
  <c r="I559" i="22" s="1"/>
  <c r="G560" i="22"/>
  <c r="I560" i="22"/>
  <c r="G561" i="22"/>
  <c r="I561" i="22"/>
  <c r="E563" i="22"/>
  <c r="F563" i="22"/>
  <c r="F564" i="22"/>
  <c r="G565" i="22"/>
  <c r="I565" i="22"/>
  <c r="G566" i="22"/>
  <c r="H566" i="22"/>
  <c r="I566" i="22" s="1"/>
  <c r="G567" i="22"/>
  <c r="I567" i="22"/>
  <c r="G568" i="22"/>
  <c r="I568" i="22"/>
  <c r="E570" i="22"/>
  <c r="F570" i="22"/>
  <c r="F571" i="22"/>
  <c r="G572" i="22"/>
  <c r="I572" i="22"/>
  <c r="G573" i="22"/>
  <c r="H573" i="22"/>
  <c r="I573" i="22" s="1"/>
  <c r="G574" i="22"/>
  <c r="I574" i="22"/>
  <c r="G575" i="22"/>
  <c r="I575" i="22"/>
  <c r="M93" i="31" l="1"/>
  <c r="M95" i="31" s="1"/>
  <c r="M94" i="31"/>
  <c r="M96" i="31" s="1"/>
  <c r="M97" i="31" s="1"/>
  <c r="M98" i="31" s="1"/>
  <c r="M99" i="31" s="1"/>
  <c r="L93" i="31"/>
  <c r="L95" i="31" s="1"/>
  <c r="L94" i="31"/>
  <c r="L96" i="31" s="1"/>
  <c r="L97" i="31" s="1"/>
  <c r="L98" i="31" s="1"/>
  <c r="L99" i="31" s="1"/>
  <c r="K93" i="31"/>
  <c r="K95" i="31" s="1"/>
  <c r="K94" i="31"/>
  <c r="K96" i="31" s="1"/>
  <c r="K97" i="31" s="1"/>
  <c r="K98" i="31" s="1"/>
  <c r="K99" i="31" s="1"/>
  <c r="I71" i="22"/>
  <c r="D138" i="22"/>
  <c r="CD94" i="31"/>
  <c r="CD96" i="31" s="1"/>
  <c r="CD97" i="31" s="1"/>
  <c r="CD98" i="31" s="1"/>
  <c r="CD99" i="31" s="1"/>
  <c r="I70" i="22"/>
  <c r="D440" i="22"/>
  <c r="D420" i="22"/>
  <c r="D485" i="22"/>
  <c r="D153" i="22"/>
  <c r="D405" i="22"/>
  <c r="D128" i="22"/>
  <c r="D541" i="22"/>
  <c r="D282" i="22"/>
  <c r="D569" i="22"/>
  <c r="D450" i="22"/>
  <c r="D478" i="22"/>
  <c r="D425" i="22"/>
  <c r="D400" i="22"/>
  <c r="D395" i="22"/>
  <c r="D385" i="22"/>
  <c r="D375" i="22"/>
  <c r="D363" i="22"/>
  <c r="D228" i="22"/>
  <c r="D204" i="22"/>
  <c r="D198" i="22"/>
  <c r="D178" i="22"/>
  <c r="D113" i="22"/>
  <c r="D103" i="22"/>
  <c r="D98" i="22"/>
  <c r="D555" i="22"/>
  <c r="D503" i="22"/>
  <c r="D491" i="22"/>
  <c r="D380" i="22"/>
  <c r="D216" i="22"/>
  <c r="D534" i="22"/>
  <c r="D562" i="22"/>
  <c r="D548" i="22"/>
  <c r="D465" i="22"/>
  <c r="D247" i="22"/>
  <c r="D168" i="22"/>
  <c r="D435" i="22"/>
  <c r="D83" i="22"/>
  <c r="D509" i="22"/>
  <c r="D390" i="22"/>
  <c r="D268" i="22"/>
  <c r="D123" i="22"/>
  <c r="D163" i="22"/>
  <c r="D108" i="22"/>
  <c r="D497" i="22"/>
  <c r="D460" i="22"/>
  <c r="D254" i="22"/>
  <c r="D76" i="22"/>
  <c r="D445" i="22"/>
  <c r="D93" i="22"/>
  <c r="D430" i="22"/>
  <c r="D148" i="22"/>
  <c r="D415" i="22"/>
  <c r="D210" i="22"/>
  <c r="D133" i="22"/>
  <c r="D118" i="22"/>
  <c r="D370" i="22"/>
  <c r="D275" i="22"/>
  <c r="D173" i="22"/>
  <c r="D455" i="22"/>
  <c r="D158" i="22"/>
  <c r="D88" i="22"/>
  <c r="D515" i="22"/>
  <c r="D222" i="22"/>
  <c r="D261" i="22"/>
  <c r="D143" i="22"/>
  <c r="D410" i="22"/>
  <c r="D191" i="22"/>
  <c r="H63" i="34"/>
  <c r="F63" i="34"/>
  <c r="C63" i="34"/>
  <c r="H62" i="34"/>
  <c r="F62" i="34"/>
  <c r="C61" i="34"/>
  <c r="C59" i="34"/>
  <c r="H58" i="34"/>
  <c r="F58" i="34"/>
  <c r="H57" i="34"/>
  <c r="F57" i="34"/>
  <c r="C57" i="34"/>
  <c r="C55" i="34"/>
  <c r="F53" i="34"/>
  <c r="C53" i="34"/>
  <c r="F52" i="34"/>
  <c r="C51" i="34"/>
  <c r="C40" i="34"/>
  <c r="C47" i="34" s="1"/>
  <c r="C60" i="34" s="1"/>
  <c r="C48" i="34" l="1"/>
  <c r="C62" i="34" s="1"/>
  <c r="C41" i="34"/>
  <c r="C45" i="34"/>
  <c r="C56" i="34" s="1"/>
  <c r="C44" i="34"/>
  <c r="C54" i="34" s="1"/>
  <c r="C42" i="34"/>
  <c r="C50" i="34" s="1"/>
  <c r="C46" i="34"/>
  <c r="C58" i="34" s="1"/>
  <c r="C43" i="34"/>
  <c r="C52" i="34" s="1"/>
  <c r="AE194" i="33" l="1"/>
  <c r="AD194" i="33"/>
  <c r="AC194" i="33"/>
  <c r="AM183" i="33"/>
  <c r="AL183" i="33"/>
  <c r="AK183" i="33"/>
  <c r="AI166" i="33"/>
  <c r="O144" i="33"/>
  <c r="N144" i="33"/>
  <c r="M144" i="33"/>
  <c r="G144" i="33"/>
  <c r="F144" i="33"/>
  <c r="E144" i="33"/>
  <c r="AE94" i="33"/>
  <c r="AD94" i="33"/>
  <c r="AC94" i="33"/>
  <c r="W84" i="33"/>
  <c r="V84" i="33"/>
  <c r="U84" i="33"/>
  <c r="AM83" i="33"/>
  <c r="AL83" i="33"/>
  <c r="AK83" i="33"/>
  <c r="O44" i="33"/>
  <c r="N44" i="33"/>
  <c r="M44" i="33"/>
  <c r="G44" i="33"/>
  <c r="F44" i="33"/>
  <c r="E44" i="33"/>
  <c r="AL5" i="33" l="1"/>
  <c r="AK233" i="33"/>
  <c r="AI244" i="33"/>
  <c r="AM5" i="33" s="1"/>
  <c r="AI243" i="33"/>
  <c r="AM6" i="33" s="1"/>
  <c r="AI242" i="33"/>
  <c r="AI241" i="33"/>
  <c r="AI240" i="33"/>
  <c r="AM9" i="33" s="1"/>
  <c r="AI239" i="33"/>
  <c r="AM10" i="33" s="1"/>
  <c r="AI238" i="33"/>
  <c r="AI237" i="33"/>
  <c r="AM12" i="33" s="1"/>
  <c r="AI236" i="33"/>
  <c r="AM13" i="33" s="1"/>
  <c r="AI235" i="33"/>
  <c r="AM14" i="33" s="1"/>
  <c r="AI234" i="33"/>
  <c r="AM15" i="33" s="1"/>
  <c r="AI233" i="33"/>
  <c r="AI232" i="33"/>
  <c r="AM17" i="33" s="1"/>
  <c r="AI231" i="33"/>
  <c r="AM18" i="33" s="1"/>
  <c r="AI230" i="33"/>
  <c r="AM19" i="33" s="1"/>
  <c r="AI229" i="33"/>
  <c r="AM20" i="33" s="1"/>
  <c r="AI228" i="33"/>
  <c r="AM21" i="33" s="1"/>
  <c r="AI227" i="33"/>
  <c r="AM22" i="33" s="1"/>
  <c r="AI226" i="33"/>
  <c r="AI225" i="33"/>
  <c r="AI224" i="33"/>
  <c r="AM25" i="33" s="1"/>
  <c r="AI223" i="33"/>
  <c r="AI222" i="33"/>
  <c r="AM27" i="33" s="1"/>
  <c r="AI221" i="33"/>
  <c r="AM28" i="33" s="1"/>
  <c r="AI220" i="33"/>
  <c r="AI219" i="33"/>
  <c r="AM30" i="33" s="1"/>
  <c r="AI218" i="33"/>
  <c r="AM31" i="33" s="1"/>
  <c r="AI217" i="33"/>
  <c r="AM32" i="33" s="1"/>
  <c r="AI216" i="33"/>
  <c r="AM33" i="33" s="1"/>
  <c r="AI215" i="33"/>
  <c r="AM34" i="33" s="1"/>
  <c r="AI214" i="33"/>
  <c r="AM35" i="33" s="1"/>
  <c r="AI213" i="33"/>
  <c r="AI212" i="33"/>
  <c r="AM37" i="33" s="1"/>
  <c r="AI211" i="33"/>
  <c r="AI210" i="33"/>
  <c r="AM39" i="33" s="1"/>
  <c r="AI209" i="33"/>
  <c r="AM40" i="33" s="1"/>
  <c r="AI208" i="33"/>
  <c r="AM41" i="33" s="1"/>
  <c r="AI207" i="33"/>
  <c r="AM42" i="33" s="1"/>
  <c r="AI206" i="33"/>
  <c r="AI205" i="33"/>
  <c r="AI204" i="33"/>
  <c r="AM45" i="33" s="1"/>
  <c r="AI203" i="33"/>
  <c r="AI202" i="33"/>
  <c r="AM47" i="33" s="1"/>
  <c r="AI201" i="33"/>
  <c r="AM48" i="33" s="1"/>
  <c r="AI200" i="33"/>
  <c r="AM49" i="33" s="1"/>
  <c r="AI199" i="33"/>
  <c r="AM50" i="33" s="1"/>
  <c r="AI198" i="33"/>
  <c r="AM51" i="33" s="1"/>
  <c r="AI197" i="33"/>
  <c r="AM52" i="33" s="1"/>
  <c r="AI196" i="33"/>
  <c r="AI195" i="33"/>
  <c r="AM54" i="33" s="1"/>
  <c r="AI194" i="33"/>
  <c r="AI193" i="33"/>
  <c r="AM56" i="33" s="1"/>
  <c r="AI192" i="33"/>
  <c r="AM57" i="33" s="1"/>
  <c r="AI191" i="33"/>
  <c r="AM58" i="33" s="1"/>
  <c r="AI190" i="33"/>
  <c r="AM59" i="33" s="1"/>
  <c r="AI189" i="33"/>
  <c r="AM60" i="33" s="1"/>
  <c r="AI188" i="33"/>
  <c r="AI187" i="33"/>
  <c r="AM62" i="33" s="1"/>
  <c r="AI186" i="33"/>
  <c r="AM63" i="33" s="1"/>
  <c r="AI185" i="33"/>
  <c r="AI184" i="33"/>
  <c r="AI183" i="33"/>
  <c r="AI182" i="33"/>
  <c r="AM67" i="33" s="1"/>
  <c r="AI181" i="33"/>
  <c r="AM68" i="33" s="1"/>
  <c r="AI180" i="33"/>
  <c r="AM69" i="33" s="1"/>
  <c r="AI179" i="33"/>
  <c r="AI178" i="33"/>
  <c r="AM71" i="33" s="1"/>
  <c r="AI177" i="33"/>
  <c r="AI176" i="33"/>
  <c r="AM73" i="33" s="1"/>
  <c r="AI175" i="33"/>
  <c r="AI174" i="33"/>
  <c r="AI173" i="33"/>
  <c r="AI172" i="33"/>
  <c r="AI171" i="33"/>
  <c r="AM78" i="33" s="1"/>
  <c r="AI170" i="33"/>
  <c r="AM79" i="33" s="1"/>
  <c r="AI169" i="33"/>
  <c r="AM80" i="33" s="1"/>
  <c r="AI168" i="33"/>
  <c r="AM81" i="33" s="1"/>
  <c r="AI167" i="33"/>
  <c r="AM82" i="33" s="1"/>
  <c r="AI165" i="33"/>
  <c r="AI164" i="33"/>
  <c r="AI163" i="33"/>
  <c r="AM86" i="33" s="1"/>
  <c r="AI162" i="33"/>
  <c r="AM87" i="33" s="1"/>
  <c r="AI161" i="33"/>
  <c r="AM88" i="33" s="1"/>
  <c r="AI160" i="33"/>
  <c r="AM89" i="33" s="1"/>
  <c r="AI159" i="33"/>
  <c r="AI158" i="33"/>
  <c r="AM91" i="33" s="1"/>
  <c r="AI157" i="33"/>
  <c r="AM92" i="33" s="1"/>
  <c r="AI156" i="33"/>
  <c r="AI155" i="33"/>
  <c r="AI154" i="33"/>
  <c r="AI153" i="33"/>
  <c r="AM96" i="33" s="1"/>
  <c r="AI152" i="33"/>
  <c r="AM97" i="33" s="1"/>
  <c r="AI151" i="33"/>
  <c r="AM98" i="33" s="1"/>
  <c r="AI150" i="33"/>
  <c r="AM99" i="33" s="1"/>
  <c r="AI149" i="33"/>
  <c r="AM100" i="33" s="1"/>
  <c r="AI148" i="33"/>
  <c r="AI147" i="33"/>
  <c r="AM102" i="33" s="1"/>
  <c r="AI146" i="33"/>
  <c r="AM103" i="33" s="1"/>
  <c r="AI145" i="33"/>
  <c r="AM104" i="33" s="1"/>
  <c r="AI144" i="33"/>
  <c r="AM105" i="33" s="1"/>
  <c r="AI143" i="33"/>
  <c r="AI142" i="33"/>
  <c r="AM107" i="33" s="1"/>
  <c r="AI141" i="33"/>
  <c r="AM108" i="33" s="1"/>
  <c r="AI140" i="33"/>
  <c r="AI139" i="33"/>
  <c r="AI138" i="33"/>
  <c r="AM111" i="33" s="1"/>
  <c r="AI137" i="33"/>
  <c r="AI136" i="33"/>
  <c r="AI135" i="33"/>
  <c r="AM114" i="33" s="1"/>
  <c r="AI134" i="33"/>
  <c r="AM115" i="33" s="1"/>
  <c r="AI133" i="33"/>
  <c r="AM116" i="33" s="1"/>
  <c r="AI132" i="33"/>
  <c r="AM117" i="33" s="1"/>
  <c r="AI131" i="33"/>
  <c r="AM118" i="33" s="1"/>
  <c r="AI130" i="33"/>
  <c r="AM119" i="33" s="1"/>
  <c r="AI129" i="33"/>
  <c r="AM120" i="33" s="1"/>
  <c r="AI128" i="33"/>
  <c r="AM121" i="33" s="1"/>
  <c r="AI127" i="33"/>
  <c r="AM122" i="33" s="1"/>
  <c r="AI126" i="33"/>
  <c r="AM123" i="33" s="1"/>
  <c r="AI125" i="33"/>
  <c r="AM244" i="33"/>
  <c r="AL244" i="33"/>
  <c r="AK244" i="33"/>
  <c r="AM243" i="33"/>
  <c r="AL243" i="33"/>
  <c r="AK243" i="33"/>
  <c r="AM242" i="33"/>
  <c r="AL242" i="33"/>
  <c r="AK242" i="33"/>
  <c r="AM241" i="33"/>
  <c r="AL241" i="33"/>
  <c r="AK241" i="33"/>
  <c r="AM240" i="33"/>
  <c r="AL240" i="33"/>
  <c r="AK240" i="33"/>
  <c r="AM239" i="33"/>
  <c r="AL239" i="33"/>
  <c r="AK239" i="33"/>
  <c r="AM238" i="33"/>
  <c r="AL238" i="33"/>
  <c r="AK238" i="33"/>
  <c r="AM237" i="33"/>
  <c r="AL237" i="33"/>
  <c r="AK237" i="33"/>
  <c r="AM236" i="33"/>
  <c r="AL236" i="33"/>
  <c r="AK236" i="33"/>
  <c r="AM235" i="33"/>
  <c r="AL235" i="33"/>
  <c r="AK235" i="33"/>
  <c r="AM234" i="33"/>
  <c r="AL234" i="33"/>
  <c r="AK234" i="33"/>
  <c r="AM233" i="33"/>
  <c r="AL233" i="33"/>
  <c r="AM232" i="33"/>
  <c r="AL232" i="33"/>
  <c r="AK232" i="33"/>
  <c r="AM231" i="33"/>
  <c r="AL231" i="33"/>
  <c r="AK231" i="33"/>
  <c r="AM230" i="33"/>
  <c r="AL230" i="33"/>
  <c r="AK230" i="33"/>
  <c r="AM229" i="33"/>
  <c r="AL229" i="33"/>
  <c r="AK229" i="33"/>
  <c r="AM228" i="33"/>
  <c r="AL228" i="33"/>
  <c r="AK228" i="33"/>
  <c r="AM227" i="33"/>
  <c r="AL227" i="33"/>
  <c r="AK227" i="33"/>
  <c r="AM226" i="33"/>
  <c r="AL226" i="33"/>
  <c r="AK226" i="33"/>
  <c r="AM225" i="33"/>
  <c r="AL225" i="33"/>
  <c r="AK225" i="33"/>
  <c r="AM224" i="33"/>
  <c r="AL224" i="33"/>
  <c r="AK224" i="33"/>
  <c r="AM223" i="33"/>
  <c r="AL223" i="33"/>
  <c r="AK223" i="33"/>
  <c r="AM222" i="33"/>
  <c r="AL222" i="33"/>
  <c r="AK222" i="33"/>
  <c r="AM221" i="33"/>
  <c r="AL221" i="33"/>
  <c r="AK221" i="33"/>
  <c r="AM220" i="33"/>
  <c r="AL220" i="33"/>
  <c r="AK220" i="33"/>
  <c r="AM219" i="33"/>
  <c r="AL219" i="33"/>
  <c r="AK219" i="33"/>
  <c r="AM218" i="33"/>
  <c r="AL218" i="33"/>
  <c r="AK218" i="33"/>
  <c r="AM217" i="33"/>
  <c r="AL217" i="33"/>
  <c r="AK217" i="33"/>
  <c r="AM216" i="33"/>
  <c r="AL216" i="33"/>
  <c r="AK216" i="33"/>
  <c r="AM215" i="33"/>
  <c r="AL215" i="33"/>
  <c r="AK215" i="33"/>
  <c r="AM214" i="33"/>
  <c r="AL214" i="33"/>
  <c r="AK214" i="33"/>
  <c r="AM213" i="33"/>
  <c r="AL213" i="33"/>
  <c r="AK213" i="33"/>
  <c r="AM212" i="33"/>
  <c r="AL212" i="33"/>
  <c r="AK212" i="33"/>
  <c r="AM211" i="33"/>
  <c r="AL211" i="33"/>
  <c r="AK211" i="33"/>
  <c r="AM210" i="33"/>
  <c r="AL210" i="33"/>
  <c r="AK210" i="33"/>
  <c r="AM209" i="33"/>
  <c r="AL209" i="33"/>
  <c r="AK209" i="33"/>
  <c r="AM208" i="33"/>
  <c r="AL208" i="33"/>
  <c r="AK208" i="33"/>
  <c r="AM207" i="33"/>
  <c r="AL207" i="33"/>
  <c r="AK207" i="33"/>
  <c r="AM206" i="33"/>
  <c r="AL206" i="33"/>
  <c r="AK206" i="33"/>
  <c r="AM205" i="33"/>
  <c r="AL205" i="33"/>
  <c r="AK205" i="33"/>
  <c r="AM204" i="33"/>
  <c r="AL204" i="33"/>
  <c r="AK204" i="33"/>
  <c r="AM203" i="33"/>
  <c r="AL203" i="33"/>
  <c r="AK203" i="33"/>
  <c r="AM202" i="33"/>
  <c r="AL202" i="33"/>
  <c r="AK202" i="33"/>
  <c r="AM201" i="33"/>
  <c r="AL201" i="33"/>
  <c r="AK201" i="33"/>
  <c r="AM200" i="33"/>
  <c r="AL200" i="33"/>
  <c r="AK200" i="33"/>
  <c r="AM199" i="33"/>
  <c r="AL199" i="33"/>
  <c r="AK199" i="33"/>
  <c r="AM198" i="33"/>
  <c r="AL198" i="33"/>
  <c r="AK198" i="33"/>
  <c r="AM197" i="33"/>
  <c r="AL197" i="33"/>
  <c r="AK197" i="33"/>
  <c r="AM196" i="33"/>
  <c r="AL196" i="33"/>
  <c r="AK196" i="33"/>
  <c r="AM195" i="33"/>
  <c r="AL195" i="33"/>
  <c r="AK195" i="33"/>
  <c r="AM194" i="33"/>
  <c r="AL194" i="33"/>
  <c r="AK194" i="33"/>
  <c r="AM193" i="33"/>
  <c r="AL193" i="33"/>
  <c r="AK193" i="33"/>
  <c r="AM192" i="33"/>
  <c r="AL192" i="33"/>
  <c r="AK192" i="33"/>
  <c r="AM191" i="33"/>
  <c r="AL191" i="33"/>
  <c r="AK191" i="33"/>
  <c r="AM190" i="33"/>
  <c r="AL190" i="33"/>
  <c r="AK190" i="33"/>
  <c r="AM189" i="33"/>
  <c r="AL189" i="33"/>
  <c r="AK189" i="33"/>
  <c r="AM188" i="33"/>
  <c r="AL188" i="33"/>
  <c r="AK188" i="33"/>
  <c r="AM187" i="33"/>
  <c r="AL187" i="33"/>
  <c r="AK187" i="33"/>
  <c r="AM186" i="33"/>
  <c r="AL186" i="33"/>
  <c r="AK186" i="33"/>
  <c r="AM185" i="33"/>
  <c r="AL185" i="33"/>
  <c r="AK185" i="33"/>
  <c r="AM184" i="33"/>
  <c r="AL184" i="33"/>
  <c r="AK184" i="33"/>
  <c r="AM182" i="33"/>
  <c r="AL182" i="33"/>
  <c r="AK182" i="33"/>
  <c r="AM181" i="33"/>
  <c r="AL181" i="33"/>
  <c r="AK181" i="33"/>
  <c r="AM180" i="33"/>
  <c r="AL180" i="33"/>
  <c r="AK180" i="33"/>
  <c r="AM179" i="33"/>
  <c r="AL179" i="33"/>
  <c r="AK179" i="33"/>
  <c r="AM178" i="33"/>
  <c r="AL178" i="33"/>
  <c r="AK178" i="33"/>
  <c r="AM177" i="33"/>
  <c r="AL177" i="33"/>
  <c r="AK177" i="33"/>
  <c r="AM176" i="33"/>
  <c r="AL176" i="33"/>
  <c r="AK176" i="33"/>
  <c r="AM175" i="33"/>
  <c r="AL175" i="33"/>
  <c r="AK175" i="33"/>
  <c r="AM174" i="33"/>
  <c r="AL174" i="33"/>
  <c r="AK174" i="33"/>
  <c r="AM173" i="33"/>
  <c r="AL173" i="33"/>
  <c r="AK173" i="33"/>
  <c r="AM172" i="33"/>
  <c r="AL172" i="33"/>
  <c r="AK172" i="33"/>
  <c r="AM171" i="33"/>
  <c r="AL171" i="33"/>
  <c r="AK171" i="33"/>
  <c r="AM170" i="33"/>
  <c r="AL170" i="33"/>
  <c r="AK170" i="33"/>
  <c r="AM169" i="33"/>
  <c r="AL169" i="33"/>
  <c r="AK169" i="33"/>
  <c r="AM168" i="33"/>
  <c r="AL168" i="33"/>
  <c r="AK168" i="33"/>
  <c r="AM167" i="33"/>
  <c r="AL167" i="33"/>
  <c r="AK167" i="33"/>
  <c r="AM166" i="33"/>
  <c r="AL166" i="33"/>
  <c r="AK166" i="33"/>
  <c r="AM165" i="33"/>
  <c r="AL165" i="33"/>
  <c r="AK165" i="33"/>
  <c r="AM164" i="33"/>
  <c r="AL164" i="33"/>
  <c r="AK164" i="33"/>
  <c r="AM163" i="33"/>
  <c r="AL163" i="33"/>
  <c r="AK163" i="33"/>
  <c r="AM162" i="33"/>
  <c r="AL162" i="33"/>
  <c r="AK162" i="33"/>
  <c r="AM161" i="33"/>
  <c r="AL161" i="33"/>
  <c r="AK161" i="33"/>
  <c r="AM160" i="33"/>
  <c r="AL160" i="33"/>
  <c r="AK160" i="33"/>
  <c r="AM159" i="33"/>
  <c r="AL159" i="33"/>
  <c r="AK159" i="33"/>
  <c r="AM158" i="33"/>
  <c r="AL158" i="33"/>
  <c r="AK158" i="33"/>
  <c r="AM157" i="33"/>
  <c r="AL157" i="33"/>
  <c r="AK157" i="33"/>
  <c r="AM156" i="33"/>
  <c r="AL156" i="33"/>
  <c r="AK156" i="33"/>
  <c r="AM155" i="33"/>
  <c r="AL155" i="33"/>
  <c r="AK155" i="33"/>
  <c r="AM154" i="33"/>
  <c r="AL154" i="33"/>
  <c r="AK154" i="33"/>
  <c r="AM153" i="33"/>
  <c r="AL153" i="33"/>
  <c r="AK153" i="33"/>
  <c r="AM152" i="33"/>
  <c r="AL152" i="33"/>
  <c r="AK152" i="33"/>
  <c r="AM151" i="33"/>
  <c r="AL151" i="33"/>
  <c r="AK151" i="33"/>
  <c r="AM150" i="33"/>
  <c r="AL150" i="33"/>
  <c r="AK150" i="33"/>
  <c r="AM149" i="33"/>
  <c r="AL149" i="33"/>
  <c r="AK149" i="33"/>
  <c r="AM148" i="33"/>
  <c r="AL148" i="33"/>
  <c r="AK148" i="33"/>
  <c r="AM147" i="33"/>
  <c r="AL147" i="33"/>
  <c r="AK147" i="33"/>
  <c r="AM146" i="33"/>
  <c r="AL146" i="33"/>
  <c r="AK146" i="33"/>
  <c r="AM145" i="33"/>
  <c r="AL145" i="33"/>
  <c r="AK145" i="33"/>
  <c r="AM144" i="33"/>
  <c r="AL144" i="33"/>
  <c r="AK144" i="33"/>
  <c r="AM143" i="33"/>
  <c r="AL143" i="33"/>
  <c r="AK143" i="33"/>
  <c r="AM142" i="33"/>
  <c r="AL142" i="33"/>
  <c r="AK142" i="33"/>
  <c r="AM141" i="33"/>
  <c r="AL141" i="33"/>
  <c r="AK141" i="33"/>
  <c r="AM140" i="33"/>
  <c r="AL140" i="33"/>
  <c r="AK140" i="33"/>
  <c r="AM139" i="33"/>
  <c r="AL139" i="33"/>
  <c r="AK139" i="33"/>
  <c r="AM138" i="33"/>
  <c r="AL138" i="33"/>
  <c r="AK138" i="33"/>
  <c r="AM137" i="33"/>
  <c r="AL137" i="33"/>
  <c r="AK137" i="33"/>
  <c r="AM136" i="33"/>
  <c r="AL136" i="33"/>
  <c r="AK136" i="33"/>
  <c r="AM135" i="33"/>
  <c r="AL135" i="33"/>
  <c r="AK135" i="33"/>
  <c r="AM134" i="33"/>
  <c r="AL134" i="33"/>
  <c r="AK134" i="33"/>
  <c r="AM133" i="33"/>
  <c r="AL133" i="33"/>
  <c r="AK133" i="33"/>
  <c r="AM132" i="33"/>
  <c r="AL132" i="33"/>
  <c r="AK132" i="33"/>
  <c r="AM131" i="33"/>
  <c r="AL131" i="33"/>
  <c r="AK131" i="33"/>
  <c r="AM130" i="33"/>
  <c r="AL130" i="33"/>
  <c r="AK130" i="33"/>
  <c r="AM129" i="33"/>
  <c r="AL129" i="33"/>
  <c r="AK129" i="33"/>
  <c r="AM128" i="33"/>
  <c r="AL128" i="33"/>
  <c r="AK128" i="33"/>
  <c r="AM127" i="33"/>
  <c r="AL127" i="33"/>
  <c r="AK127" i="33"/>
  <c r="AM126" i="33"/>
  <c r="AL126" i="33"/>
  <c r="AK126" i="33"/>
  <c r="AM125" i="33"/>
  <c r="AL125" i="33"/>
  <c r="AK125" i="33"/>
  <c r="AM124" i="33"/>
  <c r="AL124" i="33"/>
  <c r="AK124" i="33"/>
  <c r="AL123" i="33"/>
  <c r="AK123" i="33"/>
  <c r="AL122" i="33"/>
  <c r="AK122" i="33"/>
  <c r="AL121" i="33"/>
  <c r="AK121" i="33"/>
  <c r="AL120" i="33"/>
  <c r="AK120" i="33"/>
  <c r="AL119" i="33"/>
  <c r="AK119" i="33"/>
  <c r="AL118" i="33"/>
  <c r="AK118" i="33"/>
  <c r="AL117" i="33"/>
  <c r="AK117" i="33"/>
  <c r="AL116" i="33"/>
  <c r="AK116" i="33"/>
  <c r="AL115" i="33"/>
  <c r="AK115" i="33"/>
  <c r="AL114" i="33"/>
  <c r="AK114" i="33"/>
  <c r="AM113" i="33"/>
  <c r="AL113" i="33"/>
  <c r="AK113" i="33"/>
  <c r="AM112" i="33"/>
  <c r="AL112" i="33"/>
  <c r="AK112" i="33"/>
  <c r="AL111" i="33"/>
  <c r="AK111" i="33"/>
  <c r="AM110" i="33"/>
  <c r="AL110" i="33"/>
  <c r="AK110" i="33"/>
  <c r="AM109" i="33"/>
  <c r="AL109" i="33"/>
  <c r="AK109" i="33"/>
  <c r="AL108" i="33"/>
  <c r="AK108" i="33"/>
  <c r="AL107" i="33"/>
  <c r="AK107" i="33"/>
  <c r="AM106" i="33"/>
  <c r="AL106" i="33"/>
  <c r="AK106" i="33"/>
  <c r="AL105" i="33"/>
  <c r="AK105" i="33"/>
  <c r="AL104" i="33"/>
  <c r="AK104" i="33"/>
  <c r="AL103" i="33"/>
  <c r="AK103" i="33"/>
  <c r="AL102" i="33"/>
  <c r="AK102" i="33"/>
  <c r="AM101" i="33"/>
  <c r="AL101" i="33"/>
  <c r="AK101" i="33"/>
  <c r="AL100" i="33"/>
  <c r="AK100" i="33"/>
  <c r="AL99" i="33"/>
  <c r="AK99" i="33"/>
  <c r="AL98" i="33"/>
  <c r="AK98" i="33"/>
  <c r="AL97" i="33"/>
  <c r="AK97" i="33"/>
  <c r="AL96" i="33"/>
  <c r="AK96" i="33"/>
  <c r="AM95" i="33"/>
  <c r="AL95" i="33"/>
  <c r="AK95" i="33"/>
  <c r="AM94" i="33"/>
  <c r="AL94" i="33"/>
  <c r="AK94" i="33"/>
  <c r="AM93" i="33"/>
  <c r="AL93" i="33"/>
  <c r="AK93" i="33"/>
  <c r="AL92" i="33"/>
  <c r="AK92" i="33"/>
  <c r="AL91" i="33"/>
  <c r="AK91" i="33"/>
  <c r="AM90" i="33"/>
  <c r="AL90" i="33"/>
  <c r="AK90" i="33"/>
  <c r="AL89" i="33"/>
  <c r="AK89" i="33"/>
  <c r="AL88" i="33"/>
  <c r="AK88" i="33"/>
  <c r="AL87" i="33"/>
  <c r="AK87" i="33"/>
  <c r="AL86" i="33"/>
  <c r="AK86" i="33"/>
  <c r="AM85" i="33"/>
  <c r="AL85" i="33"/>
  <c r="AK85" i="33"/>
  <c r="AM84" i="33"/>
  <c r="AL84" i="33"/>
  <c r="AK84" i="33"/>
  <c r="AL82" i="33"/>
  <c r="AK82" i="33"/>
  <c r="AL81" i="33"/>
  <c r="AK81" i="33"/>
  <c r="AL80" i="33"/>
  <c r="AK80" i="33"/>
  <c r="AL79" i="33"/>
  <c r="AK79" i="33"/>
  <c r="AL78" i="33"/>
  <c r="AK78" i="33"/>
  <c r="AM77" i="33"/>
  <c r="AL77" i="33"/>
  <c r="AK77" i="33"/>
  <c r="AM76" i="33"/>
  <c r="AL76" i="33"/>
  <c r="AK76" i="33"/>
  <c r="AM75" i="33"/>
  <c r="AL75" i="33"/>
  <c r="AK75" i="33"/>
  <c r="AM74" i="33"/>
  <c r="AL74" i="33"/>
  <c r="AK74" i="33"/>
  <c r="AL73" i="33"/>
  <c r="AK73" i="33"/>
  <c r="AM72" i="33"/>
  <c r="AL72" i="33"/>
  <c r="AK72" i="33"/>
  <c r="AL71" i="33"/>
  <c r="AK71" i="33"/>
  <c r="AM70" i="33"/>
  <c r="AL70" i="33"/>
  <c r="AK70" i="33"/>
  <c r="AL69" i="33"/>
  <c r="AK69" i="33"/>
  <c r="AL68" i="33"/>
  <c r="AK68" i="33"/>
  <c r="AL67" i="33"/>
  <c r="AK67" i="33"/>
  <c r="AM66" i="33"/>
  <c r="AL66" i="33"/>
  <c r="AK66" i="33"/>
  <c r="AM65" i="33"/>
  <c r="AL65" i="33"/>
  <c r="AK65" i="33"/>
  <c r="AM64" i="33"/>
  <c r="AL64" i="33"/>
  <c r="AK64" i="33"/>
  <c r="AL63" i="33"/>
  <c r="AK63" i="33"/>
  <c r="AL62" i="33"/>
  <c r="AK62" i="33"/>
  <c r="AM61" i="33"/>
  <c r="AL61" i="33"/>
  <c r="AK61" i="33"/>
  <c r="AL60" i="33"/>
  <c r="AK60" i="33"/>
  <c r="AL59" i="33"/>
  <c r="AK59" i="33"/>
  <c r="AL58" i="33"/>
  <c r="AK58" i="33"/>
  <c r="AL57" i="33"/>
  <c r="AK57" i="33"/>
  <c r="AL56" i="33"/>
  <c r="AK56" i="33"/>
  <c r="AM55" i="33"/>
  <c r="AL55" i="33"/>
  <c r="AK55" i="33"/>
  <c r="AL54" i="33"/>
  <c r="AK54" i="33"/>
  <c r="AM53" i="33"/>
  <c r="AL53" i="33"/>
  <c r="AK53" i="33"/>
  <c r="AL52" i="33"/>
  <c r="AK52" i="33"/>
  <c r="AL51" i="33"/>
  <c r="AK51" i="33"/>
  <c r="AL50" i="33"/>
  <c r="AK50" i="33"/>
  <c r="AL49" i="33"/>
  <c r="AK49" i="33"/>
  <c r="AL48" i="33"/>
  <c r="AK48" i="33"/>
  <c r="AL47" i="33"/>
  <c r="AK47" i="33"/>
  <c r="AM46" i="33"/>
  <c r="AL46" i="33"/>
  <c r="AK46" i="33"/>
  <c r="AL45" i="33"/>
  <c r="AK45" i="33"/>
  <c r="AM44" i="33"/>
  <c r="AL44" i="33"/>
  <c r="AK44" i="33"/>
  <c r="AM43" i="33"/>
  <c r="AL43" i="33"/>
  <c r="AK43" i="33"/>
  <c r="AL42" i="33"/>
  <c r="AK42" i="33"/>
  <c r="AL41" i="33"/>
  <c r="AK41" i="33"/>
  <c r="AL40" i="33"/>
  <c r="AK40" i="33"/>
  <c r="AL39" i="33"/>
  <c r="AK39" i="33"/>
  <c r="AM38" i="33"/>
  <c r="AL38" i="33"/>
  <c r="AK38" i="33"/>
  <c r="AL37" i="33"/>
  <c r="AK37" i="33"/>
  <c r="AM36" i="33"/>
  <c r="AL36" i="33"/>
  <c r="AK36" i="33"/>
  <c r="AL35" i="33"/>
  <c r="AK35" i="33"/>
  <c r="AL34" i="33"/>
  <c r="AK34" i="33"/>
  <c r="AL33" i="33"/>
  <c r="AK33" i="33"/>
  <c r="AL32" i="33"/>
  <c r="AK32" i="33"/>
  <c r="AL31" i="33"/>
  <c r="AK31" i="33"/>
  <c r="AL30" i="33"/>
  <c r="AK30" i="33"/>
  <c r="AM29" i="33"/>
  <c r="AL29" i="33"/>
  <c r="AK29" i="33"/>
  <c r="AL28" i="33"/>
  <c r="AK28" i="33"/>
  <c r="AL27" i="33"/>
  <c r="AK27" i="33"/>
  <c r="AM26" i="33"/>
  <c r="AL26" i="33"/>
  <c r="AK26" i="33"/>
  <c r="AL25" i="33"/>
  <c r="AK25" i="33"/>
  <c r="AM24" i="33"/>
  <c r="AL24" i="33"/>
  <c r="AK24" i="33"/>
  <c r="AM23" i="33"/>
  <c r="AL23" i="33"/>
  <c r="AK23" i="33"/>
  <c r="AL22" i="33"/>
  <c r="AK22" i="33"/>
  <c r="AL21" i="33"/>
  <c r="AK21" i="33"/>
  <c r="AL20" i="33"/>
  <c r="AK20" i="33"/>
  <c r="AL19" i="33"/>
  <c r="AK19" i="33"/>
  <c r="AL18" i="33"/>
  <c r="AK18" i="33"/>
  <c r="AL17" i="33"/>
  <c r="AK17" i="33"/>
  <c r="AM16" i="33"/>
  <c r="AL16" i="33"/>
  <c r="AK16" i="33"/>
  <c r="AL15" i="33"/>
  <c r="AK15" i="33"/>
  <c r="AL14" i="33"/>
  <c r="AK14" i="33"/>
  <c r="AL13" i="33"/>
  <c r="AK13" i="33"/>
  <c r="AL12" i="33"/>
  <c r="AK12" i="33"/>
  <c r="AM11" i="33"/>
  <c r="AL11" i="33"/>
  <c r="AK11" i="33"/>
  <c r="AL10" i="33"/>
  <c r="AK10" i="33"/>
  <c r="AL9" i="33"/>
  <c r="AK9" i="33"/>
  <c r="AM8" i="33"/>
  <c r="AL8" i="33"/>
  <c r="AK8" i="33"/>
  <c r="AM7" i="33"/>
  <c r="AL7" i="33"/>
  <c r="AK7" i="33"/>
  <c r="AL6" i="33"/>
  <c r="AK6" i="33"/>
  <c r="AK5" i="33"/>
  <c r="AD5" i="33" l="1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D69" i="33"/>
  <c r="AE69" i="33"/>
  <c r="AD70" i="33"/>
  <c r="AE70" i="33"/>
  <c r="AD71" i="33"/>
  <c r="AE71" i="33"/>
  <c r="AD72" i="33"/>
  <c r="AE72" i="33"/>
  <c r="AD73" i="33"/>
  <c r="AE73" i="33"/>
  <c r="AD74" i="33"/>
  <c r="AE74" i="33"/>
  <c r="AD75" i="33"/>
  <c r="AE75" i="33"/>
  <c r="AD76" i="33"/>
  <c r="AE76" i="33"/>
  <c r="AD77" i="33"/>
  <c r="AE77" i="33"/>
  <c r="AD78" i="33"/>
  <c r="AE78" i="33"/>
  <c r="AD79" i="33"/>
  <c r="AE79" i="33"/>
  <c r="AD80" i="33"/>
  <c r="AE80" i="33"/>
  <c r="AD81" i="33"/>
  <c r="AE81" i="33"/>
  <c r="AD82" i="33"/>
  <c r="AE82" i="33"/>
  <c r="AD83" i="33"/>
  <c r="AE83" i="33"/>
  <c r="AD84" i="33"/>
  <c r="AE84" i="33"/>
  <c r="AD85" i="33"/>
  <c r="AE85" i="33"/>
  <c r="AD86" i="33"/>
  <c r="AE86" i="33"/>
  <c r="AD87" i="33"/>
  <c r="AE87" i="33"/>
  <c r="AD88" i="33"/>
  <c r="AE88" i="33"/>
  <c r="AD89" i="33"/>
  <c r="AE89" i="33"/>
  <c r="AD90" i="33"/>
  <c r="AE90" i="33"/>
  <c r="AD91" i="33"/>
  <c r="AE91" i="33"/>
  <c r="AD92" i="33"/>
  <c r="AE92" i="33"/>
  <c r="AD93" i="33"/>
  <c r="AE93" i="33"/>
  <c r="AD95" i="33"/>
  <c r="AE95" i="33"/>
  <c r="AD96" i="33"/>
  <c r="AE96" i="33"/>
  <c r="AD97" i="33"/>
  <c r="AE97" i="33"/>
  <c r="AD98" i="33"/>
  <c r="AE98" i="33"/>
  <c r="AD99" i="33"/>
  <c r="AE99" i="33"/>
  <c r="AD100" i="33"/>
  <c r="AE100" i="33"/>
  <c r="AD101" i="33"/>
  <c r="AE101" i="33"/>
  <c r="AD102" i="33"/>
  <c r="AE102" i="33"/>
  <c r="AD103" i="33"/>
  <c r="AE103" i="33"/>
  <c r="AD104" i="33"/>
  <c r="AE104" i="33"/>
  <c r="AD105" i="33"/>
  <c r="AE105" i="33"/>
  <c r="AD106" i="33"/>
  <c r="AE106" i="33"/>
  <c r="AD107" i="33"/>
  <c r="AE107" i="33"/>
  <c r="AD108" i="33"/>
  <c r="AE108" i="33"/>
  <c r="AD109" i="33"/>
  <c r="AE109" i="33"/>
  <c r="AD110" i="33"/>
  <c r="AE110" i="33"/>
  <c r="AD111" i="33"/>
  <c r="AE111" i="33"/>
  <c r="AD112" i="33"/>
  <c r="AE112" i="33"/>
  <c r="AD113" i="33"/>
  <c r="AE113" i="33"/>
  <c r="AD114" i="33"/>
  <c r="AE114" i="33"/>
  <c r="AD115" i="33"/>
  <c r="AE115" i="33"/>
  <c r="AD116" i="33"/>
  <c r="AE116" i="33"/>
  <c r="AD117" i="33"/>
  <c r="AE117" i="33"/>
  <c r="AD118" i="33"/>
  <c r="AE118" i="33"/>
  <c r="AD119" i="33"/>
  <c r="AE119" i="33"/>
  <c r="AD120" i="33"/>
  <c r="AE120" i="33"/>
  <c r="AD121" i="33"/>
  <c r="AE121" i="33"/>
  <c r="AD122" i="33"/>
  <c r="AE122" i="33"/>
  <c r="AD123" i="33"/>
  <c r="AE123" i="33"/>
  <c r="AD124" i="33"/>
  <c r="AE124" i="33"/>
  <c r="AD125" i="33"/>
  <c r="AE125" i="33"/>
  <c r="AD126" i="33"/>
  <c r="AE126" i="33"/>
  <c r="AD127" i="33"/>
  <c r="AE127" i="33"/>
  <c r="AD128" i="33"/>
  <c r="AE128" i="33"/>
  <c r="AD129" i="33"/>
  <c r="AE129" i="33"/>
  <c r="AD130" i="33"/>
  <c r="AE130" i="33"/>
  <c r="AD131" i="33"/>
  <c r="AE131" i="33"/>
  <c r="AD132" i="33"/>
  <c r="AE132" i="33"/>
  <c r="AD133" i="33"/>
  <c r="AE133" i="33"/>
  <c r="AD134" i="33"/>
  <c r="AE134" i="33"/>
  <c r="AD135" i="33"/>
  <c r="AE135" i="33"/>
  <c r="AD136" i="33"/>
  <c r="AE136" i="33"/>
  <c r="AD137" i="33"/>
  <c r="AE137" i="33"/>
  <c r="AD138" i="33"/>
  <c r="AE138" i="33"/>
  <c r="AD139" i="33"/>
  <c r="AE139" i="33"/>
  <c r="AD140" i="33"/>
  <c r="AE140" i="33"/>
  <c r="AD141" i="33"/>
  <c r="AE141" i="33"/>
  <c r="AD142" i="33"/>
  <c r="AE142" i="33"/>
  <c r="AD143" i="33"/>
  <c r="AE143" i="33"/>
  <c r="AD144" i="33"/>
  <c r="AE144" i="33"/>
  <c r="AD145" i="33"/>
  <c r="AE145" i="33"/>
  <c r="AD146" i="33"/>
  <c r="AE146" i="33"/>
  <c r="AD147" i="33"/>
  <c r="AE147" i="33"/>
  <c r="AD148" i="33"/>
  <c r="AE148" i="33"/>
  <c r="AD149" i="33"/>
  <c r="AE149" i="33"/>
  <c r="AD150" i="33"/>
  <c r="AE150" i="33"/>
  <c r="AD151" i="33"/>
  <c r="AE151" i="33"/>
  <c r="AD152" i="33"/>
  <c r="AE152" i="33"/>
  <c r="AD153" i="33"/>
  <c r="AE153" i="33"/>
  <c r="AD154" i="33"/>
  <c r="AE154" i="33"/>
  <c r="AD155" i="33"/>
  <c r="AE155" i="33"/>
  <c r="AD156" i="33"/>
  <c r="AE156" i="33"/>
  <c r="AD157" i="33"/>
  <c r="AE157" i="33"/>
  <c r="AD158" i="33"/>
  <c r="AE158" i="33"/>
  <c r="AD159" i="33"/>
  <c r="AE159" i="33"/>
  <c r="AD160" i="33"/>
  <c r="AE160" i="33"/>
  <c r="AD161" i="33"/>
  <c r="AE161" i="33"/>
  <c r="AD162" i="33"/>
  <c r="AE162" i="33"/>
  <c r="AD163" i="33"/>
  <c r="AE163" i="33"/>
  <c r="AD164" i="33"/>
  <c r="AE164" i="33"/>
  <c r="AD165" i="33"/>
  <c r="AE165" i="33"/>
  <c r="AD166" i="33"/>
  <c r="AE166" i="33"/>
  <c r="AD167" i="33"/>
  <c r="AE167" i="33"/>
  <c r="AD168" i="33"/>
  <c r="AE168" i="33"/>
  <c r="AD169" i="33"/>
  <c r="AE169" i="33"/>
  <c r="AD170" i="33"/>
  <c r="AE170" i="33"/>
  <c r="AD171" i="33"/>
  <c r="AE171" i="33"/>
  <c r="AD172" i="33"/>
  <c r="AE172" i="33"/>
  <c r="AD173" i="33"/>
  <c r="AE173" i="33"/>
  <c r="AD174" i="33"/>
  <c r="AE174" i="33"/>
  <c r="AD175" i="33"/>
  <c r="AE175" i="33"/>
  <c r="AD176" i="33"/>
  <c r="AE176" i="33"/>
  <c r="AD177" i="33"/>
  <c r="AE177" i="33"/>
  <c r="AD178" i="33"/>
  <c r="AE178" i="33"/>
  <c r="AD179" i="33"/>
  <c r="AE179" i="33"/>
  <c r="AD180" i="33"/>
  <c r="AE180" i="33"/>
  <c r="AD181" i="33"/>
  <c r="AE181" i="33"/>
  <c r="AD182" i="33"/>
  <c r="AE182" i="33"/>
  <c r="AD183" i="33"/>
  <c r="AE183" i="33"/>
  <c r="AD184" i="33"/>
  <c r="AE184" i="33"/>
  <c r="AD185" i="33"/>
  <c r="AE185" i="33"/>
  <c r="AD186" i="33"/>
  <c r="AE186" i="33"/>
  <c r="AD187" i="33"/>
  <c r="AE187" i="33"/>
  <c r="AD188" i="33"/>
  <c r="AE188" i="33"/>
  <c r="AD189" i="33"/>
  <c r="AE189" i="33"/>
  <c r="AD190" i="33"/>
  <c r="AE190" i="33"/>
  <c r="AD191" i="33"/>
  <c r="AE191" i="33"/>
  <c r="AD192" i="33"/>
  <c r="AE192" i="33"/>
  <c r="AD193" i="33"/>
  <c r="AE193" i="33"/>
  <c r="AD195" i="33"/>
  <c r="AE195" i="33"/>
  <c r="AD196" i="33"/>
  <c r="AE196" i="33"/>
  <c r="AD197" i="33"/>
  <c r="AE197" i="33"/>
  <c r="AD198" i="33"/>
  <c r="AE198" i="33"/>
  <c r="AD199" i="33"/>
  <c r="AE199" i="33"/>
  <c r="AD200" i="33"/>
  <c r="AE200" i="33"/>
  <c r="AD201" i="33"/>
  <c r="AE201" i="33"/>
  <c r="AD202" i="33"/>
  <c r="AE202" i="33"/>
  <c r="AD203" i="33"/>
  <c r="AE203" i="33"/>
  <c r="AD204" i="33"/>
  <c r="AE204" i="33"/>
  <c r="AD205" i="33"/>
  <c r="AE205" i="33"/>
  <c r="AD206" i="33"/>
  <c r="AE206" i="33"/>
  <c r="AD207" i="33"/>
  <c r="AE207" i="33"/>
  <c r="AD208" i="33"/>
  <c r="AE208" i="33"/>
  <c r="AD209" i="33"/>
  <c r="AE209" i="33"/>
  <c r="AD210" i="33"/>
  <c r="AE210" i="33"/>
  <c r="AD211" i="33"/>
  <c r="AE211" i="33"/>
  <c r="AD212" i="33"/>
  <c r="AE212" i="33"/>
  <c r="AD213" i="33"/>
  <c r="AE213" i="33"/>
  <c r="AD214" i="33"/>
  <c r="AE214" i="33"/>
  <c r="AD215" i="33"/>
  <c r="AE215" i="33"/>
  <c r="AD216" i="33"/>
  <c r="AE216" i="33"/>
  <c r="AD217" i="33"/>
  <c r="AE217" i="33"/>
  <c r="AD218" i="33"/>
  <c r="AE218" i="33"/>
  <c r="AD219" i="33"/>
  <c r="AE219" i="33"/>
  <c r="AD220" i="33"/>
  <c r="AE220" i="33"/>
  <c r="AD221" i="33"/>
  <c r="AE221" i="33"/>
  <c r="AD222" i="33"/>
  <c r="AE222" i="33"/>
  <c r="AD223" i="33"/>
  <c r="AE223" i="33"/>
  <c r="AD224" i="33"/>
  <c r="AE224" i="33"/>
  <c r="AD225" i="33"/>
  <c r="AE225" i="33"/>
  <c r="AD226" i="33"/>
  <c r="AE226" i="33"/>
  <c r="AD227" i="33"/>
  <c r="AE227" i="33"/>
  <c r="AD228" i="33"/>
  <c r="AE228" i="33"/>
  <c r="AD229" i="33"/>
  <c r="AE229" i="33"/>
  <c r="AD230" i="33"/>
  <c r="AE230" i="33"/>
  <c r="AD231" i="33"/>
  <c r="AE231" i="33"/>
  <c r="AD232" i="33"/>
  <c r="AE232" i="33"/>
  <c r="AD233" i="33"/>
  <c r="AE233" i="33"/>
  <c r="AD234" i="33"/>
  <c r="AE234" i="33"/>
  <c r="AD235" i="33"/>
  <c r="AE235" i="33"/>
  <c r="AD236" i="33"/>
  <c r="AE236" i="33"/>
  <c r="AD237" i="33"/>
  <c r="AE237" i="33"/>
  <c r="AD238" i="33"/>
  <c r="AE238" i="33"/>
  <c r="AD239" i="33"/>
  <c r="AE239" i="33"/>
  <c r="AD240" i="33"/>
  <c r="AE240" i="33"/>
  <c r="AD241" i="33"/>
  <c r="AE241" i="33"/>
  <c r="AD242" i="33"/>
  <c r="AE242" i="33"/>
  <c r="AD243" i="33"/>
  <c r="AE243" i="33"/>
  <c r="AD244" i="33"/>
  <c r="AE244" i="33"/>
  <c r="AD245" i="33"/>
  <c r="AE245" i="33"/>
  <c r="AD246" i="33"/>
  <c r="AE246" i="33"/>
  <c r="AD247" i="33"/>
  <c r="AE247" i="33"/>
  <c r="AD248" i="33"/>
  <c r="AE248" i="33"/>
  <c r="AD249" i="33"/>
  <c r="AE249" i="33"/>
  <c r="AD250" i="33"/>
  <c r="AE250" i="33"/>
  <c r="AD251" i="33"/>
  <c r="AE251" i="33"/>
  <c r="AD252" i="33"/>
  <c r="AE252" i="33"/>
  <c r="AD253" i="33"/>
  <c r="AE253" i="33"/>
  <c r="AD254" i="33"/>
  <c r="AE254" i="33"/>
  <c r="AD255" i="33"/>
  <c r="AE255" i="33"/>
  <c r="AC255" i="33"/>
  <c r="AC254" i="33"/>
  <c r="AC253" i="33"/>
  <c r="AC252" i="33"/>
  <c r="AC251" i="33"/>
  <c r="AC250" i="33"/>
  <c r="AC249" i="33"/>
  <c r="AC248" i="33"/>
  <c r="AC247" i="33"/>
  <c r="AC246" i="33"/>
  <c r="AC245" i="33"/>
  <c r="AC244" i="33"/>
  <c r="AC243" i="33"/>
  <c r="AC242" i="33"/>
  <c r="AC241" i="33"/>
  <c r="AC240" i="33"/>
  <c r="AC239" i="33"/>
  <c r="AC238" i="33"/>
  <c r="AC237" i="33"/>
  <c r="AC236" i="33"/>
  <c r="AC235" i="33"/>
  <c r="AC234" i="33"/>
  <c r="AC233" i="33"/>
  <c r="AC232" i="33"/>
  <c r="AC231" i="33"/>
  <c r="AC230" i="33"/>
  <c r="AC229" i="33"/>
  <c r="AC228" i="33"/>
  <c r="AC227" i="33"/>
  <c r="AC226" i="33"/>
  <c r="AC225" i="33"/>
  <c r="AC224" i="33"/>
  <c r="AC223" i="33"/>
  <c r="AC222" i="33"/>
  <c r="AC221" i="33"/>
  <c r="AC220" i="33"/>
  <c r="AC219" i="33"/>
  <c r="AC218" i="33"/>
  <c r="AC217" i="33"/>
  <c r="AC216" i="33"/>
  <c r="AC215" i="33"/>
  <c r="AC214" i="33"/>
  <c r="AC213" i="33"/>
  <c r="AC212" i="33"/>
  <c r="AC211" i="33"/>
  <c r="AC210" i="33"/>
  <c r="AC209" i="33"/>
  <c r="AC208" i="33"/>
  <c r="AC207" i="33"/>
  <c r="AC206" i="33"/>
  <c r="AC205" i="33"/>
  <c r="AC204" i="33"/>
  <c r="AC203" i="33"/>
  <c r="AC202" i="33"/>
  <c r="AC201" i="33"/>
  <c r="AC200" i="33"/>
  <c r="AC199" i="33"/>
  <c r="AC198" i="33"/>
  <c r="AC197" i="33"/>
  <c r="AC196" i="33"/>
  <c r="AC195" i="33"/>
  <c r="AC193" i="33"/>
  <c r="AC192" i="33"/>
  <c r="AC191" i="33"/>
  <c r="AC190" i="33"/>
  <c r="AC189" i="33"/>
  <c r="AC188" i="33"/>
  <c r="AC187" i="33"/>
  <c r="AC186" i="33"/>
  <c r="AC185" i="33"/>
  <c r="AC184" i="33"/>
  <c r="AC183" i="33"/>
  <c r="AC182" i="33"/>
  <c r="AC181" i="33"/>
  <c r="AC180" i="33"/>
  <c r="AC179" i="33"/>
  <c r="AC178" i="33"/>
  <c r="AC177" i="33"/>
  <c r="AC176" i="33"/>
  <c r="AC175" i="33"/>
  <c r="AC174" i="33"/>
  <c r="AC173" i="33"/>
  <c r="AC172" i="33"/>
  <c r="AC171" i="33"/>
  <c r="AC170" i="33"/>
  <c r="AC169" i="33"/>
  <c r="AC168" i="33"/>
  <c r="AC167" i="33"/>
  <c r="AC166" i="33"/>
  <c r="AC165" i="33"/>
  <c r="AC164" i="33"/>
  <c r="AC163" i="33"/>
  <c r="AC162" i="33"/>
  <c r="AC161" i="33"/>
  <c r="AC160" i="33"/>
  <c r="AC159" i="33"/>
  <c r="AC158" i="33"/>
  <c r="AC157" i="33"/>
  <c r="AC156" i="33"/>
  <c r="AC155" i="33"/>
  <c r="AC154" i="33"/>
  <c r="AC153" i="33"/>
  <c r="AC152" i="33"/>
  <c r="AC151" i="33"/>
  <c r="AC150" i="33"/>
  <c r="AC149" i="33"/>
  <c r="AC148" i="33"/>
  <c r="AC147" i="33"/>
  <c r="AC146" i="33"/>
  <c r="AC145" i="33"/>
  <c r="AC144" i="33"/>
  <c r="AC143" i="33"/>
  <c r="AC142" i="33"/>
  <c r="AC141" i="33"/>
  <c r="AC140" i="33"/>
  <c r="AC139" i="33"/>
  <c r="AC138" i="33"/>
  <c r="AC137" i="33"/>
  <c r="AC136" i="33"/>
  <c r="AC135" i="33"/>
  <c r="AC134" i="33"/>
  <c r="AC133" i="33"/>
  <c r="AC132" i="33"/>
  <c r="AC131" i="33"/>
  <c r="AC130" i="33"/>
  <c r="AC129" i="33"/>
  <c r="AC128" i="33"/>
  <c r="AC127" i="33"/>
  <c r="AC126" i="33"/>
  <c r="AC125" i="33"/>
  <c r="AC124" i="33"/>
  <c r="AC123" i="33"/>
  <c r="AC122" i="33"/>
  <c r="AC121" i="33"/>
  <c r="AC120" i="33"/>
  <c r="AC119" i="33"/>
  <c r="AC118" i="33"/>
  <c r="AC117" i="33"/>
  <c r="AC116" i="33"/>
  <c r="AC115" i="33"/>
  <c r="AC114" i="33"/>
  <c r="AC113" i="33"/>
  <c r="AC112" i="33"/>
  <c r="AC111" i="33"/>
  <c r="AC110" i="33"/>
  <c r="AC109" i="33"/>
  <c r="AC108" i="33"/>
  <c r="AC107" i="33"/>
  <c r="AC106" i="33"/>
  <c r="AC105" i="33"/>
  <c r="AC104" i="33"/>
  <c r="AC103" i="33"/>
  <c r="AC102" i="33"/>
  <c r="AC101" i="33"/>
  <c r="AC100" i="33"/>
  <c r="AC99" i="33"/>
  <c r="AC98" i="33"/>
  <c r="AC97" i="33"/>
  <c r="AC96" i="33"/>
  <c r="AC95" i="33"/>
  <c r="AC93" i="33"/>
  <c r="AC92" i="33"/>
  <c r="AC91" i="33"/>
  <c r="AC90" i="33"/>
  <c r="AC89" i="33"/>
  <c r="AC88" i="33"/>
  <c r="AC87" i="33"/>
  <c r="AC86" i="33"/>
  <c r="AC85" i="33"/>
  <c r="AC84" i="33"/>
  <c r="AC83" i="33"/>
  <c r="AC82" i="33"/>
  <c r="AC81" i="33"/>
  <c r="AC80" i="33"/>
  <c r="AC79" i="33"/>
  <c r="AC78" i="33"/>
  <c r="AC77" i="33"/>
  <c r="AC76" i="33"/>
  <c r="AC75" i="33"/>
  <c r="AC74" i="33"/>
  <c r="AC73" i="33"/>
  <c r="AC72" i="33"/>
  <c r="AC71" i="33"/>
  <c r="AC70" i="33"/>
  <c r="AC69" i="33"/>
  <c r="AC68" i="33"/>
  <c r="AC67" i="33"/>
  <c r="AC66" i="33"/>
  <c r="AC65" i="33"/>
  <c r="AC64" i="33"/>
  <c r="AC63" i="33"/>
  <c r="AC62" i="33"/>
  <c r="AC61" i="33"/>
  <c r="AC60" i="33"/>
  <c r="AC59" i="33"/>
  <c r="AC58" i="33"/>
  <c r="AC57" i="33"/>
  <c r="AC56" i="33"/>
  <c r="AC55" i="33"/>
  <c r="AC54" i="33"/>
  <c r="AC53" i="33"/>
  <c r="AC52" i="33"/>
  <c r="AC51" i="33"/>
  <c r="AC50" i="33"/>
  <c r="AC49" i="33"/>
  <c r="AC48" i="33"/>
  <c r="AC47" i="33"/>
  <c r="AC46" i="33"/>
  <c r="AC45" i="33"/>
  <c r="AC44" i="33"/>
  <c r="AC43" i="33"/>
  <c r="AC42" i="33"/>
  <c r="AC41" i="33"/>
  <c r="AC40" i="33"/>
  <c r="AC39" i="33"/>
  <c r="AC38" i="33"/>
  <c r="AC37" i="33"/>
  <c r="AC36" i="33"/>
  <c r="AC35" i="33"/>
  <c r="AC34" i="33"/>
  <c r="AC33" i="33"/>
  <c r="AC32" i="33"/>
  <c r="AC31" i="33"/>
  <c r="AC30" i="33"/>
  <c r="AC29" i="33"/>
  <c r="AC28" i="33"/>
  <c r="AC27" i="33"/>
  <c r="AC26" i="33"/>
  <c r="AC25" i="33"/>
  <c r="AC24" i="33"/>
  <c r="AC23" i="33"/>
  <c r="AC22" i="33"/>
  <c r="AC21" i="33"/>
  <c r="AC20" i="33"/>
  <c r="AC19" i="33"/>
  <c r="AC18" i="33"/>
  <c r="AC17" i="33"/>
  <c r="AC16" i="33"/>
  <c r="AC15" i="33"/>
  <c r="AC14" i="33"/>
  <c r="AC13" i="33"/>
  <c r="AC12" i="33"/>
  <c r="AC11" i="33"/>
  <c r="AC10" i="33"/>
  <c r="AC9" i="33"/>
  <c r="AC8" i="33"/>
  <c r="AC7" i="33"/>
  <c r="AC6" i="33"/>
  <c r="AC5" i="33"/>
  <c r="W145" i="33"/>
  <c r="V145" i="33"/>
  <c r="U145" i="33"/>
  <c r="W144" i="33"/>
  <c r="V144" i="33"/>
  <c r="U144" i="33"/>
  <c r="W143" i="33"/>
  <c r="V143" i="33"/>
  <c r="U143" i="33"/>
  <c r="W142" i="33"/>
  <c r="V142" i="33"/>
  <c r="U142" i="33"/>
  <c r="W141" i="33"/>
  <c r="V141" i="33"/>
  <c r="U141" i="33"/>
  <c r="W140" i="33"/>
  <c r="V140" i="33"/>
  <c r="U140" i="33"/>
  <c r="W139" i="33"/>
  <c r="V139" i="33"/>
  <c r="U139" i="33"/>
  <c r="W138" i="33"/>
  <c r="V138" i="33"/>
  <c r="U138" i="33"/>
  <c r="W137" i="33"/>
  <c r="V137" i="33"/>
  <c r="U137" i="33"/>
  <c r="W136" i="33"/>
  <c r="V136" i="33"/>
  <c r="U136" i="33"/>
  <c r="W135" i="33"/>
  <c r="V135" i="33"/>
  <c r="U135" i="33"/>
  <c r="W134" i="33"/>
  <c r="V134" i="33"/>
  <c r="U134" i="33"/>
  <c r="W133" i="33"/>
  <c r="V133" i="33"/>
  <c r="U133" i="33"/>
  <c r="W132" i="33"/>
  <c r="V132" i="33"/>
  <c r="U132" i="33"/>
  <c r="W131" i="33"/>
  <c r="V131" i="33"/>
  <c r="U131" i="33"/>
  <c r="W130" i="33"/>
  <c r="V130" i="33"/>
  <c r="U130" i="33"/>
  <c r="W129" i="33"/>
  <c r="V129" i="33"/>
  <c r="U129" i="33"/>
  <c r="W128" i="33"/>
  <c r="V128" i="33"/>
  <c r="U128" i="33"/>
  <c r="W127" i="33"/>
  <c r="V127" i="33"/>
  <c r="U127" i="33"/>
  <c r="W126" i="33"/>
  <c r="V126" i="33"/>
  <c r="U126" i="33"/>
  <c r="W125" i="33"/>
  <c r="V125" i="33"/>
  <c r="U125" i="33"/>
  <c r="W124" i="33"/>
  <c r="V124" i="33"/>
  <c r="U124" i="33"/>
  <c r="W123" i="33"/>
  <c r="V123" i="33"/>
  <c r="U123" i="33"/>
  <c r="W122" i="33"/>
  <c r="V122" i="33"/>
  <c r="U122" i="33"/>
  <c r="W121" i="33"/>
  <c r="V121" i="33"/>
  <c r="U121" i="33"/>
  <c r="W120" i="33"/>
  <c r="V120" i="33"/>
  <c r="U120" i="33"/>
  <c r="W119" i="33"/>
  <c r="V119" i="33"/>
  <c r="U119" i="33"/>
  <c r="W118" i="33"/>
  <c r="V118" i="33"/>
  <c r="U118" i="33"/>
  <c r="W117" i="33"/>
  <c r="V117" i="33"/>
  <c r="U117" i="33"/>
  <c r="W116" i="33"/>
  <c r="V116" i="33"/>
  <c r="U116" i="33"/>
  <c r="W115" i="33"/>
  <c r="V115" i="33"/>
  <c r="U115" i="33"/>
  <c r="W114" i="33"/>
  <c r="V114" i="33"/>
  <c r="U114" i="33"/>
  <c r="W113" i="33"/>
  <c r="V113" i="33"/>
  <c r="U113" i="33"/>
  <c r="W112" i="33"/>
  <c r="V112" i="33"/>
  <c r="U112" i="33"/>
  <c r="W111" i="33"/>
  <c r="V111" i="33"/>
  <c r="U111" i="33"/>
  <c r="W110" i="33"/>
  <c r="V110" i="33"/>
  <c r="U110" i="33"/>
  <c r="W109" i="33"/>
  <c r="V109" i="33"/>
  <c r="U109" i="33"/>
  <c r="W108" i="33"/>
  <c r="V108" i="33"/>
  <c r="U108" i="33"/>
  <c r="W107" i="33"/>
  <c r="V107" i="33"/>
  <c r="U107" i="33"/>
  <c r="W106" i="33"/>
  <c r="V106" i="33"/>
  <c r="U106" i="33"/>
  <c r="W105" i="33"/>
  <c r="V105" i="33"/>
  <c r="U105" i="33"/>
  <c r="W104" i="33"/>
  <c r="V104" i="33"/>
  <c r="U104" i="33"/>
  <c r="W103" i="33"/>
  <c r="V103" i="33"/>
  <c r="U103" i="33"/>
  <c r="W102" i="33"/>
  <c r="V102" i="33"/>
  <c r="U102" i="33"/>
  <c r="W101" i="33"/>
  <c r="V101" i="33"/>
  <c r="U101" i="33"/>
  <c r="W100" i="33"/>
  <c r="V100" i="33"/>
  <c r="U100" i="33"/>
  <c r="W99" i="33"/>
  <c r="V99" i="33"/>
  <c r="U99" i="33"/>
  <c r="W98" i="33"/>
  <c r="V98" i="33"/>
  <c r="U98" i="33"/>
  <c r="W97" i="33"/>
  <c r="V97" i="33"/>
  <c r="U97" i="33"/>
  <c r="W96" i="33"/>
  <c r="V96" i="33"/>
  <c r="U96" i="33"/>
  <c r="W95" i="33"/>
  <c r="V95" i="33"/>
  <c r="U95" i="33"/>
  <c r="W94" i="33"/>
  <c r="V94" i="33"/>
  <c r="U94" i="33"/>
  <c r="W93" i="33"/>
  <c r="V93" i="33"/>
  <c r="U93" i="33"/>
  <c r="W92" i="33"/>
  <c r="V92" i="33"/>
  <c r="U92" i="33"/>
  <c r="W91" i="33"/>
  <c r="V91" i="33"/>
  <c r="U91" i="33"/>
  <c r="W90" i="33"/>
  <c r="V90" i="33"/>
  <c r="U90" i="33"/>
  <c r="W89" i="33"/>
  <c r="V89" i="33"/>
  <c r="U89" i="33"/>
  <c r="W88" i="33"/>
  <c r="V88" i="33"/>
  <c r="U88" i="33"/>
  <c r="W87" i="33"/>
  <c r="V87" i="33"/>
  <c r="U87" i="33"/>
  <c r="W86" i="33"/>
  <c r="V86" i="33"/>
  <c r="U86" i="33"/>
  <c r="W85" i="33"/>
  <c r="V85" i="33"/>
  <c r="U85" i="33"/>
  <c r="W83" i="33"/>
  <c r="V83" i="33"/>
  <c r="U83" i="33"/>
  <c r="W82" i="33"/>
  <c r="V82" i="33"/>
  <c r="U82" i="33"/>
  <c r="W81" i="33"/>
  <c r="V81" i="33"/>
  <c r="U81" i="33"/>
  <c r="W80" i="33"/>
  <c r="V80" i="33"/>
  <c r="U80" i="33"/>
  <c r="W79" i="33"/>
  <c r="V79" i="33"/>
  <c r="U79" i="33"/>
  <c r="W78" i="33"/>
  <c r="V78" i="33"/>
  <c r="U78" i="33"/>
  <c r="W77" i="33"/>
  <c r="V77" i="33"/>
  <c r="U77" i="33"/>
  <c r="W76" i="33"/>
  <c r="V76" i="33"/>
  <c r="U76" i="33"/>
  <c r="W75" i="33"/>
  <c r="V75" i="33"/>
  <c r="U75" i="33"/>
  <c r="W74" i="33"/>
  <c r="V74" i="33"/>
  <c r="U74" i="33"/>
  <c r="W73" i="33"/>
  <c r="V73" i="33"/>
  <c r="U73" i="33"/>
  <c r="W72" i="33"/>
  <c r="V72" i="33"/>
  <c r="U72" i="33"/>
  <c r="W71" i="33"/>
  <c r="V71" i="33"/>
  <c r="U71" i="33"/>
  <c r="W70" i="33"/>
  <c r="V70" i="33"/>
  <c r="U70" i="33"/>
  <c r="W69" i="33"/>
  <c r="V69" i="33"/>
  <c r="U69" i="33"/>
  <c r="W68" i="33"/>
  <c r="V68" i="33"/>
  <c r="U68" i="33"/>
  <c r="W67" i="33"/>
  <c r="V67" i="33"/>
  <c r="U67" i="33"/>
  <c r="W66" i="33"/>
  <c r="V66" i="33"/>
  <c r="U66" i="33"/>
  <c r="W65" i="33"/>
  <c r="V65" i="33"/>
  <c r="U65" i="33"/>
  <c r="W64" i="33"/>
  <c r="V64" i="33"/>
  <c r="U64" i="33"/>
  <c r="W63" i="33"/>
  <c r="V63" i="33"/>
  <c r="U63" i="33"/>
  <c r="W62" i="33"/>
  <c r="V62" i="33"/>
  <c r="U62" i="33"/>
  <c r="W61" i="33"/>
  <c r="V61" i="33"/>
  <c r="U61" i="33"/>
  <c r="W60" i="33"/>
  <c r="V60" i="33"/>
  <c r="U60" i="33"/>
  <c r="W59" i="33"/>
  <c r="V59" i="33"/>
  <c r="U59" i="33"/>
  <c r="W58" i="33"/>
  <c r="V58" i="33"/>
  <c r="U58" i="33"/>
  <c r="W57" i="33"/>
  <c r="V57" i="33"/>
  <c r="U57" i="33"/>
  <c r="W56" i="33"/>
  <c r="V56" i="33"/>
  <c r="U56" i="33"/>
  <c r="W55" i="33"/>
  <c r="V55" i="33"/>
  <c r="U55" i="33"/>
  <c r="W54" i="33"/>
  <c r="V54" i="33"/>
  <c r="U54" i="33"/>
  <c r="W53" i="33"/>
  <c r="V53" i="33"/>
  <c r="U53" i="33"/>
  <c r="W52" i="33"/>
  <c r="V52" i="33"/>
  <c r="U52" i="33"/>
  <c r="W51" i="33"/>
  <c r="V51" i="33"/>
  <c r="U51" i="33"/>
  <c r="W50" i="33"/>
  <c r="V50" i="33"/>
  <c r="U50" i="33"/>
  <c r="W49" i="33"/>
  <c r="V49" i="33"/>
  <c r="U49" i="33"/>
  <c r="W48" i="33"/>
  <c r="V48" i="33"/>
  <c r="U48" i="33"/>
  <c r="W47" i="33"/>
  <c r="V47" i="33"/>
  <c r="U47" i="33"/>
  <c r="W46" i="33"/>
  <c r="V46" i="33"/>
  <c r="U46" i="33"/>
  <c r="W45" i="33"/>
  <c r="V45" i="33"/>
  <c r="U45" i="33"/>
  <c r="W44" i="33"/>
  <c r="V44" i="33"/>
  <c r="U44" i="33"/>
  <c r="W43" i="33"/>
  <c r="V43" i="33"/>
  <c r="U43" i="33"/>
  <c r="W42" i="33"/>
  <c r="V42" i="33"/>
  <c r="U42" i="33"/>
  <c r="W41" i="33"/>
  <c r="V41" i="33"/>
  <c r="U41" i="33"/>
  <c r="W40" i="33"/>
  <c r="V40" i="33"/>
  <c r="U40" i="33"/>
  <c r="W39" i="33"/>
  <c r="V39" i="33"/>
  <c r="U39" i="33"/>
  <c r="W38" i="33"/>
  <c r="V38" i="33"/>
  <c r="U38" i="33"/>
  <c r="W37" i="33"/>
  <c r="V37" i="33"/>
  <c r="U37" i="33"/>
  <c r="W36" i="33"/>
  <c r="V36" i="33"/>
  <c r="U36" i="33"/>
  <c r="W35" i="33"/>
  <c r="V35" i="33"/>
  <c r="U35" i="33"/>
  <c r="W34" i="33"/>
  <c r="V34" i="33"/>
  <c r="U34" i="33"/>
  <c r="W33" i="33"/>
  <c r="V33" i="33"/>
  <c r="U33" i="33"/>
  <c r="W32" i="33"/>
  <c r="V32" i="33"/>
  <c r="U32" i="33"/>
  <c r="W31" i="33"/>
  <c r="V31" i="33"/>
  <c r="U31" i="33"/>
  <c r="W30" i="33"/>
  <c r="V30" i="33"/>
  <c r="U30" i="33"/>
  <c r="W29" i="33"/>
  <c r="V29" i="33"/>
  <c r="U29" i="33"/>
  <c r="W28" i="33"/>
  <c r="V28" i="33"/>
  <c r="U28" i="33"/>
  <c r="W27" i="33"/>
  <c r="V27" i="33"/>
  <c r="U27" i="33"/>
  <c r="W26" i="33"/>
  <c r="V26" i="33"/>
  <c r="U26" i="33"/>
  <c r="W25" i="33"/>
  <c r="V25" i="33"/>
  <c r="U25" i="33"/>
  <c r="W24" i="33"/>
  <c r="V24" i="33"/>
  <c r="U24" i="33"/>
  <c r="W23" i="33"/>
  <c r="V23" i="33"/>
  <c r="U23" i="33"/>
  <c r="W22" i="33"/>
  <c r="V22" i="33"/>
  <c r="U22" i="33"/>
  <c r="W21" i="33"/>
  <c r="V21" i="33"/>
  <c r="U21" i="33"/>
  <c r="W20" i="33"/>
  <c r="V20" i="33"/>
  <c r="U20" i="33"/>
  <c r="W19" i="33"/>
  <c r="V19" i="33"/>
  <c r="U19" i="33"/>
  <c r="W18" i="33"/>
  <c r="V18" i="33"/>
  <c r="U18" i="33"/>
  <c r="W17" i="33"/>
  <c r="V17" i="33"/>
  <c r="U17" i="33"/>
  <c r="W16" i="33"/>
  <c r="V16" i="33"/>
  <c r="U16" i="33"/>
  <c r="W15" i="33"/>
  <c r="V15" i="33"/>
  <c r="U15" i="33"/>
  <c r="W14" i="33"/>
  <c r="V14" i="33"/>
  <c r="U14" i="33"/>
  <c r="W13" i="33"/>
  <c r="V13" i="33"/>
  <c r="U13" i="33"/>
  <c r="W12" i="33"/>
  <c r="V12" i="33"/>
  <c r="U12" i="33"/>
  <c r="W11" i="33"/>
  <c r="V11" i="33"/>
  <c r="U11" i="33"/>
  <c r="W10" i="33"/>
  <c r="V10" i="33"/>
  <c r="U10" i="33"/>
  <c r="W9" i="33"/>
  <c r="V9" i="33"/>
  <c r="U9" i="33"/>
  <c r="W8" i="33"/>
  <c r="V8" i="33"/>
  <c r="U8" i="33"/>
  <c r="W7" i="33"/>
  <c r="V7" i="33"/>
  <c r="U7" i="33"/>
  <c r="W6" i="33"/>
  <c r="V6" i="33"/>
  <c r="U6" i="33"/>
  <c r="W5" i="33"/>
  <c r="V5" i="33"/>
  <c r="U5" i="33"/>
  <c r="O205" i="33"/>
  <c r="N205" i="33"/>
  <c r="M205" i="33"/>
  <c r="O204" i="33"/>
  <c r="N204" i="33"/>
  <c r="M204" i="33"/>
  <c r="O203" i="33"/>
  <c r="N203" i="33"/>
  <c r="M203" i="33"/>
  <c r="O202" i="33"/>
  <c r="N202" i="33"/>
  <c r="M202" i="33"/>
  <c r="O201" i="33"/>
  <c r="N201" i="33"/>
  <c r="M201" i="33"/>
  <c r="O200" i="33"/>
  <c r="N200" i="33"/>
  <c r="M200" i="33"/>
  <c r="O199" i="33"/>
  <c r="N199" i="33"/>
  <c r="M199" i="33"/>
  <c r="O198" i="33"/>
  <c r="N198" i="33"/>
  <c r="M198" i="33"/>
  <c r="O197" i="33"/>
  <c r="N197" i="33"/>
  <c r="M197" i="33"/>
  <c r="O196" i="33"/>
  <c r="N196" i="33"/>
  <c r="M196" i="33"/>
  <c r="O195" i="33"/>
  <c r="N195" i="33"/>
  <c r="M195" i="33"/>
  <c r="O194" i="33"/>
  <c r="N194" i="33"/>
  <c r="M194" i="33"/>
  <c r="O193" i="33"/>
  <c r="N193" i="33"/>
  <c r="M193" i="33"/>
  <c r="O192" i="33"/>
  <c r="N192" i="33"/>
  <c r="M192" i="33"/>
  <c r="O191" i="33"/>
  <c r="N191" i="33"/>
  <c r="M191" i="33"/>
  <c r="O190" i="33"/>
  <c r="N190" i="33"/>
  <c r="M190" i="33"/>
  <c r="O189" i="33"/>
  <c r="N189" i="33"/>
  <c r="M189" i="33"/>
  <c r="O188" i="33"/>
  <c r="N188" i="33"/>
  <c r="M188" i="33"/>
  <c r="O187" i="33"/>
  <c r="N187" i="33"/>
  <c r="M187" i="33"/>
  <c r="O186" i="33"/>
  <c r="N186" i="33"/>
  <c r="M186" i="33"/>
  <c r="O185" i="33"/>
  <c r="N185" i="33"/>
  <c r="M185" i="33"/>
  <c r="O184" i="33"/>
  <c r="N184" i="33"/>
  <c r="M184" i="33"/>
  <c r="O183" i="33"/>
  <c r="N183" i="33"/>
  <c r="M183" i="33"/>
  <c r="O182" i="33"/>
  <c r="N182" i="33"/>
  <c r="M182" i="33"/>
  <c r="O181" i="33"/>
  <c r="N181" i="33"/>
  <c r="M181" i="33"/>
  <c r="O180" i="33"/>
  <c r="N180" i="33"/>
  <c r="M180" i="33"/>
  <c r="O179" i="33"/>
  <c r="N179" i="33"/>
  <c r="M179" i="33"/>
  <c r="O178" i="33"/>
  <c r="N178" i="33"/>
  <c r="M178" i="33"/>
  <c r="O177" i="33"/>
  <c r="N177" i="33"/>
  <c r="M177" i="33"/>
  <c r="O176" i="33"/>
  <c r="N176" i="33"/>
  <c r="M176" i="33"/>
  <c r="O175" i="33"/>
  <c r="N175" i="33"/>
  <c r="M175" i="33"/>
  <c r="O174" i="33"/>
  <c r="N174" i="33"/>
  <c r="M174" i="33"/>
  <c r="O173" i="33"/>
  <c r="N173" i="33"/>
  <c r="M173" i="33"/>
  <c r="O172" i="33"/>
  <c r="N172" i="33"/>
  <c r="M172" i="33"/>
  <c r="O171" i="33"/>
  <c r="N171" i="33"/>
  <c r="M171" i="33"/>
  <c r="O170" i="33"/>
  <c r="N170" i="33"/>
  <c r="M170" i="33"/>
  <c r="O169" i="33"/>
  <c r="N169" i="33"/>
  <c r="M169" i="33"/>
  <c r="O168" i="33"/>
  <c r="N168" i="33"/>
  <c r="M168" i="33"/>
  <c r="O167" i="33"/>
  <c r="N167" i="33"/>
  <c r="M167" i="33"/>
  <c r="O166" i="33"/>
  <c r="N166" i="33"/>
  <c r="M166" i="33"/>
  <c r="O165" i="33"/>
  <c r="N165" i="33"/>
  <c r="M165" i="33"/>
  <c r="O164" i="33"/>
  <c r="N164" i="33"/>
  <c r="M164" i="33"/>
  <c r="O163" i="33"/>
  <c r="N163" i="33"/>
  <c r="M163" i="33"/>
  <c r="O162" i="33"/>
  <c r="N162" i="33"/>
  <c r="M162" i="33"/>
  <c r="O161" i="33"/>
  <c r="N161" i="33"/>
  <c r="M161" i="33"/>
  <c r="O160" i="33"/>
  <c r="N160" i="33"/>
  <c r="M160" i="33"/>
  <c r="O159" i="33"/>
  <c r="N159" i="33"/>
  <c r="M159" i="33"/>
  <c r="O158" i="33"/>
  <c r="N158" i="33"/>
  <c r="M158" i="33"/>
  <c r="O157" i="33"/>
  <c r="N157" i="33"/>
  <c r="M157" i="33"/>
  <c r="O156" i="33"/>
  <c r="N156" i="33"/>
  <c r="M156" i="33"/>
  <c r="O155" i="33"/>
  <c r="N155" i="33"/>
  <c r="M155" i="33"/>
  <c r="O154" i="33"/>
  <c r="N154" i="33"/>
  <c r="M154" i="33"/>
  <c r="O153" i="33"/>
  <c r="N153" i="33"/>
  <c r="M153" i="33"/>
  <c r="O152" i="33"/>
  <c r="N152" i="33"/>
  <c r="M152" i="33"/>
  <c r="O151" i="33"/>
  <c r="N151" i="33"/>
  <c r="M151" i="33"/>
  <c r="O150" i="33"/>
  <c r="N150" i="33"/>
  <c r="M150" i="33"/>
  <c r="O149" i="33"/>
  <c r="N149" i="33"/>
  <c r="M149" i="33"/>
  <c r="O148" i="33"/>
  <c r="N148" i="33"/>
  <c r="M148" i="33"/>
  <c r="O147" i="33"/>
  <c r="N147" i="33"/>
  <c r="M147" i="33"/>
  <c r="O146" i="33"/>
  <c r="N146" i="33"/>
  <c r="M146" i="33"/>
  <c r="O145" i="33"/>
  <c r="N145" i="33"/>
  <c r="M145" i="33"/>
  <c r="O143" i="33"/>
  <c r="N143" i="33"/>
  <c r="M143" i="33"/>
  <c r="O142" i="33"/>
  <c r="N142" i="33"/>
  <c r="M142" i="33"/>
  <c r="O141" i="33"/>
  <c r="N141" i="33"/>
  <c r="M141" i="33"/>
  <c r="O140" i="33"/>
  <c r="N140" i="33"/>
  <c r="M140" i="33"/>
  <c r="O139" i="33"/>
  <c r="N139" i="33"/>
  <c r="M139" i="33"/>
  <c r="O138" i="33"/>
  <c r="N138" i="33"/>
  <c r="M138" i="33"/>
  <c r="O137" i="33"/>
  <c r="N137" i="33"/>
  <c r="M137" i="33"/>
  <c r="O136" i="33"/>
  <c r="N136" i="33"/>
  <c r="M136" i="33"/>
  <c r="O135" i="33"/>
  <c r="N135" i="33"/>
  <c r="M135" i="33"/>
  <c r="O134" i="33"/>
  <c r="N134" i="33"/>
  <c r="M134" i="33"/>
  <c r="O133" i="33"/>
  <c r="N133" i="33"/>
  <c r="M133" i="33"/>
  <c r="O132" i="33"/>
  <c r="N132" i="33"/>
  <c r="M132" i="33"/>
  <c r="O131" i="33"/>
  <c r="N131" i="33"/>
  <c r="M131" i="33"/>
  <c r="O130" i="33"/>
  <c r="N130" i="33"/>
  <c r="M130" i="33"/>
  <c r="O129" i="33"/>
  <c r="N129" i="33"/>
  <c r="M129" i="33"/>
  <c r="O128" i="33"/>
  <c r="N128" i="33"/>
  <c r="M128" i="33"/>
  <c r="O127" i="33"/>
  <c r="N127" i="33"/>
  <c r="M127" i="33"/>
  <c r="O126" i="33"/>
  <c r="N126" i="33"/>
  <c r="M126" i="33"/>
  <c r="O125" i="33"/>
  <c r="N125" i="33"/>
  <c r="M125" i="33"/>
  <c r="O124" i="33"/>
  <c r="N124" i="33"/>
  <c r="M124" i="33"/>
  <c r="O123" i="33"/>
  <c r="N123" i="33"/>
  <c r="M123" i="33"/>
  <c r="O122" i="33"/>
  <c r="N122" i="33"/>
  <c r="M122" i="33"/>
  <c r="O121" i="33"/>
  <c r="N121" i="33"/>
  <c r="M121" i="33"/>
  <c r="O120" i="33"/>
  <c r="N120" i="33"/>
  <c r="M120" i="33"/>
  <c r="O119" i="33"/>
  <c r="N119" i="33"/>
  <c r="M119" i="33"/>
  <c r="O118" i="33"/>
  <c r="N118" i="33"/>
  <c r="M118" i="33"/>
  <c r="O117" i="33"/>
  <c r="N117" i="33"/>
  <c r="M117" i="33"/>
  <c r="O116" i="33"/>
  <c r="N116" i="33"/>
  <c r="M116" i="33"/>
  <c r="O115" i="33"/>
  <c r="N115" i="33"/>
  <c r="M115" i="33"/>
  <c r="O114" i="33"/>
  <c r="N114" i="33"/>
  <c r="M114" i="33"/>
  <c r="O113" i="33"/>
  <c r="N113" i="33"/>
  <c r="M113" i="33"/>
  <c r="O112" i="33"/>
  <c r="N112" i="33"/>
  <c r="M112" i="33"/>
  <c r="O111" i="33"/>
  <c r="N111" i="33"/>
  <c r="M111" i="33"/>
  <c r="O110" i="33"/>
  <c r="N110" i="33"/>
  <c r="M110" i="33"/>
  <c r="O109" i="33"/>
  <c r="N109" i="33"/>
  <c r="M109" i="33"/>
  <c r="O108" i="33"/>
  <c r="N108" i="33"/>
  <c r="M108" i="33"/>
  <c r="O107" i="33"/>
  <c r="N107" i="33"/>
  <c r="M107" i="33"/>
  <c r="O106" i="33"/>
  <c r="N106" i="33"/>
  <c r="M106" i="33"/>
  <c r="O105" i="33"/>
  <c r="N105" i="33"/>
  <c r="M105" i="33"/>
  <c r="O104" i="33"/>
  <c r="N104" i="33"/>
  <c r="M104" i="33"/>
  <c r="O103" i="33"/>
  <c r="N103" i="33"/>
  <c r="M103" i="33"/>
  <c r="O102" i="33"/>
  <c r="N102" i="33"/>
  <c r="M102" i="33"/>
  <c r="O101" i="33"/>
  <c r="N101" i="33"/>
  <c r="M101" i="33"/>
  <c r="O100" i="33"/>
  <c r="N100" i="33"/>
  <c r="M100" i="33"/>
  <c r="O99" i="33"/>
  <c r="N99" i="33"/>
  <c r="M99" i="33"/>
  <c r="O98" i="33"/>
  <c r="N98" i="33"/>
  <c r="M98" i="33"/>
  <c r="O97" i="33"/>
  <c r="N97" i="33"/>
  <c r="M97" i="33"/>
  <c r="O96" i="33"/>
  <c r="N96" i="33"/>
  <c r="M96" i="33"/>
  <c r="O95" i="33"/>
  <c r="N95" i="33"/>
  <c r="M95" i="33"/>
  <c r="O94" i="33"/>
  <c r="N94" i="33"/>
  <c r="M94" i="33"/>
  <c r="O93" i="33"/>
  <c r="N93" i="33"/>
  <c r="M93" i="33"/>
  <c r="O92" i="33"/>
  <c r="N92" i="33"/>
  <c r="M92" i="33"/>
  <c r="O91" i="33"/>
  <c r="N91" i="33"/>
  <c r="M91" i="33"/>
  <c r="O90" i="33"/>
  <c r="N90" i="33"/>
  <c r="M90" i="33"/>
  <c r="O89" i="33"/>
  <c r="N89" i="33"/>
  <c r="M89" i="33"/>
  <c r="O88" i="33"/>
  <c r="N88" i="33"/>
  <c r="M88" i="33"/>
  <c r="O87" i="33"/>
  <c r="N87" i="33"/>
  <c r="M87" i="33"/>
  <c r="O86" i="33"/>
  <c r="N86" i="33"/>
  <c r="M86" i="33"/>
  <c r="O85" i="33"/>
  <c r="N85" i="33"/>
  <c r="M85" i="33"/>
  <c r="O84" i="33"/>
  <c r="N84" i="33"/>
  <c r="M84" i="33"/>
  <c r="O83" i="33"/>
  <c r="N83" i="33"/>
  <c r="M83" i="33"/>
  <c r="O82" i="33"/>
  <c r="N82" i="33"/>
  <c r="M82" i="33"/>
  <c r="O81" i="33"/>
  <c r="N81" i="33"/>
  <c r="M81" i="33"/>
  <c r="O80" i="33"/>
  <c r="N80" i="33"/>
  <c r="M80" i="33"/>
  <c r="O79" i="33"/>
  <c r="N79" i="33"/>
  <c r="M79" i="33"/>
  <c r="O78" i="33"/>
  <c r="N78" i="33"/>
  <c r="M78" i="33"/>
  <c r="O77" i="33"/>
  <c r="N77" i="33"/>
  <c r="M77" i="33"/>
  <c r="O76" i="33"/>
  <c r="N76" i="33"/>
  <c r="M76" i="33"/>
  <c r="O75" i="33"/>
  <c r="N75" i="33"/>
  <c r="M75" i="33"/>
  <c r="O74" i="33"/>
  <c r="N74" i="33"/>
  <c r="M74" i="33"/>
  <c r="O73" i="33"/>
  <c r="N73" i="33"/>
  <c r="M73" i="33"/>
  <c r="O72" i="33"/>
  <c r="N72" i="33"/>
  <c r="M72" i="33"/>
  <c r="O71" i="33"/>
  <c r="N71" i="33"/>
  <c r="M71" i="33"/>
  <c r="O70" i="33"/>
  <c r="N70" i="33"/>
  <c r="M70" i="33"/>
  <c r="O69" i="33"/>
  <c r="N69" i="33"/>
  <c r="M69" i="33"/>
  <c r="O68" i="33"/>
  <c r="N68" i="33"/>
  <c r="M68" i="33"/>
  <c r="O67" i="33"/>
  <c r="N67" i="33"/>
  <c r="M67" i="33"/>
  <c r="O66" i="33"/>
  <c r="N66" i="33"/>
  <c r="M66" i="33"/>
  <c r="O65" i="33"/>
  <c r="N65" i="33"/>
  <c r="M65" i="33"/>
  <c r="O64" i="33"/>
  <c r="N64" i="33"/>
  <c r="M64" i="33"/>
  <c r="O63" i="33"/>
  <c r="N63" i="33"/>
  <c r="M63" i="33"/>
  <c r="O62" i="33"/>
  <c r="N62" i="33"/>
  <c r="M62" i="33"/>
  <c r="O61" i="33"/>
  <c r="N61" i="33"/>
  <c r="M61" i="33"/>
  <c r="O60" i="33"/>
  <c r="N60" i="33"/>
  <c r="M60" i="33"/>
  <c r="O59" i="33"/>
  <c r="N59" i="33"/>
  <c r="M59" i="33"/>
  <c r="O58" i="33"/>
  <c r="N58" i="33"/>
  <c r="M58" i="33"/>
  <c r="O57" i="33"/>
  <c r="N57" i="33"/>
  <c r="M57" i="33"/>
  <c r="O56" i="33"/>
  <c r="N56" i="33"/>
  <c r="M56" i="33"/>
  <c r="O55" i="33"/>
  <c r="N55" i="33"/>
  <c r="M55" i="33"/>
  <c r="O54" i="33"/>
  <c r="N54" i="33"/>
  <c r="M54" i="33"/>
  <c r="O53" i="33"/>
  <c r="N53" i="33"/>
  <c r="M53" i="33"/>
  <c r="O52" i="33"/>
  <c r="N52" i="33"/>
  <c r="M52" i="33"/>
  <c r="O51" i="33"/>
  <c r="N51" i="33"/>
  <c r="M51" i="33"/>
  <c r="O50" i="33"/>
  <c r="N50" i="33"/>
  <c r="M50" i="33"/>
  <c r="O49" i="33"/>
  <c r="N49" i="33"/>
  <c r="M49" i="33"/>
  <c r="O48" i="33"/>
  <c r="N48" i="33"/>
  <c r="M48" i="33"/>
  <c r="O47" i="33"/>
  <c r="N47" i="33"/>
  <c r="M47" i="33"/>
  <c r="O46" i="33"/>
  <c r="N46" i="33"/>
  <c r="M46" i="33"/>
  <c r="O45" i="33"/>
  <c r="N45" i="33"/>
  <c r="M45" i="33"/>
  <c r="O43" i="33"/>
  <c r="N43" i="33"/>
  <c r="M43" i="33"/>
  <c r="O42" i="33"/>
  <c r="N42" i="33"/>
  <c r="M42" i="33"/>
  <c r="O41" i="33"/>
  <c r="N41" i="33"/>
  <c r="M41" i="33"/>
  <c r="O40" i="33"/>
  <c r="N40" i="33"/>
  <c r="M40" i="33"/>
  <c r="O39" i="33"/>
  <c r="N39" i="33"/>
  <c r="M39" i="33"/>
  <c r="O38" i="33"/>
  <c r="N38" i="33"/>
  <c r="M38" i="33"/>
  <c r="O37" i="33"/>
  <c r="N37" i="33"/>
  <c r="M37" i="33"/>
  <c r="O36" i="33"/>
  <c r="N36" i="33"/>
  <c r="M36" i="33"/>
  <c r="O35" i="33"/>
  <c r="N35" i="33"/>
  <c r="M35" i="33"/>
  <c r="O34" i="33"/>
  <c r="N34" i="33"/>
  <c r="M34" i="33"/>
  <c r="O33" i="33"/>
  <c r="N33" i="33"/>
  <c r="M33" i="33"/>
  <c r="O32" i="33"/>
  <c r="N32" i="33"/>
  <c r="M32" i="33"/>
  <c r="O31" i="33"/>
  <c r="N31" i="33"/>
  <c r="M31" i="33"/>
  <c r="O30" i="33"/>
  <c r="N30" i="33"/>
  <c r="M30" i="33"/>
  <c r="O29" i="33"/>
  <c r="N29" i="33"/>
  <c r="M29" i="33"/>
  <c r="O28" i="33"/>
  <c r="N28" i="33"/>
  <c r="M28" i="33"/>
  <c r="O27" i="33"/>
  <c r="N27" i="33"/>
  <c r="M27" i="33"/>
  <c r="O26" i="33"/>
  <c r="N26" i="33"/>
  <c r="M26" i="33"/>
  <c r="O25" i="33"/>
  <c r="N25" i="33"/>
  <c r="M25" i="33"/>
  <c r="O24" i="33"/>
  <c r="N24" i="33"/>
  <c r="M24" i="33"/>
  <c r="O23" i="33"/>
  <c r="N23" i="33"/>
  <c r="M23" i="33"/>
  <c r="O22" i="33"/>
  <c r="N22" i="33"/>
  <c r="M22" i="33"/>
  <c r="O21" i="33"/>
  <c r="N21" i="33"/>
  <c r="M21" i="33"/>
  <c r="O20" i="33"/>
  <c r="N20" i="33"/>
  <c r="M20" i="33"/>
  <c r="O19" i="33"/>
  <c r="N19" i="33"/>
  <c r="M19" i="33"/>
  <c r="O18" i="33"/>
  <c r="N18" i="33"/>
  <c r="M18" i="33"/>
  <c r="O17" i="33"/>
  <c r="N17" i="33"/>
  <c r="M17" i="33"/>
  <c r="O16" i="33"/>
  <c r="N16" i="33"/>
  <c r="M16" i="33"/>
  <c r="O15" i="33"/>
  <c r="N15" i="33"/>
  <c r="M15" i="33"/>
  <c r="O14" i="33"/>
  <c r="N14" i="33"/>
  <c r="M14" i="33"/>
  <c r="O13" i="33"/>
  <c r="N13" i="33"/>
  <c r="M13" i="33"/>
  <c r="O12" i="33"/>
  <c r="N12" i="33"/>
  <c r="M12" i="33"/>
  <c r="O11" i="33"/>
  <c r="N11" i="33"/>
  <c r="M11" i="33"/>
  <c r="O10" i="33"/>
  <c r="N10" i="33"/>
  <c r="M10" i="33"/>
  <c r="O9" i="33"/>
  <c r="N9" i="33"/>
  <c r="M9" i="33"/>
  <c r="O8" i="33"/>
  <c r="N8" i="33"/>
  <c r="M8" i="33"/>
  <c r="O7" i="33"/>
  <c r="N7" i="33"/>
  <c r="M7" i="33"/>
  <c r="O6" i="33"/>
  <c r="N6" i="33"/>
  <c r="M6" i="33"/>
  <c r="O5" i="33"/>
  <c r="N5" i="33"/>
  <c r="M5" i="33"/>
  <c r="F5" i="33"/>
  <c r="G5" i="33"/>
  <c r="F6" i="33"/>
  <c r="G6" i="33"/>
  <c r="F7" i="33"/>
  <c r="G7" i="33"/>
  <c r="F8" i="33"/>
  <c r="G8" i="33"/>
  <c r="F9" i="33"/>
  <c r="G9" i="33"/>
  <c r="F10" i="33"/>
  <c r="G10" i="33"/>
  <c r="F11" i="33"/>
  <c r="G11" i="33"/>
  <c r="F12" i="33"/>
  <c r="G12" i="33"/>
  <c r="F13" i="33"/>
  <c r="G13" i="33"/>
  <c r="F14" i="33"/>
  <c r="G14" i="33"/>
  <c r="F15" i="33"/>
  <c r="G15" i="33"/>
  <c r="F16" i="33"/>
  <c r="G16" i="33"/>
  <c r="F17" i="33"/>
  <c r="G17" i="33"/>
  <c r="F18" i="33"/>
  <c r="G18" i="33"/>
  <c r="F19" i="33"/>
  <c r="G19" i="33"/>
  <c r="F20" i="33"/>
  <c r="G20" i="33"/>
  <c r="F21" i="33"/>
  <c r="G21" i="33"/>
  <c r="F22" i="33"/>
  <c r="G22" i="33"/>
  <c r="F23" i="33"/>
  <c r="G23" i="33"/>
  <c r="F24" i="33"/>
  <c r="G24" i="33"/>
  <c r="F25" i="33"/>
  <c r="G25" i="33"/>
  <c r="F26" i="33"/>
  <c r="G26" i="33"/>
  <c r="F27" i="33"/>
  <c r="G27" i="33"/>
  <c r="F28" i="33"/>
  <c r="G28" i="33"/>
  <c r="F29" i="33"/>
  <c r="G29" i="33"/>
  <c r="F30" i="33"/>
  <c r="G30" i="33"/>
  <c r="F31" i="33"/>
  <c r="G31" i="33"/>
  <c r="F32" i="33"/>
  <c r="G32" i="33"/>
  <c r="F33" i="33"/>
  <c r="G33" i="33"/>
  <c r="F34" i="33"/>
  <c r="G34" i="33"/>
  <c r="F35" i="33"/>
  <c r="G35" i="33"/>
  <c r="F36" i="33"/>
  <c r="G36" i="33"/>
  <c r="F37" i="33"/>
  <c r="G37" i="33"/>
  <c r="F38" i="33"/>
  <c r="G38" i="33"/>
  <c r="F39" i="33"/>
  <c r="G39" i="33"/>
  <c r="F40" i="33"/>
  <c r="G40" i="33"/>
  <c r="F41" i="33"/>
  <c r="G41" i="33"/>
  <c r="F42" i="33"/>
  <c r="G42" i="33"/>
  <c r="F43" i="33"/>
  <c r="G43" i="33"/>
  <c r="F45" i="33"/>
  <c r="G45" i="33"/>
  <c r="F46" i="33"/>
  <c r="G46" i="33"/>
  <c r="F47" i="33"/>
  <c r="G47" i="33"/>
  <c r="F48" i="33"/>
  <c r="G48" i="33"/>
  <c r="F49" i="33"/>
  <c r="G49" i="33"/>
  <c r="F50" i="33"/>
  <c r="G50" i="33"/>
  <c r="F51" i="33"/>
  <c r="G51" i="33"/>
  <c r="F52" i="33"/>
  <c r="G52" i="33"/>
  <c r="F53" i="33"/>
  <c r="G53" i="33"/>
  <c r="F54" i="33"/>
  <c r="G54" i="33"/>
  <c r="F55" i="33"/>
  <c r="G55" i="33"/>
  <c r="F56" i="33"/>
  <c r="G56" i="33"/>
  <c r="F57" i="33"/>
  <c r="G57" i="33"/>
  <c r="F58" i="33"/>
  <c r="G58" i="33"/>
  <c r="F59" i="33"/>
  <c r="G59" i="33"/>
  <c r="F60" i="33"/>
  <c r="G60" i="33"/>
  <c r="F61" i="33"/>
  <c r="G61" i="33"/>
  <c r="F62" i="33"/>
  <c r="G62" i="33"/>
  <c r="F63" i="33"/>
  <c r="G63" i="33"/>
  <c r="F64" i="33"/>
  <c r="G64" i="33"/>
  <c r="F65" i="33"/>
  <c r="G65" i="33"/>
  <c r="F66" i="33"/>
  <c r="G66" i="33"/>
  <c r="F67" i="33"/>
  <c r="G67" i="33"/>
  <c r="F68" i="33"/>
  <c r="G68" i="33"/>
  <c r="F69" i="33"/>
  <c r="G69" i="33"/>
  <c r="F70" i="33"/>
  <c r="G70" i="33"/>
  <c r="F71" i="33"/>
  <c r="G71" i="33"/>
  <c r="F72" i="33"/>
  <c r="G72" i="33"/>
  <c r="F73" i="33"/>
  <c r="G73" i="33"/>
  <c r="F74" i="33"/>
  <c r="G74" i="33"/>
  <c r="F75" i="33"/>
  <c r="G75" i="33"/>
  <c r="F76" i="33"/>
  <c r="G76" i="33"/>
  <c r="F77" i="33"/>
  <c r="G77" i="33"/>
  <c r="F78" i="33"/>
  <c r="G78" i="33"/>
  <c r="F79" i="33"/>
  <c r="G79" i="33"/>
  <c r="F80" i="33"/>
  <c r="G80" i="33"/>
  <c r="F81" i="33"/>
  <c r="G81" i="33"/>
  <c r="F82" i="33"/>
  <c r="G82" i="33"/>
  <c r="F83" i="33"/>
  <c r="G83" i="33"/>
  <c r="F84" i="33"/>
  <c r="G84" i="33"/>
  <c r="F85" i="33"/>
  <c r="G85" i="33"/>
  <c r="F86" i="33"/>
  <c r="G86" i="33"/>
  <c r="F87" i="33"/>
  <c r="G87" i="33"/>
  <c r="F88" i="33"/>
  <c r="G88" i="33"/>
  <c r="F89" i="33"/>
  <c r="G89" i="33"/>
  <c r="F90" i="33"/>
  <c r="G90" i="33"/>
  <c r="F91" i="33"/>
  <c r="G91" i="33"/>
  <c r="F92" i="33"/>
  <c r="G92" i="33"/>
  <c r="F93" i="33"/>
  <c r="G93" i="33"/>
  <c r="F94" i="33"/>
  <c r="G94" i="33"/>
  <c r="F95" i="33"/>
  <c r="G95" i="33"/>
  <c r="F96" i="33"/>
  <c r="G96" i="33"/>
  <c r="F97" i="33"/>
  <c r="G97" i="33"/>
  <c r="F98" i="33"/>
  <c r="G98" i="33"/>
  <c r="F99" i="33"/>
  <c r="G99" i="33"/>
  <c r="F100" i="33"/>
  <c r="G100" i="33"/>
  <c r="F101" i="33"/>
  <c r="G101" i="33"/>
  <c r="F102" i="33"/>
  <c r="G102" i="33"/>
  <c r="F103" i="33"/>
  <c r="G103" i="33"/>
  <c r="F104" i="33"/>
  <c r="G104" i="33"/>
  <c r="F105" i="33"/>
  <c r="G105" i="33"/>
  <c r="F106" i="33"/>
  <c r="G106" i="33"/>
  <c r="F107" i="33"/>
  <c r="G107" i="33"/>
  <c r="F108" i="33"/>
  <c r="G108" i="33"/>
  <c r="F109" i="33"/>
  <c r="G109" i="33"/>
  <c r="F110" i="33"/>
  <c r="G110" i="33"/>
  <c r="F111" i="33"/>
  <c r="G111" i="33"/>
  <c r="F112" i="33"/>
  <c r="G112" i="33"/>
  <c r="F113" i="33"/>
  <c r="G113" i="33"/>
  <c r="F114" i="33"/>
  <c r="G114" i="33"/>
  <c r="F115" i="33"/>
  <c r="G115" i="33"/>
  <c r="F116" i="33"/>
  <c r="G116" i="33"/>
  <c r="F117" i="33"/>
  <c r="G117" i="33"/>
  <c r="F118" i="33"/>
  <c r="G118" i="33"/>
  <c r="F119" i="33"/>
  <c r="G119" i="33"/>
  <c r="F120" i="33"/>
  <c r="G120" i="33"/>
  <c r="F121" i="33"/>
  <c r="G121" i="33"/>
  <c r="F122" i="33"/>
  <c r="G122" i="33"/>
  <c r="F123" i="33"/>
  <c r="G123" i="33"/>
  <c r="F124" i="33"/>
  <c r="G124" i="33"/>
  <c r="F125" i="33"/>
  <c r="G125" i="33"/>
  <c r="F126" i="33"/>
  <c r="G126" i="33"/>
  <c r="F127" i="33"/>
  <c r="G127" i="33"/>
  <c r="F128" i="33"/>
  <c r="G128" i="33"/>
  <c r="F129" i="33"/>
  <c r="G129" i="33"/>
  <c r="F130" i="33"/>
  <c r="G130" i="33"/>
  <c r="F131" i="33"/>
  <c r="G131" i="33"/>
  <c r="F132" i="33"/>
  <c r="G132" i="33"/>
  <c r="F133" i="33"/>
  <c r="G133" i="33"/>
  <c r="F134" i="33"/>
  <c r="G134" i="33"/>
  <c r="F135" i="33"/>
  <c r="G135" i="33"/>
  <c r="F136" i="33"/>
  <c r="G136" i="33"/>
  <c r="F137" i="33"/>
  <c r="G137" i="33"/>
  <c r="F138" i="33"/>
  <c r="G138" i="33"/>
  <c r="F139" i="33"/>
  <c r="G139" i="33"/>
  <c r="F140" i="33"/>
  <c r="G140" i="33"/>
  <c r="F141" i="33"/>
  <c r="G141" i="33"/>
  <c r="F142" i="33"/>
  <c r="G142" i="33"/>
  <c r="F143" i="33"/>
  <c r="G143" i="33"/>
  <c r="F145" i="33"/>
  <c r="G145" i="33"/>
  <c r="F146" i="33"/>
  <c r="G146" i="33"/>
  <c r="F147" i="33"/>
  <c r="G147" i="33"/>
  <c r="F148" i="33"/>
  <c r="G148" i="33"/>
  <c r="F149" i="33"/>
  <c r="G149" i="33"/>
  <c r="F150" i="33"/>
  <c r="G150" i="33"/>
  <c r="F151" i="33"/>
  <c r="G151" i="33"/>
  <c r="F152" i="33"/>
  <c r="G152" i="33"/>
  <c r="F153" i="33"/>
  <c r="G153" i="33"/>
  <c r="F154" i="33"/>
  <c r="G154" i="33"/>
  <c r="F155" i="33"/>
  <c r="G155" i="33"/>
  <c r="F156" i="33"/>
  <c r="G156" i="33"/>
  <c r="F157" i="33"/>
  <c r="G157" i="33"/>
  <c r="F158" i="33"/>
  <c r="G158" i="33"/>
  <c r="F159" i="33"/>
  <c r="G159" i="33"/>
  <c r="F160" i="33"/>
  <c r="G160" i="33"/>
  <c r="F161" i="33"/>
  <c r="G161" i="33"/>
  <c r="F162" i="33"/>
  <c r="G162" i="33"/>
  <c r="F163" i="33"/>
  <c r="G163" i="33"/>
  <c r="F164" i="33"/>
  <c r="G164" i="33"/>
  <c r="F165" i="33"/>
  <c r="G165" i="33"/>
  <c r="F166" i="33"/>
  <c r="G166" i="33"/>
  <c r="F167" i="33"/>
  <c r="G167" i="33"/>
  <c r="F168" i="33"/>
  <c r="G168" i="33"/>
  <c r="F169" i="33"/>
  <c r="G169" i="33"/>
  <c r="F170" i="33"/>
  <c r="G170" i="33"/>
  <c r="F171" i="33"/>
  <c r="G171" i="33"/>
  <c r="F172" i="33"/>
  <c r="G172" i="33"/>
  <c r="F173" i="33"/>
  <c r="G173" i="33"/>
  <c r="F174" i="33"/>
  <c r="G174" i="33"/>
  <c r="F175" i="33"/>
  <c r="G175" i="33"/>
  <c r="F176" i="33"/>
  <c r="G176" i="33"/>
  <c r="F177" i="33"/>
  <c r="G177" i="33"/>
  <c r="F178" i="33"/>
  <c r="G178" i="33"/>
  <c r="F179" i="33"/>
  <c r="G179" i="33"/>
  <c r="F180" i="33"/>
  <c r="G180" i="33"/>
  <c r="F181" i="33"/>
  <c r="G181" i="33"/>
  <c r="F182" i="33"/>
  <c r="G182" i="33"/>
  <c r="F183" i="33"/>
  <c r="G183" i="33"/>
  <c r="F184" i="33"/>
  <c r="G184" i="33"/>
  <c r="F185" i="33"/>
  <c r="G185" i="33"/>
  <c r="F186" i="33"/>
  <c r="G186" i="33"/>
  <c r="F187" i="33"/>
  <c r="G187" i="33"/>
  <c r="F188" i="33"/>
  <c r="G188" i="33"/>
  <c r="F189" i="33"/>
  <c r="G189" i="33"/>
  <c r="F190" i="33"/>
  <c r="G190" i="33"/>
  <c r="F191" i="33"/>
  <c r="G191" i="33"/>
  <c r="F192" i="33"/>
  <c r="G192" i="33"/>
  <c r="F193" i="33"/>
  <c r="G193" i="33"/>
  <c r="F194" i="33"/>
  <c r="G194" i="33"/>
  <c r="F195" i="33"/>
  <c r="G195" i="33"/>
  <c r="F196" i="33"/>
  <c r="G196" i="33"/>
  <c r="F197" i="33"/>
  <c r="G197" i="33"/>
  <c r="F198" i="33"/>
  <c r="G198" i="33"/>
  <c r="F199" i="33"/>
  <c r="G199" i="33"/>
  <c r="F200" i="33"/>
  <c r="G200" i="33"/>
  <c r="F201" i="33"/>
  <c r="G201" i="33"/>
  <c r="F202" i="33"/>
  <c r="G202" i="33"/>
  <c r="F203" i="33"/>
  <c r="G203" i="33"/>
  <c r="F204" i="33"/>
  <c r="G204" i="33"/>
  <c r="F205" i="33"/>
  <c r="G205" i="33"/>
  <c r="E205" i="33"/>
  <c r="E204" i="33"/>
  <c r="E203" i="33"/>
  <c r="E202" i="33"/>
  <c r="E201" i="33"/>
  <c r="E200" i="33"/>
  <c r="E199" i="33"/>
  <c r="E198" i="33"/>
  <c r="E197" i="33"/>
  <c r="E196" i="33"/>
  <c r="E195" i="33"/>
  <c r="E194" i="33"/>
  <c r="E193" i="33"/>
  <c r="E192" i="33"/>
  <c r="E191" i="33"/>
  <c r="E190" i="33"/>
  <c r="E189" i="33"/>
  <c r="E188" i="33"/>
  <c r="E187" i="33"/>
  <c r="E186" i="33"/>
  <c r="E185" i="33"/>
  <c r="E184" i="33"/>
  <c r="E183" i="33"/>
  <c r="E182" i="33"/>
  <c r="E181" i="33"/>
  <c r="E180" i="33"/>
  <c r="E179" i="33"/>
  <c r="E178" i="33"/>
  <c r="E177" i="33"/>
  <c r="E176" i="33"/>
  <c r="E175" i="33"/>
  <c r="E174" i="33"/>
  <c r="E173" i="33"/>
  <c r="E172" i="33"/>
  <c r="E171" i="33"/>
  <c r="E170" i="33"/>
  <c r="E169" i="33"/>
  <c r="E168" i="33"/>
  <c r="E167" i="33"/>
  <c r="E166" i="33"/>
  <c r="E165" i="33"/>
  <c r="E164" i="33"/>
  <c r="E163" i="33"/>
  <c r="E162" i="33"/>
  <c r="E161" i="33"/>
  <c r="E160" i="33"/>
  <c r="E159" i="33"/>
  <c r="E158" i="33"/>
  <c r="E157" i="33"/>
  <c r="E156" i="33"/>
  <c r="E155" i="33"/>
  <c r="E154" i="33"/>
  <c r="E153" i="33"/>
  <c r="E152" i="33"/>
  <c r="E151" i="33"/>
  <c r="E150" i="33"/>
  <c r="E149" i="33"/>
  <c r="E148" i="33"/>
  <c r="E147" i="33"/>
  <c r="E146" i="33"/>
  <c r="E145" i="33"/>
  <c r="E143" i="33"/>
  <c r="E142" i="33"/>
  <c r="E141" i="33"/>
  <c r="E140" i="33"/>
  <c r="E139" i="33"/>
  <c r="E138" i="33"/>
  <c r="E137" i="33"/>
  <c r="E136" i="33"/>
  <c r="E135" i="33"/>
  <c r="E134" i="33"/>
  <c r="E133" i="33"/>
  <c r="E132" i="33"/>
  <c r="E131" i="33"/>
  <c r="E130" i="33"/>
  <c r="E129" i="33"/>
  <c r="E128" i="33"/>
  <c r="E127" i="33"/>
  <c r="E126" i="33"/>
  <c r="E125" i="33"/>
  <c r="E124" i="33"/>
  <c r="E123" i="33"/>
  <c r="E122" i="33"/>
  <c r="E121" i="33"/>
  <c r="E120" i="33"/>
  <c r="E119" i="33"/>
  <c r="E118" i="33"/>
  <c r="E117" i="33"/>
  <c r="E116" i="33"/>
  <c r="E115" i="33"/>
  <c r="E114" i="33"/>
  <c r="E113" i="33"/>
  <c r="E112" i="33"/>
  <c r="E111" i="33"/>
  <c r="E110" i="33"/>
  <c r="E109" i="33"/>
  <c r="E108" i="33"/>
  <c r="E107" i="33"/>
  <c r="E106" i="33"/>
  <c r="E105" i="33"/>
  <c r="E104" i="33"/>
  <c r="E103" i="33"/>
  <c r="E102" i="33"/>
  <c r="E101" i="33"/>
  <c r="E100" i="33"/>
  <c r="E99" i="33"/>
  <c r="E98" i="33"/>
  <c r="E97" i="33"/>
  <c r="E96" i="33"/>
  <c r="E95" i="33"/>
  <c r="E94" i="33"/>
  <c r="E93" i="33"/>
  <c r="E92" i="33"/>
  <c r="E91" i="33"/>
  <c r="E90" i="33"/>
  <c r="E89" i="33"/>
  <c r="E88" i="33"/>
  <c r="E87" i="33"/>
  <c r="E86" i="33"/>
  <c r="E85" i="33"/>
  <c r="E84" i="33"/>
  <c r="E83" i="33"/>
  <c r="E82" i="33"/>
  <c r="E81" i="33"/>
  <c r="E80" i="33"/>
  <c r="E79" i="33"/>
  <c r="E78" i="33"/>
  <c r="E77" i="33"/>
  <c r="E76" i="33"/>
  <c r="E75" i="33"/>
  <c r="E74" i="33"/>
  <c r="E73" i="33"/>
  <c r="E72" i="33"/>
  <c r="E71" i="33"/>
  <c r="E70" i="33"/>
  <c r="E69" i="33"/>
  <c r="E68" i="33"/>
  <c r="E67" i="33"/>
  <c r="E66" i="33"/>
  <c r="E65" i="33"/>
  <c r="E64" i="33"/>
  <c r="E63" i="33"/>
  <c r="E62" i="33"/>
  <c r="E61" i="33"/>
  <c r="E60" i="33"/>
  <c r="E59" i="33"/>
  <c r="E58" i="33"/>
  <c r="E57" i="33"/>
  <c r="E56" i="33"/>
  <c r="E55" i="33"/>
  <c r="E54" i="33"/>
  <c r="E53" i="33"/>
  <c r="E52" i="33"/>
  <c r="E51" i="33"/>
  <c r="E50" i="33"/>
  <c r="E49" i="33"/>
  <c r="E48" i="33"/>
  <c r="E47" i="33"/>
  <c r="E46" i="33"/>
  <c r="E45" i="33"/>
  <c r="E43" i="33"/>
  <c r="E42" i="33"/>
  <c r="E41" i="33"/>
  <c r="E40" i="33"/>
  <c r="E39" i="33"/>
  <c r="E38" i="33"/>
  <c r="E37" i="33"/>
  <c r="E36" i="33"/>
  <c r="E35" i="33"/>
  <c r="E34" i="33"/>
  <c r="E33" i="33"/>
  <c r="E32" i="33"/>
  <c r="E31" i="33"/>
  <c r="E30" i="33"/>
  <c r="E29" i="33"/>
  <c r="E28" i="33"/>
  <c r="E27" i="33"/>
  <c r="E26" i="33"/>
  <c r="E25" i="33"/>
  <c r="E24" i="33"/>
  <c r="E23" i="33"/>
  <c r="E22" i="33"/>
  <c r="E21" i="33"/>
  <c r="E20" i="33"/>
  <c r="E19" i="33"/>
  <c r="E18" i="33"/>
  <c r="E17" i="33"/>
  <c r="E16" i="33"/>
  <c r="E15" i="33"/>
  <c r="E14" i="33"/>
  <c r="E13" i="33"/>
  <c r="E12" i="33"/>
  <c r="E11" i="33"/>
  <c r="E10" i="33"/>
  <c r="E9" i="33"/>
  <c r="E8" i="33"/>
  <c r="E7" i="33"/>
  <c r="E6" i="33"/>
  <c r="E5" i="33"/>
  <c r="F322" i="22"/>
  <c r="F323" i="22"/>
  <c r="F523" i="22"/>
  <c r="F236" i="22"/>
  <c r="F35" i="22"/>
  <c r="F37" i="22"/>
  <c r="F36" i="22"/>
  <c r="F326" i="22"/>
  <c r="F324" i="22"/>
  <c r="F39" i="22"/>
</calcChain>
</file>

<file path=xl/sharedStrings.xml><?xml version="1.0" encoding="utf-8"?>
<sst xmlns="http://schemas.openxmlformats.org/spreadsheetml/2006/main" count="1897" uniqueCount="1328">
  <si>
    <t>Revision</t>
  </si>
  <si>
    <t>Date</t>
  </si>
  <si>
    <t>off</t>
  </si>
  <si>
    <t>FloorPurge</t>
  </si>
  <si>
    <t>AutoHi</t>
  </si>
  <si>
    <t>Delay(Sec)</t>
  </si>
  <si>
    <t>AMB</t>
  </si>
  <si>
    <t>TS</t>
  </si>
  <si>
    <t>DOM</t>
  </si>
  <si>
    <t>USA</t>
  </si>
  <si>
    <t>CHN</t>
  </si>
  <si>
    <t>EUR</t>
  </si>
  <si>
    <t>degC</t>
  </si>
  <si>
    <t>degF</t>
  </si>
  <si>
    <t>Vent</t>
  </si>
  <si>
    <t>VD</t>
  </si>
  <si>
    <t>VDF</t>
  </si>
  <si>
    <t>Floor</t>
  </si>
  <si>
    <t>Def</t>
  </si>
  <si>
    <t>WFloor</t>
  </si>
  <si>
    <t>CMix</t>
  </si>
  <si>
    <t>1_Off</t>
  </si>
  <si>
    <t>100%Floor</t>
  </si>
  <si>
    <t>Property</t>
    <phoneticPr fontId="14" type="noConversion"/>
  </si>
  <si>
    <t>Desciption</t>
    <phoneticPr fontId="14" type="noConversion"/>
  </si>
  <si>
    <t>Input Name</t>
    <phoneticPr fontId="14" type="noConversion"/>
  </si>
  <si>
    <t>Input Value</t>
    <phoneticPr fontId="14" type="noConversion"/>
  </si>
  <si>
    <t>Output Name</t>
    <phoneticPr fontId="14" type="noConversion"/>
  </si>
  <si>
    <t>Expected Output</t>
    <phoneticPr fontId="14" type="noConversion"/>
  </si>
  <si>
    <t>Actual Output</t>
    <phoneticPr fontId="13" type="noConversion"/>
  </si>
  <si>
    <t>Result</t>
    <phoneticPr fontId="13" type="noConversion"/>
  </si>
  <si>
    <t>Init</t>
    <phoneticPr fontId="4" type="noConversion"/>
  </si>
  <si>
    <t>I1.1</t>
    <phoneticPr fontId="4" type="noConversion"/>
  </si>
  <si>
    <t>I1.1.1</t>
    <phoneticPr fontId="4" type="noConversion"/>
  </si>
  <si>
    <t>I1.1.2</t>
    <phoneticPr fontId="4" type="noConversion"/>
  </si>
  <si>
    <t>Set BAT, KEY On.</t>
    <phoneticPr fontId="4" type="noConversion"/>
  </si>
  <si>
    <t>Set sensor inputs.</t>
    <phoneticPr fontId="4" type="noConversion"/>
  </si>
  <si>
    <t>I1.1.3</t>
    <phoneticPr fontId="4" type="noConversion"/>
  </si>
  <si>
    <t>PC</t>
    <phoneticPr fontId="4" type="noConversion"/>
  </si>
  <si>
    <t>EVA</t>
    <phoneticPr fontId="9" type="noConversion"/>
  </si>
  <si>
    <t>Auto_Disp</t>
    <phoneticPr fontId="9" type="noConversion"/>
  </si>
  <si>
    <t>AC_Disp</t>
    <phoneticPr fontId="9" type="noConversion"/>
  </si>
  <si>
    <t>AC Select</t>
    <phoneticPr fontId="9" type="noConversion"/>
  </si>
  <si>
    <t>AC out</t>
    <phoneticPr fontId="9" type="noConversion"/>
  </si>
  <si>
    <t>Intake ACT</t>
    <phoneticPr fontId="9" type="noConversion"/>
  </si>
  <si>
    <t>DrTemp_ACT</t>
    <phoneticPr fontId="9" type="noConversion"/>
  </si>
  <si>
    <t>PsTemp_ACT</t>
    <phoneticPr fontId="9" type="noConversion"/>
  </si>
  <si>
    <t>PC</t>
    <phoneticPr fontId="9" type="noConversion"/>
  </si>
  <si>
    <t>On</t>
    <phoneticPr fontId="9" type="noConversion"/>
  </si>
  <si>
    <t>FRE</t>
    <phoneticPr fontId="9" type="noConversion"/>
  </si>
  <si>
    <t>REC</t>
    <phoneticPr fontId="9" type="noConversion"/>
  </si>
  <si>
    <t>Name: Tbl_ModeFB_Volt</t>
    <phoneticPr fontId="9" type="noConversion"/>
  </si>
  <si>
    <t>Mode</t>
    <phoneticPr fontId="9" type="noConversion"/>
  </si>
  <si>
    <t>FB_Volt</t>
    <phoneticPr fontId="9" type="noConversion"/>
  </si>
  <si>
    <t>Description</t>
    <phoneticPr fontId="9" type="noConversion"/>
  </si>
  <si>
    <t>FLAG_Country</t>
    <phoneticPr fontId="9" type="noConversion"/>
  </si>
  <si>
    <t>col_country</t>
    <phoneticPr fontId="9" type="noConversion"/>
  </si>
  <si>
    <t>const_TempMd</t>
    <phoneticPr fontId="9" type="noConversion"/>
  </si>
  <si>
    <t>const_TempUnit</t>
    <phoneticPr fontId="9" type="noConversion"/>
  </si>
  <si>
    <t>const_Tset_default</t>
    <phoneticPr fontId="9" type="noConversion"/>
  </si>
  <si>
    <t>const_Tset_off</t>
    <phoneticPr fontId="9" type="noConversion"/>
  </si>
  <si>
    <t>const_Tset_min</t>
    <phoneticPr fontId="9" type="noConversion"/>
  </si>
  <si>
    <t>const_Tset_max</t>
    <phoneticPr fontId="9" type="noConversion"/>
  </si>
  <si>
    <t>const_Tset_invalid</t>
    <phoneticPr fontId="9" type="noConversion"/>
  </si>
  <si>
    <t>const_Tset_resolution</t>
    <phoneticPr fontId="9" type="noConversion"/>
  </si>
  <si>
    <t>Name: Tbl_DefFB_Volt</t>
    <phoneticPr fontId="7" type="noConversion"/>
  </si>
  <si>
    <t>Mode</t>
    <phoneticPr fontId="7" type="noConversion"/>
  </si>
  <si>
    <t>FB_Volt</t>
    <phoneticPr fontId="7" type="noConversion"/>
  </si>
  <si>
    <t>Description</t>
    <phoneticPr fontId="7" type="noConversion"/>
  </si>
  <si>
    <t>Name: Tbl_Blower_Volt</t>
    <phoneticPr fontId="7" type="noConversion"/>
  </si>
  <si>
    <t>Blower Step</t>
    <phoneticPr fontId="7" type="noConversion"/>
  </si>
  <si>
    <t>Volt</t>
    <phoneticPr fontId="7" type="noConversion"/>
  </si>
  <si>
    <t>Name: Tbl_IntakeFB_Volt</t>
    <phoneticPr fontId="9" type="noConversion"/>
  </si>
  <si>
    <t>Intake</t>
    <phoneticPr fontId="9" type="noConversion"/>
  </si>
  <si>
    <t>Volt</t>
    <phoneticPr fontId="9" type="noConversion"/>
  </si>
  <si>
    <t>P_intake</t>
    <phoneticPr fontId="9" type="noConversion"/>
  </si>
  <si>
    <t>Name: Tbl_TempFB_Volt</t>
    <phoneticPr fontId="9" type="noConversion"/>
  </si>
  <si>
    <t>Temp</t>
    <phoneticPr fontId="9" type="noConversion"/>
  </si>
  <si>
    <t>Cool</t>
    <phoneticPr fontId="9" type="noConversion"/>
  </si>
  <si>
    <t>Hot</t>
    <phoneticPr fontId="9" type="noConversion"/>
  </si>
  <si>
    <t>Mild_AcOff</t>
    <phoneticPr fontId="9" type="noConversion"/>
  </si>
  <si>
    <t>Mild_AcOn</t>
    <phoneticPr fontId="9" type="noConversion"/>
  </si>
  <si>
    <t>AdsLimit</t>
    <phoneticPr fontId="9" type="noConversion"/>
  </si>
  <si>
    <t>Project</t>
    <phoneticPr fontId="11" type="noConversion"/>
  </si>
  <si>
    <t>Phase</t>
    <phoneticPr fontId="11" type="noConversion"/>
  </si>
  <si>
    <t>Test Information</t>
    <phoneticPr fontId="11" type="noConversion"/>
  </si>
  <si>
    <t>Input</t>
    <phoneticPr fontId="11" type="noConversion"/>
  </si>
  <si>
    <t>B/L</t>
  </si>
  <si>
    <t>Off</t>
    <phoneticPr fontId="9" type="noConversion"/>
  </si>
  <si>
    <t>MsgBox</t>
  </si>
  <si>
    <t>Remark</t>
    <phoneticPr fontId="14" type="noConversion"/>
  </si>
  <si>
    <t>Test ID</t>
    <phoneticPr fontId="14" type="noConversion"/>
  </si>
  <si>
    <t>Output Value or Name</t>
    <phoneticPr fontId="4" type="noConversion"/>
  </si>
  <si>
    <t>Power_Reset</t>
  </si>
  <si>
    <t>SYNC_Disp</t>
    <phoneticPr fontId="9" type="noConversion"/>
  </si>
  <si>
    <r>
      <rPr>
        <sz val="10"/>
        <rFont val="돋움"/>
        <family val="3"/>
        <charset val="129"/>
      </rPr>
      <t>공조제어사양서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참조</t>
    </r>
    <phoneticPr fontId="11" type="noConversion"/>
  </si>
  <si>
    <r>
      <rPr>
        <sz val="10"/>
        <rFont val="돋움"/>
        <family val="3"/>
        <charset val="129"/>
      </rPr>
      <t>시스템사양서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참조</t>
    </r>
    <phoneticPr fontId="11" type="noConversion"/>
  </si>
  <si>
    <t>I1.1.4</t>
    <phoneticPr fontId="4" type="noConversion"/>
  </si>
  <si>
    <t>Set Power Supply</t>
    <phoneticPr fontId="4" type="noConversion"/>
  </si>
  <si>
    <t>CF_Hcu_AcnOperPerm (HCU5)</t>
    <phoneticPr fontId="10" type="noConversion"/>
  </si>
  <si>
    <t>CR_Hcu_CompPerm_W (HCU5)</t>
    <phoneticPr fontId="10" type="noConversion"/>
  </si>
  <si>
    <t>Ecomp_CompCst_W (ECOMP1)</t>
    <phoneticPr fontId="4" type="noConversion"/>
  </si>
  <si>
    <t>Ecomp_CompStt_Operation (ECOMP2)</t>
    <phoneticPr fontId="10" type="noConversion"/>
  </si>
  <si>
    <t>Ecomp_CompSpd_rpm (ECOMP2)</t>
    <phoneticPr fontId="10" type="noConversion"/>
  </si>
  <si>
    <t>Snr_Photo-R(V)_IN</t>
  </si>
  <si>
    <t>Snr_Humidity(Duty%)_IN</t>
  </si>
  <si>
    <t>CR_Ems_VehSpd_Kmh (EMS1)</t>
    <phoneticPr fontId="10" type="noConversion"/>
  </si>
  <si>
    <t>CR_Ems_EngColTemp_C (EMS3)</t>
    <phoneticPr fontId="10" type="noConversion"/>
  </si>
  <si>
    <t>Mix</t>
    <phoneticPr fontId="11" type="noConversion"/>
  </si>
  <si>
    <t>BL</t>
    <phoneticPr fontId="11" type="noConversion"/>
  </si>
  <si>
    <t>VF</t>
    <phoneticPr fontId="11" type="noConversion"/>
  </si>
  <si>
    <t>FD</t>
    <phoneticPr fontId="11" type="noConversion"/>
  </si>
  <si>
    <t>Power Reset</t>
  </si>
  <si>
    <t>Comments</t>
    <phoneticPr fontId="5" type="noConversion"/>
  </si>
  <si>
    <t>Test Spec</t>
    <phoneticPr fontId="5" type="noConversion"/>
  </si>
  <si>
    <t>문요셉</t>
    <phoneticPr fontId="3" type="noConversion"/>
  </si>
  <si>
    <t>Test Scenario</t>
    <phoneticPr fontId="11" type="noConversion"/>
  </si>
  <si>
    <t>PreCondition</t>
    <phoneticPr fontId="11" type="noConversion"/>
  </si>
  <si>
    <t>Test Case</t>
    <phoneticPr fontId="11" type="noConversion"/>
  </si>
  <si>
    <t>PC :</t>
    <phoneticPr fontId="11" type="noConversion"/>
  </si>
  <si>
    <t>TC :</t>
    <phoneticPr fontId="11" type="noConversion"/>
  </si>
  <si>
    <t>Set Precondition</t>
    <phoneticPr fontId="10" type="noConversion"/>
  </si>
  <si>
    <t>Set C_CAN inputs</t>
    <phoneticPr fontId="4" type="noConversion"/>
  </si>
  <si>
    <t>Set CL_CAN inputs</t>
    <phoneticPr fontId="4" type="noConversion"/>
  </si>
  <si>
    <t>(For EV)</t>
    <phoneticPr fontId="10" type="noConversion"/>
  </si>
  <si>
    <t>A/Con Operating Permission</t>
    <phoneticPr fontId="4" type="noConversion"/>
  </si>
  <si>
    <t>Snr_Humidity(Duty%)_IN</t>
    <phoneticPr fontId="10" type="noConversion"/>
  </si>
  <si>
    <t>DIAG_DTC Code</t>
    <phoneticPr fontId="10" type="noConversion"/>
  </si>
  <si>
    <t>DATC_SelfDiagDisp</t>
    <phoneticPr fontId="10" type="noConversion"/>
  </si>
  <si>
    <t>59 02 FF</t>
    <phoneticPr fontId="10" type="noConversion"/>
  </si>
  <si>
    <t>DIAG_REQ_DTC</t>
    <phoneticPr fontId="9" type="noConversion"/>
  </si>
  <si>
    <t>19 02 FF</t>
    <phoneticPr fontId="9" type="noConversion"/>
  </si>
  <si>
    <t>Set_PowerSupply(V)</t>
    <phoneticPr fontId="9" type="noConversion"/>
  </si>
  <si>
    <t>Ecomp_CompStt</t>
    <phoneticPr fontId="4" type="noConversion"/>
  </si>
  <si>
    <t>CR_WHL_SpdRLVal_Kmh</t>
    <phoneticPr fontId="10" type="noConversion"/>
  </si>
  <si>
    <t>CR_WHL_SpdRRVal_Kmh</t>
    <phoneticPr fontId="10" type="noConversion"/>
  </si>
  <si>
    <t>CR_WHL_SpdFLVal_Kmh</t>
    <phoneticPr fontId="10" type="noConversion"/>
  </si>
  <si>
    <t>CR_WHL_SpdFRVal_Kmh</t>
    <phoneticPr fontId="10" type="noConversion"/>
  </si>
  <si>
    <t>Set BAT, KEY Off to On.</t>
    <phoneticPr fontId="4" type="noConversion"/>
  </si>
  <si>
    <t>Init :</t>
    <phoneticPr fontId="11" type="noConversion"/>
  </si>
  <si>
    <t xml:space="preserve">Initialization </t>
    <phoneticPr fontId="9" type="noConversion"/>
  </si>
  <si>
    <t>Initialization</t>
    <phoneticPr fontId="11" type="noConversion"/>
  </si>
  <si>
    <t>TC</t>
  </si>
  <si>
    <t>TS</t>
    <phoneticPr fontId="4" type="noConversion"/>
  </si>
  <si>
    <t>TC :</t>
  </si>
  <si>
    <t>const_TempUnit_1</t>
    <phoneticPr fontId="9" type="noConversion"/>
  </si>
  <si>
    <t>const_TempUnit_2</t>
    <phoneticPr fontId="9" type="noConversion"/>
  </si>
  <si>
    <t>const_Tset_default_1</t>
    <phoneticPr fontId="9" type="noConversion"/>
  </si>
  <si>
    <t>const_Tset_default_2</t>
    <phoneticPr fontId="9" type="noConversion"/>
  </si>
  <si>
    <t>const_Tset_off_1</t>
    <phoneticPr fontId="9" type="noConversion"/>
  </si>
  <si>
    <t>const_Tset_off_2</t>
    <phoneticPr fontId="9" type="noConversion"/>
  </si>
  <si>
    <t>const_Tset_min_1</t>
    <phoneticPr fontId="9" type="noConversion"/>
  </si>
  <si>
    <t>const_Tset_min_2</t>
    <phoneticPr fontId="9" type="noConversion"/>
  </si>
  <si>
    <t>const_Tset_max_1</t>
    <phoneticPr fontId="9" type="noConversion"/>
  </si>
  <si>
    <t>const_Tset_max_2</t>
    <phoneticPr fontId="9" type="noConversion"/>
  </si>
  <si>
    <t>const_Tset_invalid_1</t>
    <phoneticPr fontId="9" type="noConversion"/>
  </si>
  <si>
    <t>const_Tset_invalid_2</t>
    <phoneticPr fontId="9" type="noConversion"/>
  </si>
  <si>
    <t>const_Tset_resolution_1</t>
    <phoneticPr fontId="9" type="noConversion"/>
  </si>
  <si>
    <t>Value</t>
    <phoneticPr fontId="9" type="noConversion"/>
  </si>
  <si>
    <t>const_Tset_resolution_2</t>
    <phoneticPr fontId="11" type="noConversion"/>
  </si>
  <si>
    <t>TempDispUnit</t>
    <phoneticPr fontId="9" type="noConversion"/>
  </si>
  <si>
    <t>CAN_SIGNAL</t>
    <phoneticPr fontId="9" type="noConversion"/>
  </si>
  <si>
    <t>NAME</t>
    <phoneticPr fontId="9" type="noConversion"/>
  </si>
  <si>
    <t>Name: Tbl_CAN_SIGNAL_LIST</t>
    <phoneticPr fontId="9" type="noConversion"/>
  </si>
  <si>
    <t>Check No DTC and SelfDiag Code</t>
    <phoneticPr fontId="10" type="noConversion"/>
  </si>
  <si>
    <t>AutoDisp</t>
    <phoneticPr fontId="11" type="noConversion"/>
  </si>
  <si>
    <t>DrTempDispC</t>
    <phoneticPr fontId="11" type="noConversion"/>
  </si>
  <si>
    <t>PsTempDispC</t>
    <phoneticPr fontId="11" type="noConversion"/>
  </si>
  <si>
    <t>DrTempDispF</t>
    <phoneticPr fontId="11" type="noConversion"/>
  </si>
  <si>
    <t>PsTempDispF</t>
    <phoneticPr fontId="11" type="noConversion"/>
  </si>
  <si>
    <t>SyncDisp</t>
    <phoneticPr fontId="11" type="noConversion"/>
  </si>
  <si>
    <t>ModDisp</t>
    <phoneticPr fontId="11" type="noConversion"/>
  </si>
  <si>
    <t>AcDisp</t>
    <phoneticPr fontId="11" type="noConversion"/>
  </si>
  <si>
    <t>IntakeDisp</t>
    <phoneticPr fontId="11" type="noConversion"/>
  </si>
  <si>
    <t>FrontBlwDisp</t>
    <phoneticPr fontId="11" type="noConversion"/>
  </si>
  <si>
    <t>AcnReqSwi</t>
    <phoneticPr fontId="11" type="noConversion"/>
  </si>
  <si>
    <t>BLW_Front</t>
    <phoneticPr fontId="11" type="noConversion"/>
  </si>
  <si>
    <t>BLW_Front(V)_OUT</t>
    <phoneticPr fontId="11" type="noConversion"/>
  </si>
  <si>
    <t>Incar_OUT</t>
    <phoneticPr fontId="11" type="noConversion"/>
  </si>
  <si>
    <t>Amb_OUT</t>
    <phoneticPr fontId="11" type="noConversion"/>
  </si>
  <si>
    <t>EvaDr_OUT</t>
    <phoneticPr fontId="11" type="noConversion"/>
  </si>
  <si>
    <t>EvaPs_OUT</t>
    <phoneticPr fontId="11" type="noConversion"/>
  </si>
  <si>
    <t>FrontBlwDisp</t>
    <phoneticPr fontId="9" type="noConversion"/>
  </si>
  <si>
    <t>Intake_Disp</t>
    <phoneticPr fontId="9" type="noConversion"/>
  </si>
  <si>
    <t>Blwr_Vol</t>
    <phoneticPr fontId="9" type="noConversion"/>
  </si>
  <si>
    <t>Power_Reset</t>
    <phoneticPr fontId="9" type="noConversion"/>
  </si>
  <si>
    <t>delay</t>
    <phoneticPr fontId="9" type="noConversion"/>
  </si>
  <si>
    <r>
      <rPr>
        <b/>
        <sz val="10"/>
        <rFont val="Arial Unicode MS"/>
        <family val="2"/>
        <charset val="129"/>
      </rPr>
      <t>적용</t>
    </r>
    <r>
      <rPr>
        <b/>
        <sz val="10"/>
        <rFont val="Arial"/>
        <family val="2"/>
      </rPr>
      <t>/</t>
    </r>
    <r>
      <rPr>
        <b/>
        <sz val="10"/>
        <rFont val="Arial Unicode MS"/>
        <family val="2"/>
        <charset val="129"/>
      </rPr>
      <t>미적용</t>
    </r>
    <phoneticPr fontId="9" type="noConversion"/>
  </si>
  <si>
    <t>MsgBox</t>
    <phoneticPr fontId="9" type="noConversion"/>
  </si>
  <si>
    <t>Sw_DrTemp_Up</t>
    <phoneticPr fontId="9" type="noConversion"/>
  </si>
  <si>
    <t>Sw_PsTemp_Up</t>
    <phoneticPr fontId="9" type="noConversion"/>
  </si>
  <si>
    <t>Sw_PsTemp_Dn</t>
    <phoneticPr fontId="9" type="noConversion"/>
  </si>
  <si>
    <t>Sw_OFF</t>
    <phoneticPr fontId="9" type="noConversion"/>
  </si>
  <si>
    <t>DriverOnlyDisp</t>
    <phoneticPr fontId="11" type="noConversion"/>
  </si>
  <si>
    <t>DriverOnlyDisp</t>
    <phoneticPr fontId="9" type="noConversion"/>
  </si>
  <si>
    <t>Act_Intake</t>
    <phoneticPr fontId="11" type="noConversion"/>
  </si>
  <si>
    <t>Act_DrMode</t>
    <phoneticPr fontId="11" type="noConversion"/>
  </si>
  <si>
    <t>Act_PsMode</t>
    <phoneticPr fontId="11" type="noConversion"/>
  </si>
  <si>
    <t>Act_Def</t>
    <phoneticPr fontId="11" type="noConversion"/>
  </si>
  <si>
    <t>Act_Intake.FB(V)_OUT</t>
    <phoneticPr fontId="11" type="noConversion"/>
  </si>
  <si>
    <t>Act_DrMode.FB(V)_OUT</t>
    <phoneticPr fontId="11" type="noConversion"/>
  </si>
  <si>
    <t>Act_PsMode.FB(V)_OUT</t>
    <phoneticPr fontId="11" type="noConversion"/>
  </si>
  <si>
    <t>Act_Def.FB(V)_OUT</t>
    <phoneticPr fontId="11" type="noConversion"/>
  </si>
  <si>
    <t>Act_DrTemp.FB(V)_OUT</t>
    <phoneticPr fontId="11" type="noConversion"/>
  </si>
  <si>
    <t>Act_PsTemp.FB(V)_OUT</t>
    <phoneticPr fontId="11" type="noConversion"/>
  </si>
  <si>
    <t>Act_DrTemp</t>
    <phoneticPr fontId="11" type="noConversion"/>
  </si>
  <si>
    <t>Act_PsTemp</t>
    <phoneticPr fontId="11" type="noConversion"/>
  </si>
  <si>
    <t>DrMode_ACT</t>
    <phoneticPr fontId="9" type="noConversion"/>
  </si>
  <si>
    <t>DrMode_Disp</t>
    <phoneticPr fontId="9" type="noConversion"/>
  </si>
  <si>
    <t>PsMode_Disp</t>
    <phoneticPr fontId="9" type="noConversion"/>
  </si>
  <si>
    <t>RearMode_Disp</t>
    <phoneticPr fontId="9" type="noConversion"/>
  </si>
  <si>
    <t>MAX_HOT</t>
    <phoneticPr fontId="9" type="noConversion"/>
  </si>
  <si>
    <t>MAX_COOL</t>
    <phoneticPr fontId="9" type="noConversion"/>
  </si>
  <si>
    <t>O</t>
  </si>
  <si>
    <t>Sw_AUTO</t>
    <phoneticPr fontId="9" type="noConversion"/>
  </si>
  <si>
    <t>Sw_DrTemp_Dn</t>
    <phoneticPr fontId="9" type="noConversion"/>
  </si>
  <si>
    <t>Sw_DrMode</t>
    <phoneticPr fontId="9" type="noConversion"/>
  </si>
  <si>
    <t>Sw_Blower_Up</t>
    <phoneticPr fontId="9" type="noConversion"/>
  </si>
  <si>
    <t>Sw_Blower_Dn</t>
    <phoneticPr fontId="9" type="noConversion"/>
  </si>
  <si>
    <t>Sw_DEF</t>
    <phoneticPr fontId="9" type="noConversion"/>
  </si>
  <si>
    <t>Sw_AC</t>
    <phoneticPr fontId="9" type="noConversion"/>
  </si>
  <si>
    <t>DEFDisp</t>
    <phoneticPr fontId="11" type="noConversion"/>
  </si>
  <si>
    <t>Sw_SYNC</t>
    <phoneticPr fontId="9" type="noConversion"/>
  </si>
  <si>
    <t>Sw_REC</t>
    <phoneticPr fontId="9" type="noConversion"/>
  </si>
  <si>
    <r>
      <t xml:space="preserve">Intake </t>
    </r>
    <r>
      <rPr>
        <sz val="10"/>
        <rFont val="Arial Unicode MS"/>
        <charset val="129"/>
      </rPr>
      <t>버튼</t>
    </r>
    <phoneticPr fontId="9" type="noConversion"/>
  </si>
  <si>
    <r>
      <t xml:space="preserve">DEF </t>
    </r>
    <r>
      <rPr>
        <sz val="10"/>
        <rFont val="Arial Unicode MS"/>
        <charset val="129"/>
      </rPr>
      <t>버튼</t>
    </r>
    <phoneticPr fontId="9" type="noConversion"/>
  </si>
  <si>
    <r>
      <t xml:space="preserve">AC </t>
    </r>
    <r>
      <rPr>
        <sz val="10"/>
        <rFont val="Arial Unicode MS"/>
        <charset val="129"/>
      </rPr>
      <t>버튼</t>
    </r>
    <phoneticPr fontId="9" type="noConversion"/>
  </si>
  <si>
    <r>
      <t xml:space="preserve">Auto </t>
    </r>
    <r>
      <rPr>
        <sz val="10"/>
        <rFont val="Arial Unicode MS"/>
        <charset val="129"/>
      </rPr>
      <t>버튼</t>
    </r>
    <phoneticPr fontId="9" type="noConversion"/>
  </si>
  <si>
    <r>
      <t xml:space="preserve">OFF </t>
    </r>
    <r>
      <rPr>
        <sz val="10"/>
        <rFont val="Arial Unicode MS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</si>
  <si>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운전석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Up </t>
    </r>
    <r>
      <rPr>
        <sz val="10"/>
        <rFont val="굴림"/>
        <family val="3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</si>
  <si>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운전석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Down </t>
    </r>
    <r>
      <rPr>
        <sz val="10"/>
        <rFont val="굴림"/>
        <family val="3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</si>
  <si>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보조석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Up </t>
    </r>
    <r>
      <rPr>
        <sz val="10"/>
        <rFont val="굴림"/>
        <family val="3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</si>
  <si>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보조석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Down </t>
    </r>
    <r>
      <rPr>
        <sz val="10"/>
        <rFont val="굴림"/>
        <family val="3"/>
        <charset val="129"/>
      </rPr>
      <t>버튼</t>
    </r>
    <phoneticPr fontId="9" type="noConversion"/>
  </si>
  <si>
    <r>
      <t xml:space="preserve">Blower Up </t>
    </r>
    <r>
      <rPr>
        <sz val="10"/>
        <rFont val="굴림"/>
        <family val="3"/>
        <charset val="129"/>
      </rPr>
      <t>버튼</t>
    </r>
    <phoneticPr fontId="9" type="noConversion"/>
  </si>
  <si>
    <r>
      <t xml:space="preserve">Blower Down </t>
    </r>
    <r>
      <rPr>
        <sz val="10"/>
        <rFont val="굴림"/>
        <family val="3"/>
        <charset val="129"/>
      </rPr>
      <t>버튼</t>
    </r>
    <phoneticPr fontId="9" type="noConversion"/>
  </si>
  <si>
    <r>
      <t xml:space="preserve">SYNC </t>
    </r>
    <r>
      <rPr>
        <sz val="10"/>
        <rFont val="Arial Unicode MS"/>
        <family val="2"/>
        <charset val="129"/>
      </rPr>
      <t>버튼</t>
    </r>
    <phoneticPr fontId="9" type="noConversion"/>
  </si>
  <si>
    <t>Delay(Sec)</t>
    <phoneticPr fontId="9" type="noConversion"/>
  </si>
  <si>
    <r>
      <t>IGN1,2</t>
    </r>
    <r>
      <rPr>
        <sz val="10"/>
        <rFont val="Arial Unicode MS"/>
        <family val="2"/>
        <charset val="129"/>
      </rPr>
      <t>를</t>
    </r>
    <r>
      <rPr>
        <sz val="10"/>
        <rFont val="Arial"/>
        <family val="2"/>
      </rPr>
      <t xml:space="preserve"> Off </t>
    </r>
    <r>
      <rPr>
        <sz val="10"/>
        <rFont val="Arial Unicode MS"/>
        <family val="2"/>
        <charset val="129"/>
      </rPr>
      <t>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뒤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다시</t>
    </r>
    <r>
      <rPr>
        <sz val="10"/>
        <rFont val="Arial"/>
        <family val="2"/>
      </rPr>
      <t xml:space="preserve"> IGN1,2 On </t>
    </r>
    <r>
      <rPr>
        <sz val="10"/>
        <rFont val="Arial Unicode MS"/>
        <family val="2"/>
        <charset val="129"/>
      </rPr>
      <t>수행</t>
    </r>
    <phoneticPr fontId="9" type="noConversion"/>
  </si>
  <si>
    <t>ALL</t>
    <phoneticPr fontId="11" type="noConversion"/>
  </si>
  <si>
    <t>AC Select</t>
  </si>
  <si>
    <r>
      <rPr>
        <sz val="10"/>
        <rFont val="Arial Unicode MS"/>
        <family val="2"/>
        <charset val="129"/>
      </rPr>
      <t>개별공조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버튼</t>
    </r>
    <phoneticPr fontId="11" type="noConversion"/>
  </si>
  <si>
    <t>EngColTemp</t>
    <phoneticPr fontId="11" type="noConversion"/>
  </si>
  <si>
    <r>
      <rPr>
        <b/>
        <sz val="10"/>
        <color theme="0"/>
        <rFont val="Arial Unicode MS"/>
        <charset val="129"/>
      </rPr>
      <t>설명</t>
    </r>
    <phoneticPr fontId="9" type="noConversion"/>
  </si>
  <si>
    <t>DATC_CELOModeSta</t>
    <phoneticPr fontId="11" type="noConversion"/>
  </si>
  <si>
    <t>CELOModeSta</t>
    <phoneticPr fontId="11" type="noConversion"/>
  </si>
  <si>
    <t>DEF IND On/Off</t>
    <phoneticPr fontId="11" type="noConversion"/>
  </si>
  <si>
    <r>
      <t xml:space="preserve">Temp_TD </t>
    </r>
    <r>
      <rPr>
        <sz val="10"/>
        <rFont val="Arial Unicode MS"/>
        <family val="2"/>
        <charset val="129"/>
      </rPr>
      <t>연산에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따름</t>
    </r>
    <phoneticPr fontId="11" type="noConversion"/>
  </si>
  <si>
    <r>
      <t xml:space="preserve">Name: MsgBox </t>
    </r>
    <r>
      <rPr>
        <b/>
        <sz val="10"/>
        <rFont val="Arial Unicode MS"/>
        <family val="2"/>
        <charset val="129"/>
      </rPr>
      <t>진입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조건</t>
    </r>
    <phoneticPr fontId="9" type="noConversion"/>
  </si>
  <si>
    <r>
      <rPr>
        <b/>
        <sz val="10"/>
        <rFont val="굴림"/>
        <family val="2"/>
        <charset val="129"/>
      </rPr>
      <t>로직명</t>
    </r>
    <phoneticPr fontId="9" type="noConversion"/>
  </si>
  <si>
    <r>
      <rPr>
        <sz val="10"/>
        <rFont val="Arial Unicode MS"/>
        <family val="2"/>
        <charset val="129"/>
      </rPr>
      <t>운전석</t>
    </r>
    <r>
      <rPr>
        <sz val="10"/>
        <rFont val="Arial"/>
        <family val="2"/>
      </rPr>
      <t xml:space="preserve"> Mode </t>
    </r>
    <r>
      <rPr>
        <sz val="10"/>
        <rFont val="Arial Unicode MS"/>
        <charset val="129"/>
      </rPr>
      <t>버튼</t>
    </r>
    <phoneticPr fontId="9" type="noConversion"/>
  </si>
  <si>
    <r>
      <rPr>
        <sz val="10"/>
        <rFont val="Arial Unicode MS"/>
        <family val="2"/>
        <charset val="129"/>
      </rPr>
      <t>메시지박스</t>
    </r>
    <r>
      <rPr>
        <sz val="10"/>
        <rFont val="Arial"/>
        <family val="2"/>
      </rPr>
      <t xml:space="preserve">, </t>
    </r>
    <r>
      <rPr>
        <sz val="10"/>
        <rFont val="Arial Unicode MS"/>
        <family val="2"/>
        <charset val="129"/>
      </rPr>
      <t>수행할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내용을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기재</t>
    </r>
    <phoneticPr fontId="9" type="noConversion"/>
  </si>
  <si>
    <r>
      <rPr>
        <sz val="10"/>
        <rFont val="굴림"/>
        <family val="2"/>
        <charset val="129"/>
      </rPr>
      <t>대기하는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시간</t>
    </r>
    <phoneticPr fontId="9" type="noConversion"/>
  </si>
  <si>
    <t>Celo_Blower_Min</t>
    <phoneticPr fontId="11" type="noConversion"/>
  </si>
  <si>
    <t>Name: Tbl_ECT_blower</t>
    <phoneticPr fontId="9" type="noConversion"/>
  </si>
  <si>
    <t>blower</t>
    <phoneticPr fontId="9" type="noConversion"/>
  </si>
  <si>
    <r>
      <rPr>
        <sz val="10"/>
        <rFont val="굴림"/>
        <family val="2"/>
        <charset val="129"/>
      </rPr>
      <t>냉각수온</t>
    </r>
    <r>
      <rPr>
        <sz val="10"/>
        <rFont val="Arial"/>
        <family val="2"/>
      </rPr>
      <t>(ECT)</t>
    </r>
    <phoneticPr fontId="11" type="noConversion"/>
  </si>
  <si>
    <t>Celo_Blower_Max</t>
    <phoneticPr fontId="11" type="noConversion"/>
  </si>
  <si>
    <t>Name: Tbl_BlowerUp_Display</t>
    <phoneticPr fontId="7" type="noConversion"/>
  </si>
  <si>
    <t>Blower volt</t>
    <phoneticPr fontId="7" type="noConversion"/>
  </si>
  <si>
    <t>Step</t>
    <phoneticPr fontId="7" type="noConversion"/>
  </si>
  <si>
    <t>Name: Tbl_BlowerDn_Display</t>
    <phoneticPr fontId="7" type="noConversion"/>
  </si>
  <si>
    <t>Name: Tbl_BlowerLimit_AmbUp_Volt</t>
    <phoneticPr fontId="7" type="noConversion"/>
  </si>
  <si>
    <t>Name: Tbl_BlowerLimit_AmbDn_Volt</t>
    <phoneticPr fontId="7" type="noConversion"/>
  </si>
  <si>
    <t>CELOModeSta</t>
    <phoneticPr fontId="9" type="noConversion"/>
  </si>
  <si>
    <t>DEFDisp</t>
  </si>
  <si>
    <t>0x0:Default/0x1:Def Logic USM OFF/0x2:Def Logic USM ON/0x3:Invalid</t>
  </si>
  <si>
    <t>0x0:Default/0x1:OFF/0x2:ON/0x3:Invalid</t>
  </si>
  <si>
    <t>0x0:Default/0x1:USM Reset/0x2:Reserved/0x3:Invalid</t>
  </si>
  <si>
    <t>0x0:Defualt/0x1:Reset/0x2:Not used/0x3:Error Indicator</t>
  </si>
  <si>
    <t>CF_Datc_DefLogic_USM_Set</t>
    <phoneticPr fontId="11" type="noConversion"/>
  </si>
  <si>
    <t>DefLogic_USM_Set</t>
    <phoneticPr fontId="11" type="noConversion"/>
  </si>
  <si>
    <t>DATC_DfgLgcUSMSta</t>
    <phoneticPr fontId="11" type="noConversion"/>
  </si>
  <si>
    <t>DfgLgcUSMSta</t>
    <phoneticPr fontId="11" type="noConversion"/>
  </si>
  <si>
    <t>CF_AVN_CluUSMReset</t>
    <phoneticPr fontId="11" type="noConversion"/>
  </si>
  <si>
    <t>AVN_CluUSMReset</t>
    <phoneticPr fontId="11" type="noConversion"/>
  </si>
  <si>
    <t>USM_StaRst1Req</t>
    <phoneticPr fontId="11" type="noConversion"/>
  </si>
  <si>
    <t>CLU_USM_StaRst1Req</t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</si>
  <si>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BI-LEVEL(VENT &amp; FLOOR)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</si>
  <si>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t>결로방지_해제복귀</t>
  </si>
  <si>
    <t>워셔액_해제복귀</t>
  </si>
  <si>
    <t>TempChange_degCF</t>
  </si>
  <si>
    <t>온도변환</t>
  </si>
  <si>
    <t>CO2_해제복귀</t>
  </si>
  <si>
    <t>blower_TD 연산에 따름</t>
  </si>
  <si>
    <t>Blower 제어전압 확인</t>
  </si>
  <si>
    <t>ADS_Max</t>
    <phoneticPr fontId="11" type="noConversion"/>
  </si>
  <si>
    <t>ADS_Min</t>
    <phoneticPr fontId="11" type="noConversion"/>
  </si>
  <si>
    <t>DEF_blower</t>
    <phoneticPr fontId="11" type="noConversion"/>
  </si>
  <si>
    <t>ADS_DEF</t>
    <phoneticPr fontId="11" type="noConversion"/>
  </si>
  <si>
    <r>
      <t>AC_INTAKE_</t>
    </r>
    <r>
      <rPr>
        <sz val="10"/>
        <rFont val="맑은 고딕"/>
        <family val="3"/>
        <charset val="129"/>
      </rPr>
      <t>해제복귀</t>
    </r>
    <phoneticPr fontId="11" type="noConversion"/>
  </si>
  <si>
    <t>AC_INTAKE_EN_DIS</t>
    <phoneticPr fontId="11" type="noConversion"/>
  </si>
  <si>
    <r>
      <t>AutoDefog_</t>
    </r>
    <r>
      <rPr>
        <sz val="10"/>
        <rFont val="맑은 고딕"/>
        <family val="3"/>
        <charset val="129"/>
      </rPr>
      <t>해제복귀</t>
    </r>
    <phoneticPr fontId="11" type="noConversion"/>
  </si>
  <si>
    <t>AutoDefog_EN_DIS</t>
    <phoneticPr fontId="11" type="noConversion"/>
  </si>
  <si>
    <t>CO2_EN_DIS</t>
    <phoneticPr fontId="11" type="noConversion"/>
  </si>
  <si>
    <t>AutoFre_EN_DIS</t>
    <phoneticPr fontId="11" type="noConversion"/>
  </si>
  <si>
    <t>Washer_EN_DIS</t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</si>
  <si>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FLOOR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</si>
  <si>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VENT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</si>
  <si>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t xml:space="preserve">DEF </t>
    </r>
    <r>
      <rPr>
        <b/>
        <sz val="10"/>
        <rFont val="맑은 고딕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맑은 고딕"/>
        <family val="2"/>
        <charset val="129"/>
      </rPr>
      <t>초이내</t>
    </r>
    <r>
      <rPr>
        <b/>
        <sz val="10"/>
        <rFont val="Arial"/>
        <family val="2"/>
      </rPr>
      <t xml:space="preserve"> REC BUTTON 5</t>
    </r>
    <r>
      <rPr>
        <b/>
        <sz val="10"/>
        <rFont val="맑은 고딕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누름</t>
    </r>
    <phoneticPr fontId="11" type="noConversion"/>
  </si>
  <si>
    <t>MIX_Logic</t>
    <phoneticPr fontId="11" type="noConversion"/>
  </si>
  <si>
    <t>DEF_Logic</t>
    <phoneticPr fontId="11" type="noConversion"/>
  </si>
  <si>
    <t>F/BACK</t>
  </si>
  <si>
    <t>(KΩ)</t>
  </si>
  <si>
    <t>(V)</t>
  </si>
  <si>
    <t>Tbl_Incar_Sensor</t>
    <phoneticPr fontId="9" type="noConversion"/>
  </si>
  <si>
    <t>Tbl_Amb_Sensor</t>
    <phoneticPr fontId="9" type="noConversion"/>
  </si>
  <si>
    <t>Tbl_Eva_Sensor</t>
    <phoneticPr fontId="9" type="noConversion"/>
  </si>
  <si>
    <t>Tbl_Duct_Sensor</t>
    <phoneticPr fontId="9" type="noConversion"/>
  </si>
  <si>
    <t>I1.1.1</t>
    <phoneticPr fontId="9" type="noConversion"/>
  </si>
  <si>
    <t>Init</t>
    <phoneticPr fontId="9" type="noConversion"/>
  </si>
  <si>
    <t>Depth
Level</t>
    <phoneticPr fontId="10" type="noConversion"/>
  </si>
  <si>
    <t>T_windshield</t>
    <phoneticPr fontId="11" type="noConversion"/>
  </si>
  <si>
    <t>Cell_Temp</t>
  </si>
  <si>
    <t>Cell_Temp</t>
    <phoneticPr fontId="11" type="noConversion"/>
  </si>
  <si>
    <t>Cell_Humidity</t>
  </si>
  <si>
    <t>Cell_Humidity</t>
    <phoneticPr fontId="11" type="noConversion"/>
  </si>
  <si>
    <r>
      <rPr>
        <b/>
        <sz val="10"/>
        <rFont val="맑은 고딕"/>
        <family val="3"/>
        <charset val="129"/>
      </rPr>
      <t>북미외</t>
    </r>
    <r>
      <rPr>
        <b/>
        <sz val="10"/>
        <rFont val="Arial"/>
        <family val="2"/>
      </rPr>
      <t>(</t>
    </r>
    <r>
      <rPr>
        <b/>
        <sz val="10"/>
        <rFont val="맑은 고딕"/>
        <family val="3"/>
        <charset val="129"/>
      </rPr>
      <t>내수</t>
    </r>
    <r>
      <rPr>
        <b/>
        <sz val="10"/>
        <rFont val="Arial"/>
        <family val="2"/>
      </rPr>
      <t xml:space="preserve">, </t>
    </r>
    <r>
      <rPr>
        <b/>
        <sz val="10"/>
        <rFont val="맑은 고딕"/>
        <family val="3"/>
        <charset val="129"/>
      </rPr>
      <t>유럽</t>
    </r>
    <r>
      <rPr>
        <b/>
        <sz val="10"/>
        <rFont val="Arial"/>
        <family val="2"/>
      </rPr>
      <t>) - Normal</t>
    </r>
    <phoneticPr fontId="14" type="noConversion"/>
  </si>
  <si>
    <r>
      <rPr>
        <b/>
        <sz val="10"/>
        <rFont val="맑은 고딕"/>
        <family val="2"/>
        <charset val="129"/>
      </rPr>
      <t>수동</t>
    </r>
    <r>
      <rPr>
        <b/>
        <sz val="10"/>
        <rFont val="Arial"/>
        <family val="2"/>
      </rPr>
      <t xml:space="preserve"> MIX(FLOOR &amp; MODE DEF) </t>
    </r>
    <r>
      <rPr>
        <b/>
        <sz val="10"/>
        <rFont val="맑은 고딕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맑은 고딕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맑은 고딕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누름</t>
    </r>
    <phoneticPr fontId="11" type="noConversion"/>
  </si>
  <si>
    <r>
      <t xml:space="preserve">MODE </t>
    </r>
    <r>
      <rPr>
        <b/>
        <sz val="10"/>
        <rFont val="Arial Unicode MS"/>
        <family val="2"/>
        <charset val="129"/>
      </rPr>
      <t>버튼을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누른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상태에서</t>
    </r>
    <r>
      <rPr>
        <b/>
        <sz val="10"/>
        <rFont val="Arial"/>
        <family val="2"/>
      </rPr>
      <t xml:space="preserve"> 2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4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</si>
  <si>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t>AutoDefogSysOff_Disp</t>
    <phoneticPr fontId="11" type="noConversion"/>
  </si>
  <si>
    <t>Manual_FRE1</t>
    <phoneticPr fontId="11" type="noConversion"/>
  </si>
  <si>
    <t>AutoDefogSysOff_Disp</t>
    <phoneticPr fontId="9" type="noConversion"/>
  </si>
  <si>
    <t>DfgLgcUSMSta</t>
    <phoneticPr fontId="9" type="noConversion"/>
  </si>
  <si>
    <t>0x0:Function Off/0x1:Function On/0x2:reserved/0x3:Invalid</t>
  </si>
  <si>
    <t>ADSOnOffSet</t>
    <phoneticPr fontId="11" type="noConversion"/>
  </si>
  <si>
    <t>X</t>
  </si>
  <si>
    <r>
      <rPr>
        <sz val="10"/>
        <rFont val="굴림"/>
        <family val="2"/>
        <charset val="129"/>
      </rPr>
      <t>통합</t>
    </r>
    <r>
      <rPr>
        <sz val="10"/>
        <rFont val="Arial"/>
        <family val="2"/>
      </rPr>
      <t>_DISP_</t>
    </r>
    <r>
      <rPr>
        <sz val="10"/>
        <rFont val="굴림"/>
        <family val="2"/>
        <charset val="129"/>
      </rPr>
      <t>사양</t>
    </r>
    <phoneticPr fontId="11" type="noConversion"/>
  </si>
  <si>
    <t>0x0:Default/0x1:Auto Ventilation USM OFF/0x2:Auto Ventilation USM ON/0x3:Invalid</t>
  </si>
  <si>
    <t>CF_Datc_AutoFresh_USM_Set</t>
    <phoneticPr fontId="11" type="noConversion"/>
  </si>
  <si>
    <t>AutoFresh_USM_Set</t>
    <phoneticPr fontId="11" type="noConversion"/>
  </si>
  <si>
    <t>DATC_AutoFrshUSMSta</t>
    <phoneticPr fontId="11" type="noConversion"/>
  </si>
  <si>
    <t>AutoFrshUSMSta</t>
  </si>
  <si>
    <t>AutoFrshUSMSta</t>
    <phoneticPr fontId="9" type="noConversion"/>
  </si>
  <si>
    <t>AutoDefogBlink</t>
    <phoneticPr fontId="11" type="noConversion"/>
  </si>
  <si>
    <t>AutoDefogBlink</t>
    <phoneticPr fontId="9" type="noConversion"/>
  </si>
  <si>
    <t>ADS_70%</t>
    <phoneticPr fontId="11" type="noConversion"/>
  </si>
  <si>
    <t>ADS_40%</t>
    <phoneticPr fontId="11" type="noConversion"/>
  </si>
  <si>
    <t>0x0:AutoDefogBlink Non Request/0x1:AutoDefogBlink Request/0x2:Not used/0x3:Error Indicator</t>
    <phoneticPr fontId="11" type="noConversion"/>
  </si>
  <si>
    <t>T_DW</t>
    <phoneticPr fontId="9" type="noConversion"/>
  </si>
  <si>
    <t>Name: Tbl_ADS_blower_Up</t>
    <phoneticPr fontId="9" type="noConversion"/>
  </si>
  <si>
    <t>Name: Tbl_ADS_blower_Dn</t>
    <phoneticPr fontId="9" type="noConversion"/>
  </si>
  <si>
    <t>PM_PMSnsrSts</t>
    <phoneticPr fontId="11" type="noConversion"/>
  </si>
  <si>
    <t>PM_PMSnsrRespErr</t>
    <phoneticPr fontId="11" type="noConversion"/>
  </si>
  <si>
    <t>PM_MassConcentration_2p5</t>
    <phoneticPr fontId="11" type="noConversion"/>
  </si>
  <si>
    <t>ADS GLASS TEMP</t>
    <phoneticPr fontId="10" type="noConversion"/>
  </si>
  <si>
    <t>PM_MassConcentration_2p5</t>
    <phoneticPr fontId="9" type="noConversion"/>
  </si>
  <si>
    <t>PM_Blower_Min</t>
    <phoneticPr fontId="11" type="noConversion"/>
  </si>
  <si>
    <t>PM_Blower_Max</t>
    <phoneticPr fontId="11" type="noConversion"/>
  </si>
  <si>
    <t>Name: Tbl_PM_blower_Dn</t>
    <phoneticPr fontId="9" type="noConversion"/>
  </si>
  <si>
    <t>Name: Tbl_PM_blower_Up</t>
    <phoneticPr fontId="9" type="noConversion"/>
  </si>
  <si>
    <t>AUTO3</t>
    <phoneticPr fontId="37" type="noConversion"/>
  </si>
  <si>
    <t>AUTO2</t>
    <phoneticPr fontId="37" type="noConversion"/>
  </si>
  <si>
    <t>AUTO1</t>
    <phoneticPr fontId="37" type="noConversion"/>
  </si>
  <si>
    <t>Average(K4_Dr, K4_Ps)</t>
    <phoneticPr fontId="37" type="noConversion"/>
  </si>
  <si>
    <r>
      <t xml:space="preserve"> 9.2.1 </t>
    </r>
    <r>
      <rPr>
        <b/>
        <sz val="10"/>
        <rFont val="맑은 고딕"/>
        <family val="3"/>
        <charset val="129"/>
      </rPr>
      <t>일사량에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따른</t>
    </r>
    <r>
      <rPr>
        <b/>
        <sz val="10"/>
        <rFont val="Arial"/>
        <family val="2"/>
      </rPr>
      <t xml:space="preserve"> TD Blower </t>
    </r>
    <r>
      <rPr>
        <b/>
        <sz val="10"/>
        <rFont val="맑은 고딕"/>
        <family val="3"/>
        <charset val="129"/>
      </rPr>
      <t>하한치</t>
    </r>
    <r>
      <rPr>
        <b/>
        <sz val="10"/>
        <rFont val="Arial"/>
        <family val="2"/>
      </rPr>
      <t xml:space="preserve"> (</t>
    </r>
    <r>
      <rPr>
        <b/>
        <sz val="10"/>
        <rFont val="맑은 고딕"/>
        <family val="3"/>
        <charset val="129"/>
      </rPr>
      <t>전지역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해당</t>
    </r>
    <r>
      <rPr>
        <b/>
        <sz val="10"/>
        <rFont val="Arial"/>
        <family val="2"/>
      </rPr>
      <t>)</t>
    </r>
    <phoneticPr fontId="14" type="noConversion"/>
  </si>
  <si>
    <r>
      <t xml:space="preserve">   - </t>
    </r>
    <r>
      <rPr>
        <b/>
        <sz val="10"/>
        <rFont val="맑은 고딕"/>
        <family val="3"/>
        <charset val="129"/>
      </rPr>
      <t>유럽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외</t>
    </r>
    <phoneticPr fontId="37" type="noConversion"/>
  </si>
  <si>
    <r>
      <rPr>
        <b/>
        <sz val="10"/>
        <rFont val="Arial Unicode MS"/>
        <family val="3"/>
        <charset val="129"/>
      </rPr>
      <t>먼지농도</t>
    </r>
    <phoneticPr fontId="9" type="noConversion"/>
  </si>
  <si>
    <r>
      <t xml:space="preserve">LCD </t>
    </r>
    <r>
      <rPr>
        <sz val="10"/>
        <rFont val="Arial Unicode MS"/>
        <family val="2"/>
        <charset val="129"/>
      </rPr>
      <t>심볼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없는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사양</t>
    </r>
    <phoneticPr fontId="11" type="noConversion"/>
  </si>
  <si>
    <t>Name: Tbl_K4MinBlowerLimit_V</t>
    <phoneticPr fontId="7" type="noConversion"/>
  </si>
  <si>
    <t>AutoBlowerLow_3</t>
    <phoneticPr fontId="11" type="noConversion"/>
  </si>
  <si>
    <t>AutoBlowerLow_2</t>
    <phoneticPr fontId="11" type="noConversion"/>
  </si>
  <si>
    <t>AutoBlowerLow_1</t>
    <phoneticPr fontId="11" type="noConversion"/>
  </si>
  <si>
    <t>AutoLow</t>
    <phoneticPr fontId="11" type="noConversion"/>
  </si>
  <si>
    <t>Def_ACT</t>
  </si>
  <si>
    <t>IGN1,2_Off_to_On</t>
    <phoneticPr fontId="9" type="noConversion"/>
  </si>
  <si>
    <t>100%Floor</t>
    <phoneticPr fontId="11" type="noConversion"/>
  </si>
  <si>
    <t>WARM</t>
    <phoneticPr fontId="11" type="noConversion"/>
  </si>
  <si>
    <t>Tbl_GlassTemp_Sensor</t>
    <phoneticPr fontId="9" type="noConversion"/>
  </si>
  <si>
    <r>
      <t xml:space="preserve">Intake_TD </t>
    </r>
    <r>
      <rPr>
        <sz val="10"/>
        <rFont val="맑은 고딕"/>
        <family val="3"/>
        <charset val="129"/>
      </rPr>
      <t>연산에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따름</t>
    </r>
    <phoneticPr fontId="11" type="noConversion"/>
  </si>
  <si>
    <r>
      <t xml:space="preserve">Intake </t>
    </r>
    <r>
      <rPr>
        <sz val="10"/>
        <rFont val="맑은 고딕"/>
        <family val="3"/>
        <charset val="129"/>
      </rPr>
      <t>제어전압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확인</t>
    </r>
    <phoneticPr fontId="11" type="noConversion"/>
  </si>
  <si>
    <t>IGN1,2_Off</t>
  </si>
  <si>
    <t xml:space="preserve"> </t>
    <phoneticPr fontId="9" type="noConversion"/>
  </si>
  <si>
    <t>Snr_Glass_Temp(V)_IN</t>
  </si>
  <si>
    <t xml:space="preserve"> </t>
    <phoneticPr fontId="10" type="noConversion"/>
  </si>
  <si>
    <t>degC</t>
    <phoneticPr fontId="7" type="noConversion"/>
  </si>
  <si>
    <t>Celo_DEF</t>
    <phoneticPr fontId="11" type="noConversion"/>
  </si>
  <si>
    <r>
      <t xml:space="preserve">DEF-&gt;Mix </t>
    </r>
    <r>
      <rPr>
        <sz val="10"/>
        <rFont val="맑은 고딕"/>
        <family val="2"/>
        <charset val="129"/>
      </rPr>
      <t>경계값</t>
    </r>
    <phoneticPr fontId="11" type="noConversion"/>
  </si>
  <si>
    <t>Celo_Mix</t>
    <phoneticPr fontId="11" type="noConversion"/>
  </si>
  <si>
    <r>
      <t xml:space="preserve">Mix-&gt;Auto </t>
    </r>
    <r>
      <rPr>
        <sz val="10"/>
        <rFont val="Arial Unicode MS"/>
        <family val="2"/>
        <charset val="129"/>
      </rPr>
      <t>제어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경계값</t>
    </r>
    <phoneticPr fontId="11" type="noConversion"/>
  </si>
  <si>
    <t>Celo_Auto</t>
    <phoneticPr fontId="11" type="noConversion"/>
  </si>
  <si>
    <r>
      <t xml:space="preserve">blower Auto HI </t>
    </r>
    <r>
      <rPr>
        <sz val="10"/>
        <rFont val="맑은 고딕"/>
        <family val="2"/>
        <charset val="129"/>
      </rPr>
      <t>경계값</t>
    </r>
    <phoneticPr fontId="11" type="noConversion"/>
  </si>
  <si>
    <t>EngColTemp_ECT</t>
    <phoneticPr fontId="11" type="noConversion"/>
  </si>
  <si>
    <t>SelfDiagCode</t>
    <phoneticPr fontId="11" type="noConversion"/>
  </si>
  <si>
    <r>
      <t>OFF SW</t>
    </r>
    <r>
      <rPr>
        <b/>
        <sz val="10"/>
        <rFont val="Arial Unicode MS"/>
        <family val="2"/>
        <charset val="129"/>
      </rPr>
      <t>를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누른상태에서</t>
    </r>
    <r>
      <rPr>
        <b/>
        <sz val="10"/>
        <rFont val="Arial"/>
        <family val="2"/>
      </rPr>
      <t xml:space="preserve"> MODE SW</t>
    </r>
    <r>
      <rPr>
        <b/>
        <sz val="10"/>
        <rFont val="Arial Unicode MS"/>
        <family val="2"/>
        <charset val="129"/>
      </rPr>
      <t>를</t>
    </r>
    <r>
      <rPr>
        <b/>
        <sz val="10"/>
        <rFont val="Arial"/>
        <family val="2"/>
      </rPr>
      <t xml:space="preserve"> 2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이내에</t>
    </r>
    <r>
      <rPr>
        <b/>
        <sz val="10"/>
        <rFont val="Arial"/>
        <family val="2"/>
      </rPr>
      <t xml:space="preserve"> 4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이상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</si>
  <si>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t>DATC_16_1000ms</t>
    <phoneticPr fontId="10" type="noConversion"/>
  </si>
  <si>
    <t>DATC_SwVer1</t>
  </si>
  <si>
    <t>DATC_SwVer2</t>
    <phoneticPr fontId="10" type="noConversion"/>
  </si>
  <si>
    <t>DATC_SwVer3</t>
    <phoneticPr fontId="10" type="noConversion"/>
  </si>
  <si>
    <t>DATC_SwVer4</t>
  </si>
  <si>
    <t>DATC_SwVer5</t>
  </si>
  <si>
    <t>0x0(Not CELO(Default), 0x1 (CELO Def), 0x2 (CELO Mix)</t>
  </si>
  <si>
    <t>0x0:'ADS OFF' display Off/0x1:'ADS OFF' display On/0x2:Not Used(Non-ADS)/0x3:Error Indicator</t>
  </si>
  <si>
    <t>0x0: Init./0x1: Normal Opreration/0x2: Limited Operation/(사용환경온도 ≥ 62℃  조건시,해제 조건은은 ≤ 60℃)/0x3: Standby/0x4: Error/0x5~0x7: Reserved</t>
  </si>
  <si>
    <t>0x000~0x3fc: ugm3=1 * Raw +0/0x3fd : Standby/0x3fe : Init/0x3ff : Reserved</t>
  </si>
  <si>
    <t>DATC_AutoDfgBlnkDis</t>
    <phoneticPr fontId="11" type="noConversion"/>
  </si>
  <si>
    <r>
      <rPr>
        <sz val="10"/>
        <rFont val="Arial Unicode MS"/>
        <family val="2"/>
        <charset val="129"/>
      </rPr>
      <t>자가진단</t>
    </r>
    <phoneticPr fontId="11" type="noConversion"/>
  </si>
  <si>
    <r>
      <rPr>
        <sz val="10"/>
        <rFont val="맑은 고딕"/>
        <family val="2"/>
        <charset val="129"/>
      </rPr>
      <t>난방기동제어</t>
    </r>
    <r>
      <rPr>
        <sz val="10"/>
        <rFont val="Arial"/>
        <family val="2"/>
      </rPr>
      <t xml:space="preserve"> Mode </t>
    </r>
    <r>
      <rPr>
        <sz val="10"/>
        <rFont val="맑은 고딕"/>
        <family val="2"/>
        <charset val="129"/>
      </rPr>
      <t>상태</t>
    </r>
    <phoneticPr fontId="11" type="noConversion"/>
  </si>
  <si>
    <r>
      <t xml:space="preserve">AVN USM </t>
    </r>
    <r>
      <rPr>
        <sz val="10"/>
        <rFont val="Arial Unicode MS"/>
        <family val="2"/>
        <charset val="129"/>
      </rPr>
      <t>초기화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</si>
  <si>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해제복귀</t>
    </r>
    <phoneticPr fontId="11" type="noConversion"/>
  </si>
  <si>
    <r>
      <rPr>
        <sz val="10"/>
        <rFont val="Arial Unicode MS"/>
        <family val="2"/>
        <charset val="129"/>
      </rPr>
      <t>결로방지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해제복귀</t>
    </r>
    <phoneticPr fontId="11" type="noConversion"/>
  </si>
  <si>
    <r>
      <t xml:space="preserve">Front Blower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</si>
  <si>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DEF_Actuator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</si>
  <si>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PsMode_Actuator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</si>
  <si>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DrMode_Actuator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</si>
  <si>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Intake 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</si>
  <si>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(</t>
    </r>
    <r>
      <rPr>
        <sz val="10"/>
        <rFont val="Arial Unicode MS"/>
        <family val="2"/>
        <charset val="129"/>
      </rPr>
      <t>유리온도</t>
    </r>
    <r>
      <rPr>
        <sz val="10"/>
        <rFont val="Arial"/>
        <family val="2"/>
      </rPr>
      <t>)</t>
    </r>
    <phoneticPr fontId="11" type="noConversion"/>
  </si>
  <si>
    <r>
      <rPr>
        <sz val="10"/>
        <rFont val="굴림"/>
        <family val="2"/>
        <charset val="129"/>
      </rPr>
      <t>미세먼지센서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사양</t>
    </r>
    <phoneticPr fontId="11" type="noConversion"/>
  </si>
  <si>
    <t>CLU 온도단위 변경 신호</t>
  </si>
  <si>
    <t>AVN 온도단위 변경신호(제네시스 or NE1 부터)</t>
  </si>
  <si>
    <t>AVN 단위 RESET 신호</t>
  </si>
  <si>
    <t>DATC 온도단위 신호</t>
  </si>
  <si>
    <t>0x0:Default/0x1:Centigrade(℃)/0x2:Fahrenheit(℉)/0x3:Invalid</t>
  </si>
  <si>
    <t>0x0:Default/0x1:℃(Centigrade)/0x2:℉(Fahrenheit)/0x3:Invalid</t>
  </si>
  <si>
    <t>0x0:Default/0x1:Unit Reset/0x2:Reserved/0x3:Invalid</t>
  </si>
  <si>
    <t>USM_OSTempUnitSetReq</t>
  </si>
  <si>
    <t>C_TempUnit</t>
  </si>
  <si>
    <t>CF_AVN_UnitReset</t>
  </si>
  <si>
    <t>DATC_TempDispUnitSta</t>
  </si>
  <si>
    <r>
      <t xml:space="preserve">CLU USM </t>
    </r>
    <r>
      <rPr>
        <sz val="10"/>
        <rFont val="Arial Unicode MS"/>
        <family val="2"/>
        <charset val="129"/>
      </rPr>
      <t>초기화</t>
    </r>
    <phoneticPr fontId="11" type="noConversion"/>
  </si>
  <si>
    <t>CLU_TempUnitSetReq</t>
    <phoneticPr fontId="11" type="noConversion"/>
  </si>
  <si>
    <t>AVN_TempUnit_Set</t>
    <phoneticPr fontId="11" type="noConversion"/>
  </si>
  <si>
    <t>AVN_UnitReset</t>
    <phoneticPr fontId="11" type="noConversion"/>
  </si>
  <si>
    <t>DrTemp_Actuator 전압</t>
  </si>
  <si>
    <t>PsTemp_Actuator 전압</t>
  </si>
  <si>
    <r>
      <t>*ECT</t>
    </r>
    <r>
      <rPr>
        <b/>
        <sz val="10"/>
        <rFont val="돋움"/>
        <family val="3"/>
        <charset val="129"/>
      </rPr>
      <t>인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경우</t>
    </r>
    <r>
      <rPr>
        <b/>
        <sz val="10"/>
        <rFont val="Arial"/>
        <family val="2"/>
      </rPr>
      <t>, "0.75"</t>
    </r>
    <r>
      <rPr>
        <b/>
        <sz val="10"/>
        <rFont val="돋움"/>
        <family val="3"/>
        <charset val="129"/>
      </rPr>
      <t>단위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참고하여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입력</t>
    </r>
    <phoneticPr fontId="11" type="noConversion"/>
  </si>
  <si>
    <t>RAC_TempModTyp</t>
    <phoneticPr fontId="11" type="noConversion"/>
  </si>
  <si>
    <t>RAC_DfrstCtrlReq</t>
    <phoneticPr fontId="11" type="noConversion"/>
  </si>
  <si>
    <t>RAC_TempSetVal</t>
    <phoneticPr fontId="11" type="noConversion"/>
  </si>
  <si>
    <t>RAC_AcnCtrlReq</t>
    <phoneticPr fontId="11" type="noConversion"/>
  </si>
  <si>
    <r>
      <t xml:space="preserve">Temp </t>
    </r>
    <r>
      <rPr>
        <sz val="10"/>
        <rFont val="굴림"/>
        <family val="2"/>
        <charset val="129"/>
      </rPr>
      <t>제어전압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확인</t>
    </r>
    <phoneticPr fontId="11" type="noConversion"/>
  </si>
  <si>
    <r>
      <rPr>
        <b/>
        <sz val="10"/>
        <rFont val="굴림"/>
        <family val="2"/>
        <charset val="129"/>
      </rPr>
      <t>난방기동제어</t>
    </r>
    <phoneticPr fontId="11" type="noConversion"/>
  </si>
  <si>
    <r>
      <rPr>
        <b/>
        <sz val="10"/>
        <rFont val="맑은 고딕"/>
        <family val="3"/>
        <charset val="129"/>
      </rPr>
      <t>냉각수온</t>
    </r>
    <r>
      <rPr>
        <b/>
        <sz val="10"/>
        <rFont val="Arial"/>
        <family val="2"/>
      </rPr>
      <t xml:space="preserve"> or Duct</t>
    </r>
    <phoneticPr fontId="9" type="noConversion"/>
  </si>
  <si>
    <r>
      <rPr>
        <sz val="10"/>
        <rFont val="Arial Unicode MS"/>
        <family val="2"/>
        <charset val="129"/>
      </rPr>
      <t>난방기동제어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</si>
  <si>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(</t>
    </r>
    <r>
      <rPr>
        <sz val="10"/>
        <rFont val="Arial Unicode MS"/>
        <family val="2"/>
        <charset val="129"/>
      </rPr>
      <t>셀온도</t>
    </r>
    <r>
      <rPr>
        <sz val="10"/>
        <rFont val="Arial"/>
        <family val="2"/>
      </rPr>
      <t>)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</si>
  <si>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(</t>
    </r>
    <r>
      <rPr>
        <sz val="10"/>
        <rFont val="Arial Unicode MS"/>
        <family val="2"/>
        <charset val="129"/>
      </rPr>
      <t>셀습도</t>
    </r>
    <r>
      <rPr>
        <sz val="10"/>
        <rFont val="Arial"/>
        <family val="2"/>
      </rPr>
      <t>)</t>
    </r>
    <phoneticPr fontId="11" type="noConversion"/>
  </si>
  <si>
    <t>0x0:Deactivate Defrost Mode/0x1:Activate Defrost Mode/0x2:Not used/0x3:Error Indicator</t>
    <phoneticPr fontId="11" type="noConversion"/>
  </si>
  <si>
    <t>0x0:Deativatie Remote Air Conditioner Control/0x1:Activate Remote Air Condtioner Control/0x2:Not used/0x3:Error Indicator</t>
    <phoneticPr fontId="11" type="noConversion"/>
  </si>
  <si>
    <t>0x0:Centigrade mode/0x1:Fahrenheit mode/0x2:Not used/0x3:Error indicator</t>
    <phoneticPr fontId="11" type="noConversion"/>
  </si>
  <si>
    <t>DATC_IntakeSta</t>
    <phoneticPr fontId="11" type="noConversion"/>
  </si>
  <si>
    <t>IntakeSta</t>
    <phoneticPr fontId="11" type="noConversion"/>
  </si>
  <si>
    <r>
      <t xml:space="preserve">Intake </t>
    </r>
    <r>
      <rPr>
        <sz val="10"/>
        <rFont val="Arial Unicode MS"/>
        <family val="2"/>
        <charset val="129"/>
      </rPr>
      <t>상태</t>
    </r>
    <phoneticPr fontId="11" type="noConversion"/>
  </si>
  <si>
    <t>0x0:Default/0x1:REC (Fresh off)/0x2:FRE (Rec off)/0x3:Error Indicator</t>
    <phoneticPr fontId="11" type="noConversion"/>
  </si>
  <si>
    <t>Navi_AirConditionWarning</t>
    <phoneticPr fontId="11" type="noConversion"/>
  </si>
  <si>
    <t>0x0:Unknown/0x1:On(Close)/0x2:Off/0x3:Invalid</t>
    <phoneticPr fontId="11" type="noConversion"/>
  </si>
  <si>
    <t>Wiper_FrWiperWshSwSta</t>
  </si>
  <si>
    <t>Wiper_FrWiperWshSwSta_IBU</t>
  </si>
  <si>
    <t>ENG_AirCompRlySta</t>
  </si>
  <si>
    <t>DATC_ClmtTxtPopupOSD</t>
    <phoneticPr fontId="11" type="noConversion"/>
  </si>
  <si>
    <t>ClmtTxtPopupOSD</t>
    <phoneticPr fontId="11" type="noConversion"/>
  </si>
  <si>
    <r>
      <t xml:space="preserve">TextPopup </t>
    </r>
    <r>
      <rPr>
        <sz val="10"/>
        <rFont val="Arial Unicode MS"/>
        <family val="2"/>
        <charset val="129"/>
      </rPr>
      <t>신호</t>
    </r>
    <phoneticPr fontId="11" type="noConversion"/>
  </si>
  <si>
    <t>0x0:Off/0x1:On/0x2:Not Used/0x3:Error Indicator</t>
    <phoneticPr fontId="11" type="noConversion"/>
  </si>
  <si>
    <r>
      <t>*</t>
    </r>
    <r>
      <rPr>
        <sz val="10"/>
        <rFont val="Arial Unicode MS"/>
        <family val="2"/>
        <charset val="129"/>
      </rPr>
      <t>차종별</t>
    </r>
    <r>
      <rPr>
        <sz val="10"/>
        <rFont val="Arial"/>
        <family val="2"/>
      </rPr>
      <t xml:space="preserve"> CAN Signal List </t>
    </r>
    <r>
      <rPr>
        <sz val="10"/>
        <rFont val="Arial Unicode MS"/>
        <family val="2"/>
        <charset val="129"/>
      </rPr>
      <t>확인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필요</t>
    </r>
    <phoneticPr fontId="11" type="noConversion"/>
  </si>
  <si>
    <r>
      <rPr>
        <sz val="10"/>
        <rFont val="Arial Unicode MS"/>
        <family val="2"/>
        <charset val="129"/>
      </rPr>
      <t>터널연동제어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내기제어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</si>
  <si>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On/Off </t>
    </r>
    <r>
      <rPr>
        <sz val="10"/>
        <rFont val="Arial Unicode MS"/>
        <family val="2"/>
        <charset val="129"/>
      </rPr>
      <t>상태</t>
    </r>
    <phoneticPr fontId="11" type="noConversion"/>
  </si>
  <si>
    <t>0x0:Default/0x1:Washer fluid USM OFF/0x2:Washer fluid USM ON/0x3:Invalid</t>
    <phoneticPr fontId="11" type="noConversion"/>
  </si>
  <si>
    <t>0x0:Default/0x1:OFF/0x2:ON/0x3:Invalid</t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</si>
  <si>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해제복귀</t>
    </r>
    <r>
      <rPr>
        <sz val="10"/>
        <rFont val="Arial"/>
        <family val="2"/>
      </rPr>
      <t xml:space="preserve"> On/Off</t>
    </r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</si>
  <si>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진입</t>
    </r>
    <r>
      <rPr>
        <sz val="10"/>
        <rFont val="Arial"/>
        <family val="2"/>
      </rPr>
      <t>/</t>
    </r>
    <r>
      <rPr>
        <sz val="10"/>
        <rFont val="Arial Unicode MS"/>
        <family val="2"/>
        <charset val="129"/>
      </rPr>
      <t>해제</t>
    </r>
    <phoneticPr fontId="11" type="noConversion"/>
  </si>
  <si>
    <t>HU_DATC_WshFldUSMSet</t>
    <phoneticPr fontId="11" type="noConversion"/>
  </si>
  <si>
    <t>WshFldUSMSet</t>
    <phoneticPr fontId="11" type="noConversion"/>
  </si>
  <si>
    <t>DATC_WshFldUSMSta</t>
    <phoneticPr fontId="11" type="noConversion"/>
  </si>
  <si>
    <t>WshFldUSMSta</t>
    <phoneticPr fontId="11" type="noConversion"/>
  </si>
  <si>
    <t>MFSW_WasherSw</t>
    <phoneticPr fontId="11" type="noConversion"/>
  </si>
  <si>
    <t>IBU_WasherSw</t>
    <phoneticPr fontId="11" type="noConversion"/>
  </si>
  <si>
    <t>RLY_AC</t>
    <phoneticPr fontId="11" type="noConversion"/>
  </si>
  <si>
    <t>Washer_AC_On</t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</si>
  <si>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해제복귀</t>
    </r>
    <r>
      <rPr>
        <sz val="10"/>
        <rFont val="Arial"/>
        <family val="2"/>
      </rPr>
      <t xml:space="preserve">(="ADS OFF" </t>
    </r>
    <r>
      <rPr>
        <sz val="10"/>
        <rFont val="맑은 고딕"/>
        <family val="2"/>
        <charset val="129"/>
      </rPr>
      <t>심볼</t>
    </r>
    <r>
      <rPr>
        <sz val="10"/>
        <rFont val="Arial"/>
        <family val="2"/>
      </rPr>
      <t xml:space="preserve"> </t>
    </r>
    <r>
      <rPr>
        <sz val="10"/>
        <rFont val="Gulim"/>
        <family val="2"/>
      </rPr>
      <t>無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사양</t>
    </r>
    <r>
      <rPr>
        <sz val="10"/>
        <rFont val="Arial"/>
        <family val="2"/>
      </rPr>
      <t>)</t>
    </r>
    <phoneticPr fontId="11" type="noConversion"/>
  </si>
  <si>
    <r>
      <rPr>
        <sz val="10"/>
        <rFont val="Arial Unicode MS"/>
        <family val="2"/>
        <charset val="129"/>
      </rPr>
      <t>난방기동제어</t>
    </r>
    <r>
      <rPr>
        <sz val="10"/>
        <rFont val="Arial"/>
        <family val="2"/>
      </rPr>
      <t xml:space="preserve">(O : </t>
    </r>
    <r>
      <rPr>
        <sz val="10"/>
        <rFont val="굴림"/>
        <family val="2"/>
        <charset val="129"/>
      </rPr>
      <t>냉각수온</t>
    </r>
    <r>
      <rPr>
        <sz val="10"/>
        <rFont val="Arial"/>
        <family val="2"/>
      </rPr>
      <t>, X : Duct)</t>
    </r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</si>
  <si>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해제복귀</t>
    </r>
    <r>
      <rPr>
        <sz val="10"/>
        <rFont val="Arial"/>
        <family val="2"/>
      </rPr>
      <t xml:space="preserve">(O : AC </t>
    </r>
    <r>
      <rPr>
        <sz val="10"/>
        <rFont val="Arial Unicode MS"/>
        <family val="2"/>
        <charset val="129"/>
      </rPr>
      <t>출력</t>
    </r>
    <r>
      <rPr>
        <sz val="10"/>
        <rFont val="Arial"/>
        <family val="2"/>
      </rPr>
      <t xml:space="preserve"> On, X : </t>
    </r>
    <r>
      <rPr>
        <sz val="10"/>
        <rFont val="Arial Unicode MS"/>
        <family val="2"/>
        <charset val="129"/>
      </rPr>
      <t>이전상태</t>
    </r>
    <r>
      <rPr>
        <sz val="10"/>
        <rFont val="Arial"/>
        <family val="2"/>
      </rPr>
      <t>)</t>
    </r>
    <phoneticPr fontId="11" type="noConversion"/>
  </si>
  <si>
    <r>
      <t xml:space="preserve">Name: </t>
    </r>
    <r>
      <rPr>
        <b/>
        <sz val="10"/>
        <rFont val="Arial Unicode MS"/>
        <family val="2"/>
        <charset val="129"/>
      </rPr>
      <t>적용</t>
    </r>
    <r>
      <rPr>
        <b/>
        <sz val="10"/>
        <rFont val="Arial"/>
        <family val="2"/>
      </rPr>
      <t>/</t>
    </r>
    <r>
      <rPr>
        <b/>
        <sz val="10"/>
        <rFont val="Arial Unicode MS"/>
        <family val="2"/>
        <charset val="129"/>
      </rPr>
      <t>미적용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확인</t>
    </r>
    <phoneticPr fontId="9" type="noConversion"/>
  </si>
  <si>
    <t>Glass_Temp</t>
    <phoneticPr fontId="9" type="noConversion"/>
  </si>
  <si>
    <t>INCAR</t>
    <phoneticPr fontId="9" type="noConversion"/>
  </si>
  <si>
    <t>Title40</t>
  </si>
  <si>
    <t>O : LHD, X : RHD</t>
    <phoneticPr fontId="11" type="noConversion"/>
  </si>
  <si>
    <t>LHD_RHD</t>
    <phoneticPr fontId="11" type="noConversion"/>
  </si>
  <si>
    <t>Incar_IN</t>
    <phoneticPr fontId="11" type="noConversion"/>
  </si>
  <si>
    <t>Amb_IN</t>
    <phoneticPr fontId="11" type="noConversion"/>
  </si>
  <si>
    <t>EvaDr_IN</t>
    <phoneticPr fontId="11" type="noConversion"/>
  </si>
  <si>
    <t>EvaPs_IN</t>
    <phoneticPr fontId="11" type="noConversion"/>
  </si>
  <si>
    <t>Snr_Incar(V)_IN</t>
    <phoneticPr fontId="11" type="noConversion"/>
  </si>
  <si>
    <t>Snr_Amb(V)_IN</t>
    <phoneticPr fontId="11" type="noConversion"/>
  </si>
  <si>
    <t>Snr_Eva(V)_IN</t>
    <phoneticPr fontId="11" type="noConversion"/>
  </si>
  <si>
    <t>Snr_EvaPs(V)_IN</t>
    <phoneticPr fontId="11" type="noConversion"/>
  </si>
  <si>
    <r>
      <t xml:space="preserve">INCAR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</si>
  <si>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r>
      <rPr>
        <sz val="10"/>
        <rFont val="굴림"/>
        <family val="2"/>
        <charset val="129"/>
      </rPr>
      <t>외기온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</si>
  <si>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r>
      <t xml:space="preserve">Eva Dr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</si>
  <si>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r>
      <t xml:space="preserve">Eva Ps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</si>
  <si>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t>BAT_ON_Initialize</t>
    <phoneticPr fontId="11" type="noConversion"/>
  </si>
  <si>
    <t>O : System On, X : System Off</t>
    <phoneticPr fontId="11" type="noConversion"/>
  </si>
  <si>
    <t>0x0: No Error[0]/0x1: Error[1]</t>
    <phoneticPr fontId="11" type="noConversion"/>
  </si>
  <si>
    <t>RrTemp_Cool_Act</t>
    <phoneticPr fontId="9" type="noConversion"/>
  </si>
  <si>
    <t>RrTemp_Warm_Act</t>
    <phoneticPr fontId="9" type="noConversion"/>
  </si>
  <si>
    <t>VS_VehSpd_Kmh</t>
    <phoneticPr fontId="11" type="noConversion"/>
  </si>
  <si>
    <t>CO2_Warning</t>
    <phoneticPr fontId="11" type="noConversion"/>
  </si>
  <si>
    <t>CF_Datc_CO2_Warning</t>
    <phoneticPr fontId="11" type="noConversion"/>
  </si>
  <si>
    <t>Snr_CO2(V)_IN</t>
    <phoneticPr fontId="11" type="noConversion"/>
  </si>
  <si>
    <t>CO2_OUT</t>
    <phoneticPr fontId="11" type="noConversion"/>
  </si>
  <si>
    <t>CO2(PPM)_OUT</t>
    <phoneticPr fontId="11" type="noConversion"/>
  </si>
  <si>
    <t>CO2_PPM_V</t>
    <phoneticPr fontId="11" type="noConversion"/>
  </si>
  <si>
    <t>Name: Tbl_RrTempFB_Volt_Vent</t>
    <phoneticPr fontId="9" type="noConversion"/>
  </si>
  <si>
    <t>Name: Tbl_RrTempFB_Volt_Floor</t>
    <phoneticPr fontId="9" type="noConversion"/>
  </si>
  <si>
    <t>FRONT TEMP (DR 기준)</t>
  </si>
  <si>
    <t>REAR TEMP COOL</t>
  </si>
  <si>
    <t>REAR TEMP WARM</t>
  </si>
  <si>
    <t>Name: Tbl_CO2_Snr</t>
    <phoneticPr fontId="9" type="noConversion"/>
  </si>
  <si>
    <t>Act_RrTemp_Cool</t>
  </si>
  <si>
    <t>Act_RrTemp_Warm</t>
  </si>
  <si>
    <t>Act_RrTemp_Cool.FB(V)_OUT</t>
  </si>
  <si>
    <t>Act_RrTemp_Warm.FB(V)_OUT</t>
  </si>
  <si>
    <t>RrTemp_Cool_Actuator 전압</t>
  </si>
  <si>
    <t>RrTemp_Warm_Actuator 전압</t>
  </si>
  <si>
    <r>
      <rPr>
        <sz val="10"/>
        <rFont val="맑은 고딕"/>
        <family val="2"/>
        <charset val="129"/>
      </rPr>
      <t>매칭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시그널</t>
    </r>
    <phoneticPr fontId="9" type="noConversion"/>
  </si>
  <si>
    <t>HU_DATC_DrvOnlySet</t>
  </si>
  <si>
    <t>HU_DATC_PsTempUpDn</t>
  </si>
  <si>
    <t>HU_DATC_DrTempUpDn</t>
  </si>
  <si>
    <t>HU_DATC_FrontModeSet</t>
  </si>
  <si>
    <t>HU_DATC_IntakeSet</t>
  </si>
  <si>
    <t>HU_DATC_AutoSet</t>
  </si>
  <si>
    <t>HU_DATC_FrontDefog</t>
  </si>
  <si>
    <t>HU_DATC_AcSet</t>
  </si>
  <si>
    <t>HU_DATC_MainBlowerUpDn</t>
  </si>
  <si>
    <t>HU_DATC_SyncSet</t>
  </si>
  <si>
    <t>Sw_DrOnly</t>
    <phoneticPr fontId="9" type="noConversion"/>
  </si>
  <si>
    <t>HU_DATC_MainBlower (0x0:DATC OFF)</t>
    <phoneticPr fontId="9" type="noConversion"/>
  </si>
  <si>
    <t>0x0:Fuction Off/0x1:Function On/0x2:Not Used/0x3:Error Indicator</t>
  </si>
  <si>
    <t>Button_CAN_Signal_EN_DIS</t>
    <phoneticPr fontId="11" type="noConversion"/>
  </si>
  <si>
    <t>HU_DATC_CO2Set</t>
    <phoneticPr fontId="11" type="noConversion"/>
  </si>
  <si>
    <t>DATC_CO2OnOffSta</t>
    <phoneticPr fontId="11" type="noConversion"/>
  </si>
  <si>
    <r>
      <t xml:space="preserve">CO2 </t>
    </r>
    <r>
      <rPr>
        <sz val="10"/>
        <rFont val="돋움"/>
        <family val="2"/>
        <charset val="129"/>
      </rPr>
      <t>제어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상태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</si>
  <si>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r>
      <t xml:space="preserve">CO2 </t>
    </r>
    <r>
      <rPr>
        <sz val="10"/>
        <rFont val="돋움"/>
        <family val="2"/>
        <charset val="129"/>
      </rPr>
      <t>설정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</si>
  <si>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t>CO2_OnOffSta</t>
    <phoneticPr fontId="11" type="noConversion"/>
  </si>
  <si>
    <t>CO2_Set</t>
    <phoneticPr fontId="11" type="noConversion"/>
  </si>
  <si>
    <t>CO2_PPM_V</t>
    <phoneticPr fontId="9" type="noConversion"/>
  </si>
  <si>
    <r>
      <t xml:space="preserve">CO2 </t>
    </r>
    <r>
      <rPr>
        <sz val="10"/>
        <rFont val="돋움"/>
        <family val="2"/>
        <charset val="129"/>
      </rPr>
      <t>농도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모니터</t>
    </r>
    <phoneticPr fontId="11" type="noConversion"/>
  </si>
  <si>
    <r>
      <t xml:space="preserve">CO2 </t>
    </r>
    <r>
      <rPr>
        <sz val="10"/>
        <rFont val="Arial Unicode MS"/>
        <family val="2"/>
        <charset val="129"/>
      </rPr>
      <t>농도센서</t>
    </r>
    <phoneticPr fontId="11" type="noConversion"/>
  </si>
  <si>
    <t>T40.1</t>
  </si>
  <si>
    <t>P40.1</t>
  </si>
  <si>
    <t>TC</t>
    <phoneticPr fontId="9" type="noConversion"/>
  </si>
  <si>
    <t>Snr_Duct_ALL(V)_IN</t>
    <phoneticPr fontId="11" type="noConversion"/>
  </si>
  <si>
    <t>Duct_ALL_V</t>
    <phoneticPr fontId="11" type="noConversion"/>
  </si>
  <si>
    <r>
      <t xml:space="preserve">Duct_ALL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</si>
  <si>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Snr_CionDiag(V)_IN</t>
    <phoneticPr fontId="11" type="noConversion"/>
  </si>
  <si>
    <t>CionDiag_V</t>
    <phoneticPr fontId="11" type="noConversion"/>
  </si>
  <si>
    <t>Snr_Photo-L(V)_IN</t>
    <phoneticPr fontId="11" type="noConversion"/>
  </si>
  <si>
    <t>Photo_L_V</t>
    <phoneticPr fontId="11" type="noConversion"/>
  </si>
  <si>
    <t>Photo_R_V</t>
    <phoneticPr fontId="11" type="noConversion"/>
  </si>
  <si>
    <r>
      <t xml:space="preserve">Photo Left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</si>
  <si>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Photo Right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</si>
  <si>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IsgStopReq</t>
    <phoneticPr fontId="11" type="noConversion"/>
  </si>
  <si>
    <t>EngStartReq</t>
    <phoneticPr fontId="11" type="noConversion"/>
  </si>
  <si>
    <r>
      <t xml:space="preserve">ISG Eng stop </t>
    </r>
    <r>
      <rPr>
        <sz val="10"/>
        <rFont val="돋움"/>
        <family val="2"/>
        <charset val="129"/>
      </rPr>
      <t>금지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</si>
  <si>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t>IsgStat</t>
    <phoneticPr fontId="11" type="noConversion"/>
  </si>
  <si>
    <t>AutoBlowerHi_3</t>
    <phoneticPr fontId="11" type="noConversion"/>
  </si>
  <si>
    <t>AutoBlowerHi_2</t>
    <phoneticPr fontId="11" type="noConversion"/>
  </si>
  <si>
    <t>AutoBlowerHi_1</t>
    <phoneticPr fontId="11" type="noConversion"/>
  </si>
  <si>
    <r>
      <t>MultiAutoblower 3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MAX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</si>
  <si>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2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MAX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</si>
  <si>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1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MAX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</si>
  <si>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3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MIN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</si>
  <si>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2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MIN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</si>
  <si>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1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MIN </t>
    </r>
    <r>
      <rPr>
        <sz val="10"/>
        <rFont val="Arial Unicode MS"/>
        <family val="2"/>
        <charset val="129"/>
      </rPr>
      <t>전압</t>
    </r>
    <phoneticPr fontId="11" type="noConversion"/>
  </si>
  <si>
    <t>Name: Tbl_AUTOStep</t>
    <phoneticPr fontId="9" type="noConversion"/>
  </si>
  <si>
    <t>Num</t>
    <phoneticPr fontId="9" type="noConversion"/>
  </si>
  <si>
    <t>Off</t>
    <phoneticPr fontId="11" type="noConversion"/>
  </si>
  <si>
    <r>
      <t>1</t>
    </r>
    <r>
      <rPr>
        <sz val="10"/>
        <rFont val="Arial Unicode MS"/>
        <family val="2"/>
        <charset val="129"/>
      </rPr>
      <t>단</t>
    </r>
    <phoneticPr fontId="11" type="noConversion"/>
  </si>
  <si>
    <t>Low</t>
    <phoneticPr fontId="11" type="noConversion"/>
  </si>
  <si>
    <r>
      <t>2</t>
    </r>
    <r>
      <rPr>
        <sz val="10"/>
        <rFont val="Arial Unicode MS"/>
        <family val="2"/>
        <charset val="129"/>
      </rPr>
      <t>단</t>
    </r>
    <phoneticPr fontId="11" type="noConversion"/>
  </si>
  <si>
    <t>Medium</t>
    <phoneticPr fontId="11" type="noConversion"/>
  </si>
  <si>
    <r>
      <t>3</t>
    </r>
    <r>
      <rPr>
        <sz val="10"/>
        <rFont val="Arial Unicode MS"/>
        <family val="2"/>
        <charset val="129"/>
      </rPr>
      <t>단</t>
    </r>
    <phoneticPr fontId="11" type="noConversion"/>
  </si>
  <si>
    <t>High</t>
    <phoneticPr fontId="11" type="noConversion"/>
  </si>
  <si>
    <t>Name: Tbl_MltAutBlrTxt</t>
    <phoneticPr fontId="9" type="noConversion"/>
  </si>
  <si>
    <t>AUTOStep</t>
    <phoneticPr fontId="11" type="noConversion"/>
  </si>
  <si>
    <t>DATC_AUTOStep</t>
    <phoneticPr fontId="11" type="noConversion"/>
  </si>
  <si>
    <r>
      <t xml:space="preserve">Auto </t>
    </r>
    <r>
      <rPr>
        <sz val="10"/>
        <rFont val="Arial Unicode MS"/>
        <family val="2"/>
        <charset val="129"/>
      </rPr>
      <t>단수</t>
    </r>
    <phoneticPr fontId="11" type="noConversion"/>
  </si>
  <si>
    <t>MltAutBlrTxt</t>
    <phoneticPr fontId="11" type="noConversion"/>
  </si>
  <si>
    <t>DATC_MltAutBlrTxt</t>
    <phoneticPr fontId="11" type="noConversion"/>
  </si>
  <si>
    <r>
      <t xml:space="preserve">Multi Auto Blower </t>
    </r>
    <r>
      <rPr>
        <sz val="10"/>
        <rFont val="Arial Unicode MS"/>
        <family val="2"/>
        <charset val="129"/>
      </rPr>
      <t>단수</t>
    </r>
    <phoneticPr fontId="11" type="noConversion"/>
  </si>
  <si>
    <t>DATC_EngStrtReq</t>
  </si>
  <si>
    <t>DATC_IsgInhbtReq</t>
  </si>
  <si>
    <t>EMS11 - N</t>
    <phoneticPr fontId="11" type="noConversion"/>
  </si>
  <si>
    <r>
      <t xml:space="preserve">Display </t>
    </r>
    <r>
      <rPr>
        <sz val="10"/>
        <rFont val="Arial Unicode MS"/>
        <family val="2"/>
        <charset val="129"/>
      </rPr>
      <t>관련</t>
    </r>
    <phoneticPr fontId="11" type="noConversion"/>
  </si>
  <si>
    <r>
      <t xml:space="preserve">CO2 </t>
    </r>
    <r>
      <rPr>
        <b/>
        <sz val="10"/>
        <rFont val="Arial Unicode MS"/>
        <family val="2"/>
        <charset val="129"/>
      </rPr>
      <t>농도</t>
    </r>
    <r>
      <rPr>
        <b/>
        <sz val="10"/>
        <rFont val="Arial"/>
        <family val="2"/>
      </rPr>
      <t xml:space="preserve"> [PPM]</t>
    </r>
    <phoneticPr fontId="9" type="noConversion"/>
  </si>
  <si>
    <r>
      <rPr>
        <b/>
        <sz val="10"/>
        <rFont val="Arial Unicode MS"/>
        <family val="2"/>
        <charset val="129"/>
      </rPr>
      <t>출력전압</t>
    </r>
    <r>
      <rPr>
        <b/>
        <sz val="10"/>
        <rFont val="Arial"/>
        <family val="2"/>
      </rPr>
      <t xml:space="preserve"> [V]</t>
    </r>
    <phoneticPr fontId="9" type="noConversion"/>
  </si>
  <si>
    <r>
      <t xml:space="preserve">Actuator </t>
    </r>
    <r>
      <rPr>
        <sz val="10"/>
        <rFont val="Arial Unicode MS"/>
        <family val="2"/>
        <charset val="129"/>
      </rPr>
      <t>및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출력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관련</t>
    </r>
    <phoneticPr fontId="11" type="noConversion"/>
  </si>
  <si>
    <r>
      <t xml:space="preserve">Sensor IN/OUT </t>
    </r>
    <r>
      <rPr>
        <sz val="10"/>
        <rFont val="Arial Unicode MS"/>
        <family val="2"/>
        <charset val="129"/>
      </rPr>
      <t>관련</t>
    </r>
    <phoneticPr fontId="11" type="noConversion"/>
  </si>
  <si>
    <r>
      <t xml:space="preserve">AC&amp;Intake </t>
    </r>
    <r>
      <rPr>
        <sz val="10"/>
        <rFont val="Arial Unicode MS"/>
        <family val="2"/>
        <charset val="129"/>
      </rPr>
      <t>해제복귀</t>
    </r>
    <phoneticPr fontId="11" type="noConversion"/>
  </si>
  <si>
    <r>
      <rPr>
        <sz val="10"/>
        <rFont val="Arial Unicode MS"/>
        <family val="2"/>
        <charset val="129"/>
      </rPr>
      <t>검증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환경에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따라</t>
    </r>
    <r>
      <rPr>
        <sz val="10"/>
        <rFont val="Arial"/>
        <family val="2"/>
      </rPr>
      <t xml:space="preserve"> B+ </t>
    </r>
    <r>
      <rPr>
        <sz val="10"/>
        <rFont val="Arial Unicode MS"/>
        <family val="2"/>
        <charset val="129"/>
      </rPr>
      <t>전압은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바뀔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수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있음</t>
    </r>
    <phoneticPr fontId="11" type="noConversion"/>
  </si>
  <si>
    <r>
      <rPr>
        <sz val="10"/>
        <rFont val="Arial Unicode MS"/>
        <family val="2"/>
        <charset val="129"/>
      </rPr>
      <t>차속</t>
    </r>
    <r>
      <rPr>
        <sz val="10"/>
        <rFont val="Arial"/>
        <family val="2"/>
      </rPr>
      <t xml:space="preserve">, </t>
    </r>
    <r>
      <rPr>
        <sz val="10"/>
        <rFont val="Arial Unicode MS"/>
        <family val="2"/>
        <charset val="129"/>
      </rPr>
      <t>휠속도</t>
    </r>
    <phoneticPr fontId="11" type="noConversion"/>
  </si>
  <si>
    <r>
      <t xml:space="preserve">CO2 </t>
    </r>
    <r>
      <rPr>
        <sz val="10"/>
        <rFont val="Arial Unicode MS"/>
        <family val="2"/>
        <charset val="129"/>
      </rPr>
      <t>환기작동</t>
    </r>
    <r>
      <rPr>
        <sz val="10"/>
        <rFont val="Arial"/>
        <family val="2"/>
      </rPr>
      <t xml:space="preserve"> / 00h: </t>
    </r>
    <r>
      <rPr>
        <sz val="10"/>
        <rFont val="Arial Unicode MS"/>
        <family val="2"/>
        <charset val="129"/>
      </rPr>
      <t>해제</t>
    </r>
    <r>
      <rPr>
        <sz val="10"/>
        <rFont val="Arial"/>
        <family val="2"/>
      </rPr>
      <t xml:space="preserve">, 01h </t>
    </r>
    <r>
      <rPr>
        <sz val="10"/>
        <rFont val="Arial Unicode MS"/>
        <family val="2"/>
        <charset val="129"/>
      </rPr>
      <t>작동</t>
    </r>
    <phoneticPr fontId="11" type="noConversion"/>
  </si>
  <si>
    <r>
      <rPr>
        <sz val="10"/>
        <rFont val="Arial Unicode MS"/>
        <family val="2"/>
        <charset val="129"/>
      </rPr>
      <t>이온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</si>
  <si>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ISG Eng Start </t>
    </r>
    <r>
      <rPr>
        <sz val="10"/>
        <rFont val="Arial Unicode MS"/>
        <family val="2"/>
        <charset val="129"/>
      </rPr>
      <t>금지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</si>
  <si>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r>
      <t>Amb.(</t>
    </r>
    <r>
      <rPr>
        <b/>
        <sz val="10"/>
        <color indexed="9"/>
        <rFont val="맑은 고딕"/>
        <family val="3"/>
        <charset val="129"/>
      </rPr>
      <t>℃</t>
    </r>
    <r>
      <rPr>
        <b/>
        <sz val="10"/>
        <color indexed="9"/>
        <rFont val="Arial"/>
        <family val="2"/>
      </rPr>
      <t>)</t>
    </r>
    <phoneticPr fontId="37" type="noConversion"/>
  </si>
  <si>
    <r>
      <rPr>
        <b/>
        <sz val="10"/>
        <color indexed="9"/>
        <rFont val="맑은 고딕"/>
        <family val="3"/>
        <charset val="129"/>
      </rPr>
      <t>외기온
상승시</t>
    </r>
    <phoneticPr fontId="37" type="noConversion"/>
  </si>
  <si>
    <r>
      <rPr>
        <b/>
        <sz val="10"/>
        <color indexed="9"/>
        <rFont val="맑은 고딕"/>
        <family val="3"/>
        <charset val="129"/>
      </rPr>
      <t>외기온
하강시</t>
    </r>
    <phoneticPr fontId="37" type="noConversion"/>
  </si>
  <si>
    <r>
      <t xml:space="preserve">TD Blower </t>
    </r>
    <r>
      <rPr>
        <b/>
        <sz val="10"/>
        <color theme="0"/>
        <rFont val="맑은 고딕"/>
        <family val="3"/>
        <charset val="129"/>
      </rPr>
      <t>하한치</t>
    </r>
    <r>
      <rPr>
        <b/>
        <sz val="10"/>
        <color theme="0"/>
        <rFont val="Arial"/>
        <family val="2"/>
      </rPr>
      <t xml:space="preserve"> (V)</t>
    </r>
    <phoneticPr fontId="37" type="noConversion"/>
  </si>
  <si>
    <r>
      <t xml:space="preserve">INCAR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</si>
  <si>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rPr>
        <sz val="10"/>
        <rFont val="굴림"/>
        <family val="2"/>
        <charset val="129"/>
      </rPr>
      <t>외기온</t>
    </r>
    <r>
      <rPr>
        <sz val="10"/>
        <rFont val="Arial Unicode MS"/>
        <family val="2"/>
        <charset val="129"/>
      </rPr>
      <t>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</si>
  <si>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t xml:space="preserve">Eva Dr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</si>
  <si>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t xml:space="preserve">Eva Ps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</si>
  <si>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관련</t>
    </r>
    <phoneticPr fontId="11" type="noConversion"/>
  </si>
  <si>
    <t>DATC_PtcRlySta</t>
    <phoneticPr fontId="11" type="noConversion"/>
  </si>
  <si>
    <t>PTC_RELAY_Sta</t>
    <phoneticPr fontId="11" type="noConversion"/>
  </si>
  <si>
    <r>
      <t xml:space="preserve">PTC RELAY </t>
    </r>
    <r>
      <rPr>
        <sz val="10"/>
        <rFont val="Arial Unicode MS"/>
        <family val="2"/>
        <charset val="129"/>
      </rPr>
      <t>제어</t>
    </r>
    <r>
      <rPr>
        <sz val="10"/>
        <rFont val="Arial"/>
        <family val="2"/>
      </rPr>
      <t xml:space="preserve"> CAN SIGNAL</t>
    </r>
    <phoneticPr fontId="11" type="noConversion"/>
  </si>
  <si>
    <t>0x0:PTC OFF / 0x1:PTC ON Lv1 / 0x2:PTC ON Lv1&amp;2 / 0x3:PTC ON Lv1&amp;2&amp;3</t>
    <phoneticPr fontId="11" type="noConversion"/>
  </si>
  <si>
    <t>CLU_DrvngModSwSta</t>
    <phoneticPr fontId="11" type="noConversion"/>
  </si>
  <si>
    <t>DrvngModSwSta</t>
    <phoneticPr fontId="11" type="noConversion"/>
  </si>
  <si>
    <r>
      <t xml:space="preserve">ECO Switch ON/OFF </t>
    </r>
    <r>
      <rPr>
        <sz val="10"/>
        <rFont val="Arial Unicode MS"/>
        <family val="2"/>
        <charset val="129"/>
      </rPr>
      <t>신호</t>
    </r>
    <phoneticPr fontId="11" type="noConversion"/>
  </si>
  <si>
    <t>문요셉, 임효경</t>
    <phoneticPr fontId="5" type="noConversion"/>
  </si>
  <si>
    <t>User_Profile</t>
    <phoneticPr fontId="11" type="noConversion"/>
  </si>
  <si>
    <t>IAU_ProfileIDRVal</t>
    <phoneticPr fontId="11" type="noConversion"/>
  </si>
  <si>
    <t>Command_Blw</t>
    <phoneticPr fontId="11" type="noConversion"/>
  </si>
  <si>
    <t>HU_DATC_MainBlower</t>
    <phoneticPr fontId="11" type="noConversion"/>
  </si>
  <si>
    <t>0x0:DATC Off/0x1:0 level (Do not use)/0x2:1 level/0x3:2 level/0x4:3 level/0x5:4 level/0x6:5 level/0x7:6 level/0x8:7 level/0x9:8 level/0xA~0xE:RESERVED/0xF:Invalid</t>
    <phoneticPr fontId="11" type="noConversion"/>
  </si>
  <si>
    <t>FrChgReqDis</t>
    <phoneticPr fontId="11" type="noConversion"/>
  </si>
  <si>
    <t>DATC_FrChgReqDis</t>
    <phoneticPr fontId="11" type="noConversion"/>
  </si>
  <si>
    <t>FrontChangeRequestDisplay / 0x0:OFF/0x1:User Input/0x2:Not used/0x3:Error Indicator</t>
    <phoneticPr fontId="11" type="noConversion"/>
  </si>
  <si>
    <t>Eng_IdleRpm</t>
    <phoneticPr fontId="11" type="noConversion"/>
  </si>
  <si>
    <t>DATC_EngldlRpmUpReq</t>
    <phoneticPr fontId="11" type="noConversion"/>
  </si>
  <si>
    <t>Compressor</t>
    <phoneticPr fontId="11" type="noConversion"/>
  </si>
  <si>
    <t>DATC_AcnCompTyp</t>
    <phoneticPr fontId="11" type="noConversion"/>
  </si>
  <si>
    <t>BLW_MAX</t>
    <phoneticPr fontId="11" type="noConversion"/>
  </si>
  <si>
    <t>DATC_BlwMaxSta</t>
    <phoneticPr fontId="11" type="noConversion"/>
  </si>
  <si>
    <t>BLW_IS_IN</t>
    <phoneticPr fontId="11" type="noConversion"/>
  </si>
  <si>
    <t>BLW_IS(V)_IN</t>
    <phoneticPr fontId="11" type="noConversion"/>
  </si>
  <si>
    <r>
      <t xml:space="preserve">blw is </t>
    </r>
    <r>
      <rPr>
        <sz val="10"/>
        <rFont val="Arial Unicode MS"/>
        <family val="2"/>
        <charset val="129"/>
      </rPr>
      <t>전압</t>
    </r>
    <phoneticPr fontId="11" type="noConversion"/>
  </si>
  <si>
    <t>SmartVent_Set</t>
    <phoneticPr fontId="11" type="noConversion"/>
  </si>
  <si>
    <t>DATC_SmartVentOnOffSet</t>
    <phoneticPr fontId="11" type="noConversion"/>
  </si>
  <si>
    <t>SmartVent_Status</t>
    <phoneticPr fontId="11" type="noConversion"/>
  </si>
  <si>
    <t>DATC_SmrtVntOnOffSta</t>
    <phoneticPr fontId="11" type="noConversion"/>
  </si>
  <si>
    <t>SmartVent_Symbol</t>
    <phoneticPr fontId="11" type="noConversion"/>
  </si>
  <si>
    <t>DATC_SmartVentDisp</t>
    <phoneticPr fontId="11" type="noConversion"/>
  </si>
  <si>
    <t>PTGM_Type</t>
    <phoneticPr fontId="11" type="noConversion"/>
  </si>
  <si>
    <t>PTGM_OptTyp</t>
    <phoneticPr fontId="11" type="noConversion"/>
  </si>
  <si>
    <t>PTGM_OptionType</t>
    <phoneticPr fontId="11" type="noConversion"/>
  </si>
  <si>
    <t>PTGM_Status</t>
    <phoneticPr fontId="11" type="noConversion"/>
  </si>
  <si>
    <t>PTGM_OpnClsState</t>
    <phoneticPr fontId="11" type="noConversion"/>
  </si>
  <si>
    <t>PTGM Open/Close Status</t>
  </si>
  <si>
    <t>Eng_ACRS</t>
    <phoneticPr fontId="11" type="noConversion"/>
  </si>
  <si>
    <t>ENG_AirCompRlySta</t>
    <phoneticPr fontId="11" type="noConversion"/>
  </si>
  <si>
    <t>0x0:Air conditioner compressor relay OFF/0x1:Air conditioner compressor relay ON/0x2:Not used/0x3:Error indicator</t>
    <phoneticPr fontId="11" type="noConversion"/>
  </si>
  <si>
    <t>SunRoof_Open</t>
    <phoneticPr fontId="11" type="noConversion"/>
  </si>
  <si>
    <t>BCM_SunRoofOpnSta</t>
    <phoneticPr fontId="11" type="noConversion"/>
  </si>
  <si>
    <t>VC_VRActivity</t>
    <phoneticPr fontId="11" type="noConversion"/>
  </si>
  <si>
    <t>HU_VRActivity</t>
    <phoneticPr fontId="11" type="noConversion"/>
  </si>
  <si>
    <t>VC_IVRActivity</t>
    <phoneticPr fontId="11" type="noConversion"/>
  </si>
  <si>
    <t>TMU_IVRActivity</t>
    <phoneticPr fontId="11" type="noConversion"/>
  </si>
  <si>
    <t>ION_Sign</t>
    <phoneticPr fontId="11" type="noConversion"/>
  </si>
  <si>
    <t>CLEAN_Sign</t>
    <phoneticPr fontId="11" type="noConversion"/>
  </si>
  <si>
    <t>AutoWashMode</t>
    <phoneticPr fontId="11" type="noConversion"/>
  </si>
  <si>
    <t>CF_AVN_AutoWashModeSta</t>
    <phoneticPr fontId="11" type="noConversion"/>
  </si>
  <si>
    <t>AutoCutMode</t>
    <phoneticPr fontId="11" type="noConversion"/>
  </si>
  <si>
    <t>ICU_PowerAutoCutModSta</t>
    <phoneticPr fontId="11" type="noConversion"/>
  </si>
  <si>
    <t>AirconPrsRns</t>
    <phoneticPr fontId="11" type="noConversion"/>
  </si>
  <si>
    <t>ENG_AirconPrsrSnsrVal</t>
    <phoneticPr fontId="11" type="noConversion"/>
  </si>
  <si>
    <t>AfterBlower_OS</t>
    <phoneticPr fontId="11" type="noConversion"/>
  </si>
  <si>
    <t>DATC_AfterBlowOpSta</t>
    <phoneticPr fontId="11" type="noConversion"/>
  </si>
  <si>
    <t>AfterBlower_OR</t>
    <phoneticPr fontId="11" type="noConversion"/>
  </si>
  <si>
    <t>DATC_KeyOffBlowOpReq</t>
    <phoneticPr fontId="11" type="noConversion"/>
  </si>
  <si>
    <t>AfterBlower_PDC</t>
    <phoneticPr fontId="11" type="noConversion"/>
  </si>
  <si>
    <t>PDC_BatPwrStateClassB</t>
  </si>
  <si>
    <t>AfterBlower_Symbol</t>
    <phoneticPr fontId="11" type="noConversion"/>
  </si>
  <si>
    <t>Blw_Symbol</t>
    <phoneticPr fontId="11" type="noConversion"/>
  </si>
  <si>
    <r>
      <rPr>
        <sz val="10"/>
        <rFont val="Arial Unicode MS"/>
        <family val="2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블로우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심볼</t>
    </r>
    <phoneticPr fontId="11" type="noConversion"/>
  </si>
  <si>
    <r>
      <t xml:space="preserve">IDLE RPM </t>
    </r>
    <r>
      <rPr>
        <sz val="10"/>
        <rFont val="Arial Unicode MS"/>
        <family val="2"/>
        <charset val="129"/>
      </rPr>
      <t>상향요청</t>
    </r>
    <r>
      <rPr>
        <sz val="10"/>
        <rFont val="Arial"/>
        <family val="2"/>
      </rPr>
      <t xml:space="preserve">/0H </t>
    </r>
    <r>
      <rPr>
        <sz val="10"/>
        <rFont val="Arial Unicode MS"/>
        <family val="2"/>
        <charset val="129"/>
      </rPr>
      <t>해제시</t>
    </r>
    <r>
      <rPr>
        <sz val="10"/>
        <rFont val="Arial"/>
        <family val="2"/>
      </rPr>
      <t xml:space="preserve">, 3H </t>
    </r>
    <r>
      <rPr>
        <sz val="10"/>
        <rFont val="Arial Unicode MS"/>
        <family val="2"/>
        <charset val="129"/>
      </rPr>
      <t>진입조건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만족시</t>
    </r>
    <r>
      <rPr>
        <sz val="10"/>
        <rFont val="Arial"/>
        <family val="2"/>
      </rPr>
      <t>)</t>
    </r>
    <phoneticPr fontId="11" type="noConversion"/>
  </si>
  <si>
    <r>
      <t xml:space="preserve">COMP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시그널</t>
    </r>
    <phoneticPr fontId="11" type="noConversion"/>
  </si>
  <si>
    <r>
      <t xml:space="preserve">Blower Max </t>
    </r>
    <r>
      <rPr>
        <sz val="10"/>
        <rFont val="Arial Unicode MS"/>
        <family val="2"/>
        <charset val="129"/>
      </rPr>
      <t>시그널</t>
    </r>
    <r>
      <rPr>
        <sz val="10"/>
        <rFont val="Arial"/>
        <family val="2"/>
      </rPr>
      <t>/  0x0:NOT Max blower speed/0x1:Max blower speed/0x2:Not used/0x3:Error Indicator</t>
    </r>
    <phoneticPr fontId="11" type="noConversion"/>
  </si>
  <si>
    <r>
      <t xml:space="preserve">SmartVent </t>
    </r>
    <r>
      <rPr>
        <sz val="10"/>
        <rFont val="Arial Unicode MS"/>
        <family val="2"/>
        <charset val="129"/>
      </rPr>
      <t>세팅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r>
      <rPr>
        <sz val="10"/>
        <rFont val="Arial"/>
        <family val="2"/>
      </rPr>
      <t xml:space="preserve"> 0x0:Function Off/0x1:Function On/0x2:reserved/0x3:Invalid</t>
    </r>
    <phoneticPr fontId="11" type="noConversion"/>
  </si>
  <si>
    <r>
      <t xml:space="preserve">SmartVent </t>
    </r>
    <r>
      <rPr>
        <sz val="10"/>
        <rFont val="Arial Unicode MS"/>
        <family val="2"/>
        <charset val="129"/>
      </rPr>
      <t>피드백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r>
      <rPr>
        <sz val="10"/>
        <rFont val="Arial"/>
        <family val="2"/>
      </rPr>
      <t xml:space="preserve"> 0x0:Fuction Off/0x1:Function On/0x2:Not Used/0x3:Error Indicator</t>
    </r>
    <phoneticPr fontId="11" type="noConversion"/>
  </si>
  <si>
    <r>
      <t xml:space="preserve">SmartVent </t>
    </r>
    <r>
      <rPr>
        <sz val="10"/>
        <rFont val="Arial Unicode MS"/>
        <family val="2"/>
        <charset val="129"/>
      </rPr>
      <t>심볼신호</t>
    </r>
    <r>
      <rPr>
        <sz val="10"/>
        <rFont val="Arial"/>
        <family val="2"/>
      </rPr>
      <t xml:space="preserve"> 0x0:Fuction Off/0x1:ADS Only/0x2:CO2 Only </t>
    </r>
    <r>
      <rPr>
        <sz val="10"/>
        <rFont val="Arial Unicode MS"/>
        <family val="2"/>
        <charset val="129"/>
      </rPr>
      <t>및</t>
    </r>
    <r>
      <rPr>
        <sz val="10"/>
        <rFont val="Arial"/>
        <family val="2"/>
      </rPr>
      <t xml:space="preserve"> CO2&amp;ADS </t>
    </r>
    <r>
      <rPr>
        <sz val="10"/>
        <rFont val="Arial Unicode MS"/>
        <family val="2"/>
        <charset val="129"/>
      </rPr>
      <t>동시작동</t>
    </r>
    <phoneticPr fontId="11" type="noConversion"/>
  </si>
  <si>
    <r>
      <rPr>
        <sz val="10"/>
        <rFont val="돋움"/>
        <family val="2"/>
        <charset val="129"/>
      </rPr>
      <t>선루프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열림신호</t>
    </r>
    <r>
      <rPr>
        <sz val="10"/>
        <rFont val="Arial"/>
        <family val="2"/>
      </rPr>
      <t xml:space="preserve">/ 0H </t>
    </r>
    <r>
      <rPr>
        <sz val="10"/>
        <rFont val="돋움"/>
        <family val="2"/>
        <charset val="129"/>
      </rPr>
      <t>닫힘</t>
    </r>
    <r>
      <rPr>
        <sz val="10"/>
        <rFont val="Arial"/>
        <family val="2"/>
      </rPr>
      <t xml:space="preserve">, 1H </t>
    </r>
    <r>
      <rPr>
        <sz val="10"/>
        <rFont val="돋움"/>
        <family val="2"/>
        <charset val="129"/>
      </rPr>
      <t>열림</t>
    </r>
    <phoneticPr fontId="11" type="noConversion"/>
  </si>
  <si>
    <r>
      <rPr>
        <sz val="10"/>
        <rFont val="Arial Unicode MS"/>
        <family val="2"/>
        <charset val="129"/>
      </rPr>
      <t>음성인식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phoneticPr fontId="11" type="noConversion"/>
  </si>
  <si>
    <r>
      <t xml:space="preserve">TMU </t>
    </r>
    <r>
      <rPr>
        <sz val="10"/>
        <rFont val="Arial Unicode MS"/>
        <family val="2"/>
        <charset val="129"/>
      </rPr>
      <t>단말</t>
    </r>
    <r>
      <rPr>
        <sz val="10"/>
        <rFont val="Arial"/>
        <family val="2"/>
      </rPr>
      <t>/</t>
    </r>
    <r>
      <rPr>
        <sz val="10"/>
        <rFont val="Arial Unicode MS"/>
        <family val="2"/>
        <charset val="129"/>
      </rPr>
      <t>센터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음성</t>
    </r>
    <phoneticPr fontId="11" type="noConversion"/>
  </si>
  <si>
    <r>
      <rPr>
        <sz val="10"/>
        <rFont val="Arial Unicode MS"/>
        <family val="2"/>
        <charset val="129"/>
      </rPr>
      <t>세차모드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진입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시그널</t>
    </r>
    <phoneticPr fontId="11" type="noConversion"/>
  </si>
  <si>
    <r>
      <rPr>
        <sz val="10"/>
        <rFont val="Arial Unicode MS"/>
        <family val="2"/>
        <charset val="129"/>
      </rPr>
      <t>차량모드구분</t>
    </r>
    <r>
      <rPr>
        <sz val="10"/>
        <rFont val="Arial"/>
        <family val="2"/>
      </rPr>
      <t xml:space="preserve"> 0x0: Factory mode, 0x1 dealer mode/ 0x2 Customer mode/ 0x3 Error ind</t>
    </r>
    <phoneticPr fontId="11" type="noConversion"/>
  </si>
  <si>
    <r>
      <rPr>
        <sz val="10"/>
        <rFont val="굴림"/>
        <family val="2"/>
        <charset val="129"/>
      </rPr>
      <t>냉매입력값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수신신호</t>
    </r>
    <r>
      <rPr>
        <sz val="10"/>
        <rFont val="Arial"/>
        <family val="2"/>
      </rPr>
      <t xml:space="preserve"> 0xFF: </t>
    </r>
    <r>
      <rPr>
        <sz val="10"/>
        <rFont val="굴림"/>
        <family val="2"/>
        <charset val="129"/>
      </rPr>
      <t>에러</t>
    </r>
    <phoneticPr fontId="11" type="noConversion"/>
  </si>
  <si>
    <r>
      <rPr>
        <sz val="10"/>
        <rFont val="Arial Unicode MS"/>
        <family val="2"/>
        <charset val="129"/>
      </rPr>
      <t>에프터블로우</t>
    </r>
    <r>
      <rPr>
        <sz val="10"/>
        <rFont val="Arial"/>
        <family val="2"/>
      </rPr>
      <t>_Status , 0x0:Default/0x1:Not Operation Status/0x2:Operation Status/0x3:Error Indicator</t>
    </r>
    <phoneticPr fontId="11" type="noConversion"/>
  </si>
  <si>
    <r>
      <rPr>
        <sz val="10"/>
        <rFont val="맑은 고딕"/>
        <family val="3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블로우</t>
    </r>
    <r>
      <rPr>
        <sz val="10"/>
        <rFont val="Arial"/>
        <family val="2"/>
      </rPr>
      <t>_Request , 0x0:Off (Default)/0x1:On Request/0x2:RESERVED/0x3:Error Indicator</t>
    </r>
    <phoneticPr fontId="11" type="noConversion"/>
  </si>
  <si>
    <r>
      <rPr>
        <sz val="10"/>
        <rFont val="Arial Unicode MS"/>
        <family val="2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블로우</t>
    </r>
    <r>
      <rPr>
        <sz val="10"/>
        <rFont val="Arial"/>
        <family val="2"/>
      </rPr>
      <t xml:space="preserve"> Battery Power State classb / 0x0:Invalid/0x1:Low power condition for ClassB-load operation/0x2:High power condition for ClassB-load operation/0x3:RESERVED</t>
    </r>
    <phoneticPr fontId="11" type="noConversion"/>
  </si>
  <si>
    <t>WhlHeat_Whl_Set</t>
    <phoneticPr fontId="11" type="noConversion"/>
  </si>
  <si>
    <t>WhlHeat_Heat_Set</t>
    <phoneticPr fontId="11" type="noConversion"/>
  </si>
  <si>
    <t>CR_Datc_DRSeatHeat_USM_Set</t>
  </si>
  <si>
    <t>WhlHeat_Whl_Sta</t>
    <phoneticPr fontId="11" type="noConversion"/>
  </si>
  <si>
    <t>WhlHeat_Heat_Sta</t>
    <phoneticPr fontId="11" type="noConversion"/>
  </si>
  <si>
    <t>DATC_DrvrStHtrUSMSta</t>
  </si>
  <si>
    <t>DATC_StrWhlHtngReq</t>
  </si>
  <si>
    <t>WhlHeat_LH_Step</t>
    <phoneticPr fontId="11" type="noConversion"/>
  </si>
  <si>
    <t>DATC_FLStOpReq</t>
  </si>
  <si>
    <t>WhlHeat_RH_Step</t>
    <phoneticPr fontId="11" type="noConversion"/>
  </si>
  <si>
    <t>DATC_FRStOpReq</t>
  </si>
  <si>
    <t>WhlHeat_Drv</t>
    <phoneticPr fontId="11" type="noConversion"/>
  </si>
  <si>
    <t>Drv_SHVU_SeatOptSta</t>
  </si>
  <si>
    <t>WhlHeat_Ast</t>
    <phoneticPr fontId="11" type="noConversion"/>
  </si>
  <si>
    <t>Ast_SHVU_SeatOptSta</t>
  </si>
  <si>
    <t>WhlHeat_ICU</t>
    <phoneticPr fontId="11" type="noConversion"/>
  </si>
  <si>
    <t>C_StrgWhlHeatingOpt</t>
  </si>
  <si>
    <t>WhlHeat_Whl_Step</t>
    <phoneticPr fontId="11" type="noConversion"/>
  </si>
  <si>
    <t>0x0:Fuction Off/0x1:Function On/0x2:reserved/0x3:Invalid</t>
    <phoneticPr fontId="11" type="noConversion"/>
  </si>
  <si>
    <t>CR_Datc_DRSeatWheel_USM_Set</t>
    <phoneticPr fontId="11" type="noConversion"/>
  </si>
  <si>
    <t>0x0:Default/0x1:Off/0x2:On/0x3:Invalid</t>
  </si>
  <si>
    <t>EngTyp1</t>
    <phoneticPr fontId="11" type="noConversion"/>
  </si>
  <si>
    <t>EngTyp2</t>
    <phoneticPr fontId="11" type="noConversion"/>
  </si>
  <si>
    <t>EngDsplceTyp</t>
    <phoneticPr fontId="11" type="noConversion"/>
  </si>
  <si>
    <t>TqStndValExt</t>
    <phoneticPr fontId="11" type="noConversion"/>
  </si>
  <si>
    <t>ENG_TqStndValExt</t>
    <phoneticPr fontId="11" type="noConversion"/>
  </si>
  <si>
    <t>ENG_EngDsplceTyp</t>
    <phoneticPr fontId="11" type="noConversion"/>
  </si>
  <si>
    <t>ENG_EngTyp1</t>
    <phoneticPr fontId="11" type="noConversion"/>
  </si>
  <si>
    <t>ENG_EngTyp2</t>
    <phoneticPr fontId="11" type="noConversion"/>
  </si>
  <si>
    <t>EMS12 - ENG_VOL</t>
    <phoneticPr fontId="11" type="noConversion"/>
  </si>
  <si>
    <t>EMS23 - ENG_TYPE</t>
    <phoneticPr fontId="11" type="noConversion"/>
  </si>
  <si>
    <t>EMS12 - ENG_CHR</t>
    <phoneticPr fontId="11" type="noConversion"/>
  </si>
  <si>
    <t>EMS12 - TQ_STND</t>
    <phoneticPr fontId="11" type="noConversion"/>
  </si>
  <si>
    <t>0x0:epsilon(ε)/0x1:gamma(γ)/0x2:kappa(κ)/0x3:theta(θ)/0x4:nu(ν)/0x5:lambda(λ)/0x6:tau(τ)/0xA:S/0xB:A/0xC:R/0xD:U/0xE:D/0xF:Error indicator</t>
    <phoneticPr fontId="11" type="noConversion"/>
  </si>
  <si>
    <t>0x0:LPI/0x1:MPI/0x2:GDI/0x3:TGDI/0x4:CVVL/0x5:CVVD/0x6:PDI/0x7:FFV/0x8:TCI/0x9:VGT/0xA:Turbo/0xB:E-SC/0xE:Not used/0xF:Error indicator</t>
    <phoneticPr fontId="11" type="noConversion"/>
  </si>
  <si>
    <t>0xFF:Error indicator, Factor : 0.1</t>
    <phoneticPr fontId="11" type="noConversion"/>
  </si>
  <si>
    <t>Factor : 10</t>
    <phoneticPr fontId="11" type="noConversion"/>
  </si>
  <si>
    <t>Vert_Air_Count_1</t>
    <phoneticPr fontId="11" type="noConversion"/>
  </si>
  <si>
    <t>Count_1</t>
  </si>
  <si>
    <t>Vert_Air_Count_2</t>
  </si>
  <si>
    <t>Count_2</t>
  </si>
  <si>
    <t>Vert_Air_Count_3</t>
  </si>
  <si>
    <t>Count_3</t>
  </si>
  <si>
    <t>Vert_Air_Count_4</t>
  </si>
  <si>
    <t>Count_4</t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</si>
  <si>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Relay AC On/Off, EMS11 - RLY_AC</t>
    </r>
    <phoneticPr fontId="11" type="noConversion"/>
  </si>
  <si>
    <r>
      <t xml:space="preserve">ISG Start </t>
    </r>
    <r>
      <rPr>
        <sz val="10"/>
        <rFont val="돋움"/>
        <family val="2"/>
        <charset val="129"/>
      </rPr>
      <t>신호</t>
    </r>
    <r>
      <rPr>
        <sz val="10"/>
        <rFont val="Arial"/>
        <family val="2"/>
      </rPr>
      <t>, EMS_H12 - CF_Ems_IsgStat</t>
    </r>
    <phoneticPr fontId="11" type="noConversion"/>
  </si>
  <si>
    <t>ENG_IsgSta</t>
    <phoneticPr fontId="11" type="noConversion"/>
  </si>
  <si>
    <r>
      <rPr>
        <sz val="10"/>
        <rFont val="돋움"/>
        <family val="2"/>
        <charset val="129"/>
      </rPr>
      <t>클러스터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이온</t>
    </r>
    <phoneticPr fontId="11" type="noConversion"/>
  </si>
  <si>
    <t>DATC_StrWhlUSMSta</t>
    <phoneticPr fontId="11" type="noConversion"/>
  </si>
  <si>
    <t>0x0:NOT APPLY/0x1:OFF/0x2:ON/0x3:Error Indicator</t>
    <phoneticPr fontId="11" type="noConversion"/>
  </si>
  <si>
    <t>0x0:Default/0x1:Integrated control OFF/0x2:Steering Wheel heat OFF/0x3:Steering Wheel heat 1st ON/0x4:Steering Wheel heat 1st &amp; 2nd ON/0x5:Reserved/0x6:Reserved/0x7:Invalid</t>
    <phoneticPr fontId="11" type="noConversion"/>
  </si>
  <si>
    <t>0x0:Default/0x1:Integrated control OFF/0x2:OFF/0x3:Left Seat Ventilation 1st ON/0x4:Left Seat Ventilation 1st&amp;2nd ON/0x5:Left Seat Ventilation 1st&amp;2nd&amp;3rd ON/0x6:Left Seat Warmer 1st ON/0x7:Left Seat Warmer 1st&amp;2nd ON/0x8:Left Seat Warmer 1st&amp;2nd&amp;3rd ON/0x9~0xE:Not Used/0xF:Error Indicator</t>
  </si>
  <si>
    <t>0x0:Default/0x1:Integrated control OFF/0x2:OFF/0x3:Right Seat Ventilation 1st ON/0x4:Right Seat Ventilation 1st&amp;2nd ON/0x5:Right Seat Ventilation 1st&amp;2nd&amp;3rd ON/0x6:Right Seat Warmer 1st ON/0x7:Right Seat Warmer 1st&amp;2nd ON/0x8:Right Seat Warmer 1st&amp;2nd&amp;3rd ON/0x9~0xE:Not Used/0xF:Error Indicator</t>
  </si>
  <si>
    <t>0x0:Init/0x1:Heater only 2step/0x2:Heater only 3step/0x3:Vent only 2step/0x4:Vent only 3step/0x5:Heater and Vent 2step/0x6:Heater and Vent 3step/0x7:Invalid</t>
  </si>
  <si>
    <t>0x0:Not Applied/0x1:Applied(steering wheel applied)/0x2:Reserved/0x3:Invalid</t>
  </si>
  <si>
    <t>ION_Signal_IO</t>
    <phoneticPr fontId="11" type="noConversion"/>
  </si>
  <si>
    <t>CLEAN_Signal_IO</t>
    <phoneticPr fontId="11" type="noConversion"/>
  </si>
  <si>
    <t>타 제어기에 의한 공조조작 신호 무시 로직</t>
  </si>
  <si>
    <t>AirconPressureSensorValue</t>
    <phoneticPr fontId="11" type="noConversion"/>
  </si>
  <si>
    <t>REC_90%</t>
    <phoneticPr fontId="11" type="noConversion"/>
  </si>
  <si>
    <t>TempLimit</t>
    <phoneticPr fontId="11" type="noConversion"/>
  </si>
  <si>
    <t>Vent Bleed</t>
    <phoneticPr fontId="11" type="noConversion"/>
  </si>
  <si>
    <t>Close</t>
    <phoneticPr fontId="11" type="noConversion"/>
  </si>
  <si>
    <t>CF_AVN_ProfileIDRValue</t>
    <phoneticPr fontId="11" type="noConversion"/>
  </si>
  <si>
    <t>User_Profile2</t>
    <phoneticPr fontId="11" type="noConversion"/>
  </si>
  <si>
    <t>AfterBlower_USMSet</t>
    <phoneticPr fontId="11" type="noConversion"/>
  </si>
  <si>
    <t>DATC_AfterBlowUSMSet</t>
    <phoneticPr fontId="11" type="noConversion"/>
  </si>
  <si>
    <t>AfterBlower_USMSta</t>
    <phoneticPr fontId="11" type="noConversion"/>
  </si>
  <si>
    <t>DATC_AfterBlowUSMSta</t>
    <phoneticPr fontId="11" type="noConversion"/>
  </si>
  <si>
    <t>0x0:Default/0x1:After Blow USM OFF/0x2:After Blow USM ON/0x3:Error Indicator</t>
    <phoneticPr fontId="11" type="noConversion"/>
  </si>
  <si>
    <t>AfterBlower_OTA_mode</t>
    <phoneticPr fontId="11" type="noConversion"/>
  </si>
  <si>
    <t>CCU_OTA_mode</t>
    <phoneticPr fontId="11" type="noConversion"/>
  </si>
  <si>
    <t>0x0:idle/0x1:Download/0x2:BackgroundSend/0x3:UpdateReady_bf_apv/0x4:UpdateReady_af_apv/0x5:Update_preprocess/0x6:Update_PE/0x7:Update_other</t>
    <phoneticPr fontId="11" type="noConversion"/>
  </si>
  <si>
    <r>
      <t xml:space="preserve">OFF </t>
    </r>
    <r>
      <rPr>
        <b/>
        <sz val="10"/>
        <rFont val="Arial Unicode MS"/>
        <family val="2"/>
        <charset val="129"/>
      </rPr>
      <t>버튼을</t>
    </r>
    <r>
      <rPr>
        <b/>
        <sz val="10"/>
        <rFont val="Arial"/>
        <family val="2"/>
      </rPr>
      <t xml:space="preserve"> 10</t>
    </r>
    <r>
      <rPr>
        <b/>
        <sz val="10"/>
        <rFont val="맑은 고딕"/>
        <family val="3"/>
        <charset val="129"/>
      </rPr>
      <t>초간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누름</t>
    </r>
    <phoneticPr fontId="11" type="noConversion"/>
  </si>
  <si>
    <t>PTC_EN_DIS</t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</si>
  <si>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OFF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</si>
  <si>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t xml:space="preserve">PTC </t>
    </r>
    <r>
      <rPr>
        <sz val="10"/>
        <rFont val="Arial Unicode MS"/>
        <family val="2"/>
        <charset val="129"/>
      </rPr>
      <t>강제구동</t>
    </r>
    <phoneticPr fontId="11" type="noConversion"/>
  </si>
  <si>
    <t>Full_Close</t>
    <phoneticPr fontId="11" type="noConversion"/>
  </si>
  <si>
    <r>
      <rPr>
        <b/>
        <sz val="10"/>
        <color theme="0"/>
        <rFont val="맑은 고딕"/>
        <family val="3"/>
        <charset val="129"/>
      </rPr>
      <t>버튼</t>
    </r>
    <r>
      <rPr>
        <b/>
        <sz val="10"/>
        <color theme="0"/>
        <rFont val="Arial"/>
        <family val="2"/>
      </rPr>
      <t xml:space="preserve"> Input </t>
    </r>
    <r>
      <rPr>
        <b/>
        <sz val="10"/>
        <color theme="0"/>
        <rFont val="맑은 고딕"/>
        <family val="3"/>
        <charset val="129"/>
      </rPr>
      <t>용어</t>
    </r>
    <phoneticPr fontId="9" type="noConversion"/>
  </si>
  <si>
    <r>
      <t xml:space="preserve">IGN2 Off, IGN1 Off </t>
    </r>
    <r>
      <rPr>
        <sz val="10"/>
        <rFont val="Arial Unicode MS"/>
        <family val="2"/>
        <charset val="129"/>
      </rPr>
      <t>수행</t>
    </r>
    <r>
      <rPr>
        <sz val="10"/>
        <rFont val="Arial"/>
        <family val="2"/>
      </rPr>
      <t xml:space="preserve"> (EV</t>
    </r>
    <r>
      <rPr>
        <sz val="10"/>
        <rFont val="Arial Unicode MS"/>
        <family val="2"/>
        <charset val="129"/>
      </rPr>
      <t>는</t>
    </r>
    <r>
      <rPr>
        <sz val="10"/>
        <rFont val="Arial"/>
        <family val="2"/>
      </rPr>
      <t xml:space="preserve"> IGN1 </t>
    </r>
    <r>
      <rPr>
        <sz val="10"/>
        <rFont val="Arial Unicode MS"/>
        <family val="2"/>
        <charset val="129"/>
      </rPr>
      <t>대신</t>
    </r>
    <r>
      <rPr>
        <sz val="10"/>
        <rFont val="Arial"/>
        <family val="2"/>
      </rPr>
      <t xml:space="preserve"> IGN3 </t>
    </r>
    <r>
      <rPr>
        <sz val="10"/>
        <rFont val="Arial Unicode MS"/>
        <family val="2"/>
        <charset val="129"/>
      </rPr>
      <t>사용</t>
    </r>
    <r>
      <rPr>
        <sz val="10"/>
        <rFont val="Arial"/>
        <family val="2"/>
      </rPr>
      <t>)</t>
    </r>
    <phoneticPr fontId="9" type="noConversion"/>
  </si>
  <si>
    <r>
      <rPr>
        <sz val="10"/>
        <rFont val="굴림"/>
        <family val="2"/>
        <charset val="129"/>
      </rPr>
      <t>개별공조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버튼</t>
    </r>
    <phoneticPr fontId="9" type="noConversion"/>
  </si>
  <si>
    <r>
      <rPr>
        <sz val="10"/>
        <color theme="1"/>
        <rFont val="맑은 고딕"/>
        <family val="3"/>
        <charset val="129"/>
      </rPr>
      <t>온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도</t>
    </r>
  </si>
  <si>
    <r>
      <rPr>
        <sz val="10"/>
        <color theme="1"/>
        <rFont val="맑은 고딕"/>
        <family val="3"/>
        <charset val="129"/>
      </rPr>
      <t>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항</t>
    </r>
  </si>
  <si>
    <r>
      <t>(</t>
    </r>
    <r>
      <rPr>
        <sz val="10"/>
        <color theme="1"/>
        <rFont val="맑은 고딕"/>
        <family val="3"/>
        <charset val="129"/>
      </rPr>
      <t>℃</t>
    </r>
    <r>
      <rPr>
        <sz val="10"/>
        <color theme="1"/>
        <rFont val="Arial"/>
        <family val="2"/>
      </rPr>
      <t>)</t>
    </r>
  </si>
  <si>
    <r>
      <t xml:space="preserve">TEMP </t>
    </r>
    <r>
      <rPr>
        <sz val="10"/>
        <rFont val="Arial Unicode MS"/>
        <family val="2"/>
        <charset val="129"/>
      </rPr>
      <t>하한치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규제</t>
    </r>
    <phoneticPr fontId="11" type="noConversion"/>
  </si>
  <si>
    <r>
      <rPr>
        <sz val="10"/>
        <rFont val="Arial Unicode MS"/>
        <family val="2"/>
        <charset val="129"/>
      </rPr>
      <t>냉매압</t>
    </r>
    <r>
      <rPr>
        <sz val="10"/>
        <rFont val="Arial"/>
        <family val="2"/>
      </rPr>
      <t>, EMS_H12 - R_PAcnC</t>
    </r>
    <phoneticPr fontId="11" type="noConversion"/>
  </si>
  <si>
    <r>
      <rPr>
        <sz val="10"/>
        <rFont val="Arial Unicode MS"/>
        <family val="2"/>
        <charset val="129"/>
      </rPr>
      <t>휠</t>
    </r>
    <r>
      <rPr>
        <sz val="10"/>
        <rFont val="Arial"/>
        <family val="2"/>
      </rPr>
      <t>-USM</t>
    </r>
    <r>
      <rPr>
        <sz val="10"/>
        <rFont val="Arial Unicode MS"/>
        <family val="2"/>
        <charset val="129"/>
      </rPr>
      <t>세팅</t>
    </r>
    <phoneticPr fontId="11" type="noConversion"/>
  </si>
  <si>
    <r>
      <rPr>
        <sz val="10"/>
        <rFont val="Arial Unicode MS"/>
        <family val="2"/>
        <charset val="129"/>
      </rPr>
      <t>시트</t>
    </r>
    <r>
      <rPr>
        <sz val="10"/>
        <rFont val="Arial"/>
        <family val="2"/>
      </rPr>
      <t>-USM</t>
    </r>
    <r>
      <rPr>
        <sz val="10"/>
        <rFont val="Arial Unicode MS"/>
        <family val="2"/>
        <charset val="129"/>
      </rPr>
      <t>세팅</t>
    </r>
    <phoneticPr fontId="11" type="noConversion"/>
  </si>
  <si>
    <r>
      <rPr>
        <sz val="10"/>
        <rFont val="굴림"/>
        <family val="2"/>
        <charset val="129"/>
      </rPr>
      <t>휠</t>
    </r>
    <r>
      <rPr>
        <sz val="10"/>
        <rFont val="Arial"/>
        <family val="2"/>
      </rPr>
      <t>-USM</t>
    </r>
    <r>
      <rPr>
        <sz val="10"/>
        <rFont val="굴림"/>
        <family val="2"/>
        <charset val="129"/>
      </rPr>
      <t>피드백</t>
    </r>
    <phoneticPr fontId="11" type="noConversion"/>
  </si>
  <si>
    <r>
      <rPr>
        <sz val="10"/>
        <rFont val="Arial Unicode MS"/>
        <family val="2"/>
        <charset val="129"/>
      </rPr>
      <t>시트</t>
    </r>
    <r>
      <rPr>
        <sz val="10"/>
        <rFont val="Arial"/>
        <family val="2"/>
      </rPr>
      <t>-USM</t>
    </r>
    <r>
      <rPr>
        <sz val="10"/>
        <rFont val="Arial Unicode MS"/>
        <family val="2"/>
        <charset val="129"/>
      </rPr>
      <t>피드백</t>
    </r>
    <phoneticPr fontId="11" type="noConversion"/>
  </si>
  <si>
    <r>
      <rPr>
        <sz val="10"/>
        <rFont val="굴림"/>
        <family val="2"/>
        <charset val="129"/>
      </rPr>
      <t>시트</t>
    </r>
    <r>
      <rPr>
        <sz val="10"/>
        <rFont val="Arial"/>
        <family val="2"/>
      </rPr>
      <t>(LH)-</t>
    </r>
    <r>
      <rPr>
        <sz val="10"/>
        <rFont val="굴림"/>
        <family val="2"/>
        <charset val="129"/>
      </rPr>
      <t>연동제어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요청단수</t>
    </r>
    <phoneticPr fontId="11" type="noConversion"/>
  </si>
  <si>
    <r>
      <rPr>
        <sz val="10"/>
        <rFont val="굴림"/>
        <family val="2"/>
        <charset val="129"/>
      </rPr>
      <t>시트</t>
    </r>
    <r>
      <rPr>
        <sz val="10"/>
        <rFont val="Arial"/>
        <family val="2"/>
      </rPr>
      <t>(RH)-</t>
    </r>
    <r>
      <rPr>
        <sz val="10"/>
        <rFont val="굴림"/>
        <family val="2"/>
        <charset val="129"/>
      </rPr>
      <t>연동제어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요청단수</t>
    </r>
    <phoneticPr fontId="11" type="noConversion"/>
  </si>
  <si>
    <r>
      <rPr>
        <sz val="10"/>
        <rFont val="Arial Unicode MS"/>
        <family val="2"/>
        <charset val="129"/>
      </rPr>
      <t>시트</t>
    </r>
    <r>
      <rPr>
        <sz val="10"/>
        <rFont val="Arial"/>
        <family val="2"/>
      </rPr>
      <t>-</t>
    </r>
    <r>
      <rPr>
        <sz val="10"/>
        <rFont val="Arial Unicode MS"/>
        <family val="2"/>
        <charset val="129"/>
      </rPr>
      <t>연동제어</t>
    </r>
    <r>
      <rPr>
        <sz val="10"/>
        <rFont val="Arial"/>
        <family val="2"/>
      </rPr>
      <t xml:space="preserve"> OPT</t>
    </r>
    <phoneticPr fontId="11" type="noConversion"/>
  </si>
  <si>
    <t>(For EV) NE PE : 650 이상</t>
  </si>
  <si>
    <t>VCU_FatcPermPwrVal &gt; 650 설정하기 위한 변수 확인</t>
  </si>
  <si>
    <t>CompSpd_rpm</t>
  </si>
  <si>
    <t>ENGINE_rpm</t>
    <phoneticPr fontId="11" type="noConversion"/>
  </si>
  <si>
    <r>
      <rPr>
        <sz val="10"/>
        <rFont val="Arial Unicode MS"/>
        <family val="2"/>
        <charset val="129"/>
      </rPr>
      <t>휠</t>
    </r>
    <r>
      <rPr>
        <sz val="10"/>
        <rFont val="Arial"/>
        <family val="2"/>
      </rPr>
      <t>-</t>
    </r>
    <r>
      <rPr>
        <sz val="10"/>
        <rFont val="Arial Unicode MS"/>
        <family val="2"/>
        <charset val="129"/>
      </rPr>
      <t>연동제어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요청단수</t>
    </r>
    <phoneticPr fontId="11" type="noConversion"/>
  </si>
  <si>
    <t>DATC_OutTempSnsrVal</t>
    <phoneticPr fontId="11" type="noConversion"/>
  </si>
  <si>
    <t>DATC_AcnReq</t>
    <phoneticPr fontId="11" type="noConversion"/>
  </si>
  <si>
    <t>DATC_DrvTempCDis</t>
  </si>
  <si>
    <t>DATC_DrvTempFDis</t>
  </si>
  <si>
    <t>DATC_PassTempFDis</t>
  </si>
  <si>
    <t>WHL_Spd_ALLVal_Kmh</t>
    <phoneticPr fontId="11" type="noConversion"/>
  </si>
  <si>
    <t>END</t>
    <phoneticPr fontId="4" type="noConversion"/>
  </si>
  <si>
    <t>Title1</t>
  </si>
  <si>
    <t>T1.1</t>
  </si>
  <si>
    <t>P1.1</t>
  </si>
  <si>
    <t>T1.1.1</t>
  </si>
  <si>
    <t>T1.1.2</t>
  </si>
  <si>
    <t>T1.1.3</t>
  </si>
  <si>
    <t>T1</t>
  </si>
  <si>
    <t>T2.1</t>
  </si>
  <si>
    <t>P2.1</t>
  </si>
  <si>
    <t>T2.1.1</t>
  </si>
  <si>
    <t>T2.1.2</t>
  </si>
  <si>
    <t>T2.1.3</t>
  </si>
  <si>
    <t>T2.1.4</t>
  </si>
  <si>
    <r>
      <t xml:space="preserve">IGN1,2 </t>
    </r>
    <r>
      <rPr>
        <sz val="10"/>
        <rFont val="Arial Unicode MS"/>
        <family val="2"/>
        <charset val="129"/>
      </rPr>
      <t>및</t>
    </r>
    <r>
      <rPr>
        <sz val="10"/>
        <rFont val="Arial"/>
        <family val="2"/>
      </rPr>
      <t xml:space="preserve"> BAT</t>
    </r>
    <r>
      <rPr>
        <sz val="10"/>
        <rFont val="Arial Unicode MS"/>
        <family val="2"/>
        <charset val="129"/>
      </rPr>
      <t>까지</t>
    </r>
    <r>
      <rPr>
        <sz val="10"/>
        <rFont val="Arial"/>
        <family val="2"/>
      </rPr>
      <t xml:space="preserve"> Off </t>
    </r>
    <r>
      <rPr>
        <sz val="10"/>
        <rFont val="Arial Unicode MS"/>
        <family val="2"/>
        <charset val="129"/>
      </rPr>
      <t>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뒤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다시</t>
    </r>
    <r>
      <rPr>
        <sz val="10"/>
        <rFont val="Arial"/>
        <family val="2"/>
      </rPr>
      <t xml:space="preserve"> BAT</t>
    </r>
    <r>
      <rPr>
        <sz val="10"/>
        <rFont val="Arial Unicode MS"/>
        <family val="2"/>
        <charset val="129"/>
      </rPr>
      <t>와</t>
    </r>
    <r>
      <rPr>
        <sz val="10"/>
        <rFont val="Arial"/>
        <family val="2"/>
      </rPr>
      <t xml:space="preserve"> IGN1,2 On </t>
    </r>
    <r>
      <rPr>
        <sz val="10"/>
        <rFont val="Arial Unicode MS"/>
        <family val="2"/>
        <charset val="129"/>
      </rPr>
      <t>수행</t>
    </r>
    <r>
      <rPr>
        <sz val="10"/>
        <rFont val="Arial"/>
        <family val="2"/>
      </rPr>
      <t xml:space="preserve">
 : </t>
    </r>
    <r>
      <rPr>
        <sz val="10"/>
        <color rgb="FFFF0000"/>
        <rFont val="Arial"/>
        <family val="2"/>
      </rPr>
      <t>IGN1,2 Off -&gt; BAT Off -&gt; BAT On -&gt; IGN1,2 On</t>
    </r>
    <phoneticPr fontId="9" type="noConversion"/>
  </si>
  <si>
    <t>DATC_OpSta</t>
    <phoneticPr fontId="11" type="noConversion"/>
  </si>
  <si>
    <t>0x0:DATC Off (Default)/0x1:DATC Normal/0x2:DATC System Off (Blower Off)/0x3:DATC Self Diagnosis/0x4:SW Ver Display/0x5~0x6:RESERVED/0x7:Error Indicator</t>
    <phoneticPr fontId="11" type="noConversion"/>
  </si>
  <si>
    <t>Const_mild_blower_v</t>
    <phoneticPr fontId="11" type="noConversion"/>
  </si>
  <si>
    <t>Name: Tbl_Blower_DrOnly_Offset</t>
    <phoneticPr fontId="7" type="noConversion"/>
  </si>
  <si>
    <t>Blower_Volt</t>
    <phoneticPr fontId="7" type="noConversion"/>
  </si>
  <si>
    <t>Offset_Vent</t>
    <phoneticPr fontId="7" type="noConversion"/>
  </si>
  <si>
    <t>Offset_Floor</t>
    <phoneticPr fontId="7" type="noConversion"/>
  </si>
  <si>
    <t>DrOnly_Min</t>
    <phoneticPr fontId="7" type="noConversion"/>
  </si>
  <si>
    <t>DrOnly_Max</t>
    <phoneticPr fontId="7" type="noConversion"/>
  </si>
  <si>
    <t>DrOnly</t>
    <phoneticPr fontId="11" type="noConversion"/>
  </si>
  <si>
    <t>Vent Bleed PTC</t>
    <phoneticPr fontId="11" type="noConversion"/>
  </si>
  <si>
    <r>
      <t xml:space="preserve">MAX COOL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</si>
  <si>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t>0x0:Centigrade(</t>
    </r>
    <r>
      <rPr>
        <sz val="10"/>
        <rFont val="Segoe UI Symbol"/>
        <family val="1"/>
      </rPr>
      <t>℃</t>
    </r>
    <r>
      <rPr>
        <sz val="10"/>
        <rFont val="Arial"/>
        <family val="2"/>
      </rPr>
      <t>)/0x1:Fahrenheit(</t>
    </r>
    <r>
      <rPr>
        <sz val="10"/>
        <rFont val="Segoe UI Symbol"/>
        <family val="1"/>
      </rPr>
      <t>℉</t>
    </r>
    <r>
      <rPr>
        <sz val="10"/>
        <rFont val="Arial"/>
        <family val="2"/>
      </rPr>
      <t>)/0x2:Not used/0x3:Error Indicator</t>
    </r>
    <phoneticPr fontId="11" type="noConversion"/>
  </si>
  <si>
    <r>
      <t xml:space="preserve">MAX HOT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</si>
  <si>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t xml:space="preserve">MIX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</si>
  <si>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t>DATC_PassTempCDis</t>
    <phoneticPr fontId="11" type="noConversion"/>
  </si>
  <si>
    <r>
      <t xml:space="preserve">DEF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</si>
  <si>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t>DATC_DrvAutoDis</t>
    <phoneticPr fontId="11" type="noConversion"/>
  </si>
  <si>
    <t>DATC_SyncDis</t>
    <phoneticPr fontId="11" type="noConversion"/>
  </si>
  <si>
    <t>DATC_FrDrvModDis</t>
    <phoneticPr fontId="11" type="noConversion"/>
  </si>
  <si>
    <t>DATC_AcDis</t>
    <phoneticPr fontId="11" type="noConversion"/>
  </si>
  <si>
    <t>PeEwpRPMReq_EN_DIS</t>
    <phoneticPr fontId="7" type="noConversion"/>
  </si>
  <si>
    <r>
      <t xml:space="preserve">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Arial Unicode MS"/>
        <family val="2"/>
        <charset val="129"/>
      </rPr>
      <t>미적용</t>
    </r>
    <phoneticPr fontId="11" type="noConversion"/>
  </si>
  <si>
    <t>DATC_IntakeDis</t>
    <phoneticPr fontId="11" type="noConversion"/>
  </si>
  <si>
    <t>Partial_Cool</t>
    <phoneticPr fontId="11" type="noConversion"/>
  </si>
  <si>
    <r>
      <rPr>
        <sz val="10"/>
        <rFont val="돋움"/>
        <family val="2"/>
        <charset val="129"/>
      </rPr>
      <t>냉방개선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Arial Unicode MS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</si>
  <si>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t xml:space="preserve">Name: Tbl_Blw_Step_Ctl (Blower </t>
    </r>
    <r>
      <rPr>
        <b/>
        <sz val="10"/>
        <rFont val="맑은 고딕"/>
        <family val="2"/>
        <charset val="129"/>
      </rPr>
      <t>단수별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제어</t>
    </r>
    <r>
      <rPr>
        <b/>
        <sz val="10"/>
        <rFont val="Arial"/>
        <family val="2"/>
      </rPr>
      <t>)</t>
    </r>
    <phoneticPr fontId="9" type="noConversion"/>
  </si>
  <si>
    <t>DATC_FrDrvBlwDis</t>
    <phoneticPr fontId="11" type="noConversion"/>
  </si>
  <si>
    <t>Partial_HOT</t>
    <phoneticPr fontId="11" type="noConversion"/>
  </si>
  <si>
    <r>
      <rPr>
        <sz val="10"/>
        <rFont val="맑은 고딕"/>
        <family val="2"/>
        <charset val="129"/>
      </rPr>
      <t>난방개선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Arial Unicode MS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</si>
  <si>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t>V</t>
    <phoneticPr fontId="9" type="noConversion"/>
  </si>
  <si>
    <t>9V</t>
    <phoneticPr fontId="9" type="noConversion"/>
  </si>
  <si>
    <t>12V</t>
    <phoneticPr fontId="9" type="noConversion"/>
  </si>
  <si>
    <t>14V</t>
    <phoneticPr fontId="9" type="noConversion"/>
  </si>
  <si>
    <t>16V</t>
    <phoneticPr fontId="9" type="noConversion"/>
  </si>
  <si>
    <t>0x0:A/C Non-Request/0x1:A/C Request/0x2:Not used/0x3:Error Indicator</t>
    <phoneticPr fontId="11" type="noConversion"/>
  </si>
  <si>
    <t>CCU_CompTgtSpd_rpm</t>
  </si>
  <si>
    <r>
      <t xml:space="preserve">Comp </t>
    </r>
    <r>
      <rPr>
        <sz val="10"/>
        <rFont val="Arial Unicode MS"/>
        <family val="2"/>
        <charset val="129"/>
      </rPr>
      <t>출력</t>
    </r>
    <r>
      <rPr>
        <sz val="10"/>
        <rFont val="Arial"/>
        <family val="2"/>
      </rPr>
      <t xml:space="preserve"> RPM</t>
    </r>
    <phoneticPr fontId="11" type="noConversion"/>
  </si>
  <si>
    <t>DATC_DrvOnlyDis</t>
    <phoneticPr fontId="11" type="noConversion"/>
  </si>
  <si>
    <t>DATC_FrDfgSta</t>
    <phoneticPr fontId="11" type="noConversion"/>
  </si>
  <si>
    <t>DiagCodeDis</t>
    <phoneticPr fontId="11" type="noConversion"/>
  </si>
  <si>
    <t>DATC_DiagCodeDis</t>
    <phoneticPr fontId="11" type="noConversion"/>
  </si>
  <si>
    <r>
      <rPr>
        <sz val="10"/>
        <rFont val="맑은 고딕"/>
        <family val="2"/>
        <charset val="129"/>
      </rPr>
      <t>진단코드</t>
    </r>
    <phoneticPr fontId="11" type="noConversion"/>
  </si>
  <si>
    <t>Tbl_WaterVlvSta</t>
    <phoneticPr fontId="9" type="noConversion"/>
  </si>
  <si>
    <t>HTR</t>
    <phoneticPr fontId="9" type="noConversion"/>
  </si>
  <si>
    <t>WATER COND</t>
    <phoneticPr fontId="9" type="noConversion"/>
  </si>
  <si>
    <t>Tbl_HP_Cycle</t>
    <phoneticPr fontId="9" type="noConversion"/>
  </si>
  <si>
    <t>0x0:A/C/0x1:H/P A/0x2:H/P A-1/0x3:H/P B/0x4:H/P B-1/0x5:PTC Only/0x6:FAN Only/0x7:OFF/0x8:BAT Cooling Only/0x9:A/C + BAT Cooling/0xA:PTC + BAT Cooling/0xB~0xE:RESERVED/0xE:Not Apply(Default)/0xF:Error Indicator</t>
    <phoneticPr fontId="11" type="noConversion"/>
  </si>
  <si>
    <t>A/C</t>
    <phoneticPr fontId="9" type="noConversion"/>
  </si>
  <si>
    <t>H/P A</t>
    <phoneticPr fontId="9" type="noConversion"/>
  </si>
  <si>
    <t>BATT_V</t>
    <phoneticPr fontId="11" type="noConversion"/>
  </si>
  <si>
    <t>BATT(V)_IN</t>
    <phoneticPr fontId="11" type="noConversion"/>
  </si>
  <si>
    <r>
      <t xml:space="preserve">BATT </t>
    </r>
    <r>
      <rPr>
        <sz val="10"/>
        <rFont val="Arial Unicode MS"/>
        <family val="2"/>
        <charset val="129"/>
      </rPr>
      <t>전압</t>
    </r>
    <phoneticPr fontId="11" type="noConversion"/>
  </si>
  <si>
    <t>H/P A-1</t>
    <phoneticPr fontId="9" type="noConversion"/>
  </si>
  <si>
    <t>H/P B</t>
    <phoneticPr fontId="9" type="noConversion"/>
  </si>
  <si>
    <t>H/P B-1</t>
    <phoneticPr fontId="9" type="noConversion"/>
  </si>
  <si>
    <t>PTC Only</t>
    <phoneticPr fontId="9" type="noConversion"/>
  </si>
  <si>
    <t>FAN Only</t>
    <phoneticPr fontId="9" type="noConversion"/>
  </si>
  <si>
    <t>Blower OFF</t>
    <phoneticPr fontId="9" type="noConversion"/>
  </si>
  <si>
    <t>Duct_FrVent_V</t>
    <phoneticPr fontId="11" type="noConversion"/>
  </si>
  <si>
    <t>Snr_Duct_FrVent(V)_IN</t>
    <phoneticPr fontId="11" type="noConversion"/>
  </si>
  <si>
    <r>
      <t xml:space="preserve">Duct_FrVent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</si>
  <si>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Bat Cooling Only</t>
    <phoneticPr fontId="9" type="noConversion"/>
  </si>
  <si>
    <t>Duct_PsVent_V</t>
    <phoneticPr fontId="11" type="noConversion"/>
  </si>
  <si>
    <t>Snr_Duct_PsVent(V)_IN</t>
    <phoneticPr fontId="11" type="noConversion"/>
  </si>
  <si>
    <r>
      <t xml:space="preserve">Duct_PsVent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</si>
  <si>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A/C + BAT Cooling</t>
    <phoneticPr fontId="11" type="noConversion"/>
  </si>
  <si>
    <t>Duct_FrFloor_V</t>
    <phoneticPr fontId="11" type="noConversion"/>
  </si>
  <si>
    <t>Snr_Duct_FrFloor(V)_IN</t>
    <phoneticPr fontId="11" type="noConversion"/>
  </si>
  <si>
    <r>
      <t xml:space="preserve">Duct_FrFloor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</si>
  <si>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PTC + BAT Cooling</t>
    <phoneticPr fontId="11" type="noConversion"/>
  </si>
  <si>
    <t>Duct_PsFloor_V</t>
    <phoneticPr fontId="11" type="noConversion"/>
  </si>
  <si>
    <t>Snr_Duct_PsFloor(V)_IN</t>
    <phoneticPr fontId="11" type="noConversion"/>
  </si>
  <si>
    <r>
      <t xml:space="preserve">Duct_PsFloor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</si>
  <si>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Duct_DEF_V</t>
    <phoneticPr fontId="11" type="noConversion"/>
  </si>
  <si>
    <t>Snr_Duct_DEF(V)_IN</t>
    <phoneticPr fontId="11" type="noConversion"/>
  </si>
  <si>
    <r>
      <t xml:space="preserve">Duct_DEF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</si>
  <si>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P_SIGNAL_COMP_OUT</t>
    <phoneticPr fontId="9" type="noConversion"/>
  </si>
  <si>
    <t>Snr_P SIGNAL_COMP OUT(PSI)_IN</t>
    <phoneticPr fontId="9" type="noConversion"/>
  </si>
  <si>
    <r>
      <t xml:space="preserve">APT : P SIGNAL - COMP OUT </t>
    </r>
    <r>
      <rPr>
        <sz val="10"/>
        <rFont val="맑은 고딕"/>
        <family val="2"/>
        <charset val="129"/>
      </rPr>
      <t>압력</t>
    </r>
    <phoneticPr fontId="9" type="noConversion"/>
  </si>
  <si>
    <t>T_SIGNAL_COMP_OUT</t>
    <phoneticPr fontId="9" type="noConversion"/>
  </si>
  <si>
    <t>Snr_T SIGNAL_COMP OUT(degC)_IN</t>
    <phoneticPr fontId="9" type="noConversion"/>
  </si>
  <si>
    <r>
      <t xml:space="preserve">RTS_COMP : T SIGNAL - COMP OUT </t>
    </r>
    <r>
      <rPr>
        <sz val="10"/>
        <rFont val="맑은 고딕"/>
        <family val="2"/>
        <charset val="129"/>
      </rPr>
      <t>온도</t>
    </r>
    <phoneticPr fontId="9" type="noConversion"/>
  </si>
  <si>
    <t>P_SIGNAL_BCHILLER</t>
    <phoneticPr fontId="9" type="noConversion"/>
  </si>
  <si>
    <t>Snr_P SIGNAL_B/CHILLER(PSI)_IN</t>
    <phoneticPr fontId="9" type="noConversion"/>
  </si>
  <si>
    <r>
      <t xml:space="preserve">Ps_Value : P SIGNAL - B/CHILLER </t>
    </r>
    <r>
      <rPr>
        <sz val="10"/>
        <rFont val="맑은 고딕"/>
        <family val="2"/>
        <charset val="129"/>
      </rPr>
      <t>압력</t>
    </r>
    <phoneticPr fontId="9" type="noConversion"/>
  </si>
  <si>
    <t>T_SIGNAL_BCHILLER</t>
    <phoneticPr fontId="9" type="noConversion"/>
  </si>
  <si>
    <t>Snr_T SIGNAL_B/CHILLER(degC)_IN</t>
    <phoneticPr fontId="9" type="noConversion"/>
  </si>
  <si>
    <r>
      <t>Tm (</t>
    </r>
    <r>
      <rPr>
        <sz val="10"/>
        <rFont val="Segoe UI Symbol"/>
        <family val="2"/>
      </rPr>
      <t>℃</t>
    </r>
    <r>
      <rPr>
        <sz val="10"/>
        <rFont val="Arial"/>
        <family val="2"/>
      </rPr>
      <t xml:space="preserve">) : </t>
    </r>
    <r>
      <rPr>
        <sz val="10"/>
        <rFont val="맑은 고딕"/>
        <family val="2"/>
        <charset val="129"/>
      </rPr>
      <t>칠러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출구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온도</t>
    </r>
    <r>
      <rPr>
        <sz val="10"/>
        <rFont val="Arial"/>
        <family val="2"/>
      </rPr>
      <t xml:space="preserve"> (RTS SIGNAL (EXV)), </t>
    </r>
    <r>
      <rPr>
        <sz val="10"/>
        <rFont val="맑은 고딕"/>
        <family val="2"/>
        <charset val="129"/>
      </rPr>
      <t>칠러</t>
    </r>
    <r>
      <rPr>
        <sz val="10"/>
        <rFont val="Arial"/>
        <family val="2"/>
      </rPr>
      <t>EXV</t>
    </r>
    <r>
      <rPr>
        <sz val="10"/>
        <rFont val="맑은 고딕"/>
        <family val="2"/>
        <charset val="129"/>
      </rPr>
      <t>밸브로직에서 사용</t>
    </r>
    <phoneticPr fontId="9" type="noConversion"/>
  </si>
  <si>
    <t>DATC_IncarSnsrTempCTestVal</t>
  </si>
  <si>
    <r>
      <t xml:space="preserve">HEV </t>
    </r>
    <r>
      <rPr>
        <sz val="10"/>
        <rFont val="Arial Unicode MS"/>
        <family val="3"/>
        <charset val="129"/>
      </rPr>
      <t>협조제어용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실내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온도</t>
    </r>
    <r>
      <rPr>
        <sz val="10"/>
        <rFont val="Arial"/>
        <family val="2"/>
      </rPr>
      <t xml:space="preserve"> Raw Data, </t>
    </r>
    <r>
      <rPr>
        <sz val="10"/>
        <rFont val="돋움"/>
        <family val="2"/>
        <charset val="129"/>
      </rPr>
      <t>정상시</t>
    </r>
    <r>
      <rPr>
        <sz val="10"/>
        <rFont val="Arial"/>
        <family val="2"/>
      </rPr>
      <t xml:space="preserve"> : Factor : 0.5, Offset : -40 , </t>
    </r>
    <r>
      <rPr>
        <sz val="10"/>
        <rFont val="돋움"/>
        <family val="2"/>
        <charset val="129"/>
      </rPr>
      <t>고장시</t>
    </r>
    <r>
      <rPr>
        <sz val="10"/>
        <rFont val="Arial"/>
        <family val="2"/>
      </rPr>
      <t xml:space="preserve"> : 0xFF </t>
    </r>
    <phoneticPr fontId="11" type="noConversion"/>
  </si>
  <si>
    <t>DATC_EvapTempSnsrCTestVal</t>
  </si>
  <si>
    <t>Duct_FrVent_OUT</t>
    <phoneticPr fontId="7" type="noConversion"/>
  </si>
  <si>
    <t>DATC_DrvVentTempCTestVal</t>
  </si>
  <si>
    <t>Duct_PsVent_OUT</t>
    <phoneticPr fontId="7" type="noConversion"/>
  </si>
  <si>
    <t>DATC_PsVentTempCTestVal</t>
  </si>
  <si>
    <t>Duct_FrFloor_OUT</t>
    <phoneticPr fontId="7" type="noConversion"/>
  </si>
  <si>
    <t>DATC_DrFlrTempCTestVal</t>
  </si>
  <si>
    <t>Duct_PsFloor_OUT</t>
    <phoneticPr fontId="7" type="noConversion"/>
  </si>
  <si>
    <t>DATC_PsFlrTempCTestVal</t>
  </si>
  <si>
    <t>Duct_DEF_OUT</t>
    <phoneticPr fontId="7" type="noConversion"/>
  </si>
  <si>
    <t>DATC_DefTempCTestVal</t>
  </si>
  <si>
    <t>HEV_EngClntTempVal</t>
    <phoneticPr fontId="11" type="noConversion"/>
  </si>
  <si>
    <t>Factor : 0.75, Offset : -48</t>
  </si>
  <si>
    <t>WheelSpeed_FL</t>
    <phoneticPr fontId="11" type="noConversion"/>
  </si>
  <si>
    <t>WHL_SpdFLVal</t>
  </si>
  <si>
    <t>Factor : 0.03125, Offset : 0, 0x3FFF : Error</t>
  </si>
  <si>
    <t>WheelSpeed_FR</t>
    <phoneticPr fontId="11" type="noConversion"/>
  </si>
  <si>
    <t>WHL_SpdFRVal</t>
  </si>
  <si>
    <t>WheelSpeed_RL</t>
    <phoneticPr fontId="11" type="noConversion"/>
  </si>
  <si>
    <t>WHL_SpdRLVal</t>
  </si>
  <si>
    <t>WheelSpeed_RR</t>
    <phoneticPr fontId="11" type="noConversion"/>
  </si>
  <si>
    <t>WHL_SpdRRVal</t>
  </si>
  <si>
    <r>
      <t xml:space="preserve">ADS Blower </t>
    </r>
    <r>
      <rPr>
        <sz val="10"/>
        <rFont val="Arial Unicode MS"/>
        <family val="2"/>
        <charset val="129"/>
      </rPr>
      <t>사양</t>
    </r>
    <phoneticPr fontId="11" type="noConversion"/>
  </si>
  <si>
    <t>DATC_AutoDfgSysOffDis</t>
    <phoneticPr fontId="11" type="noConversion"/>
  </si>
  <si>
    <t>DATC_ADSOnOffSet</t>
    <phoneticPr fontId="11" type="noConversion"/>
  </si>
  <si>
    <t>UNIT2_MassTreeDisp_2p5</t>
    <phoneticPr fontId="11" type="noConversion"/>
  </si>
  <si>
    <t>UNIT2_MassConcDisp_2p5</t>
    <phoneticPr fontId="11" type="noConversion"/>
  </si>
  <si>
    <t>UNIT4_PMSnsrEna</t>
    <phoneticPr fontId="11" type="noConversion"/>
  </si>
  <si>
    <r>
      <t>0x0( Disable Module)/SYSTEM ON</t>
    </r>
    <r>
      <rPr>
        <sz val="10"/>
        <rFont val="돋움"/>
        <family val="2"/>
        <charset val="129"/>
      </rPr>
      <t>시</t>
    </r>
    <r>
      <rPr>
        <sz val="10"/>
        <rFont val="Arial"/>
        <family val="2"/>
      </rPr>
      <t xml:space="preserve"> 0x1(Enable Module)</t>
    </r>
    <phoneticPr fontId="11" type="noConversion"/>
  </si>
  <si>
    <t>VCU_AirconCtrReq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</si>
  <si>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3"/>
        <charset val="129"/>
      </rPr>
      <t>진입</t>
    </r>
    <r>
      <rPr>
        <sz val="10"/>
        <rFont val="Arial"/>
        <family val="2"/>
      </rPr>
      <t>/</t>
    </r>
    <r>
      <rPr>
        <sz val="10"/>
        <rFont val="Arial Unicode MS"/>
        <family val="3"/>
        <charset val="129"/>
      </rPr>
      <t>해제</t>
    </r>
    <phoneticPr fontId="11" type="noConversion"/>
  </si>
  <si>
    <t>VCU_FatcTempSetVal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</si>
  <si>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3"/>
        <charset val="129"/>
      </rPr>
      <t>설정온도</t>
    </r>
    <phoneticPr fontId="11" type="noConversion"/>
  </si>
  <si>
    <t>VCU_FatcTempSetUnit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</si>
  <si>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3"/>
        <charset val="129"/>
      </rPr>
      <t>온도단위</t>
    </r>
    <phoneticPr fontId="11" type="noConversion"/>
  </si>
  <si>
    <t>VCU_FatcDefrostCtrReq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</si>
  <si>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DEF</t>
    </r>
    <phoneticPr fontId="11" type="noConversion"/>
  </si>
  <si>
    <t>SchedRmtFcn_OpSta</t>
    <phoneticPr fontId="11" type="noConversion"/>
  </si>
  <si>
    <t>VCU_SchedRmtFcn_OpSta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</si>
  <si>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3"/>
      </rPr>
      <t xml:space="preserve"> </t>
    </r>
    <r>
      <rPr>
        <sz val="10"/>
        <rFont val="맑은 고딕"/>
        <family val="3"/>
        <charset val="129"/>
      </rPr>
      <t>상태판단</t>
    </r>
    <phoneticPr fontId="11" type="noConversion"/>
  </si>
  <si>
    <t>0x0:None/0x1:Monitoring Mode(by AVN)/0x2:Normal Charge Mode(by OBC)/0x3:Prog/Imme Charge Start Mode(by VCU/AVN)/0x4:Prog FATC Mode(by VCU)/0x5:Imme FATC Mode during Prog/Imme Charge Mode(by VCU/AVN)/0x6:Prog/Imme Charge Mode during Imme FATC Mode(by VCU/AVN)/0x7:Imme FATC Mode during nor charge(by AVN/OBC)/0x8:Imme FATC Mode(by AVN)/0x9:Aux battery Charge Mode(by VCU)/0xA:Abnormal Stop Mode during Prog/Imme Charge(by VCU)/0xB~0xF:Reserved</t>
    <phoneticPr fontId="11" type="noConversion"/>
  </si>
  <si>
    <t>공조상태</t>
    <phoneticPr fontId="11" type="noConversion"/>
  </si>
  <si>
    <t>DATC_CtrlablSta</t>
    <phoneticPr fontId="11" type="noConversion"/>
  </si>
  <si>
    <t>0x0:Not Controllable/0x1:Controllable/0x2:Not used/0x3:Error Indicator</t>
    <phoneticPr fontId="11" type="noConversion"/>
  </si>
  <si>
    <t>TunnelFuncOff4AutoDfgReq</t>
    <phoneticPr fontId="11" type="noConversion"/>
  </si>
  <si>
    <t>DATC_TunnelFuncOff4AutoDfgReq</t>
    <phoneticPr fontId="11" type="noConversion"/>
  </si>
  <si>
    <t>HEV_EngSpdVal</t>
    <phoneticPr fontId="11" type="noConversion"/>
  </si>
  <si>
    <r>
      <rPr>
        <sz val="10"/>
        <rFont val="돋움"/>
        <family val="2"/>
        <charset val="129"/>
      </rPr>
      <t>사용자</t>
    </r>
    <r>
      <rPr>
        <sz val="10"/>
        <rFont val="Arial"/>
        <family val="2"/>
      </rPr>
      <t xml:space="preserve"> profile</t>
    </r>
    <phoneticPr fontId="11" type="noConversion"/>
  </si>
  <si>
    <r>
      <rPr>
        <sz val="10"/>
        <rFont val="돋움"/>
        <family val="2"/>
        <charset val="129"/>
      </rPr>
      <t>사용자</t>
    </r>
    <r>
      <rPr>
        <sz val="10"/>
        <rFont val="Arial"/>
        <family val="2"/>
      </rPr>
      <t xml:space="preserve"> profile </t>
    </r>
    <r>
      <rPr>
        <sz val="10"/>
        <rFont val="돋움"/>
        <family val="2"/>
        <charset val="129"/>
      </rPr>
      <t>제어</t>
    </r>
    <r>
      <rPr>
        <sz val="10"/>
        <rFont val="Arial"/>
        <family val="2"/>
      </rPr>
      <t xml:space="preserve">  0x2 user1/ 0x3user2/ 0x1 Guest</t>
    </r>
    <phoneticPr fontId="11" type="noConversion"/>
  </si>
  <si>
    <t>OpSta</t>
    <phoneticPr fontId="11" type="noConversion"/>
  </si>
  <si>
    <t>HEV_AptVal</t>
    <phoneticPr fontId="11" type="noConversion"/>
  </si>
  <si>
    <t>Blower_Motor_Relay</t>
    <phoneticPr fontId="11" type="noConversion"/>
  </si>
  <si>
    <t>Blower_Motor_Relay_IO</t>
    <phoneticPr fontId="11" type="noConversion"/>
  </si>
  <si>
    <r>
      <rPr>
        <sz val="10"/>
        <rFont val="돋움"/>
        <family val="2"/>
        <charset val="129"/>
      </rPr>
      <t>블로워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모터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릴레이</t>
    </r>
    <r>
      <rPr>
        <sz val="10"/>
        <rFont val="Arial"/>
        <family val="2"/>
      </rPr>
      <t xml:space="preserve"> I/O</t>
    </r>
    <phoneticPr fontId="11" type="noConversion"/>
  </si>
  <si>
    <t>eComp_Interlock_Sta</t>
    <phoneticPr fontId="11" type="noConversion"/>
  </si>
  <si>
    <t>DATC_HVCompIntlkSta</t>
  </si>
  <si>
    <r>
      <t xml:space="preserve">INTERLOCK </t>
    </r>
    <r>
      <rPr>
        <sz val="10"/>
        <rFont val="Arial Unicode MS"/>
        <family val="2"/>
        <charset val="129"/>
      </rPr>
      <t>상태</t>
    </r>
    <phoneticPr fontId="11" type="noConversion"/>
  </si>
  <si>
    <t>0x0(Disconnect), 0x1(Connect)</t>
  </si>
  <si>
    <t>Service_Lamp_Req</t>
    <phoneticPr fontId="11" type="noConversion"/>
  </si>
  <si>
    <t>DATC_SrvLmpReq</t>
  </si>
  <si>
    <t>0x0(Off)/0x1(Service Lamp On)</t>
  </si>
  <si>
    <t>FATC_Interlock_Req</t>
    <phoneticPr fontId="11" type="noConversion"/>
  </si>
  <si>
    <t>DATC_HVIntDischrgLkReq</t>
  </si>
  <si>
    <t>0x0:Not Request/0x1:Request/0x2:Not used/0x3:Error Indicator</t>
  </si>
  <si>
    <t>MCU_Interlock_Req</t>
    <phoneticPr fontId="11" type="noConversion"/>
  </si>
  <si>
    <t>MCU_Mg1HiVoltIntlkReq</t>
  </si>
  <si>
    <t>0x0:Normal/0x1:Detect Interlock Disconnect/0x2:Not used/0x3:Error Indicator</t>
  </si>
  <si>
    <t>BMS_Interlock_Req</t>
    <phoneticPr fontId="11" type="noConversion"/>
  </si>
  <si>
    <t>xEV_BmsHvIntlockReq</t>
  </si>
  <si>
    <t>0x0:Normal/0x1:Discharging Request/0x2:Not used/0x3:Error indicator</t>
  </si>
  <si>
    <t>Main_Relay_Sta</t>
    <phoneticPr fontId="11" type="noConversion"/>
  </si>
  <si>
    <t>xEV_MainRlyOnSta</t>
  </si>
  <si>
    <r>
      <t xml:space="preserve">0x0:Open/0x2:Not used/0x3:Error indicator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OFF, 0x1:Close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ON</t>
    </r>
  </si>
  <si>
    <t>PreCharging_Sta</t>
    <phoneticPr fontId="11" type="noConversion"/>
  </si>
  <si>
    <t>xEV_PreChrgSta</t>
  </si>
  <si>
    <r>
      <t xml:space="preserve">0x0:Normal/0x1:Prechargingy Operation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ON, 0x2:Not used/0x3:Error indicator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OFF</t>
    </r>
  </si>
  <si>
    <t>OBC_Interlock_Req</t>
    <phoneticPr fontId="11" type="noConversion"/>
  </si>
  <si>
    <t>OBC_HvIntlkReq</t>
  </si>
  <si>
    <t>0x0:Off/0x1:On/0x2:Not used/0x3:Error indicator</t>
  </si>
  <si>
    <t>OPU_Interlock_Req</t>
    <phoneticPr fontId="11" type="noConversion"/>
  </si>
  <si>
    <t>OPU_HiVoltIntlkReq</t>
  </si>
  <si>
    <t>EMS_Vehicle_Speed</t>
    <phoneticPr fontId="11" type="noConversion"/>
  </si>
  <si>
    <t>HEV_VehSpdVal</t>
  </si>
  <si>
    <t>Factor : 1, Offset : 0, 0xFF : Error</t>
  </si>
  <si>
    <t>HTCU_Vehicle_Speed</t>
    <phoneticPr fontId="11" type="noConversion"/>
  </si>
  <si>
    <t>HTCU_VehSpdKphVal</t>
  </si>
  <si>
    <t>Factor : 1, Offset : 0</t>
  </si>
  <si>
    <t>HEV_Ready</t>
    <phoneticPr fontId="11" type="noConversion"/>
  </si>
  <si>
    <t>HCU_HevRdySta</t>
  </si>
  <si>
    <t>0x0:HEV not ready/0x1:HEV Drivable/0x2:Not used/0x3:Error Indicator</t>
  </si>
  <si>
    <t>Vehicle_Startup</t>
    <phoneticPr fontId="11" type="noConversion"/>
  </si>
  <si>
    <t>HCU_VehStrtEnblSta</t>
    <phoneticPr fontId="11" type="noConversion"/>
  </si>
  <si>
    <t>DC(Driving Cycle) Count</t>
    <phoneticPr fontId="11" type="noConversion"/>
  </si>
  <si>
    <t>0x0:Start disable/0x1:Start Enable/0x2:Not used/0x3:Error Indicator</t>
    <phoneticPr fontId="11" type="noConversion"/>
  </si>
  <si>
    <t>ATS_FrDrBlowerUpDn</t>
    <phoneticPr fontId="11" type="noConversion"/>
  </si>
  <si>
    <t>ATS_DATC_FrDrBlowerUpDn</t>
    <phoneticPr fontId="11" type="noConversion"/>
  </si>
  <si>
    <t>HU_MainBlowerUpDn</t>
    <phoneticPr fontId="11" type="noConversion"/>
  </si>
  <si>
    <t>HU_DATC_MainBlowerUpDn</t>
    <phoneticPr fontId="11" type="noConversion"/>
  </si>
  <si>
    <t>AfterBlower_ICU</t>
    <phoneticPr fontId="11" type="noConversion"/>
  </si>
  <si>
    <t>ICU_PowerAutoCutModSta</t>
  </si>
  <si>
    <r>
      <rPr>
        <sz val="10"/>
        <rFont val="Arial Unicode MS"/>
        <family val="2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블로우</t>
    </r>
    <r>
      <rPr>
        <sz val="10"/>
        <rFont val="Arial"/>
        <family val="2"/>
      </rPr>
      <t xml:space="preserve"> icu delivery / 0x0:Factory Mode (default)/0x1:Dealer Mode/0x2:Customer Mode/0x3:Error Indicator</t>
    </r>
    <phoneticPr fontId="11" type="noConversion"/>
  </si>
  <si>
    <t>DTC_Code</t>
    <phoneticPr fontId="11" type="noConversion"/>
  </si>
  <si>
    <t>DIAG_DTC_Code</t>
  </si>
  <si>
    <t>SelfDiagDisp</t>
    <phoneticPr fontId="11" type="noConversion"/>
  </si>
  <si>
    <t>DATC_SelfDiagDisp</t>
  </si>
  <si>
    <t>CLI_eComp_Interlock_Status</t>
    <phoneticPr fontId="11" type="noConversion"/>
  </si>
  <si>
    <t>eComp_Interlock_Status</t>
    <phoneticPr fontId="11" type="noConversion"/>
  </si>
  <si>
    <t>Climate LIN</t>
    <phoneticPr fontId="11" type="noConversion"/>
  </si>
  <si>
    <t>0x0(Disconnect), 0x1(Connect), 0x2: Not used, 0x3: Error Indicator</t>
    <phoneticPr fontId="11" type="noConversion"/>
  </si>
  <si>
    <t>HV_PTC_Interlock_Sta</t>
    <phoneticPr fontId="11" type="noConversion"/>
  </si>
  <si>
    <t>DATC_HVPtcIntLkSta</t>
    <phoneticPr fontId="11" type="noConversion"/>
  </si>
  <si>
    <t>REAR_HV_PTC_Interlock_Sta</t>
    <phoneticPr fontId="11" type="noConversion"/>
  </si>
  <si>
    <t>DATC_RrHVPtcIntLkSta</t>
  </si>
  <si>
    <t>DTC_Clear_Service</t>
    <phoneticPr fontId="11" type="noConversion"/>
  </si>
  <si>
    <t>ClearDiagnosticInformatio_Service</t>
    <phoneticPr fontId="11" type="noConversion"/>
  </si>
  <si>
    <t>ClearDiagnosticInformation Service</t>
  </si>
  <si>
    <t>DTC_Read_Service</t>
    <phoneticPr fontId="11" type="noConversion"/>
  </si>
  <si>
    <t>ReadDTCInformation_Service</t>
    <phoneticPr fontId="11" type="noConversion"/>
  </si>
  <si>
    <t>ReadDTCInformation Service</t>
  </si>
  <si>
    <t>DTC_Resp</t>
    <phoneticPr fontId="11" type="noConversion"/>
  </si>
  <si>
    <t>DTC_Responsible</t>
    <phoneticPr fontId="11" type="noConversion"/>
  </si>
  <si>
    <r>
      <t xml:space="preserve">DTC </t>
    </r>
    <r>
      <rPr>
        <sz val="10"/>
        <rFont val="Arial Unicode MS"/>
        <family val="2"/>
        <charset val="129"/>
      </rPr>
      <t>상태</t>
    </r>
    <phoneticPr fontId="11" type="noConversion"/>
  </si>
  <si>
    <t>MCU_Interlock_Req_1</t>
    <phoneticPr fontId="11" type="noConversion"/>
  </si>
  <si>
    <t>MCU_Interlock_Req_2</t>
    <phoneticPr fontId="11" type="noConversion"/>
  </si>
  <si>
    <t>MCU_Mg2HiVoltIntlkReq</t>
    <phoneticPr fontId="11" type="noConversion"/>
  </si>
  <si>
    <t>WCCU_Interlock_Req</t>
    <phoneticPr fontId="11" type="noConversion"/>
  </si>
  <si>
    <t>WCCU_HvIntlockReq</t>
    <phoneticPr fontId="11" type="noConversion"/>
  </si>
  <si>
    <t>MCU_Mg1ActualRotation_SpeedRpmValue</t>
    <phoneticPr fontId="11" type="noConversion"/>
  </si>
  <si>
    <t>MCU_Mg1ActlRotat
SpdRpmVal</t>
    <phoneticPr fontId="11" type="noConversion"/>
  </si>
  <si>
    <t>Factor : 1, Offset : 0, 0x7FFF : Error</t>
  </si>
  <si>
    <t>MCU_Mg2ActualRotation_SpeedRpmValue</t>
    <phoneticPr fontId="11" type="noConversion"/>
  </si>
  <si>
    <t>MCU_Mg2ActlRotat
SpdRpmVal</t>
    <phoneticPr fontId="11" type="noConversion"/>
  </si>
  <si>
    <t>CLI_HVPTC_Interlock_Sta</t>
    <phoneticPr fontId="11" type="noConversion"/>
  </si>
  <si>
    <t>HVPP_HVPtcIntLk_Flag</t>
    <phoneticPr fontId="11" type="noConversion"/>
  </si>
  <si>
    <t>0x0:Disconnect/0x1:Connect</t>
  </si>
  <si>
    <t>CLI_HVREARPTC_Interlock_Sta</t>
    <phoneticPr fontId="11" type="noConversion"/>
  </si>
  <si>
    <t>HVREAR_HVPtcIntLk_Flag</t>
    <phoneticPr fontId="11" type="noConversion"/>
  </si>
  <si>
    <r>
      <t xml:space="preserve">HP </t>
    </r>
    <r>
      <rPr>
        <sz val="10"/>
        <rFont val="Arial Unicode MS"/>
        <family val="2"/>
        <charset val="129"/>
      </rPr>
      <t>전용</t>
    </r>
    <phoneticPr fontId="11" type="noConversion"/>
  </si>
  <si>
    <t>HP_ModSta</t>
    <phoneticPr fontId="11" type="noConversion"/>
  </si>
  <si>
    <t>DATC_HtrPmpModSta</t>
  </si>
  <si>
    <t>EcoClmtLimSet</t>
    <phoneticPr fontId="9" type="noConversion"/>
  </si>
  <si>
    <t>HU_EcoClmtLimSet</t>
    <phoneticPr fontId="9" type="noConversion"/>
  </si>
  <si>
    <r>
      <t>eco</t>
    </r>
    <r>
      <rPr>
        <sz val="10"/>
        <rFont val="맑은 고딕"/>
        <family val="2"/>
        <charset val="129"/>
      </rPr>
      <t>제어</t>
    </r>
    <phoneticPr fontId="9" type="noConversion"/>
  </si>
  <si>
    <t>EcoClmtLimSta</t>
    <phoneticPr fontId="9" type="noConversion"/>
  </si>
  <si>
    <t>DATC_EcoClmtLimSta</t>
  </si>
  <si>
    <t>0x0:ClimateLimit Setting Off/0x1:ClimateLimit Setting On/0x2:Default/0x3:Error Indicator</t>
  </si>
  <si>
    <t>ClmtLimOpSta</t>
    <phoneticPr fontId="9" type="noConversion"/>
  </si>
  <si>
    <t>DATC_ClmtLimOpSta</t>
  </si>
  <si>
    <t>0x0:Off/0x1:Operating ClimateLimit/0x2:Not used/0x3:Error Indicator</t>
  </si>
  <si>
    <t>Coolingfan_Duty</t>
    <phoneticPr fontId="11" type="noConversion"/>
  </si>
  <si>
    <t>DATC_RadFanReq_Duty</t>
  </si>
  <si>
    <t>냉각 팬 속도 듀티 값</t>
    <phoneticPr fontId="11" type="noConversion"/>
  </si>
  <si>
    <r>
      <t xml:space="preserve">Cooling fan </t>
    </r>
    <r>
      <rPr>
        <sz val="10"/>
        <rFont val="맑은 고딕"/>
        <family val="2"/>
        <charset val="129"/>
      </rPr>
      <t>협조제어</t>
    </r>
    <phoneticPr fontId="11" type="noConversion"/>
  </si>
  <si>
    <t>PeEwpRPMReq</t>
    <phoneticPr fontId="11" type="noConversion"/>
  </si>
  <si>
    <t>DATC_PeEwpRPMReq</t>
    <phoneticPr fontId="11" type="noConversion"/>
  </si>
  <si>
    <r>
      <t xml:space="preserve">EWP </t>
    </r>
    <r>
      <rPr>
        <sz val="10"/>
        <rFont val="Arial Unicode MS"/>
        <family val="2"/>
        <charset val="129"/>
      </rPr>
      <t>협조 제어</t>
    </r>
    <phoneticPr fontId="11" type="noConversion"/>
  </si>
  <si>
    <r>
      <t xml:space="preserve">EWP </t>
    </r>
    <r>
      <rPr>
        <sz val="10"/>
        <rFont val="맑은 고딕"/>
        <family val="2"/>
        <charset val="129"/>
      </rPr>
      <t>협조제어</t>
    </r>
    <phoneticPr fontId="11" type="noConversion"/>
  </si>
  <si>
    <t>BatteryEWPOper</t>
    <phoneticPr fontId="11" type="noConversion"/>
  </si>
  <si>
    <t>DATC_BattEwpOpReq</t>
  </si>
  <si>
    <r>
      <t xml:space="preserve">EWP </t>
    </r>
    <r>
      <rPr>
        <sz val="10"/>
        <rFont val="Arial Unicode MS"/>
        <family val="2"/>
        <charset val="129"/>
      </rPr>
      <t>구동 요청 회전수</t>
    </r>
    <phoneticPr fontId="11" type="noConversion"/>
  </si>
  <si>
    <t>CHRG_ChargeStatus</t>
    <phoneticPr fontId="11" type="noConversion"/>
  </si>
  <si>
    <t>CHRG_ChrgSta</t>
  </si>
  <si>
    <t>냉각수 3way 밸브 협조제어</t>
    <phoneticPr fontId="11" type="noConversion"/>
  </si>
  <si>
    <t>0x0:None/0x1:Charging/0x2:Not used/0x3:Error indicator</t>
  </si>
  <si>
    <t>WaterVlvSta</t>
    <phoneticPr fontId="11" type="noConversion"/>
  </si>
  <si>
    <t>DATC_WaterVlvSta</t>
    <phoneticPr fontId="11" type="noConversion"/>
  </si>
  <si>
    <r>
      <t>HTR</t>
    </r>
    <r>
      <rPr>
        <sz val="10"/>
        <rFont val="맑은 고딕"/>
        <family val="2"/>
        <charset val="129"/>
      </rPr>
      <t>방향: 0</t>
    </r>
    <r>
      <rPr>
        <sz val="10"/>
        <rFont val="Arial"/>
        <family val="2"/>
      </rPr>
      <t>H / Water Cond</t>
    </r>
    <r>
      <rPr>
        <sz val="10"/>
        <rFont val="맑은 고딕"/>
        <family val="2"/>
        <charset val="129"/>
      </rPr>
      <t>방향: 1</t>
    </r>
    <r>
      <rPr>
        <sz val="10"/>
        <rFont val="Arial"/>
        <family val="2"/>
      </rPr>
      <t>H</t>
    </r>
    <phoneticPr fontId="11" type="noConversion"/>
  </si>
  <si>
    <t>Mg1HeatsinkTemperatureValue</t>
    <phoneticPr fontId="11" type="noConversion"/>
  </si>
  <si>
    <t>MCU_Mg1HtsnkTempVal</t>
    <phoneticPr fontId="11" type="noConversion"/>
  </si>
  <si>
    <t>Mg2HeatsinkTemperatureValue</t>
    <phoneticPr fontId="11" type="noConversion"/>
  </si>
  <si>
    <t>MCU_Mg2HtsnkTempVal</t>
    <phoneticPr fontId="11" type="noConversion"/>
  </si>
  <si>
    <t>HtrEwpForecedOpt</t>
    <phoneticPr fontId="11" type="noConversion"/>
  </si>
  <si>
    <t>VCU_HtrEwpForcedOpStatus</t>
  </si>
  <si>
    <t>냉각수 3way 밸브 강제구동</t>
    <phoneticPr fontId="11" type="noConversion"/>
  </si>
  <si>
    <t>0x0:OFF/0x1:EWP Forced Operating/0x2:Not used/0x3:Error Indicator</t>
  </si>
  <si>
    <t>Default_Position(DP)</t>
    <phoneticPr fontId="11" type="noConversion"/>
  </si>
  <si>
    <t>V01_EXV</t>
    <phoneticPr fontId="11" type="noConversion"/>
  </si>
  <si>
    <t>V01_EXV (H/P)</t>
    <phoneticPr fontId="11" type="noConversion"/>
  </si>
  <si>
    <t>EXV (H/P)</t>
    <phoneticPr fontId="9" type="noConversion"/>
  </si>
  <si>
    <t>밸브류 제어</t>
    <phoneticPr fontId="11" type="noConversion"/>
  </si>
  <si>
    <t>V02_EXV</t>
    <phoneticPr fontId="11" type="noConversion"/>
  </si>
  <si>
    <t>V02_EXV (B/CHILLER)</t>
    <phoneticPr fontId="11" type="noConversion"/>
  </si>
  <si>
    <t>EXV (B/CHILLER)</t>
    <phoneticPr fontId="9" type="noConversion"/>
  </si>
  <si>
    <t>V04_3way</t>
    <phoneticPr fontId="11" type="noConversion"/>
  </si>
  <si>
    <t>V04_3WAY (R/D)</t>
    <phoneticPr fontId="11" type="noConversion"/>
  </si>
  <si>
    <t>3WAY (R/D)</t>
    <phoneticPr fontId="9" type="noConversion"/>
  </si>
  <si>
    <t>V05_2way</t>
    <phoneticPr fontId="11" type="noConversion"/>
  </si>
  <si>
    <t>V05_2WAY (DEHUMI)</t>
    <phoneticPr fontId="11" type="noConversion"/>
  </si>
  <si>
    <t>2WAY (DEHUMI)</t>
    <phoneticPr fontId="9" type="noConversion"/>
  </si>
  <si>
    <t>V01_DiagFunctnValue</t>
    <phoneticPr fontId="9" type="noConversion"/>
  </si>
  <si>
    <t>V01_DiagFunctnValue</t>
  </si>
  <si>
    <r>
      <t xml:space="preserve">REF. </t>
    </r>
    <r>
      <rPr>
        <sz val="10"/>
        <rFont val="맑은 고딕"/>
        <family val="2"/>
        <charset val="129"/>
      </rPr>
      <t>초기화 로직</t>
    </r>
    <phoneticPr fontId="11" type="noConversion"/>
  </si>
  <si>
    <t>V01_SystemState</t>
    <phoneticPr fontId="9" type="noConversion"/>
  </si>
  <si>
    <t>V01_SystemState</t>
  </si>
  <si>
    <t>V02_DiagFunctnValue</t>
    <phoneticPr fontId="9" type="noConversion"/>
  </si>
  <si>
    <t>V02_DiagFunctnValue</t>
  </si>
  <si>
    <t>V02_SystemState</t>
    <phoneticPr fontId="9" type="noConversion"/>
  </si>
  <si>
    <t>V02_SystemState</t>
  </si>
  <si>
    <t>V04_DiagFunctnValue</t>
    <phoneticPr fontId="9" type="noConversion"/>
  </si>
  <si>
    <t>V04_DiagFunctnValue</t>
  </si>
  <si>
    <t>V04_SystemState</t>
    <phoneticPr fontId="9" type="noConversion"/>
  </si>
  <si>
    <t>V04_SystemState</t>
  </si>
  <si>
    <t>V05_DiagFunctnValue</t>
    <phoneticPr fontId="9" type="noConversion"/>
  </si>
  <si>
    <t>V05_SystemState</t>
    <phoneticPr fontId="9" type="noConversion"/>
  </si>
  <si>
    <t>V05_SystemState</t>
  </si>
  <si>
    <t>WaterCooling_ROTV</t>
    <phoneticPr fontId="9" type="noConversion"/>
  </si>
  <si>
    <t>xEV_RadOutTempVal</t>
  </si>
  <si>
    <t>WaterCoolingRadiatorOutletTemperatureValue</t>
    <phoneticPr fontId="9" type="noConversion"/>
  </si>
  <si>
    <t>실외 제상 모드</t>
    <phoneticPr fontId="11" type="noConversion"/>
  </si>
  <si>
    <t>AAFOpen</t>
    <phoneticPr fontId="11" type="noConversion"/>
  </si>
  <si>
    <t>DATC_AAFOpenReq</t>
  </si>
  <si>
    <r>
      <t xml:space="preserve">AAF </t>
    </r>
    <r>
      <rPr>
        <sz val="10"/>
        <rFont val="맑은 고딕"/>
        <family val="2"/>
        <charset val="129"/>
      </rPr>
      <t>협조제어</t>
    </r>
    <phoneticPr fontId="11" type="noConversion"/>
  </si>
  <si>
    <t>Mg1_TV</t>
    <phoneticPr fontId="9" type="noConversion"/>
  </si>
  <si>
    <t>MCU_Mg1TempVal</t>
  </si>
  <si>
    <t>MCU_Mg1TemperatureValue</t>
  </si>
  <si>
    <t>EV_Ready</t>
    <phoneticPr fontId="11" type="noConversion"/>
  </si>
  <si>
    <t>VCU_EvDrvRdySta</t>
    <phoneticPr fontId="11" type="noConversion"/>
  </si>
  <si>
    <t>BattCompPwrCnsmptn</t>
    <phoneticPr fontId="9" type="noConversion"/>
  </si>
  <si>
    <t>DATC_BattCompPwrCnsmptn_W2</t>
  </si>
  <si>
    <t>전력량 연산</t>
    <phoneticPr fontId="9" type="noConversion"/>
  </si>
  <si>
    <t>AcnECompCnsmptPwrVal</t>
    <phoneticPr fontId="9" type="noConversion"/>
  </si>
  <si>
    <t>DATC_AcnECompCnsmptPwrVal_W</t>
  </si>
  <si>
    <t>PtcPwrCnsmptnVal</t>
    <phoneticPr fontId="9" type="noConversion"/>
  </si>
  <si>
    <t>DATC_PtcPwrCnsmptnVal_W</t>
    <phoneticPr fontId="9" type="noConversion"/>
  </si>
  <si>
    <t>ClmtPwrCnsmptn</t>
    <phoneticPr fontId="9" type="noConversion"/>
  </si>
  <si>
    <t>DATC_ClmtPwrCnsmptn_W</t>
    <phoneticPr fontId="9" type="noConversion"/>
  </si>
  <si>
    <t>Ecomp_CompCst_W</t>
    <phoneticPr fontId="9" type="noConversion"/>
  </si>
  <si>
    <t>Ecomp_CompCst_W</t>
  </si>
  <si>
    <t>CstPwrDr_W</t>
    <phoneticPr fontId="9" type="noConversion"/>
  </si>
  <si>
    <t>HVPP_CstPwrDr_W</t>
  </si>
  <si>
    <t>CstPwrPs_W</t>
    <phoneticPr fontId="9" type="noConversion"/>
  </si>
  <si>
    <t>HVPP_CstPwrPs_W</t>
  </si>
  <si>
    <t>ClmtPwrSum</t>
    <phoneticPr fontId="9" type="noConversion"/>
  </si>
  <si>
    <t>DATC_ClmtPwrSum_Wh</t>
    <phoneticPr fontId="9" type="noConversion"/>
  </si>
  <si>
    <t>BattPwrSum</t>
    <phoneticPr fontId="9" type="noConversion"/>
  </si>
  <si>
    <t>DATC_BattPwrSum_Wh2</t>
    <phoneticPr fontId="9" type="noConversion"/>
  </si>
  <si>
    <t>HvBat_ADOS</t>
    <phoneticPr fontId="9" type="noConversion"/>
  </si>
  <si>
    <t>BMS_HvBatAutoDchOpSta</t>
  </si>
  <si>
    <r>
      <t xml:space="preserve">SOC </t>
    </r>
    <r>
      <rPr>
        <sz val="10"/>
        <rFont val="맑은 고딕"/>
        <family val="2"/>
        <charset val="129"/>
      </rPr>
      <t>방전 로직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Highvoltage Battery Auto Discharge Operating Status</t>
    </r>
    <phoneticPr fontId="11" type="noConversion"/>
  </si>
  <si>
    <t>0x0:Default/0x1:Ready/0x2:Progress/0x3:Complete</t>
  </si>
  <si>
    <t>VCU_HvBat_ADOS</t>
    <phoneticPr fontId="9" type="noConversion"/>
  </si>
  <si>
    <t>VCU_HvBatAutoDchOpSta</t>
  </si>
  <si>
    <t>hev_HEU_Per</t>
    <phoneticPr fontId="11" type="noConversion"/>
  </si>
  <si>
    <t>VCU_FatcOperPermSta</t>
    <phoneticPr fontId="11" type="noConversion"/>
  </si>
  <si>
    <r>
      <rPr>
        <sz val="10"/>
        <rFont val="맑은 고딕"/>
        <family val="2"/>
        <charset val="129"/>
      </rPr>
      <t>메인릴레이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융착방지</t>
    </r>
    <phoneticPr fontId="11" type="noConversion"/>
  </si>
  <si>
    <t>0x0:Not Permitted/0x1:Permitted/0x2:Not used/0x3:Error Indicator</t>
    <phoneticPr fontId="11" type="noConversion"/>
  </si>
  <si>
    <t>PtcOprPrm</t>
    <phoneticPr fontId="11" type="noConversion"/>
  </si>
  <si>
    <t>CF_Fcu_PtcOprPrm</t>
  </si>
  <si>
    <r>
      <t xml:space="preserve">PTC </t>
    </r>
    <r>
      <rPr>
        <sz val="10"/>
        <rFont val="맑은 고딕"/>
        <family val="3"/>
        <charset val="129"/>
      </rPr>
      <t>작동조건</t>
    </r>
    <phoneticPr fontId="11" type="noConversion"/>
  </si>
  <si>
    <t>고전압 PTC 과열 방지를 위한 VENT BLEED 제어 (전지역 적용)</t>
  </si>
  <si>
    <t>PtcPrmPwr_W</t>
    <phoneticPr fontId="11" type="noConversion"/>
  </si>
  <si>
    <t>CR_Fcu_PtcPrmPwr_W</t>
  </si>
  <si>
    <t>HVPP_CstPwrDr_W</t>
    <phoneticPr fontId="11" type="noConversion"/>
  </si>
  <si>
    <t>HVPP_CstPwrPs_W</t>
    <phoneticPr fontId="11" type="noConversion"/>
  </si>
  <si>
    <t>BatEwpFltSta</t>
    <phoneticPr fontId="11" type="noConversion"/>
  </si>
  <si>
    <t>VCU_BatEwpFltSta</t>
    <phoneticPr fontId="11" type="noConversion"/>
  </si>
  <si>
    <t>배터리 쿨링 필요 신호</t>
    <phoneticPr fontId="11" type="noConversion"/>
  </si>
  <si>
    <t>LtrEwpFltSt</t>
    <phoneticPr fontId="11" type="noConversion"/>
  </si>
  <si>
    <t>VCU_LtrEwpFltSt</t>
    <phoneticPr fontId="11" type="noConversion"/>
  </si>
  <si>
    <t>BatChllrTgtRpm</t>
    <phoneticPr fontId="11" type="noConversion"/>
  </si>
  <si>
    <t>VCU_BatChllrTgtRpm</t>
    <phoneticPr fontId="11" type="noConversion"/>
  </si>
  <si>
    <t>배터리쿨링 협조제어</t>
    <phoneticPr fontId="11" type="noConversion"/>
  </si>
  <si>
    <t>BattChlrVlvSta</t>
    <phoneticPr fontId="11" type="noConversion"/>
  </si>
  <si>
    <t>DATC_BattChlrVlvSta</t>
    <phoneticPr fontId="11" type="noConversion"/>
  </si>
  <si>
    <t>BattChlrVlv_FltCode</t>
    <phoneticPr fontId="11" type="noConversion"/>
  </si>
  <si>
    <t>DATC_BattChlrVlv_FltCode</t>
    <phoneticPr fontId="11" type="noConversion"/>
  </si>
  <si>
    <t>BattEvapVlvSta</t>
    <phoneticPr fontId="11" type="noConversion"/>
  </si>
  <si>
    <t>DATC_BattEvapVlvSta</t>
    <phoneticPr fontId="11" type="noConversion"/>
  </si>
  <si>
    <t>BattEvapVlv_FltCode</t>
    <phoneticPr fontId="11" type="noConversion"/>
  </si>
  <si>
    <t>DATC_BattEvapVlv_FltCode</t>
  </si>
  <si>
    <t>HVPPTargetDutyDr_Perc</t>
    <phoneticPr fontId="11" type="noConversion"/>
  </si>
  <si>
    <t>CCU_HVPPTargetDutyDriver_Perc (CCU2)</t>
    <phoneticPr fontId="11" type="noConversion"/>
  </si>
  <si>
    <r>
      <rPr>
        <sz val="10"/>
        <rFont val="Arial"/>
        <family val="3"/>
      </rPr>
      <t xml:space="preserve">Dr PTC Duty </t>
    </r>
    <r>
      <rPr>
        <sz val="10"/>
        <rFont val="맑은 고딕"/>
        <family val="3"/>
        <charset val="129"/>
      </rPr>
      <t>출력</t>
    </r>
    <phoneticPr fontId="11" type="noConversion"/>
  </si>
  <si>
    <t>HVPPTargetDutyPs_Perc</t>
    <phoneticPr fontId="11" type="noConversion"/>
  </si>
  <si>
    <t>CCU_HVPPTargetDutyPassenger_Perc (CCU2)</t>
    <phoneticPr fontId="11" type="noConversion"/>
  </si>
  <si>
    <r>
      <t xml:space="preserve">Ps PTC Duty </t>
    </r>
    <r>
      <rPr>
        <sz val="10"/>
        <rFont val="맑은 고딕"/>
        <family val="2"/>
        <charset val="129"/>
      </rPr>
      <t>출력</t>
    </r>
    <phoneticPr fontId="11" type="noConversion"/>
  </si>
  <si>
    <t>T1.1.4</t>
  </si>
  <si>
    <t>T1.1.5</t>
  </si>
  <si>
    <t>T1.1.6</t>
  </si>
  <si>
    <t>T1.1.7</t>
  </si>
  <si>
    <t>T1.1.8</t>
  </si>
  <si>
    <t>T1.1.9</t>
  </si>
  <si>
    <t>T1.1.10</t>
  </si>
  <si>
    <t>T1.1.11</t>
  </si>
  <si>
    <t>T1.1.12</t>
  </si>
  <si>
    <t>T1.1.13</t>
  </si>
  <si>
    <t>T1.1.14</t>
  </si>
  <si>
    <t>T1.1.15</t>
  </si>
  <si>
    <t>T1.1.16</t>
  </si>
  <si>
    <t>T1.1.17</t>
  </si>
  <si>
    <t>T1.1.18</t>
  </si>
  <si>
    <t>T1.1.19</t>
  </si>
  <si>
    <t>T1.1.20</t>
  </si>
  <si>
    <t>T1.1.21</t>
  </si>
  <si>
    <t>T1.2</t>
  </si>
  <si>
    <t>P1.2</t>
  </si>
  <si>
    <t>T1.2.1</t>
  </si>
  <si>
    <t>T1.2.2</t>
  </si>
  <si>
    <t>T1.2.3</t>
  </si>
  <si>
    <t>T1.2.4</t>
  </si>
  <si>
    <t>T1.2.5</t>
  </si>
  <si>
    <t>T1.2.6</t>
  </si>
  <si>
    <t>T1.2.7</t>
  </si>
  <si>
    <t>T1.3</t>
  </si>
  <si>
    <t>P1.3</t>
  </si>
  <si>
    <t>T1.3.1</t>
  </si>
  <si>
    <t>T1.3.2</t>
  </si>
  <si>
    <t>T1.3.3</t>
  </si>
  <si>
    <t>T1.3.4</t>
  </si>
  <si>
    <t>T1.3.5</t>
  </si>
  <si>
    <t>T1.3.6</t>
  </si>
  <si>
    <t>I2.1.1</t>
  </si>
  <si>
    <t>I2.1.2</t>
  </si>
  <si>
    <t>I2.1.3</t>
  </si>
  <si>
    <t>I2.1.4</t>
  </si>
  <si>
    <t>T2.1.5</t>
  </si>
  <si>
    <t>T2.1.6</t>
  </si>
  <si>
    <t>T2.1.7</t>
  </si>
  <si>
    <t>T2.1.8</t>
  </si>
  <si>
    <t>T2.1.9</t>
  </si>
  <si>
    <t>T2.1.10</t>
  </si>
  <si>
    <t>T2.1.11</t>
  </si>
  <si>
    <t>T2.1.12</t>
  </si>
  <si>
    <t>T2.1.13</t>
  </si>
  <si>
    <t>T2.1.14</t>
  </si>
  <si>
    <t>T2.1.15</t>
  </si>
  <si>
    <t>T2.1.16</t>
  </si>
  <si>
    <t>T2.1.17</t>
  </si>
  <si>
    <t>T2.1.18</t>
  </si>
  <si>
    <t>T2.1.19</t>
  </si>
  <si>
    <t>T2.1.20</t>
  </si>
  <si>
    <t>T2.1.21</t>
  </si>
  <si>
    <t>T2.2</t>
  </si>
  <si>
    <t>P2.2</t>
  </si>
  <si>
    <t>T2.2.1</t>
  </si>
  <si>
    <t>T2.2.2</t>
  </si>
  <si>
    <t>T2.2.3</t>
  </si>
  <si>
    <t>T2.2.4</t>
  </si>
  <si>
    <t>T2.2.5</t>
  </si>
  <si>
    <t>T2.2.6</t>
  </si>
  <si>
    <t>T2.2.7</t>
  </si>
  <si>
    <t>T2.3</t>
  </si>
  <si>
    <t>P2.3</t>
  </si>
  <si>
    <t>T2.3.1</t>
  </si>
  <si>
    <t>T2.3.2</t>
  </si>
  <si>
    <t>T2.3.3</t>
  </si>
  <si>
    <t>T2.3.4</t>
  </si>
  <si>
    <t>T2.3.5</t>
  </si>
  <si>
    <t>T2.3.6</t>
  </si>
  <si>
    <t>검증 차종에 맞춰 Initialization 수정 필요</t>
    <phoneticPr fontId="4" type="noConversion"/>
  </si>
  <si>
    <t>VCU_FatcPermPwrVal</t>
    <phoneticPr fontId="4" type="noConversion"/>
  </si>
  <si>
    <t>고차속 설정</t>
    <phoneticPr fontId="10" type="noConversion"/>
  </si>
  <si>
    <t>모든 휠 차속값 동일 설정</t>
    <phoneticPr fontId="10" type="noConversion"/>
  </si>
  <si>
    <t>냉각수온 차종</t>
    <phoneticPr fontId="10" type="noConversion"/>
  </si>
  <si>
    <t>Permission 변수명 확인</t>
    <phoneticPr fontId="10" type="noConversion"/>
  </si>
  <si>
    <t>난방기동제어 미진입 조건 설정, 다른 로직에 영향이 없을지 추가 확인</t>
    <phoneticPr fontId="9" type="noConversion"/>
  </si>
  <si>
    <t>모든 Eva Sensor 값 동일 설정</t>
    <phoneticPr fontId="10" type="noConversion"/>
  </si>
  <si>
    <t>모든 Duct Sensor 값 동일 설정</t>
    <phoneticPr fontId="10" type="noConversion"/>
  </si>
  <si>
    <t>T_DW 연산 : 셀습도/셀온도 변수 확인</t>
    <phoneticPr fontId="10" type="noConversion"/>
  </si>
  <si>
    <t>Duct 수는 차종별 상이</t>
    <phoneticPr fontId="10" type="noConversion"/>
  </si>
  <si>
    <t>32 &lt; APT_Value &lt; 275 설정 확인, P SIGNAL_COMP OUT 이 APT 로 사용되는지 확인</t>
    <phoneticPr fontId="10" type="noConversion"/>
  </si>
  <si>
    <t>RTS_COMP &lt; 120 설정 확인</t>
    <phoneticPr fontId="10" type="noConversion"/>
  </si>
  <si>
    <t>Check Project Information : S/W Version 확인 후 기재 할 것!</t>
    <phoneticPr fontId="10" type="noConversion"/>
  </si>
  <si>
    <t>차종별 자가진단 진입조건 확인</t>
    <phoneticPr fontId="10" type="noConversion"/>
  </si>
  <si>
    <t>각 TC 별 Panel Display 및 INDICATOR 관련 동작 중 눈으로 직접 확인 할 수 있는 것은 직접 확인 할 것! (Display 표시 사양에 따름)</t>
    <phoneticPr fontId="9" type="noConversion"/>
  </si>
  <si>
    <t>Pre-condition check : 차속 DRIVE 상태</t>
    <phoneticPr fontId="4" type="noConversion"/>
  </si>
  <si>
    <t>T1.1.3</t>
    <phoneticPr fontId="4" type="noConversion"/>
  </si>
  <si>
    <t>T1.1.4</t>
    <phoneticPr fontId="4" type="noConversion"/>
  </si>
  <si>
    <t>T1.1.5</t>
    <phoneticPr fontId="4" type="noConversion"/>
  </si>
  <si>
    <t>T1.1.6</t>
    <phoneticPr fontId="4" type="noConversion"/>
  </si>
  <si>
    <t>T1.1.7</t>
    <phoneticPr fontId="4" type="noConversion"/>
  </si>
  <si>
    <t>T1.1.8</t>
    <phoneticPr fontId="4" type="noConversion"/>
  </si>
  <si>
    <t>T1.1.9</t>
    <phoneticPr fontId="4" type="noConversion"/>
  </si>
  <si>
    <t>T1.1.10</t>
    <phoneticPr fontId="4" type="noConversion"/>
  </si>
  <si>
    <t>T1.1.11</t>
    <phoneticPr fontId="4" type="noConversion"/>
  </si>
  <si>
    <t>T1.1.12</t>
    <phoneticPr fontId="4" type="noConversion"/>
  </si>
  <si>
    <t>T1.1.13</t>
    <phoneticPr fontId="4" type="noConversion"/>
  </si>
  <si>
    <t>T1.1.14</t>
    <phoneticPr fontId="4" type="noConversion"/>
  </si>
  <si>
    <t>T1.1.15</t>
    <phoneticPr fontId="4" type="noConversion"/>
  </si>
  <si>
    <t>T1.1.16</t>
    <phoneticPr fontId="4" type="noConversion"/>
  </si>
  <si>
    <t>T1.1.17</t>
    <phoneticPr fontId="4" type="noConversion"/>
  </si>
  <si>
    <t>T1.1.18</t>
    <phoneticPr fontId="4" type="noConversion"/>
  </si>
  <si>
    <t>T1.1.19</t>
    <phoneticPr fontId="4" type="noConversion"/>
  </si>
  <si>
    <t>T1.1.20</t>
    <phoneticPr fontId="4" type="noConversion"/>
  </si>
  <si>
    <t>T1.1.21</t>
    <phoneticPr fontId="4" type="noConversion"/>
  </si>
  <si>
    <t>Power_Reset</t>
    <phoneticPr fontId="4" type="noConversion"/>
  </si>
  <si>
    <t xml:space="preserve"> </t>
    <phoneticPr fontId="4" type="noConversion"/>
  </si>
  <si>
    <t>T1.3.5</t>
    <phoneticPr fontId="4" type="noConversion"/>
  </si>
  <si>
    <t>T1.3.6</t>
    <phoneticPr fontId="4" type="noConversion"/>
  </si>
  <si>
    <t>Title2</t>
    <phoneticPr fontId="4" type="noConversion"/>
  </si>
  <si>
    <t>T2</t>
    <phoneticPr fontId="4" type="noConversion"/>
  </si>
  <si>
    <t>I.1</t>
    <phoneticPr fontId="4" type="noConversion"/>
  </si>
  <si>
    <t>P3.3</t>
  </si>
  <si>
    <t>T3.3.1</t>
  </si>
  <si>
    <t>T3.3.2</t>
  </si>
  <si>
    <t>T3.3.3</t>
  </si>
  <si>
    <t>T3.3.4</t>
  </si>
  <si>
    <t>T3.3.5</t>
  </si>
  <si>
    <t>T3.3.6</t>
  </si>
  <si>
    <t>T3.3.7</t>
  </si>
  <si>
    <t>T3.3.8</t>
  </si>
  <si>
    <t>T3.3.9</t>
  </si>
  <si>
    <t>T3.3.10</t>
  </si>
  <si>
    <t>T3.3.11</t>
  </si>
  <si>
    <t>T40.2</t>
  </si>
  <si>
    <t>P40.2</t>
  </si>
  <si>
    <t>T40.2.1</t>
  </si>
  <si>
    <t>Master 사양</t>
    <phoneticPr fontId="9" type="noConversion"/>
  </si>
  <si>
    <t>Master 사양</t>
    <phoneticPr fontId="11" type="noConversion"/>
  </si>
  <si>
    <t>외기온≤5℃ 조건</t>
    <phoneticPr fontId="9" type="noConversion"/>
  </si>
  <si>
    <t>사양서</t>
    <phoneticPr fontId="11" type="noConversion"/>
  </si>
  <si>
    <t>Master_ATC 로직사양서 (기능_hev+phev)_V01.1_20240730_24년 4차 표준사양협의체 결과 반영.xlsx</t>
    <phoneticPr fontId="11" type="noConversion"/>
  </si>
  <si>
    <t>NE1 PE_UNIT_logic_사양서_1.04.00_20240622_인도 통합 P 사양 재배포_인도로직 추가 (이력 1.03.10 추가).xlsx</t>
    <phoneticPr fontId="11" type="noConversion"/>
  </si>
  <si>
    <t>Duct</t>
    <phoneticPr fontId="9" type="noConversion"/>
  </si>
  <si>
    <t>PsMode_ACT</t>
    <phoneticPr fontId="9" type="noConversion"/>
  </si>
  <si>
    <t>EWP 협조 에어 &lt;H/P 사양&gt;</t>
    <phoneticPr fontId="9" type="noConversion"/>
  </si>
  <si>
    <t>A/C 모드 or 배터리 쿨링 요청시 작동 사양 - ①, ③ 냉매압 조건에 따른 전장용 요청 EWP RPM(DATC_PeEwpRPMReq / DATC_BattEwpOpReq) 을 CAN으로 송부</t>
    <phoneticPr fontId="9" type="noConversion"/>
  </si>
  <si>
    <t>System_Off_to_On</t>
    <phoneticPr fontId="9" type="noConversion"/>
  </si>
  <si>
    <t>IGN2,3_Off_to_On</t>
    <phoneticPr fontId="9" type="noConversion"/>
  </si>
  <si>
    <t>T1.2</t>
    <phoneticPr fontId="9" type="noConversion"/>
  </si>
  <si>
    <t>진입 / 해제 조건 - A/C 모드 or 배터리 쿨링 요청시 / A/C 모드외 and 배터리 쿨링 미요청시</t>
    <phoneticPr fontId="9" type="noConversion"/>
  </si>
  <si>
    <t>SW_OFF</t>
    <phoneticPr fontId="9" type="noConversion"/>
  </si>
  <si>
    <t>진입 / 해제 조건 - H/P B, H/P B-1 모드 / 배터리 쿨링 요청시 또는 A/C, H/P 이외 모드</t>
    <phoneticPr fontId="9" type="noConversion"/>
  </si>
  <si>
    <t>Depth.3</t>
    <phoneticPr fontId="9" type="noConversion"/>
  </si>
  <si>
    <t>A/C 모드 or 배터리 쿨링 요청시 작동 사양 - ② EWP RPM(DATC_PeEwpRPMReq) 상한치 제한 진입 / 해제 조건</t>
    <phoneticPr fontId="9" type="noConversion"/>
  </si>
  <si>
    <t>A/C 모드 or 배터리 쿨링 요청시 작동 사양 - ⑤ EWP RPM(DATC_BattEwpOpReq) 상한치 제한 진입 / 해제 조건</t>
    <phoneticPr fontId="9" type="noConversion"/>
  </si>
  <si>
    <t>H/P B, H/P B-1 모드 작동사양 - ② EWP RPM(DATC_PeEwpRPMReq) 상한치 제한 진입 / 해제 조건</t>
    <phoneticPr fontId="9" type="noConversion"/>
  </si>
  <si>
    <t>H/P B, H/P B-1 모드 작동사양 - ⑤ EWP RPM(DATC_BattEwpOpReq) 상한치 제한 진입 / 해제 조건</t>
    <phoneticPr fontId="9" type="noConversion"/>
  </si>
  <si>
    <t>EWP 협조 제어 로직 동작 확인 - A/C 모드일 경우</t>
    <phoneticPr fontId="9" type="noConversion"/>
  </si>
  <si>
    <t>T40.1.1</t>
    <phoneticPr fontId="9" type="noConversion"/>
  </si>
  <si>
    <t>T40.1.2</t>
    <phoneticPr fontId="9" type="noConversion"/>
  </si>
  <si>
    <t>T40.1.3</t>
    <phoneticPr fontId="9" type="noConversion"/>
  </si>
  <si>
    <t>EWP 협조 제어 로직 동작 확인 - H/P 모드일 경우</t>
    <phoneticPr fontId="9" type="noConversion"/>
  </si>
  <si>
    <t>T40.2.2</t>
    <phoneticPr fontId="9" type="noConversion"/>
  </si>
  <si>
    <t>Depth.2_EV_내수_EWP 협조제어_v0.1</t>
    <phoneticPr fontId="5" type="noConversion"/>
  </si>
  <si>
    <t>작성자</t>
    <phoneticPr fontId="5" type="noConversion"/>
  </si>
  <si>
    <t>관리자</t>
    <phoneticPr fontId="5" type="noConversion"/>
  </si>
  <si>
    <t xml:space="preserve"> ~ 2025-04-04</t>
    <phoneticPr fontId="5" type="noConversion"/>
  </si>
  <si>
    <t>초안 작성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</si>
</sst>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1" formatCode="_-* #,##0_-;\-* #,##0_-;_-* &quot;-&quot;_-;_-@_-"/>
    <numFmt numFmtId="176" formatCode="_(&quot;$&quot;* #,##0.00_);_(&quot;$&quot;* \(#,##0.00\);_(&quot;$&quot;* &quot;-&quot;??_);_(@_)"/>
    <numFmt numFmtId="177" formatCode="yyyy\-mm\-dd;@"/>
    <numFmt numFmtId="178" formatCode="0.000"/>
    <numFmt numFmtId="179" formatCode="0.0_ "/>
    <numFmt numFmtId="180" formatCode="0.000_ "/>
    <numFmt numFmtId="181" formatCode="0.00_ "/>
    <numFmt numFmtId="182" formatCode="0.0"/>
  </numFmts>
  <fonts count="64">
    <font>
      <sz val="10"/>
      <name val="Arial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12"/>
      <name val="Arial"/>
      <family val="2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12"/>
      <name val="바탕체"/>
      <family val="1"/>
      <charset val="129"/>
    </font>
    <font>
      <sz val="11"/>
      <name val="??"/>
      <family val="1"/>
    </font>
    <font>
      <sz val="9"/>
      <name val="굴림"/>
      <family val="3"/>
      <charset val="129"/>
    </font>
    <font>
      <sz val="12"/>
      <name val="돋움"/>
      <family val="3"/>
      <charset val="129"/>
    </font>
    <font>
      <sz val="8"/>
      <name val="맑은 고딕"/>
      <family val="2"/>
      <charset val="129"/>
      <scheme val="minor"/>
    </font>
    <font>
      <sz val="10"/>
      <name val="돋움"/>
      <family val="3"/>
      <charset val="129"/>
    </font>
    <font>
      <b/>
      <sz val="11"/>
      <name val="Arial"/>
      <family val="2"/>
    </font>
    <font>
      <sz val="11"/>
      <name val="Arial"/>
      <family val="2"/>
    </font>
    <font>
      <sz val="11"/>
      <name val="맑은 고딕"/>
      <family val="3"/>
      <charset val="129"/>
    </font>
    <font>
      <b/>
      <sz val="11"/>
      <name val="돋움"/>
      <family val="3"/>
      <charset val="129"/>
    </font>
    <font>
      <sz val="11"/>
      <name val="맑은 고딕"/>
      <family val="2"/>
      <charset val="129"/>
    </font>
    <font>
      <b/>
      <sz val="11"/>
      <name val="맑은 고딕"/>
      <family val="3"/>
      <charset val="129"/>
    </font>
    <font>
      <sz val="11"/>
      <color rgb="FF0000FF"/>
      <name val="Arial"/>
      <family val="2"/>
    </font>
    <font>
      <sz val="10"/>
      <color theme="0" tint="-0.249977111117893"/>
      <name val="Arial"/>
      <family val="2"/>
    </font>
    <font>
      <sz val="10"/>
      <name val="Arial Unicode MS"/>
      <family val="2"/>
      <charset val="129"/>
    </font>
    <font>
      <b/>
      <sz val="10"/>
      <name val="Arial Unicode MS"/>
      <family val="2"/>
      <charset val="129"/>
    </font>
    <font>
      <b/>
      <sz val="11"/>
      <color theme="0"/>
      <name val="Arial"/>
      <family val="2"/>
    </font>
    <font>
      <sz val="10"/>
      <name val="굴림"/>
      <family val="2"/>
      <charset val="129"/>
    </font>
    <font>
      <b/>
      <sz val="10"/>
      <name val="굴림"/>
      <family val="2"/>
      <charset val="129"/>
    </font>
    <font>
      <sz val="11"/>
      <color rgb="FFFF0000"/>
      <name val="Arial"/>
      <family val="2"/>
    </font>
    <font>
      <sz val="10"/>
      <name val="맑은 고딕"/>
      <family val="3"/>
      <charset val="129"/>
    </font>
    <font>
      <sz val="10"/>
      <name val="Arial Unicode MS"/>
      <charset val="129"/>
    </font>
    <font>
      <sz val="10"/>
      <name val="굴림"/>
      <family val="3"/>
      <charset val="129"/>
    </font>
    <font>
      <b/>
      <sz val="10"/>
      <color theme="0"/>
      <name val="Arial"/>
      <family val="2"/>
    </font>
    <font>
      <b/>
      <sz val="10"/>
      <color theme="0"/>
      <name val="맑은 고딕"/>
      <family val="3"/>
      <charset val="129"/>
    </font>
    <font>
      <b/>
      <sz val="10"/>
      <color theme="0"/>
      <name val="Arial Unicode MS"/>
      <charset val="129"/>
    </font>
    <font>
      <sz val="10"/>
      <name val="바탕체"/>
      <family val="1"/>
      <charset val="129"/>
    </font>
    <font>
      <sz val="8"/>
      <name val="굴림"/>
      <family val="3"/>
      <charset val="129"/>
    </font>
    <font>
      <b/>
      <sz val="10"/>
      <name val="맑은 고딕"/>
      <family val="2"/>
      <charset val="129"/>
    </font>
    <font>
      <sz val="10"/>
      <color theme="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</font>
    <font>
      <sz val="10"/>
      <name val="맑은 고딕"/>
      <family val="2"/>
      <charset val="129"/>
    </font>
    <font>
      <sz val="10"/>
      <name val="Gulim"/>
      <family val="2"/>
    </font>
    <font>
      <b/>
      <sz val="10"/>
      <name val="Arial Unicode MS"/>
      <family val="3"/>
      <charset val="129"/>
    </font>
    <font>
      <sz val="12"/>
      <name val="굴림체"/>
      <family val="3"/>
      <charset val="129"/>
    </font>
    <font>
      <sz val="10"/>
      <name val="Arial"/>
      <family val="2"/>
    </font>
    <font>
      <b/>
      <sz val="10"/>
      <name val="돋움"/>
      <family val="3"/>
      <charset val="129"/>
    </font>
    <font>
      <sz val="10"/>
      <name val="Arial Unicode MS"/>
      <family val="3"/>
      <charset val="129"/>
    </font>
    <font>
      <sz val="10"/>
      <name val="Arial"/>
      <family val="2"/>
      <charset val="129"/>
    </font>
    <font>
      <sz val="10"/>
      <name val="돋움"/>
      <family val="2"/>
      <charset val="129"/>
    </font>
    <font>
      <b/>
      <sz val="10"/>
      <color indexed="8"/>
      <name val="Arial"/>
      <family val="2"/>
    </font>
    <font>
      <sz val="10"/>
      <color theme="1"/>
      <name val="Arial"/>
      <family val="2"/>
    </font>
    <font>
      <sz val="10"/>
      <color theme="1"/>
      <name val="맑은 고딕"/>
      <family val="2"/>
      <charset val="129"/>
    </font>
    <font>
      <b/>
      <sz val="10"/>
      <color indexed="9"/>
      <name val="Arial"/>
      <family val="2"/>
    </font>
    <font>
      <b/>
      <sz val="10"/>
      <color indexed="9"/>
      <name val="맑은 고딕"/>
      <family val="3"/>
      <charset val="129"/>
    </font>
    <font>
      <b/>
      <sz val="11"/>
      <name val="Arial"/>
      <family val="2"/>
      <charset val="129"/>
    </font>
    <font>
      <sz val="11"/>
      <color theme="0"/>
      <name val="Arial"/>
      <family val="2"/>
    </font>
    <font>
      <sz val="10"/>
      <name val="Arial"/>
      <family val="3"/>
      <charset val="129"/>
    </font>
    <font>
      <sz val="10"/>
      <color rgb="FFFF0000"/>
      <name val="Arial"/>
      <family val="2"/>
    </font>
    <font>
      <sz val="10"/>
      <name val="Arial"/>
      <family val="3"/>
    </font>
    <font>
      <sz val="10"/>
      <name val="Segoe UI Symbol"/>
      <family val="1"/>
    </font>
    <font>
      <sz val="10"/>
      <name val="Segoe UI Symbol"/>
      <family val="2"/>
    </font>
    <font>
      <sz val="9"/>
      <color indexed="63"/>
      <name val="맑은 고딕"/>
      <family val="3"/>
      <charset val="129"/>
      <scheme val="minor"/>
    </font>
  </fonts>
  <fills count="2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28">
    <xf numFmtId="0" fontId="0" fillId="0" borderId="0">
      <alignment vertical="center"/>
    </xf>
    <xf numFmtId="0" fontId="3" fillId="0" borderId="0"/>
    <xf numFmtId="0" fontId="2" fillId="0" borderId="0">
      <alignment vertical="center"/>
    </xf>
    <xf numFmtId="176" fontId="10" fillId="0" borderId="0" applyFont="0" applyFill="0" applyBorder="0" applyAlignment="0" applyProtection="0"/>
    <xf numFmtId="0" fontId="3" fillId="0" borderId="0"/>
    <xf numFmtId="0" fontId="8" fillId="0" borderId="0">
      <alignment vertical="center"/>
    </xf>
    <xf numFmtId="0" fontId="3" fillId="0" borderId="0"/>
    <xf numFmtId="0" fontId="12" fillId="0" borderId="0"/>
    <xf numFmtId="0" fontId="3" fillId="0" borderId="0"/>
    <xf numFmtId="0" fontId="2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/>
    <xf numFmtId="0" fontId="3" fillId="0" borderId="0">
      <alignment vertical="center"/>
    </xf>
    <xf numFmtId="0" fontId="1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8" fillId="0" borderId="0">
      <alignment vertical="center"/>
    </xf>
    <xf numFmtId="0" fontId="3" fillId="0" borderId="0"/>
    <xf numFmtId="0" fontId="36" fillId="0" borderId="0"/>
    <xf numFmtId="0" fontId="8" fillId="0" borderId="0">
      <alignment vertical="center"/>
    </xf>
    <xf numFmtId="0" fontId="40" fillId="0" borderId="0">
      <alignment vertical="center"/>
    </xf>
    <xf numFmtId="0" fontId="45" fillId="0" borderId="0"/>
    <xf numFmtId="41" fontId="46" fillId="0" borderId="0" applyFont="0" applyFill="0" applyBorder="0" applyAlignment="0" applyProtection="0">
      <alignment vertical="center"/>
    </xf>
  </cellStyleXfs>
  <cellXfs count="236">
    <xf numFmtId="0" fontId="0" fillId="0" borderId="0" xfId="0">
      <alignment vertical="center"/>
    </xf>
    <xf numFmtId="0" fontId="6" fillId="0" borderId="0" xfId="1" applyFont="1"/>
    <xf numFmtId="0" fontId="3" fillId="0" borderId="0" xfId="0" applyFont="1" applyAlignment="1"/>
    <xf numFmtId="0" fontId="3" fillId="0" borderId="0" xfId="7" applyFont="1" applyAlignment="1">
      <alignment horizontal="left" vertical="center"/>
    </xf>
    <xf numFmtId="0" fontId="6" fillId="0" borderId="0" xfId="0" applyFont="1" applyAlignment="1"/>
    <xf numFmtId="0" fontId="17" fillId="3" borderId="0" xfId="14" applyFont="1" applyFill="1">
      <alignment vertical="center"/>
    </xf>
    <xf numFmtId="0" fontId="17" fillId="3" borderId="0" xfId="14" applyFont="1" applyFill="1" applyAlignment="1">
      <alignment horizontal="left" vertical="center" indent="1"/>
    </xf>
    <xf numFmtId="0" fontId="17" fillId="0" borderId="0" xfId="14" applyFont="1">
      <alignment vertical="center"/>
    </xf>
    <xf numFmtId="0" fontId="17" fillId="0" borderId="0" xfId="13" applyFont="1">
      <alignment vertical="center"/>
    </xf>
    <xf numFmtId="0" fontId="17" fillId="5" borderId="0" xfId="14" applyFont="1" applyFill="1">
      <alignment vertical="center"/>
    </xf>
    <xf numFmtId="0" fontId="17" fillId="0" borderId="0" xfId="0" applyFont="1" applyAlignment="1"/>
    <xf numFmtId="0" fontId="17" fillId="5" borderId="0" xfId="12" applyFont="1" applyFill="1">
      <alignment vertical="center"/>
    </xf>
    <xf numFmtId="0" fontId="17" fillId="5" borderId="0" xfId="0" applyFont="1" applyFill="1" applyAlignment="1"/>
    <xf numFmtId="0" fontId="17" fillId="0" borderId="0" xfId="9" applyFont="1">
      <alignment vertical="center"/>
    </xf>
    <xf numFmtId="0" fontId="17" fillId="0" borderId="0" xfId="12" applyFont="1">
      <alignment vertical="center"/>
    </xf>
    <xf numFmtId="0" fontId="16" fillId="10" borderId="5" xfId="0" applyFont="1" applyFill="1" applyBorder="1" applyAlignment="1"/>
    <xf numFmtId="0" fontId="17" fillId="0" borderId="0" xfId="0" applyFont="1">
      <alignment vertical="center"/>
    </xf>
    <xf numFmtId="0" fontId="16" fillId="6" borderId="8" xfId="0" applyFont="1" applyFill="1" applyBorder="1" applyAlignment="1"/>
    <xf numFmtId="177" fontId="16" fillId="6" borderId="4" xfId="0" applyNumberFormat="1" applyFont="1" applyFill="1" applyBorder="1" applyAlignment="1">
      <alignment wrapText="1"/>
    </xf>
    <xf numFmtId="0" fontId="16" fillId="6" borderId="9" xfId="0" applyFont="1" applyFill="1" applyBorder="1" applyAlignment="1">
      <alignment wrapText="1"/>
    </xf>
    <xf numFmtId="49" fontId="16" fillId="6" borderId="8" xfId="0" applyNumberFormat="1" applyFont="1" applyFill="1" applyBorder="1" applyAlignment="1"/>
    <xf numFmtId="0" fontId="16" fillId="6" borderId="4" xfId="0" applyFont="1" applyFill="1" applyBorder="1" applyAlignment="1">
      <alignment wrapText="1"/>
    </xf>
    <xf numFmtId="49" fontId="16" fillId="6" borderId="10" xfId="0" applyNumberFormat="1" applyFont="1" applyFill="1" applyBorder="1" applyAlignment="1"/>
    <xf numFmtId="177" fontId="16" fillId="6" borderId="11" xfId="0" applyNumberFormat="1" applyFont="1" applyFill="1" applyBorder="1" applyAlignment="1">
      <alignment wrapText="1"/>
    </xf>
    <xf numFmtId="0" fontId="16" fillId="6" borderId="11" xfId="0" applyFont="1" applyFill="1" applyBorder="1" applyAlignment="1">
      <alignment wrapText="1"/>
    </xf>
    <xf numFmtId="0" fontId="16" fillId="6" borderId="12" xfId="0" applyFont="1" applyFill="1" applyBorder="1" applyAlignment="1">
      <alignment wrapText="1"/>
    </xf>
    <xf numFmtId="0" fontId="16" fillId="10" borderId="13" xfId="0" applyFont="1" applyFill="1" applyBorder="1" applyAlignment="1"/>
    <xf numFmtId="0" fontId="21" fillId="6" borderId="4" xfId="0" applyFont="1" applyFill="1" applyBorder="1" applyAlignment="1">
      <alignment wrapText="1"/>
    </xf>
    <xf numFmtId="0" fontId="22" fillId="0" borderId="0" xfId="14" applyFont="1">
      <alignment vertical="center"/>
    </xf>
    <xf numFmtId="0" fontId="22" fillId="0" borderId="0" xfId="13" applyFont="1">
      <alignment vertical="center"/>
    </xf>
    <xf numFmtId="0" fontId="17" fillId="0" borderId="0" xfId="0" quotePrefix="1" applyFont="1" applyAlignment="1"/>
    <xf numFmtId="0" fontId="17" fillId="5" borderId="0" xfId="0" quotePrefix="1" applyFont="1" applyFill="1" applyAlignment="1"/>
    <xf numFmtId="0" fontId="6" fillId="4" borderId="0" xfId="16" applyFont="1" applyFill="1" applyAlignment="1"/>
    <xf numFmtId="0" fontId="6" fillId="0" borderId="0" xfId="16" applyFont="1" applyAlignment="1"/>
    <xf numFmtId="0" fontId="6" fillId="7" borderId="4" xfId="16" applyFont="1" applyFill="1" applyBorder="1" applyAlignment="1"/>
    <xf numFmtId="0" fontId="6" fillId="7" borderId="4" xfId="16" applyFont="1" applyFill="1" applyBorder="1">
      <alignment vertical="center"/>
    </xf>
    <xf numFmtId="0" fontId="17" fillId="10" borderId="0" xfId="14" applyFont="1" applyFill="1">
      <alignment vertical="center"/>
    </xf>
    <xf numFmtId="0" fontId="17" fillId="16" borderId="0" xfId="14" applyFont="1" applyFill="1">
      <alignment vertical="center"/>
    </xf>
    <xf numFmtId="0" fontId="17" fillId="17" borderId="0" xfId="12" applyFont="1" applyFill="1">
      <alignment vertical="center"/>
    </xf>
    <xf numFmtId="0" fontId="26" fillId="15" borderId="0" xfId="14" applyFont="1" applyFill="1">
      <alignment vertical="center"/>
    </xf>
    <xf numFmtId="0" fontId="3" fillId="0" borderId="0" xfId="7" applyFont="1" applyAlignment="1">
      <alignment horizontal="center" vertical="center"/>
    </xf>
    <xf numFmtId="0" fontId="17" fillId="4" borderId="0" xfId="0" applyFont="1" applyFill="1" applyAlignment="1"/>
    <xf numFmtId="0" fontId="6" fillId="9" borderId="4" xfId="16" applyFont="1" applyFill="1" applyBorder="1" applyAlignment="1">
      <alignment horizontal="center"/>
    </xf>
    <xf numFmtId="0" fontId="6" fillId="9" borderId="4" xfId="16" applyFont="1" applyFill="1" applyBorder="1" applyAlignment="1"/>
    <xf numFmtId="0" fontId="22" fillId="0" borderId="0" xfId="0" applyFont="1" applyAlignment="1"/>
    <xf numFmtId="0" fontId="17" fillId="18" borderId="0" xfId="0" applyFont="1" applyFill="1" applyAlignment="1"/>
    <xf numFmtId="0" fontId="17" fillId="18" borderId="0" xfId="18" applyFont="1" applyFill="1"/>
    <xf numFmtId="0" fontId="17" fillId="19" borderId="0" xfId="0" applyFont="1" applyFill="1" applyAlignment="1"/>
    <xf numFmtId="0" fontId="3" fillId="0" borderId="0" xfId="0" applyFont="1">
      <alignment vertical="center"/>
    </xf>
    <xf numFmtId="0" fontId="3" fillId="11" borderId="16" xfId="0" applyFont="1" applyFill="1" applyBorder="1" applyAlignment="1"/>
    <xf numFmtId="0" fontId="16" fillId="2" borderId="5" xfId="15" applyFont="1" applyFill="1" applyBorder="1" applyAlignment="1">
      <alignment horizontal="center"/>
    </xf>
    <xf numFmtId="0" fontId="16" fillId="2" borderId="6" xfId="15" applyFont="1" applyFill="1" applyBorder="1" applyAlignment="1">
      <alignment horizontal="center" wrapText="1"/>
    </xf>
    <xf numFmtId="0" fontId="16" fillId="2" borderId="7" xfId="15" applyFont="1" applyFill="1" applyBorder="1" applyAlignment="1">
      <alignment horizontal="center" wrapText="1"/>
    </xf>
    <xf numFmtId="0" fontId="3" fillId="0" borderId="4" xfId="0" applyFont="1" applyBorder="1">
      <alignment vertical="center"/>
    </xf>
    <xf numFmtId="0" fontId="6" fillId="4" borderId="0" xfId="19" applyFont="1" applyFill="1" applyAlignment="1"/>
    <xf numFmtId="0" fontId="6" fillId="7" borderId="4" xfId="19" applyFont="1" applyFill="1" applyBorder="1" applyAlignment="1"/>
    <xf numFmtId="0" fontId="6" fillId="4" borderId="0" xfId="20" applyFont="1" applyFill="1"/>
    <xf numFmtId="0" fontId="6" fillId="0" borderId="0" xfId="20" applyFont="1"/>
    <xf numFmtId="0" fontId="6" fillId="7" borderId="4" xfId="20" applyFont="1" applyFill="1" applyBorder="1"/>
    <xf numFmtId="0" fontId="6" fillId="7" borderId="4" xfId="20" applyFont="1" applyFill="1" applyBorder="1" applyAlignment="1">
      <alignment vertical="center"/>
    </xf>
    <xf numFmtId="0" fontId="3" fillId="9" borderId="4" xfId="21" applyFont="1" applyFill="1" applyBorder="1" applyAlignment="1"/>
    <xf numFmtId="178" fontId="3" fillId="0" borderId="0" xfId="0" applyNumberFormat="1" applyFont="1">
      <alignment vertical="center"/>
    </xf>
    <xf numFmtId="2" fontId="3" fillId="0" borderId="0" xfId="0" applyNumberFormat="1" applyFont="1">
      <alignment vertical="center"/>
    </xf>
    <xf numFmtId="2" fontId="17" fillId="5" borderId="0" xfId="12" applyNumberFormat="1" applyFont="1" applyFill="1">
      <alignment vertical="center"/>
    </xf>
    <xf numFmtId="0" fontId="26" fillId="15" borderId="0" xfId="14" applyFont="1" applyFill="1" applyAlignment="1">
      <alignment horizontal="center" vertical="center"/>
    </xf>
    <xf numFmtId="0" fontId="17" fillId="10" borderId="0" xfId="14" applyFont="1" applyFill="1" applyAlignment="1">
      <alignment horizontal="center" vertical="center"/>
    </xf>
    <xf numFmtId="0" fontId="17" fillId="3" borderId="0" xfId="14" applyFont="1" applyFill="1" applyAlignment="1">
      <alignment horizontal="center" vertical="center"/>
    </xf>
    <xf numFmtId="0" fontId="17" fillId="0" borderId="0" xfId="14" applyFont="1" applyAlignment="1">
      <alignment horizontal="center" vertical="center"/>
    </xf>
    <xf numFmtId="0" fontId="17" fillId="0" borderId="0" xfId="0" applyFont="1" applyAlignment="1">
      <alignment horizontal="center"/>
    </xf>
    <xf numFmtId="0" fontId="17" fillId="16" borderId="0" xfId="14" applyFont="1" applyFill="1" applyAlignment="1">
      <alignment horizontal="center" vertical="center"/>
    </xf>
    <xf numFmtId="0" fontId="17" fillId="17" borderId="0" xfId="12" applyFont="1" applyFill="1" applyAlignment="1">
      <alignment horizontal="center" vertical="center"/>
    </xf>
    <xf numFmtId="0" fontId="3" fillId="21" borderId="4" xfId="24" applyFont="1" applyFill="1" applyBorder="1" applyAlignment="1" applyProtection="1">
      <alignment horizontal="center" vertical="center"/>
      <protection hidden="1"/>
    </xf>
    <xf numFmtId="179" fontId="3" fillId="0" borderId="4" xfId="24" applyNumberFormat="1" applyFont="1" applyBorder="1" applyAlignment="1" applyProtection="1">
      <alignment horizontal="center" vertical="center"/>
      <protection hidden="1"/>
    </xf>
    <xf numFmtId="0" fontId="6" fillId="0" borderId="0" xfId="21" applyFont="1">
      <alignment vertical="center"/>
    </xf>
    <xf numFmtId="0" fontId="3" fillId="0" borderId="0" xfId="21" applyFont="1">
      <alignment vertical="center"/>
    </xf>
    <xf numFmtId="0" fontId="3" fillId="0" borderId="0" xfId="24" applyFont="1" applyAlignment="1" applyProtection="1">
      <alignment horizontal="right" vertical="center"/>
      <protection hidden="1"/>
    </xf>
    <xf numFmtId="0" fontId="6" fillId="0" borderId="4" xfId="26" applyFont="1" applyBorder="1" applyAlignment="1" applyProtection="1">
      <alignment horizontal="center" vertical="center"/>
      <protection hidden="1"/>
    </xf>
    <xf numFmtId="1" fontId="3" fillId="21" borderId="4" xfId="24" applyNumberFormat="1" applyFont="1" applyFill="1" applyBorder="1" applyAlignment="1" applyProtection="1">
      <alignment horizontal="center" vertical="center"/>
      <protection hidden="1"/>
    </xf>
    <xf numFmtId="181" fontId="3" fillId="0" borderId="4" xfId="24" applyNumberFormat="1" applyFont="1" applyBorder="1" applyAlignment="1" applyProtection="1">
      <alignment horizontal="center" vertical="center"/>
      <protection hidden="1"/>
    </xf>
    <xf numFmtId="0" fontId="26" fillId="15" borderId="0" xfId="27" applyNumberFormat="1" applyFont="1" applyFill="1">
      <alignment vertical="center"/>
    </xf>
    <xf numFmtId="0" fontId="17" fillId="10" borderId="0" xfId="27" applyNumberFormat="1" applyFont="1" applyFill="1">
      <alignment vertical="center"/>
    </xf>
    <xf numFmtId="0" fontId="17" fillId="3" borderId="0" xfId="27" applyNumberFormat="1" applyFont="1" applyFill="1">
      <alignment vertical="center"/>
    </xf>
    <xf numFmtId="0" fontId="17" fillId="5" borderId="0" xfId="27" applyNumberFormat="1" applyFont="1" applyFill="1">
      <alignment vertical="center"/>
    </xf>
    <xf numFmtId="0" fontId="17" fillId="0" borderId="0" xfId="27" applyNumberFormat="1" applyFont="1" applyAlignment="1"/>
    <xf numFmtId="0" fontId="17" fillId="4" borderId="0" xfId="27" applyNumberFormat="1" applyFont="1" applyFill="1">
      <alignment vertical="center"/>
    </xf>
    <xf numFmtId="0" fontId="17" fillId="25" borderId="0" xfId="0" applyFont="1" applyFill="1" applyAlignment="1"/>
    <xf numFmtId="0" fontId="3" fillId="5" borderId="4" xfId="14" applyFont="1" applyFill="1" applyBorder="1">
      <alignment vertical="center"/>
    </xf>
    <xf numFmtId="0" fontId="3" fillId="5" borderId="4" xfId="14" applyFont="1" applyFill="1" applyBorder="1" applyAlignment="1">
      <alignment horizontal="center" vertical="center"/>
    </xf>
    <xf numFmtId="0" fontId="3" fillId="0" borderId="4" xfId="1" applyBorder="1"/>
    <xf numFmtId="0" fontId="3" fillId="5" borderId="4" xfId="17" applyFont="1" applyFill="1" applyBorder="1" applyAlignment="1">
      <alignment horizontal="center" vertical="center"/>
    </xf>
    <xf numFmtId="0" fontId="3" fillId="13" borderId="1" xfId="8" applyFill="1" applyBorder="1" applyAlignment="1" applyProtection="1">
      <alignment horizontal="center" vertical="center"/>
      <protection locked="0"/>
    </xf>
    <xf numFmtId="0" fontId="3" fillId="3" borderId="1" xfId="1" applyFill="1" applyBorder="1" applyAlignment="1">
      <alignment horizontal="center"/>
    </xf>
    <xf numFmtId="0" fontId="6" fillId="7" borderId="4" xfId="7" applyFont="1" applyFill="1" applyBorder="1" applyAlignment="1">
      <alignment vertical="center"/>
    </xf>
    <xf numFmtId="0" fontId="51" fillId="7" borderId="4" xfId="5" applyFont="1" applyFill="1" applyBorder="1">
      <alignment vertical="center"/>
    </xf>
    <xf numFmtId="0" fontId="3" fillId="4" borderId="4" xfId="1" applyFill="1" applyBorder="1" applyAlignment="1">
      <alignment horizontal="center" vertical="center"/>
    </xf>
    <xf numFmtId="0" fontId="52" fillId="11" borderId="16" xfId="2" applyFont="1" applyFill="1" applyBorder="1">
      <alignment vertical="center"/>
    </xf>
    <xf numFmtId="0" fontId="52" fillId="11" borderId="16" xfId="2" applyFont="1" applyFill="1" applyBorder="1" applyAlignment="1">
      <alignment horizontal="center" vertical="center"/>
    </xf>
    <xf numFmtId="0" fontId="52" fillId="12" borderId="16" xfId="2" applyFont="1" applyFill="1" applyBorder="1">
      <alignment vertical="center"/>
    </xf>
    <xf numFmtId="0" fontId="3" fillId="5" borderId="4" xfId="17" applyFont="1" applyFill="1" applyBorder="1">
      <alignment vertical="center"/>
    </xf>
    <xf numFmtId="0" fontId="17" fillId="0" borderId="0" xfId="17" applyFont="1">
      <alignment vertical="center"/>
    </xf>
    <xf numFmtId="0" fontId="33" fillId="20" borderId="4" xfId="24" applyFont="1" applyFill="1" applyBorder="1" applyAlignment="1" applyProtection="1">
      <alignment horizontal="center" vertical="center"/>
      <protection hidden="1"/>
    </xf>
    <xf numFmtId="0" fontId="17" fillId="16" borderId="0" xfId="17" applyFont="1" applyFill="1" applyAlignment="1">
      <alignment horizontal="center" vertical="center"/>
    </xf>
    <xf numFmtId="0" fontId="17" fillId="16" borderId="0" xfId="17" applyFont="1" applyFill="1">
      <alignment vertical="center"/>
    </xf>
    <xf numFmtId="0" fontId="17" fillId="7" borderId="0" xfId="17" applyFont="1" applyFill="1" applyAlignment="1">
      <alignment horizontal="center" vertical="center"/>
    </xf>
    <xf numFmtId="0" fontId="17" fillId="7" borderId="0" xfId="17" applyFont="1" applyFill="1">
      <alignment vertical="center"/>
    </xf>
    <xf numFmtId="1" fontId="17" fillId="5" borderId="0" xfId="12" applyNumberFormat="1" applyFont="1" applyFill="1">
      <alignment vertical="center"/>
    </xf>
    <xf numFmtId="0" fontId="52" fillId="22" borderId="18" xfId="0" applyFont="1" applyFill="1" applyBorder="1" applyAlignment="1">
      <alignment horizontal="center" vertical="center"/>
    </xf>
    <xf numFmtId="0" fontId="52" fillId="22" borderId="19" xfId="0" applyFont="1" applyFill="1" applyBorder="1" applyAlignment="1">
      <alignment horizontal="center" vertical="center"/>
    </xf>
    <xf numFmtId="0" fontId="52" fillId="22" borderId="20" xfId="0" applyFont="1" applyFill="1" applyBorder="1" applyAlignment="1">
      <alignment horizontal="center" vertical="center"/>
    </xf>
    <xf numFmtId="0" fontId="52" fillId="22" borderId="21" xfId="0" applyFont="1" applyFill="1" applyBorder="1" applyAlignment="1">
      <alignment horizontal="center" vertical="center"/>
    </xf>
    <xf numFmtId="0" fontId="52" fillId="22" borderId="22" xfId="0" applyFont="1" applyFill="1" applyBorder="1" applyAlignment="1">
      <alignment horizontal="center" vertical="center"/>
    </xf>
    <xf numFmtId="0" fontId="52" fillId="22" borderId="23" xfId="0" applyFont="1" applyFill="1" applyBorder="1" applyAlignment="1">
      <alignment horizontal="center" vertical="center"/>
    </xf>
    <xf numFmtId="0" fontId="52" fillId="23" borderId="18" xfId="0" applyFont="1" applyFill="1" applyBorder="1" applyAlignment="1">
      <alignment horizontal="center" vertical="center"/>
    </xf>
    <xf numFmtId="180" fontId="52" fillId="0" borderId="19" xfId="0" applyNumberFormat="1" applyFont="1" applyBorder="1" applyAlignment="1">
      <alignment horizontal="center" vertical="center"/>
    </xf>
    <xf numFmtId="181" fontId="52" fillId="0" borderId="20" xfId="0" applyNumberFormat="1" applyFont="1" applyBorder="1" applyAlignment="1">
      <alignment horizontal="center" vertical="center"/>
    </xf>
    <xf numFmtId="0" fontId="52" fillId="23" borderId="18" xfId="25" applyFont="1" applyFill="1" applyBorder="1" applyAlignment="1">
      <alignment horizontal="center" vertical="center"/>
    </xf>
    <xf numFmtId="180" fontId="52" fillId="0" borderId="19" xfId="25" applyNumberFormat="1" applyFont="1" applyBorder="1" applyAlignment="1">
      <alignment horizontal="center" vertical="center"/>
    </xf>
    <xf numFmtId="181" fontId="52" fillId="0" borderId="20" xfId="25" applyNumberFormat="1" applyFont="1" applyBorder="1" applyAlignment="1">
      <alignment horizontal="center" vertical="center"/>
    </xf>
    <xf numFmtId="0" fontId="52" fillId="23" borderId="24" xfId="0" applyFont="1" applyFill="1" applyBorder="1" applyAlignment="1">
      <alignment horizontal="center" vertical="center"/>
    </xf>
    <xf numFmtId="180" fontId="52" fillId="0" borderId="25" xfId="0" applyNumberFormat="1" applyFont="1" applyBorder="1" applyAlignment="1">
      <alignment horizontal="center" vertical="center"/>
    </xf>
    <xf numFmtId="181" fontId="52" fillId="0" borderId="26" xfId="0" applyNumberFormat="1" applyFont="1" applyBorder="1" applyAlignment="1">
      <alignment horizontal="center" vertical="center"/>
    </xf>
    <xf numFmtId="0" fontId="52" fillId="23" borderId="24" xfId="25" applyFont="1" applyFill="1" applyBorder="1" applyAlignment="1">
      <alignment horizontal="center" vertical="center"/>
    </xf>
    <xf numFmtId="180" fontId="52" fillId="0" borderId="25" xfId="25" applyNumberFormat="1" applyFont="1" applyBorder="1" applyAlignment="1">
      <alignment horizontal="center" vertical="center"/>
    </xf>
    <xf numFmtId="181" fontId="52" fillId="0" borderId="26" xfId="25" applyNumberFormat="1" applyFont="1" applyBorder="1" applyAlignment="1">
      <alignment horizontal="center" vertical="center"/>
    </xf>
    <xf numFmtId="0" fontId="52" fillId="23" borderId="21" xfId="0" applyFont="1" applyFill="1" applyBorder="1" applyAlignment="1">
      <alignment horizontal="center" vertical="center"/>
    </xf>
    <xf numFmtId="180" fontId="52" fillId="0" borderId="22" xfId="0" applyNumberFormat="1" applyFont="1" applyBorder="1" applyAlignment="1">
      <alignment horizontal="center" vertical="center"/>
    </xf>
    <xf numFmtId="181" fontId="52" fillId="0" borderId="23" xfId="0" applyNumberFormat="1" applyFont="1" applyBorder="1" applyAlignment="1">
      <alignment horizontal="center" vertical="center"/>
    </xf>
    <xf numFmtId="0" fontId="52" fillId="23" borderId="21" xfId="25" applyFont="1" applyFill="1" applyBorder="1" applyAlignment="1">
      <alignment horizontal="center" vertical="center"/>
    </xf>
    <xf numFmtId="180" fontId="52" fillId="0" borderId="22" xfId="25" applyNumberFormat="1" applyFont="1" applyBorder="1" applyAlignment="1">
      <alignment horizontal="center" vertical="center"/>
    </xf>
    <xf numFmtId="181" fontId="52" fillId="0" borderId="23" xfId="25" applyNumberFormat="1" applyFont="1" applyBorder="1" applyAlignment="1">
      <alignment horizontal="center" vertical="center"/>
    </xf>
    <xf numFmtId="0" fontId="52" fillId="4" borderId="24" xfId="0" applyFont="1" applyFill="1" applyBorder="1" applyAlignment="1">
      <alignment horizontal="center" vertical="center"/>
    </xf>
    <xf numFmtId="180" fontId="52" fillId="4" borderId="25" xfId="0" applyNumberFormat="1" applyFont="1" applyFill="1" applyBorder="1" applyAlignment="1">
      <alignment horizontal="center" vertical="center"/>
    </xf>
    <xf numFmtId="181" fontId="52" fillId="4" borderId="26" xfId="0" applyNumberFormat="1" applyFont="1" applyFill="1" applyBorder="1" applyAlignment="1">
      <alignment horizontal="center" vertical="center"/>
    </xf>
    <xf numFmtId="0" fontId="52" fillId="4" borderId="24" xfId="25" applyFont="1" applyFill="1" applyBorder="1" applyAlignment="1">
      <alignment horizontal="center" vertical="center"/>
    </xf>
    <xf numFmtId="180" fontId="52" fillId="4" borderId="25" xfId="25" applyNumberFormat="1" applyFont="1" applyFill="1" applyBorder="1" applyAlignment="1">
      <alignment horizontal="center" vertical="center"/>
    </xf>
    <xf numFmtId="181" fontId="52" fillId="4" borderId="26" xfId="25" applyNumberFormat="1" applyFont="1" applyFill="1" applyBorder="1" applyAlignment="1">
      <alignment horizontal="center" vertical="center"/>
    </xf>
    <xf numFmtId="182" fontId="3" fillId="24" borderId="18" xfId="0" applyNumberFormat="1" applyFont="1" applyFill="1" applyBorder="1" applyAlignment="1">
      <alignment horizontal="center" vertical="center"/>
    </xf>
    <xf numFmtId="178" fontId="3" fillId="0" borderId="19" xfId="0" applyNumberFormat="1" applyFont="1" applyBorder="1" applyAlignment="1">
      <alignment horizontal="center"/>
    </xf>
    <xf numFmtId="178" fontId="3" fillId="0" borderId="20" xfId="0" applyNumberFormat="1" applyFont="1" applyBorder="1" applyAlignment="1">
      <alignment horizontal="center" vertical="center"/>
    </xf>
    <xf numFmtId="182" fontId="3" fillId="24" borderId="24" xfId="0" applyNumberFormat="1" applyFont="1" applyFill="1" applyBorder="1" applyAlignment="1">
      <alignment horizontal="center" vertical="center"/>
    </xf>
    <xf numFmtId="178" fontId="3" fillId="0" borderId="25" xfId="0" applyNumberFormat="1" applyFont="1" applyBorder="1" applyAlignment="1">
      <alignment horizontal="center"/>
    </xf>
    <xf numFmtId="178" fontId="3" fillId="0" borderId="26" xfId="0" applyNumberFormat="1" applyFont="1" applyBorder="1" applyAlignment="1">
      <alignment horizontal="center" vertical="center"/>
    </xf>
    <xf numFmtId="182" fontId="3" fillId="24" borderId="21" xfId="0" applyNumberFormat="1" applyFont="1" applyFill="1" applyBorder="1" applyAlignment="1">
      <alignment horizontal="center" vertical="center"/>
    </xf>
    <xf numFmtId="178" fontId="3" fillId="0" borderId="22" xfId="0" applyNumberFormat="1" applyFont="1" applyBorder="1" applyAlignment="1">
      <alignment horizontal="center"/>
    </xf>
    <xf numFmtId="178" fontId="3" fillId="0" borderId="23" xfId="0" applyNumberFormat="1" applyFont="1" applyBorder="1" applyAlignment="1">
      <alignment horizontal="center" vertical="center"/>
    </xf>
    <xf numFmtId="0" fontId="3" fillId="0" borderId="0" xfId="16" applyAlignment="1"/>
    <xf numFmtId="0" fontId="3" fillId="0" borderId="4" xfId="16" applyBorder="1" applyAlignment="1"/>
    <xf numFmtId="0" fontId="3" fillId="0" borderId="4" xfId="16" applyBorder="1" applyAlignment="1">
      <alignment horizontal="left"/>
    </xf>
    <xf numFmtId="0" fontId="3" fillId="0" borderId="0" xfId="1"/>
    <xf numFmtId="0" fontId="3" fillId="9" borderId="4" xfId="16" applyFill="1" applyBorder="1" applyAlignment="1"/>
    <xf numFmtId="0" fontId="3" fillId="0" borderId="0" xfId="1" applyAlignment="1">
      <alignment horizontal="left" vertical="center"/>
    </xf>
    <xf numFmtId="0" fontId="3" fillId="0" borderId="4" xfId="20" applyBorder="1"/>
    <xf numFmtId="0" fontId="3" fillId="0" borderId="4" xfId="20" applyBorder="1" applyAlignment="1">
      <alignment horizontal="left"/>
    </xf>
    <xf numFmtId="0" fontId="3" fillId="0" borderId="0" xfId="22"/>
    <xf numFmtId="0" fontId="3" fillId="8" borderId="4" xfId="1" applyFill="1" applyBorder="1"/>
    <xf numFmtId="0" fontId="3" fillId="9" borderId="4" xfId="1" applyFill="1" applyBorder="1" applyAlignment="1">
      <alignment horizontal="left" vertical="center"/>
    </xf>
    <xf numFmtId="0" fontId="3" fillId="7" borderId="4" xfId="1" applyFill="1" applyBorder="1"/>
    <xf numFmtId="0" fontId="3" fillId="0" borderId="0" xfId="16">
      <alignment vertical="center"/>
    </xf>
    <xf numFmtId="0" fontId="3" fillId="0" borderId="0" xfId="19" applyAlignment="1"/>
    <xf numFmtId="0" fontId="3" fillId="0" borderId="4" xfId="19" applyBorder="1" applyAlignment="1"/>
    <xf numFmtId="0" fontId="3" fillId="0" borderId="0" xfId="1" applyAlignment="1">
      <alignment vertical="center"/>
    </xf>
    <xf numFmtId="2" fontId="3" fillId="0" borderId="4" xfId="16" applyNumberFormat="1" applyBorder="1" applyAlignment="1">
      <alignment horizontal="center"/>
    </xf>
    <xf numFmtId="2" fontId="3" fillId="9" borderId="4" xfId="16" applyNumberFormat="1" applyFill="1" applyBorder="1" applyAlignment="1">
      <alignment horizontal="center"/>
    </xf>
    <xf numFmtId="2" fontId="3" fillId="0" borderId="0" xfId="16" applyNumberFormat="1" applyAlignment="1">
      <alignment horizontal="center"/>
    </xf>
    <xf numFmtId="0" fontId="3" fillId="4" borderId="4" xfId="16" applyFill="1" applyBorder="1" applyAlignment="1"/>
    <xf numFmtId="0" fontId="3" fillId="4" borderId="0" xfId="16" applyFill="1" applyAlignment="1"/>
    <xf numFmtId="2" fontId="3" fillId="0" borderId="4" xfId="16" applyNumberFormat="1" applyBorder="1" applyAlignment="1">
      <alignment horizontal="left"/>
    </xf>
    <xf numFmtId="2" fontId="3" fillId="9" borderId="4" xfId="16" applyNumberFormat="1" applyFill="1" applyBorder="1" applyAlignment="1">
      <alignment horizontal="left"/>
    </xf>
    <xf numFmtId="0" fontId="29" fillId="4" borderId="0" xfId="14" applyFont="1" applyFill="1">
      <alignment vertical="center"/>
    </xf>
    <xf numFmtId="0" fontId="56" fillId="6" borderId="9" xfId="0" applyFont="1" applyFill="1" applyBorder="1" applyAlignment="1">
      <alignment wrapText="1"/>
    </xf>
    <xf numFmtId="0" fontId="57" fillId="27" borderId="0" xfId="14" applyFont="1" applyFill="1" applyAlignment="1">
      <alignment horizontal="center" vertical="center"/>
    </xf>
    <xf numFmtId="0" fontId="17" fillId="27" borderId="0" xfId="14" applyFont="1" applyFill="1">
      <alignment vertical="center"/>
    </xf>
    <xf numFmtId="0" fontId="17" fillId="27" borderId="0" xfId="27" applyNumberFormat="1" applyFont="1" applyFill="1">
      <alignment vertical="center"/>
    </xf>
    <xf numFmtId="0" fontId="3" fillId="0" borderId="4" xfId="0" applyFont="1" applyBorder="1" applyAlignment="1">
      <alignment vertical="center" wrapText="1"/>
    </xf>
    <xf numFmtId="0" fontId="3" fillId="0" borderId="0" xfId="6" applyAlignment="1">
      <alignment vertical="top"/>
    </xf>
    <xf numFmtId="0" fontId="3" fillId="0" borderId="0" xfId="6" applyAlignment="1">
      <alignment horizontal="center" vertical="top"/>
    </xf>
    <xf numFmtId="0" fontId="3" fillId="0" borderId="0" xfId="8" applyAlignment="1">
      <alignment vertical="center"/>
    </xf>
    <xf numFmtId="0" fontId="3" fillId="0" borderId="0" xfId="8" applyAlignment="1" applyProtection="1">
      <alignment horizontal="left" indent="2"/>
      <protection locked="0"/>
    </xf>
    <xf numFmtId="0" fontId="3" fillId="0" borderId="0" xfId="8" applyProtection="1">
      <protection locked="0"/>
    </xf>
    <xf numFmtId="0" fontId="3" fillId="0" borderId="0" xfId="4" applyAlignment="1">
      <alignment vertical="top"/>
    </xf>
    <xf numFmtId="0" fontId="3" fillId="0" borderId="0" xfId="4" applyAlignment="1">
      <alignment vertical="top" wrapText="1"/>
    </xf>
    <xf numFmtId="0" fontId="3" fillId="0" borderId="0" xfId="4" applyAlignment="1">
      <alignment horizontal="center" vertical="top" wrapText="1"/>
    </xf>
    <xf numFmtId="0" fontId="3" fillId="0" borderId="4" xfId="1" applyBorder="1" applyAlignment="1">
      <alignment vertical="center"/>
    </xf>
    <xf numFmtId="0" fontId="3" fillId="14" borderId="4" xfId="1" applyFill="1" applyBorder="1" applyAlignment="1">
      <alignment horizontal="center"/>
    </xf>
    <xf numFmtId="0" fontId="42" fillId="0" borderId="4" xfId="16" applyFont="1" applyBorder="1" applyAlignment="1"/>
    <xf numFmtId="0" fontId="20" fillId="0" borderId="0" xfId="0" applyFont="1" applyAlignment="1"/>
    <xf numFmtId="0" fontId="3" fillId="9" borderId="4" xfId="19" applyFill="1" applyBorder="1" applyAlignment="1"/>
    <xf numFmtId="0" fontId="3" fillId="9" borderId="4" xfId="19" applyFill="1" applyBorder="1">
      <alignment vertical="center"/>
    </xf>
    <xf numFmtId="0" fontId="3" fillId="0" borderId="0" xfId="16" applyAlignment="1">
      <alignment horizontal="right"/>
    </xf>
    <xf numFmtId="0" fontId="3" fillId="0" borderId="4" xfId="16" applyBorder="1" applyAlignment="1">
      <alignment horizontal="left" vertical="center"/>
    </xf>
    <xf numFmtId="0" fontId="59" fillId="0" borderId="0" xfId="16" applyFont="1" applyAlignment="1"/>
    <xf numFmtId="0" fontId="3" fillId="0" borderId="4" xfId="16" applyBorder="1" applyAlignment="1">
      <alignment horizontal="center"/>
    </xf>
    <xf numFmtId="0" fontId="42" fillId="0" borderId="0" xfId="16" applyFont="1" applyAlignment="1"/>
    <xf numFmtId="0" fontId="49" fillId="0" borderId="0" xfId="16" applyFont="1" applyAlignment="1"/>
    <xf numFmtId="0" fontId="58" fillId="0" borderId="4" xfId="16" applyFont="1" applyBorder="1" applyAlignment="1"/>
    <xf numFmtId="2" fontId="3" fillId="4" borderId="4" xfId="16" applyNumberFormat="1" applyFill="1" applyBorder="1" applyAlignment="1">
      <alignment horizontal="left"/>
    </xf>
    <xf numFmtId="0" fontId="63" fillId="0" borderId="0" xfId="21" applyFont="1" applyAlignment="1">
      <alignment horizontal="left" vertical="center"/>
    </xf>
    <xf numFmtId="0" fontId="42" fillId="4" borderId="0" xfId="16" applyFont="1" applyFill="1" applyAlignment="1"/>
    <xf numFmtId="0" fontId="3" fillId="0" borderId="4" xfId="16" applyBorder="1">
      <alignment vertical="center"/>
    </xf>
    <xf numFmtId="0" fontId="3" fillId="9" borderId="4" xfId="16" applyFill="1" applyBorder="1">
      <alignment vertical="center"/>
    </xf>
    <xf numFmtId="0" fontId="49" fillId="0" borderId="4" xfId="16" applyFont="1" applyBorder="1">
      <alignment vertical="center"/>
    </xf>
    <xf numFmtId="0" fontId="60" fillId="0" borderId="4" xfId="16" applyFont="1" applyBorder="1" applyAlignment="1"/>
    <xf numFmtId="0" fontId="3" fillId="8" borderId="0" xfId="16" applyFill="1" applyAlignment="1"/>
    <xf numFmtId="0" fontId="3" fillId="8" borderId="0" xfId="0" applyFont="1" applyFill="1">
      <alignment vertical="center"/>
    </xf>
    <xf numFmtId="0" fontId="33" fillId="8" borderId="4" xfId="0" applyFont="1" applyFill="1" applyBorder="1" applyAlignment="1">
      <alignment horizontal="center" vertical="center"/>
    </xf>
    <xf numFmtId="0" fontId="20" fillId="0" borderId="6" xfId="0" applyFont="1" applyBorder="1" applyAlignment="1">
      <alignment horizontal="left" wrapText="1"/>
    </xf>
    <xf numFmtId="0" fontId="17" fillId="0" borderId="6" xfId="0" applyFont="1" applyBorder="1" applyAlignment="1">
      <alignment horizontal="left" wrapText="1"/>
    </xf>
    <xf numFmtId="0" fontId="17" fillId="0" borderId="7" xfId="0" applyFont="1" applyBorder="1" applyAlignment="1">
      <alignment horizontal="left" wrapText="1"/>
    </xf>
    <xf numFmtId="0" fontId="18" fillId="0" borderId="14" xfId="0" applyFont="1" applyBorder="1" applyAlignment="1">
      <alignment horizontal="left" wrapText="1"/>
    </xf>
    <xf numFmtId="0" fontId="17" fillId="0" borderId="14" xfId="0" applyFont="1" applyBorder="1" applyAlignment="1">
      <alignment horizontal="left" wrapText="1"/>
    </xf>
    <xf numFmtId="0" fontId="17" fillId="0" borderId="15" xfId="0" applyFont="1" applyBorder="1" applyAlignment="1">
      <alignment horizontal="left" wrapText="1"/>
    </xf>
    <xf numFmtId="0" fontId="3" fillId="0" borderId="4" xfId="7" applyFont="1" applyBorder="1" applyAlignment="1">
      <alignment horizontal="left" vertical="center" indent="1"/>
    </xf>
    <xf numFmtId="0" fontId="6" fillId="7" borderId="1" xfId="7" applyFont="1" applyFill="1" applyBorder="1" applyAlignment="1">
      <alignment horizontal="center" vertical="center"/>
    </xf>
    <xf numFmtId="0" fontId="6" fillId="7" borderId="3" xfId="7" applyFont="1" applyFill="1" applyBorder="1" applyAlignment="1">
      <alignment horizontal="center" vertical="center"/>
    </xf>
    <xf numFmtId="0" fontId="6" fillId="7" borderId="2" xfId="7" applyFont="1" applyFill="1" applyBorder="1" applyAlignment="1">
      <alignment horizontal="center" vertical="center"/>
    </xf>
    <xf numFmtId="0" fontId="3" fillId="26" borderId="1" xfId="16" applyFill="1" applyBorder="1" applyAlignment="1"/>
    <xf numFmtId="0" fontId="3" fillId="26" borderId="3" xfId="16" applyFill="1" applyBorder="1" applyAlignment="1"/>
    <xf numFmtId="0" fontId="3" fillId="26" borderId="2" xfId="16" applyFill="1" applyBorder="1" applyAlignment="1"/>
    <xf numFmtId="0" fontId="6" fillId="0" borderId="4" xfId="21" applyFont="1" applyBorder="1" applyAlignment="1">
      <alignment horizontal="center" vertical="center"/>
    </xf>
    <xf numFmtId="178" fontId="54" fillId="20" borderId="14" xfId="23" applyNumberFormat="1" applyFont="1" applyFill="1" applyBorder="1" applyAlignment="1" applyProtection="1">
      <alignment horizontal="center" vertical="center" wrapText="1"/>
      <protection hidden="1"/>
    </xf>
    <xf numFmtId="178" fontId="54" fillId="20" borderId="17" xfId="23" applyNumberFormat="1" applyFont="1" applyFill="1" applyBorder="1" applyAlignment="1" applyProtection="1">
      <alignment horizontal="center" vertical="center" wrapText="1"/>
      <protection hidden="1"/>
    </xf>
    <xf numFmtId="0" fontId="54" fillId="20" borderId="14" xfId="23" applyFont="1" applyFill="1" applyBorder="1" applyAlignment="1" applyProtection="1">
      <alignment horizontal="center" vertical="center" wrapText="1"/>
      <protection hidden="1"/>
    </xf>
    <xf numFmtId="0" fontId="54" fillId="20" borderId="17" xfId="23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17" fillId="7" borderId="4" xfId="14" applyFont="1" applyFill="1" applyBorder="1" applyAlignment="1">
      <alignment horizontal="center" vertical="center" wrapText="1"/>
    </xf>
    <xf numFmtId="0" fontId="17" fillId="7" borderId="4" xfId="27" applyNumberFormat="1" applyFont="1" applyFill="1" applyBorder="1" applyAlignment="1">
      <alignment horizontal="center" vertical="center" wrapText="1"/>
    </xf>
    <xf numFmtId="2" fontId="17" fillId="5" borderId="0" xfId="14" applyNumberFormat="1" applyFont="1" applyFill="1">
      <alignment vertical="center"/>
    </xf>
    <xf numFmtId="0" fontId="17" fillId="0" borderId="0" xfId="17" applyFont="1" applyAlignment="1">
      <alignment horizontal="left" vertical="center"/>
    </xf>
    <xf numFmtId="0" fontId="29" fillId="0" borderId="0" xfId="17" applyFont="1">
      <alignment vertical="center"/>
    </xf>
    <xf numFmtId="0" fontId="23" fillId="0" borderId="0" xfId="0" applyFont="1" applyAlignment="1"/>
    <xf numFmtId="0" fontId="51" fillId="7" borderId="14" xfId="5" applyFont="1" applyFill="1" applyBorder="1" applyAlignment="1">
      <alignment horizontal="left" vertical="center"/>
    </xf>
    <xf numFmtId="0" fontId="51" fillId="7" borderId="17" xfId="5" applyFont="1" applyFill="1" applyBorder="1" applyAlignment="1">
      <alignment horizontal="left" vertical="center"/>
    </xf>
    <xf numFmtId="0" fontId="53" fillId="12" borderId="16" xfId="2" applyFont="1" applyFill="1" applyBorder="1">
      <alignment vertical="center"/>
    </xf>
    <xf numFmtId="0" fontId="52" fillId="12" borderId="16" xfId="2" applyFont="1" applyFill="1" applyBorder="1" applyAlignment="1">
      <alignment horizontal="center" vertical="center"/>
    </xf>
    <xf numFmtId="0" fontId="19" fillId="6" borderId="4" xfId="0" applyFont="1" applyFill="1" applyBorder="1" applyAlignment="1">
      <alignment wrapText="1"/>
    </xf>
  </cellXfs>
  <cellStyles count="28">
    <cellStyle name="_x0011_" xfId="3"/>
    <cellStyle name="Normal 3" xfId="14"/>
    <cellStyle name="Normal 3 10" xfId="13"/>
    <cellStyle name="Normal 3 10 12" xfId="9"/>
    <cellStyle name="Normal 3 10 12 2" xfId="17"/>
    <cellStyle name="Normal 3 22" xfId="11"/>
    <cellStyle name="Normal 3 24" xfId="12"/>
    <cellStyle name="Normal 3 3" xfId="2"/>
    <cellStyle name="Standard_BMS_nnn_project" xfId="15"/>
    <cellStyle name="Standard_Risk Analysis" xfId="6"/>
    <cellStyle name="Standard_Risk Analysis 2" xfId="4"/>
    <cellStyle name="쉼표 [0]" xfId="27" builtinId="6"/>
    <cellStyle name="표준" xfId="0" builtinId="0"/>
    <cellStyle name="표준 10 2 2" xfId="25"/>
    <cellStyle name="표준 10 4 2" xfId="10"/>
    <cellStyle name="표준 13" xfId="1"/>
    <cellStyle name="표준 13 2 2" xfId="22"/>
    <cellStyle name="표준 15 2" xfId="20"/>
    <cellStyle name="표준 15 3" xfId="19"/>
    <cellStyle name="표준 2" xfId="21"/>
    <cellStyle name="표준 3" xfId="16"/>
    <cellStyle name="표준 3 3" xfId="8"/>
    <cellStyle name="표준 6" xfId="18"/>
    <cellStyle name="표준_20050319 HD Control Curve 연산식" xfId="24"/>
    <cellStyle name="표준_20050524 SM ATC 온도 제어 사양" xfId="5"/>
    <cellStyle name="표준_20091130_공조제어사양_Master_V1" xfId="7"/>
    <cellStyle name="표준_F9905A" xfId="26"/>
    <cellStyle name="표준_Sheet1_HP_PILOT사양_1" xfId="23"/>
  </cellStyles>
  <dxfs count="273"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</dxfs>
  <tableStyles count="0" defaultTableStyle="TableStyleMedium9" defaultPivotStyle="PivotStyleLight16"/>
  <colors>
    <mruColors>
      <color rgb="FF0000FF"/>
      <color rgb="FFCC00FF"/>
      <color rgb="FFCCFFFF"/>
      <color rgb="FFFFFF99"/>
      <color rgb="FFFFCC66"/>
      <color rgb="FFFFCC9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306293</xdr:colOff>
      <xdr:row>32</xdr:row>
      <xdr:rowOff>14941</xdr:rowOff>
    </xdr:from>
    <xdr:to>
      <xdr:col>16</xdr:col>
      <xdr:colOff>1105647</xdr:colOff>
      <xdr:row>44</xdr:row>
      <xdr:rowOff>140035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EA43491-B942-4801-979A-48C497F659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38673" y="5539441"/>
          <a:ext cx="5104654" cy="216725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Sure\ref\&#47588;&#53356;&#47196;&#52280;&#44256;\sample6_Test%20Case\test2%20-%20&#48373;&#49324;&#48376;\Depth.2_EV_&#45236;&#49688;_EWP%20&#54801;&#51312;&#51228;&#50612;_v0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ry"/>
      <sheetName val="Test Setup"/>
      <sheetName val="Test Case"/>
      <sheetName val="Tables"/>
      <sheetName val="Sensor"/>
      <sheetName val="용어"/>
    </sheetNames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on, YoSeph" id="{A80260D3-0CB4-4DFA-B6E5-23659900720C}" userId="S-1-5-21-1489812773-568112772-3835669362-243333" providerId="AD"/>
</personList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H201" dT="2025-02-28T07:32:00.74" personId="{A80260D3-0CB4-4DFA-B6E5-23659900720C}" id="{B01B9A61-075A-4D54-874F-76176B17F271}">
    <text>여기에 감쇄율 % 값 입력</text>
  </threadedComment>
  <threadedComment ref="AG471" dT="2025-03-14T06:30:15.52" personId="{A80260D3-0CB4-4DFA-B6E5-23659900720C}" id="{4ABBDACC-B655-43FC-827A-0FA01510CAE2}">
    <text>ADS MAX Blower 전압 사양에 따름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outlinePr summaryBelow="0" summaryRight="0"/>
  </sheetPr>
  <dimension ref="B1:E23"/>
  <sheetViews>
    <sheetView workbookViewId="0">
      <selection activeCell="B1" sqref="B1:E23"/>
    </sheetView>
  </sheetViews>
  <sheetFormatPr defaultColWidth="11.42578125" defaultRowHeight="12.75"/>
  <cols>
    <col min="1" max="1" width="3" customWidth="1"/>
    <col min="2" max="2" width="12.7109375" customWidth="1"/>
    <col min="3" max="3" width="31.42578125" customWidth="1"/>
    <col min="4" max="4" width="10.28515625" customWidth="1"/>
    <col min="5" max="5" width="91.85546875" customWidth="1"/>
    <col min="6" max="6" width="12.42578125" customWidth="1"/>
  </cols>
  <sheetData>
    <row r="1" spans="2:5" ht="15" customHeight="1" thickBot="1">
      <c r="B1" s="16"/>
      <c r="C1" s="16"/>
      <c r="D1" s="16"/>
      <c r="E1" s="16"/>
    </row>
    <row r="2" spans="2:5" ht="15.75" customHeight="1">
      <c r="B2" s="15" t="s">
        <v>114</v>
      </c>
      <c r="C2" s="205" t="s">
        <v>1323</v>
      </c>
      <c r="D2" s="206"/>
      <c r="E2" s="207"/>
    </row>
    <row r="3" spans="2:5" ht="15" customHeight="1" thickBot="1">
      <c r="B3" s="26" t="s">
        <v>1324</v>
      </c>
      <c r="C3" s="208" t="s">
        <v>607</v>
      </c>
      <c r="D3" s="209"/>
      <c r="E3" s="210"/>
    </row>
    <row r="4" spans="2:5" ht="15" customHeight="1">
      <c r="B4" s="50" t="s">
        <v>0</v>
      </c>
      <c r="C4" s="51" t="s">
        <v>1</v>
      </c>
      <c r="D4" s="51" t="s">
        <v>1325</v>
      </c>
      <c r="E4" s="52" t="s">
        <v>113</v>
      </c>
    </row>
    <row r="5" spans="2:5" ht="16.5" customHeight="1">
      <c r="B5" s="17">
        <v>0.1</v>
      </c>
      <c r="C5" s="18" t="s">
        <v>1326</v>
      </c>
      <c r="D5" s="27" t="s">
        <v>115</v>
      </c>
      <c r="E5" s="19" t="s">
        <v>1327</v>
      </c>
    </row>
    <row r="6" spans="2:5" ht="16.5" customHeight="1">
      <c r="B6" s="17"/>
      <c r="C6" s="18"/>
      <c r="D6" s="27"/>
      <c r="E6" s="169"/>
    </row>
    <row r="7" spans="2:5" ht="15" customHeight="1">
      <c r="B7" s="17"/>
      <c r="C7" s="18"/>
      <c r="D7" s="235"/>
      <c r="E7" s="19"/>
    </row>
    <row r="8" spans="2:5" ht="15" customHeight="1">
      <c r="B8" s="20"/>
      <c r="C8" s="18"/>
      <c r="D8" s="21"/>
      <c r="E8" s="19"/>
    </row>
    <row r="9" spans="2:5" ht="15" customHeight="1">
      <c r="B9" s="20"/>
      <c r="C9" s="18"/>
      <c r="D9" s="21"/>
      <c r="E9" s="19"/>
    </row>
    <row r="10" spans="2:5" ht="15" customHeight="1">
      <c r="B10" s="20"/>
      <c r="C10" s="18"/>
      <c r="D10" s="21"/>
      <c r="E10" s="19"/>
    </row>
    <row r="11" spans="2:5" ht="15" customHeight="1">
      <c r="B11" s="20"/>
      <c r="C11" s="18"/>
      <c r="D11" s="21"/>
      <c r="E11" s="19"/>
    </row>
    <row r="12" spans="2:5" ht="15" customHeight="1">
      <c r="B12" s="20"/>
      <c r="C12" s="18"/>
      <c r="D12" s="21"/>
      <c r="E12" s="19"/>
    </row>
    <row r="13" spans="2:5" ht="15" customHeight="1">
      <c r="B13" s="20"/>
      <c r="C13" s="18"/>
      <c r="D13" s="21"/>
      <c r="E13" s="19"/>
    </row>
    <row r="14" spans="2:5" ht="15" customHeight="1">
      <c r="B14" s="20"/>
      <c r="C14" s="18"/>
      <c r="D14" s="21"/>
      <c r="E14" s="19"/>
    </row>
    <row r="15" spans="2:5" ht="15" customHeight="1">
      <c r="B15" s="20"/>
      <c r="C15" s="18"/>
      <c r="D15" s="21"/>
      <c r="E15" s="19"/>
    </row>
    <row r="16" spans="2:5" ht="15" customHeight="1">
      <c r="B16" s="20"/>
      <c r="C16" s="18"/>
      <c r="D16" s="21"/>
      <c r="E16" s="19"/>
    </row>
    <row r="17" spans="2:5" ht="15" customHeight="1">
      <c r="B17" s="20"/>
      <c r="C17" s="18"/>
      <c r="D17" s="21"/>
      <c r="E17" s="19"/>
    </row>
    <row r="18" spans="2:5" ht="15" customHeight="1">
      <c r="B18" s="20"/>
      <c r="C18" s="18"/>
      <c r="D18" s="21"/>
      <c r="E18" s="19"/>
    </row>
    <row r="19" spans="2:5" ht="15" customHeight="1">
      <c r="B19" s="20"/>
      <c r="C19" s="18"/>
      <c r="D19" s="21"/>
      <c r="E19" s="19"/>
    </row>
    <row r="20" spans="2:5" ht="15" customHeight="1">
      <c r="B20" s="20"/>
      <c r="C20" s="18"/>
      <c r="D20" s="21"/>
      <c r="E20" s="19"/>
    </row>
    <row r="21" spans="2:5" ht="15" customHeight="1">
      <c r="B21" s="20"/>
      <c r="C21" s="18"/>
      <c r="D21" s="21"/>
      <c r="E21" s="19"/>
    </row>
    <row r="22" spans="2:5" ht="15" customHeight="1">
      <c r="B22" s="20"/>
      <c r="C22" s="18"/>
      <c r="D22" s="21"/>
      <c r="E22" s="19"/>
    </row>
    <row r="23" spans="2:5" ht="15.75" customHeight="1" thickBot="1">
      <c r="B23" s="22"/>
      <c r="C23" s="23"/>
      <c r="D23" s="24"/>
      <c r="E23" s="25"/>
    </row>
  </sheetData>
  <mergeCells count="2">
    <mergeCell ref="C2:E2"/>
    <mergeCell ref="C3:E3"/>
  </mergeCells>
  <phoneticPr fontId="5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>
    <oddFooter>&amp;L&amp;D&amp;CHistory&amp;R&amp;P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  <pageSetUpPr fitToPage="1"/>
  </sheetPr>
  <dimension ref="A1:DP111"/>
  <sheetViews>
    <sheetView zoomScale="85" zoomScaleNormal="85" workbookViewId="0">
      <pane ySplit="7" topLeftCell="A8" activePane="bottomLeft" state="frozen"/>
      <selection pane="bottomLeft" sqref="A1:DP111"/>
    </sheetView>
  </sheetViews>
  <sheetFormatPr defaultColWidth="9.28515625" defaultRowHeight="12.75"/>
  <cols>
    <col min="1" max="2" width="2.7109375" customWidth="1"/>
    <col min="3" max="3" width="7.5703125" customWidth="1"/>
    <col min="4" max="4" width="12.28515625" customWidth="1"/>
    <col min="9" max="9" width="5.7109375" customWidth="1"/>
    <col min="10" max="10" width="11.7109375" customWidth="1"/>
    <col min="11" max="19" width="7" customWidth="1"/>
    <col min="20" max="20" width="29.5703125" customWidth="1"/>
    <col min="21" max="21" width="5.7109375" customWidth="1"/>
    <col min="22" max="22" width="7" customWidth="1"/>
    <col min="23" max="24" width="9.5703125" hidden="1" customWidth="1"/>
    <col min="25" max="25" width="10.28515625" hidden="1" customWidth="1"/>
    <col min="26" max="26" width="10.42578125" hidden="1" customWidth="1"/>
    <col min="27" max="27" width="11.28515625" hidden="1" customWidth="1"/>
    <col min="28" max="28" width="11.5703125" hidden="1" customWidth="1"/>
    <col min="29" max="29" width="9.28515625" hidden="1" customWidth="1"/>
    <col min="30" max="31" width="10" hidden="1" customWidth="1"/>
    <col min="32" max="33" width="9.28515625" customWidth="1"/>
    <col min="34" max="34" width="11.5703125" hidden="1" customWidth="1"/>
    <col min="35" max="35" width="13.28515625" hidden="1" customWidth="1"/>
    <col min="36" max="36" width="9.28515625" hidden="1" customWidth="1"/>
    <col min="37" max="37" width="10.28515625" hidden="1" customWidth="1"/>
    <col min="38" max="38" width="9.28515625" hidden="1" customWidth="1"/>
    <col min="39" max="39" width="10.7109375" hidden="1" customWidth="1"/>
    <col min="40" max="41" width="9.28515625" customWidth="1"/>
    <col min="42" max="42" width="9.140625" customWidth="1"/>
    <col min="43" max="69" width="10.5703125" hidden="1" customWidth="1"/>
    <col min="70" max="70" width="10.28515625" hidden="1" customWidth="1"/>
    <col min="71" max="71" width="19.7109375" hidden="1" customWidth="1"/>
    <col min="72" max="75" width="0" hidden="1" customWidth="1"/>
    <col min="76" max="76" width="13.7109375" hidden="1" customWidth="1"/>
    <col min="77" max="77" width="14.7109375" hidden="1" customWidth="1"/>
    <col min="78" max="78" width="13.7109375" hidden="1" customWidth="1"/>
    <col min="79" max="79" width="0" hidden="1" customWidth="1"/>
    <col min="80" max="85" width="10.5703125" customWidth="1"/>
    <col min="86" max="118" width="0" hidden="1" customWidth="1"/>
    <col min="119" max="119" width="10.5703125" customWidth="1"/>
    <col min="120" max="120" width="10.28515625" customWidth="1"/>
  </cols>
  <sheetData>
    <row r="1" spans="1:120" ht="12.75" customHeight="1">
      <c r="A1" s="230"/>
      <c r="B1" s="230"/>
      <c r="C1" s="230"/>
      <c r="D1" s="230"/>
      <c r="E1" s="230"/>
      <c r="F1" s="230"/>
      <c r="G1" s="230"/>
      <c r="H1" s="230"/>
      <c r="I1" s="230"/>
      <c r="J1" s="230">
        <v>1</v>
      </c>
      <c r="K1" s="230">
        <v>2</v>
      </c>
      <c r="L1" s="230">
        <v>3</v>
      </c>
      <c r="M1" s="230">
        <v>4</v>
      </c>
      <c r="N1" s="230">
        <v>5</v>
      </c>
      <c r="O1" s="230">
        <v>6</v>
      </c>
      <c r="P1" s="230">
        <v>7</v>
      </c>
      <c r="Q1" s="230">
        <v>8</v>
      </c>
      <c r="R1" s="230">
        <v>9</v>
      </c>
      <c r="S1" s="230">
        <v>10</v>
      </c>
      <c r="T1" s="230">
        <v>11</v>
      </c>
      <c r="U1" s="230">
        <v>12</v>
      </c>
      <c r="V1" s="230">
        <v>13</v>
      </c>
      <c r="W1" s="230">
        <v>14</v>
      </c>
      <c r="X1" s="230">
        <v>15</v>
      </c>
      <c r="Y1" s="230">
        <v>16</v>
      </c>
      <c r="Z1" s="230">
        <v>17</v>
      </c>
      <c r="AA1" s="230">
        <v>18</v>
      </c>
      <c r="AB1" s="230">
        <v>19</v>
      </c>
      <c r="AC1" s="230">
        <v>20</v>
      </c>
      <c r="AD1" s="230">
        <v>21</v>
      </c>
      <c r="AE1" s="230">
        <v>22</v>
      </c>
      <c r="AF1" s="230">
        <v>23</v>
      </c>
      <c r="AG1" s="230">
        <v>24</v>
      </c>
      <c r="AH1" s="230">
        <v>25</v>
      </c>
      <c r="AI1" s="230">
        <v>26</v>
      </c>
      <c r="AJ1" s="230">
        <v>27</v>
      </c>
      <c r="AK1" s="230">
        <v>28</v>
      </c>
      <c r="AL1" s="230">
        <v>29</v>
      </c>
      <c r="AM1" s="230">
        <v>30</v>
      </c>
      <c r="AN1" s="230">
        <v>31</v>
      </c>
      <c r="AO1" s="230">
        <v>32</v>
      </c>
      <c r="AP1" s="230">
        <v>33</v>
      </c>
      <c r="AQ1" s="230">
        <v>34</v>
      </c>
      <c r="AR1" s="230">
        <v>35</v>
      </c>
      <c r="AS1" s="230">
        <v>36</v>
      </c>
      <c r="AT1" s="230">
        <v>37</v>
      </c>
      <c r="AU1" s="230">
        <v>38</v>
      </c>
      <c r="AV1" s="230">
        <v>39</v>
      </c>
      <c r="AW1" s="230">
        <v>40</v>
      </c>
      <c r="AX1" s="230">
        <v>41</v>
      </c>
      <c r="AY1" s="230">
        <v>42</v>
      </c>
      <c r="AZ1" s="230">
        <v>43</v>
      </c>
      <c r="BA1" s="230">
        <v>44</v>
      </c>
      <c r="BB1" s="230">
        <v>45</v>
      </c>
      <c r="BC1" s="230">
        <v>46</v>
      </c>
      <c r="BD1" s="230">
        <v>47</v>
      </c>
      <c r="BE1" s="230">
        <v>48</v>
      </c>
      <c r="BF1" s="230">
        <v>49</v>
      </c>
      <c r="BG1" s="230">
        <v>50</v>
      </c>
      <c r="BH1" s="230">
        <v>51</v>
      </c>
      <c r="BI1" s="230">
        <v>52</v>
      </c>
      <c r="BJ1" s="230">
        <v>53</v>
      </c>
      <c r="BK1" s="230">
        <v>54</v>
      </c>
      <c r="BL1" s="230">
        <v>55</v>
      </c>
      <c r="BM1" s="230">
        <v>56</v>
      </c>
      <c r="BN1" s="230">
        <v>57</v>
      </c>
      <c r="BO1" s="230">
        <v>58</v>
      </c>
      <c r="BP1" s="230">
        <v>59</v>
      </c>
      <c r="BQ1" s="230">
        <v>60</v>
      </c>
      <c r="BR1" s="230">
        <v>61</v>
      </c>
      <c r="BS1" s="230">
        <v>62</v>
      </c>
      <c r="BT1" s="230">
        <v>63</v>
      </c>
      <c r="BU1" s="230">
        <v>64</v>
      </c>
      <c r="BV1" s="230">
        <v>65</v>
      </c>
      <c r="BW1" s="230">
        <v>66</v>
      </c>
      <c r="BX1" s="230">
        <v>67</v>
      </c>
      <c r="BY1" s="230">
        <v>68</v>
      </c>
      <c r="BZ1" s="230">
        <v>69</v>
      </c>
      <c r="CA1" s="230">
        <v>70</v>
      </c>
      <c r="CB1" s="230">
        <v>71</v>
      </c>
      <c r="CC1" s="230">
        <v>72</v>
      </c>
      <c r="CD1" s="230">
        <v>73</v>
      </c>
      <c r="CE1" s="230">
        <v>74</v>
      </c>
      <c r="CF1" s="230">
        <v>75</v>
      </c>
      <c r="CG1" s="230">
        <v>76</v>
      </c>
      <c r="CH1" s="230">
        <v>77</v>
      </c>
      <c r="CI1" s="230">
        <v>78</v>
      </c>
      <c r="CJ1" s="230">
        <v>79</v>
      </c>
      <c r="CK1" s="230">
        <v>80</v>
      </c>
      <c r="CL1" s="230">
        <v>81</v>
      </c>
      <c r="CM1" s="230">
        <v>82</v>
      </c>
      <c r="CN1" s="230">
        <v>83</v>
      </c>
      <c r="CO1" s="230">
        <v>84</v>
      </c>
      <c r="CP1" s="230">
        <v>85</v>
      </c>
      <c r="CQ1" s="230">
        <v>86</v>
      </c>
      <c r="CR1" s="230">
        <v>87</v>
      </c>
      <c r="CS1" s="230">
        <v>88</v>
      </c>
      <c r="CT1" s="230">
        <v>89</v>
      </c>
      <c r="CU1" s="230">
        <v>90</v>
      </c>
      <c r="CV1" s="230">
        <v>91</v>
      </c>
      <c r="CW1" s="230">
        <v>92</v>
      </c>
      <c r="CX1" s="230">
        <v>93</v>
      </c>
      <c r="CY1" s="230">
        <v>94</v>
      </c>
      <c r="CZ1" s="230">
        <v>95</v>
      </c>
      <c r="DA1" s="230">
        <v>96</v>
      </c>
      <c r="DB1" s="230">
        <v>97</v>
      </c>
      <c r="DC1" s="230">
        <v>98</v>
      </c>
      <c r="DD1" s="230">
        <v>99</v>
      </c>
      <c r="DE1" s="230">
        <v>100</v>
      </c>
      <c r="DF1" s="230">
        <v>101</v>
      </c>
      <c r="DG1" s="230">
        <v>102</v>
      </c>
      <c r="DH1" s="230">
        <v>103</v>
      </c>
      <c r="DI1" s="230">
        <v>104</v>
      </c>
      <c r="DJ1" s="230">
        <v>105</v>
      </c>
      <c r="DK1" s="230">
        <v>106</v>
      </c>
      <c r="DL1" s="230">
        <v>107</v>
      </c>
      <c r="DM1" s="230">
        <v>108</v>
      </c>
      <c r="DN1" s="230">
        <v>109</v>
      </c>
      <c r="DO1" s="230">
        <v>110</v>
      </c>
      <c r="DP1" s="230">
        <v>111</v>
      </c>
    </row>
    <row r="2" spans="1:120" ht="12.75" customHeight="1">
      <c r="A2" s="2"/>
      <c r="B2" s="2"/>
      <c r="C2" s="2"/>
      <c r="D2" s="212" t="s">
        <v>85</v>
      </c>
      <c r="E2" s="213"/>
      <c r="F2" s="213"/>
      <c r="G2" s="214"/>
      <c r="H2" s="2"/>
      <c r="I2" s="174" t="s">
        <v>139</v>
      </c>
      <c r="J2" s="48" t="s">
        <v>141</v>
      </c>
      <c r="K2" s="2"/>
      <c r="L2" s="2"/>
      <c r="M2" s="2"/>
      <c r="N2" s="174"/>
      <c r="O2" s="174"/>
      <c r="P2" s="174"/>
      <c r="Q2" s="174"/>
      <c r="R2" s="174"/>
      <c r="S2" s="174"/>
      <c r="T2" s="174"/>
      <c r="U2" s="40"/>
      <c r="V2" s="175"/>
      <c r="W2" s="3"/>
      <c r="X2" s="3"/>
      <c r="Y2" s="2"/>
      <c r="Z2" s="2"/>
      <c r="AA2" s="2"/>
      <c r="AB2" s="2"/>
      <c r="AC2" s="2"/>
      <c r="AD2" s="4"/>
      <c r="AE2" s="4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</row>
    <row r="3" spans="1:120" ht="12.75" customHeight="1">
      <c r="A3" s="2"/>
      <c r="B3" s="2"/>
      <c r="C3" s="2"/>
      <c r="D3" s="92" t="s">
        <v>83</v>
      </c>
      <c r="E3" s="211" t="s">
        <v>1296</v>
      </c>
      <c r="F3" s="211"/>
      <c r="G3" s="211"/>
      <c r="H3" s="2"/>
      <c r="I3" s="174" t="s">
        <v>144</v>
      </c>
      <c r="J3" s="48" t="s">
        <v>116</v>
      </c>
      <c r="K3" s="2"/>
      <c r="L3" s="2"/>
      <c r="M3" s="2"/>
      <c r="N3" s="174"/>
      <c r="O3" s="174"/>
      <c r="P3" s="174"/>
      <c r="Q3" s="174"/>
      <c r="R3" s="174"/>
      <c r="S3" s="174"/>
      <c r="T3" s="174"/>
      <c r="U3" s="40"/>
      <c r="V3" s="175"/>
      <c r="W3" s="3"/>
      <c r="X3" s="3"/>
      <c r="Y3" s="2"/>
      <c r="Z3" s="2"/>
      <c r="AA3" s="2"/>
      <c r="AB3" s="2"/>
      <c r="AC3" s="2"/>
      <c r="AD3" s="4"/>
      <c r="AE3" s="4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</row>
    <row r="4" spans="1:120" ht="14.1" customHeight="1">
      <c r="A4" s="2"/>
      <c r="B4" s="2"/>
      <c r="C4" s="2"/>
      <c r="D4" s="93" t="s">
        <v>84</v>
      </c>
      <c r="E4" s="211" t="s">
        <v>1297</v>
      </c>
      <c r="F4" s="211"/>
      <c r="G4" s="211"/>
      <c r="H4" s="2"/>
      <c r="I4" s="174" t="s">
        <v>119</v>
      </c>
      <c r="J4" s="176" t="s">
        <v>117</v>
      </c>
      <c r="K4" s="2"/>
      <c r="L4" s="2"/>
      <c r="M4" s="2"/>
      <c r="N4" s="174"/>
      <c r="O4" s="174"/>
      <c r="P4" s="174"/>
      <c r="Q4" s="174"/>
      <c r="R4" s="174"/>
      <c r="S4" s="174"/>
      <c r="T4" s="174"/>
      <c r="U4" s="40"/>
      <c r="V4" s="175"/>
      <c r="W4" s="3"/>
      <c r="X4" s="3"/>
      <c r="Y4" s="2"/>
      <c r="Z4" s="2"/>
      <c r="AA4" s="2"/>
      <c r="AB4" s="2"/>
      <c r="AC4" s="2"/>
      <c r="AD4" s="4"/>
      <c r="AE4" s="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 t="s">
        <v>1298</v>
      </c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</row>
    <row r="5" spans="1:120" ht="12.75" customHeight="1">
      <c r="A5" s="2"/>
      <c r="B5" s="2"/>
      <c r="C5" s="2"/>
      <c r="D5" s="231" t="s">
        <v>1299</v>
      </c>
      <c r="E5" s="211" t="s">
        <v>1300</v>
      </c>
      <c r="F5" s="211"/>
      <c r="G5" s="211"/>
      <c r="H5" s="2"/>
      <c r="I5" s="174" t="s">
        <v>120</v>
      </c>
      <c r="J5" s="48" t="s">
        <v>118</v>
      </c>
      <c r="K5" s="2"/>
      <c r="L5" s="2"/>
      <c r="M5" s="2"/>
      <c r="N5" s="174"/>
      <c r="O5" s="174"/>
      <c r="P5" s="174"/>
      <c r="Q5" s="174"/>
      <c r="R5" s="174"/>
      <c r="S5" s="174"/>
      <c r="T5" s="174"/>
      <c r="U5" s="40"/>
      <c r="V5" s="175"/>
      <c r="W5" s="3"/>
      <c r="X5" s="3"/>
      <c r="Y5" s="2"/>
      <c r="Z5" s="2"/>
      <c r="AA5" s="2"/>
      <c r="AB5" s="2"/>
      <c r="AC5" s="2"/>
      <c r="AD5" s="4"/>
      <c r="AE5" s="4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 t="s">
        <v>1028</v>
      </c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</row>
    <row r="6" spans="1:120" ht="13.5" customHeight="1">
      <c r="A6" s="2"/>
      <c r="B6" s="2"/>
      <c r="C6" s="2"/>
      <c r="D6" s="232"/>
      <c r="E6" s="211" t="s">
        <v>1301</v>
      </c>
      <c r="F6" s="211"/>
      <c r="G6" s="211"/>
      <c r="H6" s="2"/>
      <c r="I6" s="177"/>
      <c r="J6" s="178"/>
      <c r="K6" s="179"/>
      <c r="L6" s="180"/>
      <c r="M6" s="180"/>
      <c r="N6" s="180"/>
      <c r="O6" s="180"/>
      <c r="P6" s="180"/>
      <c r="Q6" s="180"/>
      <c r="R6" s="180"/>
      <c r="S6" s="180"/>
      <c r="T6" s="180"/>
      <c r="U6" s="181"/>
      <c r="V6" s="181"/>
      <c r="W6" s="2"/>
      <c r="X6" s="2"/>
      <c r="Y6" s="2"/>
      <c r="Z6" s="2"/>
      <c r="AA6" s="2"/>
      <c r="AB6" s="2"/>
      <c r="AC6" s="2"/>
      <c r="AD6" s="4"/>
      <c r="AE6" s="4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</row>
    <row r="7" spans="1:120" ht="12.75" customHeight="1">
      <c r="A7" s="2"/>
      <c r="B7" s="2"/>
      <c r="C7" s="2"/>
      <c r="D7" s="2"/>
      <c r="E7" s="2"/>
      <c r="F7" s="2"/>
      <c r="G7" s="2"/>
      <c r="H7" s="2"/>
      <c r="I7" s="2"/>
      <c r="J7" s="2"/>
      <c r="K7" s="94" t="s">
        <v>471</v>
      </c>
      <c r="L7" s="94" t="s">
        <v>6</v>
      </c>
      <c r="M7" s="94" t="s">
        <v>39</v>
      </c>
      <c r="N7" s="94" t="e">
        <f>IF(EngColTemp_ECT="O","EngColTemp","Duct")</f>
        <v>#NAME?</v>
      </c>
      <c r="O7" s="94" t="s">
        <v>345</v>
      </c>
      <c r="P7" s="94" t="s">
        <v>470</v>
      </c>
      <c r="Q7" s="94" t="s">
        <v>532</v>
      </c>
      <c r="R7" s="94" t="s">
        <v>1302</v>
      </c>
      <c r="S7" s="94"/>
      <c r="T7" s="94" t="s">
        <v>86</v>
      </c>
      <c r="U7" s="94" t="s">
        <v>158</v>
      </c>
      <c r="V7" s="94" t="s">
        <v>186</v>
      </c>
      <c r="W7" s="94" t="s">
        <v>40</v>
      </c>
      <c r="X7" s="94" t="s">
        <v>94</v>
      </c>
      <c r="Y7" s="94" t="s">
        <v>208</v>
      </c>
      <c r="Z7" s="94" t="s">
        <v>209</v>
      </c>
      <c r="AA7" s="94" t="s">
        <v>210</v>
      </c>
      <c r="AB7" s="94" t="s">
        <v>207</v>
      </c>
      <c r="AC7" s="94" t="s">
        <v>1303</v>
      </c>
      <c r="AD7" s="94" t="e">
        <f>BLW_MAX</f>
        <v>#NAME?</v>
      </c>
      <c r="AE7" s="94" t="s">
        <v>363</v>
      </c>
      <c r="AF7" s="94" t="s">
        <v>182</v>
      </c>
      <c r="AG7" s="94" t="s">
        <v>184</v>
      </c>
      <c r="AH7" s="94" t="e">
        <f>TempDispUnit</f>
        <v>#NAME?</v>
      </c>
      <c r="AI7" s="94" t="e">
        <f>IF(FLAG_Country&lt;&gt;"USA","DrTempDispC","DrTempDispF")</f>
        <v>#NAME?</v>
      </c>
      <c r="AJ7" s="94" t="e">
        <f>IF(FLAG_Country&lt;&gt;"USA","PsTempDispC","PsTempDispF")</f>
        <v>#NAME?</v>
      </c>
      <c r="AK7" s="94" t="e">
        <f>IF(FLAG_Country&lt;&gt;"USA","DrTempDispF","DrTempDispC")</f>
        <v>#NAME?</v>
      </c>
      <c r="AL7" s="94" t="e">
        <f>IF(FLAG_Country&lt;&gt;"USA","PsTempDispF","PsTempDispC")</f>
        <v>#NAME?</v>
      </c>
      <c r="AM7" s="94" t="s">
        <v>194</v>
      </c>
      <c r="AN7" s="94" t="s">
        <v>41</v>
      </c>
      <c r="AO7" s="94" t="s">
        <v>42</v>
      </c>
      <c r="AP7" s="94" t="s">
        <v>43</v>
      </c>
      <c r="AQ7" s="94" t="s">
        <v>183</v>
      </c>
      <c r="AR7" s="94" t="s">
        <v>44</v>
      </c>
      <c r="AS7" s="94" t="s">
        <v>264</v>
      </c>
      <c r="AT7" s="94" t="s">
        <v>263</v>
      </c>
      <c r="AU7" s="94" t="s">
        <v>321</v>
      </c>
      <c r="AV7" s="94" t="s">
        <v>45</v>
      </c>
      <c r="AW7" s="94" t="s">
        <v>46</v>
      </c>
      <c r="AX7" s="94" t="s">
        <v>322</v>
      </c>
      <c r="AY7" s="94" t="s">
        <v>332</v>
      </c>
      <c r="AZ7" s="94" t="s">
        <v>334</v>
      </c>
      <c r="BA7" s="94" t="e">
        <f>WshFldUSMSta</f>
        <v>#NAME?</v>
      </c>
      <c r="BB7" s="94"/>
      <c r="BC7" s="94" t="s">
        <v>490</v>
      </c>
      <c r="BD7" s="94" t="s">
        <v>491</v>
      </c>
      <c r="BE7" s="94" t="e">
        <f>CO2_Warning</f>
        <v>#NAME?</v>
      </c>
      <c r="BF7" s="94" t="e">
        <f>CO2_OnOffSta</f>
        <v>#NAME?</v>
      </c>
      <c r="BG7" s="94" t="e">
        <f>IsgStopReq</f>
        <v>#NAME?</v>
      </c>
      <c r="BH7" s="94" t="e">
        <f>EngStartReq</f>
        <v>#NAME?</v>
      </c>
      <c r="BI7" s="94" t="e">
        <f>AUTOStep</f>
        <v>#NAME?</v>
      </c>
      <c r="BJ7" s="94" t="e">
        <f>MltAutBlrTxt</f>
        <v>#NAME?</v>
      </c>
      <c r="BK7" s="94" t="e">
        <f>PTC_RELAY_Sta</f>
        <v>#NAME?</v>
      </c>
      <c r="BL7" s="94" t="str">
        <f>eComp_Interlock_Sta</f>
        <v>DATC_HVCompIntlkSta</v>
      </c>
      <c r="BM7" s="94" t="str">
        <f>Service_Lamp_Req</f>
        <v>DATC_SrvLmpReq</v>
      </c>
      <c r="BN7" s="94" t="str">
        <f>DTC_Resp</f>
        <v>DTC_Responsible</v>
      </c>
      <c r="BO7" s="94" t="e">
        <f>WhlHeat_Whl_Sta</f>
        <v>#NAME?</v>
      </c>
      <c r="BP7" s="94" t="e">
        <f>WhlHeat_Heat_Sta</f>
        <v>#NAME?</v>
      </c>
      <c r="BQ7" s="94" t="e">
        <f>WhlHeat_Whl_Step</f>
        <v>#NAME?</v>
      </c>
      <c r="BR7" s="94" t="e">
        <f>WhlHeat_LH_Step</f>
        <v>#NAME?</v>
      </c>
      <c r="BS7" s="94" t="e">
        <f>WhlHeat_RH_Step</f>
        <v>#NAME?</v>
      </c>
      <c r="BT7" s="94" t="e">
        <f>FrChgReqDis</f>
        <v>#NAME?</v>
      </c>
      <c r="BU7" s="94" t="str">
        <f>OpSta</f>
        <v>DATC_OpSta</v>
      </c>
      <c r="BV7" s="94" t="str">
        <f>DTC_Code</f>
        <v>DIAG_DTC_Code</v>
      </c>
      <c r="BW7" s="94" t="str">
        <f>SelfDiagDisp</f>
        <v>DATC_SelfDiagDisp</v>
      </c>
      <c r="BX7" s="94" t="str">
        <f>DTC_Code</f>
        <v>DIAG_DTC_Code</v>
      </c>
      <c r="BY7" s="94" t="str">
        <f>SelfDiagDisp</f>
        <v>DATC_SelfDiagDisp</v>
      </c>
      <c r="BZ7" s="94" t="str">
        <f>EcoClmtLimSta</f>
        <v>DATC_EcoClmtLimSta</v>
      </c>
      <c r="CA7" s="94" t="str">
        <f>ClmtLimOpSta</f>
        <v>DATC_ClmtLimOpSta</v>
      </c>
      <c r="CB7" s="94" t="str">
        <f>HP_ModSta</f>
        <v>DATC_HtrPmpModSta</v>
      </c>
      <c r="CC7" s="94" t="str">
        <f>WaterVlvSta</f>
        <v>DATC_WaterVlvSta</v>
      </c>
      <c r="CD7" s="94" t="str">
        <f>BatteryEWPOper</f>
        <v>DATC_BattEwpOpReq</v>
      </c>
      <c r="CE7" s="94" t="str">
        <f>Coolingfan_Duty</f>
        <v>DATC_RadFanReq_Duty</v>
      </c>
      <c r="CF7" s="94" t="str">
        <f>AAFOpen</f>
        <v>DATC_AAFOpenReq</v>
      </c>
      <c r="CG7" s="94" t="str">
        <f>PeEwpRPMReq</f>
        <v>DATC_PeEwpRPMReq</v>
      </c>
      <c r="CH7" s="94" t="e">
        <f>Compressor</f>
        <v>#NAME?</v>
      </c>
      <c r="CI7" s="94"/>
      <c r="CJ7" s="94" t="str">
        <f>HVPPTargetDutyDr_Perc</f>
        <v>CCU_HVPPTargetDutyDriver_Perc (CCU2)</v>
      </c>
      <c r="CK7" s="94" t="str">
        <f>HVPPTargetDutyPs_Perc</f>
        <v>CCU_HVPPTargetDutyPassenger_Perc (CCU2)</v>
      </c>
      <c r="CL7" s="94" t="str">
        <f>DATC_OpSta</f>
        <v>DATC_OpSta</v>
      </c>
      <c r="CM7" s="94" t="str">
        <f>DATC_CtrlablSta</f>
        <v>DATC_CtrlablSta</v>
      </c>
      <c r="CN7" s="94" t="str">
        <f>V01_EXV</f>
        <v>V01_EXV (H/P)</v>
      </c>
      <c r="CO7" s="94" t="str">
        <f>V02_EXV</f>
        <v>V02_EXV (B/CHILLER)</v>
      </c>
      <c r="CP7" s="94" t="str">
        <f>V04_3way</f>
        <v>V04_3WAY (R/D)</v>
      </c>
      <c r="CQ7" s="94" t="str">
        <f>V05_2way</f>
        <v>V05_2WAY (DEHUMI)</v>
      </c>
      <c r="CR7" s="94" t="str">
        <f>V01_DiagFunctnValue</f>
        <v>V01_DiagFunctnValue</v>
      </c>
      <c r="CS7" s="94" t="str">
        <f>V01_SystemState</f>
        <v>V01_SystemState</v>
      </c>
      <c r="CT7" s="94" t="str">
        <f>V02_DiagFunctnValue</f>
        <v>V02_DiagFunctnValue</v>
      </c>
      <c r="CU7" s="94" t="str">
        <f>V02_SystemState</f>
        <v>V02_SystemState</v>
      </c>
      <c r="CV7" s="94" t="str">
        <f>V04_DiagFunctnValue</f>
        <v>V04_DiagFunctnValue</v>
      </c>
      <c r="CW7" s="94" t="str">
        <f>V04_SystemState</f>
        <v>V04_SystemState</v>
      </c>
      <c r="CX7" s="94" t="str">
        <f>V05_DiagFunctnValue</f>
        <v>V05_DiagFunctnValue</v>
      </c>
      <c r="CY7" s="94" t="str">
        <f>V05_SystemState</f>
        <v>V05_SystemState</v>
      </c>
      <c r="CZ7" s="94" t="str">
        <f>Blower_Motor_Relay</f>
        <v>Blower_Motor_Relay_IO</v>
      </c>
      <c r="DA7" s="94" t="str">
        <f>BattCompPwrCnsmptn</f>
        <v>DATC_BattCompPwrCnsmptn_W2</v>
      </c>
      <c r="DB7" s="94" t="str">
        <f>AcnECompCnsmptPwrVal</f>
        <v>DATC_AcnECompCnsmptPwrVal_W</v>
      </c>
      <c r="DC7" s="94" t="str">
        <f>PtcPwrCnsmptnVal</f>
        <v>DATC_PtcPwrCnsmptnVal_W</v>
      </c>
      <c r="DD7" s="94" t="str">
        <f>ClmtPwrCnsmptn</f>
        <v>DATC_ClmtPwrCnsmptn_W</v>
      </c>
      <c r="DE7" s="94" t="str">
        <f>ClmtPwrSum</f>
        <v>DATC_ClmtPwrSum_Wh</v>
      </c>
      <c r="DF7" s="94" t="str">
        <f>BattPwrSum</f>
        <v>DATC_BattPwrSum_Wh2</v>
      </c>
      <c r="DG7" s="94" t="str">
        <f>BattChlrVlvSta</f>
        <v>DATC_BattChlrVlvSta</v>
      </c>
      <c r="DH7" s="94" t="str">
        <f>BattChlrVlv_FltCode</f>
        <v>DATC_BattChlrVlv_FltCode</v>
      </c>
      <c r="DI7" s="94" t="str">
        <f>BattEvapVlvSta</f>
        <v>DATC_BattEvapVlvSta</v>
      </c>
      <c r="DJ7" s="94" t="str">
        <f>BattEvapVlv_FltCode</f>
        <v>DATC_BattEvapVlv_FltCode</v>
      </c>
      <c r="DK7" s="94"/>
      <c r="DL7" s="94"/>
      <c r="DM7" s="94"/>
      <c r="DN7" s="94"/>
      <c r="DO7" s="94"/>
      <c r="DP7" s="2"/>
    </row>
    <row r="8" spans="1:120" ht="13.5" customHeight="1">
      <c r="A8" s="2"/>
      <c r="B8" s="2"/>
      <c r="C8" s="4"/>
      <c r="D8" s="4"/>
      <c r="E8" s="4"/>
      <c r="F8" s="4"/>
      <c r="G8" s="2"/>
      <c r="H8" s="2"/>
      <c r="I8" s="49"/>
      <c r="J8" s="95" t="s">
        <v>784</v>
      </c>
      <c r="K8" s="95" t="s">
        <v>1304</v>
      </c>
      <c r="L8" s="95"/>
      <c r="M8" s="95"/>
      <c r="N8" s="95"/>
      <c r="O8" s="95"/>
      <c r="P8" s="95"/>
      <c r="Q8" s="95"/>
      <c r="R8" s="95"/>
      <c r="S8" s="95"/>
      <c r="T8" s="95"/>
      <c r="U8" s="96"/>
      <c r="V8" s="96"/>
      <c r="W8" s="95"/>
      <c r="X8" s="95"/>
      <c r="Y8" s="95"/>
      <c r="Z8" s="95"/>
      <c r="AA8" s="95"/>
      <c r="AB8" s="95"/>
      <c r="AC8" s="95"/>
      <c r="AD8" s="95"/>
      <c r="AE8" s="95"/>
      <c r="AF8" s="95"/>
      <c r="AG8" s="95"/>
      <c r="AH8" s="95"/>
      <c r="AI8" s="95"/>
      <c r="AJ8" s="95"/>
      <c r="AK8" s="95"/>
      <c r="AL8" s="95"/>
      <c r="AM8" s="95"/>
      <c r="AN8" s="95"/>
      <c r="AO8" s="95"/>
      <c r="AP8" s="95"/>
      <c r="AQ8" s="95"/>
      <c r="AR8" s="95"/>
      <c r="AS8" s="95"/>
      <c r="AT8" s="95"/>
      <c r="AU8" s="95"/>
      <c r="AV8" s="95"/>
      <c r="AW8" s="95"/>
      <c r="AX8" s="95"/>
      <c r="AY8" s="95"/>
      <c r="AZ8" s="95"/>
      <c r="BA8" s="95"/>
      <c r="BB8" s="95"/>
      <c r="BC8" s="95"/>
      <c r="BD8" s="95"/>
      <c r="BE8" s="95"/>
      <c r="BF8" s="95"/>
      <c r="BG8" s="95"/>
      <c r="BH8" s="95"/>
      <c r="BI8" s="95"/>
      <c r="BJ8" s="95"/>
      <c r="BK8" s="95"/>
      <c r="BL8" s="95"/>
      <c r="BM8" s="95"/>
      <c r="BN8" s="95"/>
      <c r="BO8" s="95"/>
      <c r="BP8" s="95"/>
      <c r="BQ8" s="95"/>
      <c r="BR8" s="95"/>
      <c r="BS8" s="95"/>
      <c r="BT8" s="95"/>
      <c r="BU8" s="95"/>
      <c r="BV8" s="95"/>
      <c r="BW8" s="95"/>
      <c r="BX8" s="95"/>
      <c r="BY8" s="95"/>
      <c r="BZ8" s="95"/>
      <c r="CA8" s="95"/>
      <c r="CB8" s="95"/>
      <c r="CC8" s="95"/>
      <c r="CD8" s="95"/>
      <c r="CE8" s="95"/>
      <c r="CF8" s="95"/>
      <c r="CG8" s="95"/>
      <c r="CH8" s="95"/>
      <c r="CI8" s="95"/>
      <c r="CJ8" s="95"/>
      <c r="CK8" s="95"/>
      <c r="CL8" s="95"/>
      <c r="CM8" s="95"/>
      <c r="CN8" s="95"/>
      <c r="CO8" s="95"/>
      <c r="CP8" s="95"/>
      <c r="CQ8" s="95"/>
      <c r="CR8" s="95"/>
      <c r="CS8" s="95"/>
      <c r="CT8" s="95"/>
      <c r="CU8" s="95"/>
      <c r="CV8" s="95"/>
      <c r="CW8" s="95"/>
      <c r="CX8" s="95"/>
      <c r="CY8" s="95"/>
      <c r="CZ8" s="95"/>
      <c r="DA8" s="95"/>
      <c r="DB8" s="95"/>
      <c r="DC8" s="95"/>
      <c r="DD8" s="95"/>
      <c r="DE8" s="95"/>
      <c r="DF8" s="95"/>
      <c r="DG8" s="95"/>
      <c r="DH8" s="95"/>
      <c r="DI8" s="95"/>
      <c r="DJ8" s="95"/>
      <c r="DK8" s="95"/>
      <c r="DL8" s="95"/>
      <c r="DM8" s="95"/>
      <c r="DN8" s="95"/>
      <c r="DO8" s="95"/>
      <c r="DP8" s="2"/>
    </row>
    <row r="9" spans="1:120" ht="12.75" customHeight="1">
      <c r="A9" s="2"/>
      <c r="B9" s="2"/>
      <c r="C9" s="4"/>
      <c r="D9" s="4"/>
      <c r="E9" s="4"/>
      <c r="F9" s="4"/>
      <c r="G9" s="2"/>
      <c r="H9" s="2"/>
      <c r="I9" s="88" t="s">
        <v>309</v>
      </c>
      <c r="J9" s="88" t="s">
        <v>308</v>
      </c>
      <c r="K9" s="90">
        <v>10</v>
      </c>
      <c r="L9" s="90">
        <v>15</v>
      </c>
      <c r="M9" s="90">
        <v>10</v>
      </c>
      <c r="N9" s="90">
        <v>80.25</v>
      </c>
      <c r="O9" s="90">
        <v>0</v>
      </c>
      <c r="P9" s="90">
        <v>50</v>
      </c>
      <c r="Q9" s="90">
        <v>400</v>
      </c>
      <c r="R9" s="90">
        <v>55</v>
      </c>
      <c r="S9" s="91"/>
      <c r="T9" s="86"/>
      <c r="U9" s="87"/>
      <c r="V9" s="87"/>
      <c r="W9" s="91"/>
      <c r="X9" s="91"/>
      <c r="Y9" s="91"/>
      <c r="Z9" s="91"/>
      <c r="AA9" s="91"/>
      <c r="AB9" s="91"/>
      <c r="AC9" s="91"/>
      <c r="AD9" s="91"/>
      <c r="AE9" s="91"/>
      <c r="AF9" s="91"/>
      <c r="AG9" s="91"/>
      <c r="AH9" s="91"/>
      <c r="AI9" s="91"/>
      <c r="AJ9" s="91"/>
      <c r="AK9" s="91"/>
      <c r="AL9" s="91"/>
      <c r="AM9" s="91"/>
      <c r="AN9" s="91"/>
      <c r="AO9" s="91"/>
      <c r="AP9" s="91"/>
      <c r="AQ9" s="91"/>
      <c r="AR9" s="91"/>
      <c r="AS9" s="91"/>
      <c r="AT9" s="91"/>
      <c r="AU9" s="91"/>
      <c r="AV9" s="91"/>
      <c r="AW9" s="91"/>
      <c r="AX9" s="91"/>
      <c r="AY9" s="91"/>
      <c r="AZ9" s="91"/>
      <c r="BA9" s="91"/>
      <c r="BB9" s="91"/>
      <c r="BC9" s="91"/>
      <c r="BD9" s="91"/>
      <c r="BE9" s="91"/>
      <c r="BF9" s="91"/>
      <c r="BG9" s="91"/>
      <c r="BH9" s="91"/>
      <c r="BI9" s="91"/>
      <c r="BJ9" s="91"/>
      <c r="BK9" s="91"/>
      <c r="BL9" s="91"/>
      <c r="BM9" s="91"/>
      <c r="BN9" s="91"/>
      <c r="BO9" s="91"/>
      <c r="BP9" s="91"/>
      <c r="BQ9" s="91"/>
      <c r="BR9" s="91"/>
      <c r="BS9" s="91"/>
      <c r="BT9" s="91"/>
      <c r="BU9" s="91"/>
      <c r="BV9" s="91"/>
      <c r="BW9" s="91"/>
      <c r="BX9" s="91"/>
      <c r="BY9" s="91"/>
      <c r="BZ9" s="91"/>
      <c r="CA9" s="91"/>
      <c r="CB9" s="91"/>
      <c r="CC9" s="91"/>
      <c r="CD9" s="91"/>
      <c r="CE9" s="91"/>
      <c r="CF9" s="91"/>
      <c r="CG9" s="91"/>
      <c r="CH9" s="91"/>
      <c r="CI9" s="91"/>
      <c r="CJ9" s="91"/>
      <c r="CK9" s="91"/>
      <c r="CL9" s="91"/>
      <c r="CM9" s="91"/>
      <c r="CN9" s="91"/>
      <c r="CO9" s="91"/>
      <c r="CP9" s="91"/>
      <c r="CQ9" s="91"/>
      <c r="CR9" s="91"/>
      <c r="CS9" s="91"/>
      <c r="CT9" s="91"/>
      <c r="CU9" s="91"/>
      <c r="CV9" s="91"/>
      <c r="CW9" s="91"/>
      <c r="CX9" s="91"/>
      <c r="CY9" s="91"/>
      <c r="CZ9" s="91"/>
      <c r="DA9" s="91"/>
      <c r="DB9" s="91"/>
      <c r="DC9" s="91"/>
      <c r="DD9" s="91"/>
      <c r="DE9" s="91"/>
      <c r="DF9" s="91"/>
      <c r="DG9" s="91"/>
      <c r="DH9" s="91"/>
      <c r="DI9" s="91"/>
      <c r="DJ9" s="91"/>
      <c r="DK9" s="91"/>
      <c r="DL9" s="91"/>
      <c r="DM9" s="91"/>
      <c r="DN9" s="91"/>
      <c r="DO9" s="91"/>
      <c r="DP9" s="2"/>
    </row>
    <row r="10" spans="1:120" ht="13.5" customHeight="1">
      <c r="A10" s="2"/>
      <c r="B10" s="2"/>
      <c r="C10" s="4"/>
      <c r="D10" s="4"/>
      <c r="E10" s="4"/>
      <c r="F10" s="4"/>
      <c r="G10" s="2"/>
      <c r="H10" s="2"/>
      <c r="I10" s="97" t="s">
        <v>7</v>
      </c>
      <c r="J10" s="97" t="s">
        <v>785</v>
      </c>
      <c r="K10" s="233" t="s">
        <v>1305</v>
      </c>
      <c r="L10" s="97"/>
      <c r="M10" s="97"/>
      <c r="N10" s="97"/>
      <c r="O10" s="97"/>
      <c r="P10" s="97"/>
      <c r="Q10" s="97"/>
      <c r="R10" s="97"/>
      <c r="S10" s="97"/>
      <c r="T10" s="97"/>
      <c r="U10" s="234"/>
      <c r="V10" s="234"/>
      <c r="W10" s="97"/>
      <c r="X10" s="97"/>
      <c r="Y10" s="97"/>
      <c r="Z10" s="97"/>
      <c r="AA10" s="97"/>
      <c r="AB10" s="97"/>
      <c r="AC10" s="97"/>
      <c r="AD10" s="97"/>
      <c r="AE10" s="97"/>
      <c r="AF10" s="97"/>
      <c r="AG10" s="97"/>
      <c r="AH10" s="97"/>
      <c r="AI10" s="97"/>
      <c r="AJ10" s="97"/>
      <c r="AK10" s="97"/>
      <c r="AL10" s="97"/>
      <c r="AM10" s="97"/>
      <c r="AN10" s="97"/>
      <c r="AO10" s="97"/>
      <c r="AP10" s="97"/>
      <c r="AQ10" s="97"/>
      <c r="AR10" s="97"/>
      <c r="AS10" s="97"/>
      <c r="AT10" s="97"/>
      <c r="AU10" s="97"/>
      <c r="AV10" s="97"/>
      <c r="AW10" s="97"/>
      <c r="AX10" s="97"/>
      <c r="AY10" s="97"/>
      <c r="AZ10" s="97"/>
      <c r="BA10" s="97"/>
      <c r="BB10" s="97"/>
      <c r="BC10" s="97"/>
      <c r="BD10" s="97"/>
      <c r="BE10" s="97"/>
      <c r="BF10" s="97"/>
      <c r="BG10" s="97"/>
      <c r="BH10" s="97"/>
      <c r="BI10" s="97"/>
      <c r="BJ10" s="97"/>
      <c r="BK10" s="97"/>
      <c r="BL10" s="97"/>
      <c r="BM10" s="97"/>
      <c r="BN10" s="97"/>
      <c r="BO10" s="97"/>
      <c r="BP10" s="97"/>
      <c r="BQ10" s="97"/>
      <c r="BR10" s="97"/>
      <c r="BS10" s="97"/>
      <c r="BT10" s="97"/>
      <c r="BU10" s="97"/>
      <c r="BV10" s="97"/>
      <c r="BW10" s="97"/>
      <c r="BX10" s="97"/>
      <c r="BY10" s="97"/>
      <c r="BZ10" s="97"/>
      <c r="CA10" s="97"/>
      <c r="CB10" s="97"/>
      <c r="CC10" s="97"/>
      <c r="CD10" s="97"/>
      <c r="CE10" s="97"/>
      <c r="CF10" s="97"/>
      <c r="CG10" s="97"/>
      <c r="CH10" s="97"/>
      <c r="CI10" s="97"/>
      <c r="CJ10" s="97"/>
      <c r="CK10" s="97"/>
      <c r="CL10" s="97"/>
      <c r="CM10" s="97"/>
      <c r="CN10" s="97"/>
      <c r="CO10" s="97"/>
      <c r="CP10" s="97"/>
      <c r="CQ10" s="97"/>
      <c r="CR10" s="97"/>
      <c r="CS10" s="97"/>
      <c r="CT10" s="97"/>
      <c r="CU10" s="97"/>
      <c r="CV10" s="97"/>
      <c r="CW10" s="97"/>
      <c r="CX10" s="97"/>
      <c r="CY10" s="97"/>
      <c r="CZ10" s="97"/>
      <c r="DA10" s="97"/>
      <c r="DB10" s="97"/>
      <c r="DC10" s="97"/>
      <c r="DD10" s="97"/>
      <c r="DE10" s="97"/>
      <c r="DF10" s="97"/>
      <c r="DG10" s="97"/>
      <c r="DH10" s="97"/>
      <c r="DI10" s="97"/>
      <c r="DJ10" s="97"/>
      <c r="DK10" s="97"/>
      <c r="DL10" s="97"/>
      <c r="DM10" s="97"/>
      <c r="DN10" s="97"/>
      <c r="DO10" s="97"/>
      <c r="DP10" s="2"/>
    </row>
    <row r="11" spans="1:120" ht="12.75" customHeight="1">
      <c r="A11" s="2"/>
      <c r="B11" s="2"/>
      <c r="C11" s="4"/>
      <c r="D11" s="4"/>
      <c r="E11" s="4"/>
      <c r="F11" s="4"/>
      <c r="G11" s="2"/>
      <c r="H11" s="2"/>
      <c r="I11" s="182" t="s">
        <v>47</v>
      </c>
      <c r="J11" s="182" t="s">
        <v>786</v>
      </c>
      <c r="K11" s="183">
        <f>K9</f>
        <v>10</v>
      </c>
      <c r="L11" s="183">
        <f>L9</f>
        <v>15</v>
      </c>
      <c r="M11" s="183">
        <f>M9</f>
        <v>10</v>
      </c>
      <c r="N11" s="91"/>
      <c r="O11" s="91"/>
      <c r="P11" s="91"/>
      <c r="Q11" s="91"/>
      <c r="R11" s="91"/>
      <c r="S11" s="91"/>
      <c r="T11" s="98" t="s">
        <v>188</v>
      </c>
      <c r="U11" s="90" t="e">
        <f>IF(FLAG_Country&lt;&gt;"USA","설정 온도 22 degC, AUTO ON (SYNC ON) + OFF 선택 상태 설정","설정 온도 72 degF, AUTO ON (SYNC ON) + OFF 선택 상태 설정")</f>
        <v>#NAME?</v>
      </c>
      <c r="V11" s="89">
        <v>10</v>
      </c>
      <c r="W11" s="91"/>
      <c r="X11" s="91"/>
      <c r="Y11" s="91"/>
      <c r="Z11" s="91"/>
      <c r="AA11" s="91"/>
      <c r="AB11" s="91"/>
      <c r="AC11" s="91"/>
      <c r="AD11" s="91"/>
      <c r="AE11" s="91"/>
      <c r="AF11" s="91"/>
      <c r="AG11" s="91"/>
      <c r="AH11" s="91"/>
      <c r="AI11" s="91"/>
      <c r="AJ11" s="91"/>
      <c r="AK11" s="91"/>
      <c r="AL11" s="91"/>
      <c r="AM11" s="91"/>
      <c r="AN11" s="90" t="s">
        <v>88</v>
      </c>
      <c r="AO11" s="91"/>
      <c r="AP11" s="91"/>
      <c r="AQ11" s="91"/>
      <c r="AR11" s="91"/>
      <c r="AS11" s="91"/>
      <c r="AT11" s="91"/>
      <c r="AU11" s="91"/>
      <c r="AV11" s="91"/>
      <c r="AW11" s="91"/>
      <c r="AX11" s="91"/>
      <c r="AY11" s="91"/>
      <c r="AZ11" s="91"/>
      <c r="BA11" s="91"/>
      <c r="BB11" s="91"/>
      <c r="BC11" s="91"/>
      <c r="BD11" s="91"/>
      <c r="BE11" s="91"/>
      <c r="BF11" s="91"/>
      <c r="BG11" s="91"/>
      <c r="BH11" s="91"/>
      <c r="BI11" s="91"/>
      <c r="BJ11" s="91"/>
      <c r="BK11" s="91"/>
      <c r="BL11" s="91"/>
      <c r="BM11" s="91"/>
      <c r="BN11" s="91"/>
      <c r="BO11" s="91"/>
      <c r="BP11" s="91"/>
      <c r="BQ11" s="91"/>
      <c r="BR11" s="91"/>
      <c r="BS11" s="91"/>
      <c r="BT11" s="91"/>
      <c r="BU11" s="91"/>
      <c r="BV11" s="91"/>
      <c r="BW11" s="91"/>
      <c r="BX11" s="91"/>
      <c r="BY11" s="91"/>
      <c r="BZ11" s="91"/>
      <c r="CA11" s="91"/>
      <c r="CB11" s="90">
        <v>7</v>
      </c>
      <c r="CC11" s="91"/>
      <c r="CD11" s="90">
        <v>0</v>
      </c>
      <c r="CE11" s="91"/>
      <c r="CF11" s="91"/>
      <c r="CG11" s="90">
        <v>0</v>
      </c>
      <c r="CH11" s="91"/>
      <c r="CI11" s="91"/>
      <c r="CJ11" s="91"/>
      <c r="CK11" s="91"/>
      <c r="CL11" s="91"/>
      <c r="CM11" s="91"/>
      <c r="CN11" s="91"/>
      <c r="CO11" s="91"/>
      <c r="CP11" s="91"/>
      <c r="CQ11" s="91"/>
      <c r="CR11" s="91"/>
      <c r="CS11" s="91"/>
      <c r="CT11" s="91"/>
      <c r="CU11" s="91"/>
      <c r="CV11" s="91"/>
      <c r="CW11" s="91"/>
      <c r="CX11" s="91"/>
      <c r="CY11" s="91"/>
      <c r="CZ11" s="91"/>
      <c r="DA11" s="91"/>
      <c r="DB11" s="91"/>
      <c r="DC11" s="91"/>
      <c r="DD11" s="91"/>
      <c r="DE11" s="91"/>
      <c r="DF11" s="91"/>
      <c r="DG11" s="91"/>
      <c r="DH11" s="91"/>
      <c r="DI11" s="91"/>
      <c r="DJ11" s="91"/>
      <c r="DK11" s="91"/>
      <c r="DL11" s="91"/>
      <c r="DM11" s="91"/>
      <c r="DN11" s="91"/>
      <c r="DO11" s="91"/>
      <c r="DP11" s="2"/>
    </row>
    <row r="12" spans="1:120" ht="12.75" customHeight="1">
      <c r="A12" s="2"/>
      <c r="B12" s="2"/>
      <c r="C12" s="4"/>
      <c r="D12" s="2"/>
      <c r="E12" s="2"/>
      <c r="F12" s="2"/>
      <c r="G12" s="2"/>
      <c r="H12" s="2"/>
      <c r="I12" s="182" t="s">
        <v>537</v>
      </c>
      <c r="J12" s="182" t="s">
        <v>787</v>
      </c>
      <c r="K12" s="183">
        <f>K11</f>
        <v>10</v>
      </c>
      <c r="L12" s="183">
        <f>L11</f>
        <v>15</v>
      </c>
      <c r="M12" s="183">
        <f>M11</f>
        <v>10</v>
      </c>
      <c r="N12" s="91"/>
      <c r="O12" s="91"/>
      <c r="P12" s="91"/>
      <c r="Q12" s="91"/>
      <c r="R12" s="91"/>
      <c r="S12" s="91"/>
      <c r="T12" s="98" t="s">
        <v>220</v>
      </c>
      <c r="U12" s="89">
        <v>1</v>
      </c>
      <c r="V12" s="89">
        <v>2</v>
      </c>
      <c r="W12" s="91"/>
      <c r="X12" s="91"/>
      <c r="Y12" s="91"/>
      <c r="Z12" s="91"/>
      <c r="AA12" s="91"/>
      <c r="AB12" s="91"/>
      <c r="AC12" s="91"/>
      <c r="AD12" s="91"/>
      <c r="AE12" s="91"/>
      <c r="AF12" s="91"/>
      <c r="AG12" s="91"/>
      <c r="AH12" s="91"/>
      <c r="AI12" s="91"/>
      <c r="AJ12" s="91"/>
      <c r="AK12" s="91"/>
      <c r="AL12" s="91"/>
      <c r="AM12" s="91"/>
      <c r="AN12" s="90" t="s">
        <v>48</v>
      </c>
      <c r="AO12" s="91"/>
      <c r="AP12" s="91"/>
      <c r="AQ12" s="91"/>
      <c r="AR12" s="91"/>
      <c r="AS12" s="91"/>
      <c r="AT12" s="91"/>
      <c r="AU12" s="91"/>
      <c r="AV12" s="91"/>
      <c r="AW12" s="91"/>
      <c r="AX12" s="91"/>
      <c r="AY12" s="91"/>
      <c r="AZ12" s="91"/>
      <c r="BA12" s="91"/>
      <c r="BB12" s="91"/>
      <c r="BC12" s="91"/>
      <c r="BD12" s="91"/>
      <c r="BE12" s="91"/>
      <c r="BF12" s="91"/>
      <c r="BG12" s="91"/>
      <c r="BH12" s="91"/>
      <c r="BI12" s="91"/>
      <c r="BJ12" s="91"/>
      <c r="BK12" s="91"/>
      <c r="BL12" s="91"/>
      <c r="BM12" s="91"/>
      <c r="BN12" s="91"/>
      <c r="BO12" s="91"/>
      <c r="BP12" s="91"/>
      <c r="BQ12" s="91"/>
      <c r="BR12" s="91"/>
      <c r="BS12" s="91"/>
      <c r="BT12" s="91"/>
      <c r="BU12" s="91"/>
      <c r="BV12" s="91"/>
      <c r="BW12" s="91"/>
      <c r="BX12" s="91"/>
      <c r="BY12" s="91"/>
      <c r="BZ12" s="91"/>
      <c r="CA12" s="91"/>
      <c r="CB12" s="90">
        <v>0</v>
      </c>
      <c r="CC12" s="91"/>
      <c r="CD12" s="90">
        <v>4200</v>
      </c>
      <c r="CE12" s="91"/>
      <c r="CF12" s="91"/>
      <c r="CG12" s="90">
        <v>5700</v>
      </c>
      <c r="CH12" s="91"/>
      <c r="CI12" s="91"/>
      <c r="CJ12" s="91"/>
      <c r="CK12" s="91"/>
      <c r="CL12" s="91"/>
      <c r="CM12" s="91"/>
      <c r="CN12" s="91"/>
      <c r="CO12" s="91"/>
      <c r="CP12" s="91"/>
      <c r="CQ12" s="91"/>
      <c r="CR12" s="91"/>
      <c r="CS12" s="91"/>
      <c r="CT12" s="91"/>
      <c r="CU12" s="91"/>
      <c r="CV12" s="91"/>
      <c r="CW12" s="91"/>
      <c r="CX12" s="91"/>
      <c r="CY12" s="91"/>
      <c r="CZ12" s="91"/>
      <c r="DA12" s="91"/>
      <c r="DB12" s="91"/>
      <c r="DC12" s="91"/>
      <c r="DD12" s="91"/>
      <c r="DE12" s="91"/>
      <c r="DF12" s="91"/>
      <c r="DG12" s="91"/>
      <c r="DH12" s="91"/>
      <c r="DI12" s="91"/>
      <c r="DJ12" s="91"/>
      <c r="DK12" s="91"/>
      <c r="DL12" s="91"/>
      <c r="DM12" s="91"/>
      <c r="DN12" s="91"/>
      <c r="DO12" s="91"/>
      <c r="DP12" s="2"/>
    </row>
    <row r="13" spans="1:120" ht="12.75" customHeight="1">
      <c r="A13" s="2"/>
      <c r="B13" s="2"/>
      <c r="C13" s="4"/>
      <c r="D13" s="2"/>
      <c r="E13" s="2"/>
      <c r="F13" s="2"/>
      <c r="G13" s="2"/>
      <c r="H13" s="2"/>
      <c r="I13" s="182" t="s">
        <v>537</v>
      </c>
      <c r="J13" s="182" t="s">
        <v>788</v>
      </c>
      <c r="K13" s="183">
        <f>K12</f>
        <v>10</v>
      </c>
      <c r="L13" s="183">
        <f>L12</f>
        <v>15</v>
      </c>
      <c r="M13" s="183">
        <f>M12</f>
        <v>10</v>
      </c>
      <c r="N13" s="91"/>
      <c r="O13" s="91"/>
      <c r="P13" s="91"/>
      <c r="Q13" s="91"/>
      <c r="R13" s="91"/>
      <c r="S13" s="91"/>
      <c r="T13" s="98" t="str">
        <f>P_SIGNAL_COMP_OUT</f>
        <v>Snr_P SIGNAL_COMP OUT(PSI)_IN</v>
      </c>
      <c r="U13" s="90">
        <v>213</v>
      </c>
      <c r="V13" s="89">
        <v>5</v>
      </c>
      <c r="W13" s="91"/>
      <c r="X13" s="91"/>
      <c r="Y13" s="91"/>
      <c r="Z13" s="91"/>
      <c r="AA13" s="91"/>
      <c r="AB13" s="91"/>
      <c r="AC13" s="91"/>
      <c r="AD13" s="91"/>
      <c r="AE13" s="91"/>
      <c r="AF13" s="91"/>
      <c r="AG13" s="91"/>
      <c r="AH13" s="91"/>
      <c r="AI13" s="91"/>
      <c r="AJ13" s="91"/>
      <c r="AK13" s="91"/>
      <c r="AL13" s="91"/>
      <c r="AM13" s="91"/>
      <c r="AN13" s="91"/>
      <c r="AO13" s="91"/>
      <c r="AP13" s="91"/>
      <c r="AQ13" s="91"/>
      <c r="AR13" s="91"/>
      <c r="AS13" s="91"/>
      <c r="AT13" s="91"/>
      <c r="AU13" s="91"/>
      <c r="AV13" s="91"/>
      <c r="AW13" s="91"/>
      <c r="AX13" s="91"/>
      <c r="AY13" s="91"/>
      <c r="AZ13" s="91"/>
      <c r="BA13" s="91"/>
      <c r="BB13" s="91"/>
      <c r="BC13" s="91"/>
      <c r="BD13" s="91"/>
      <c r="BE13" s="91"/>
      <c r="BF13" s="91"/>
      <c r="BG13" s="91"/>
      <c r="BH13" s="91"/>
      <c r="BI13" s="91"/>
      <c r="BJ13" s="91"/>
      <c r="BK13" s="91"/>
      <c r="BL13" s="91"/>
      <c r="BM13" s="91"/>
      <c r="BN13" s="91"/>
      <c r="BO13" s="91"/>
      <c r="BP13" s="91"/>
      <c r="BQ13" s="91"/>
      <c r="BR13" s="91"/>
      <c r="BS13" s="91"/>
      <c r="BT13" s="91"/>
      <c r="BU13" s="91"/>
      <c r="BV13" s="91"/>
      <c r="BW13" s="91"/>
      <c r="BX13" s="91"/>
      <c r="BY13" s="91"/>
      <c r="BZ13" s="91"/>
      <c r="CA13" s="91"/>
      <c r="CB13" s="90">
        <v>0</v>
      </c>
      <c r="CC13" s="91"/>
      <c r="CD13" s="90">
        <v>3200</v>
      </c>
      <c r="CE13" s="91"/>
      <c r="CF13" s="91"/>
      <c r="CG13" s="90">
        <v>4500</v>
      </c>
      <c r="CH13" s="91"/>
      <c r="CI13" s="91"/>
      <c r="CJ13" s="91"/>
      <c r="CK13" s="91"/>
      <c r="CL13" s="91"/>
      <c r="CM13" s="91"/>
      <c r="CN13" s="91"/>
      <c r="CO13" s="91"/>
      <c r="CP13" s="91"/>
      <c r="CQ13" s="91"/>
      <c r="CR13" s="91"/>
      <c r="CS13" s="91"/>
      <c r="CT13" s="91"/>
      <c r="CU13" s="91"/>
      <c r="CV13" s="91"/>
      <c r="CW13" s="91"/>
      <c r="CX13" s="91"/>
      <c r="CY13" s="91"/>
      <c r="CZ13" s="91"/>
      <c r="DA13" s="91"/>
      <c r="DB13" s="91"/>
      <c r="DC13" s="91"/>
      <c r="DD13" s="91"/>
      <c r="DE13" s="91"/>
      <c r="DF13" s="91"/>
      <c r="DG13" s="91"/>
      <c r="DH13" s="91"/>
      <c r="DI13" s="91"/>
      <c r="DJ13" s="91"/>
      <c r="DK13" s="91"/>
      <c r="DL13" s="91"/>
      <c r="DM13" s="91"/>
      <c r="DN13" s="91"/>
      <c r="DO13" s="91"/>
      <c r="DP13" s="2"/>
    </row>
    <row r="14" spans="1:120" ht="12.75" customHeight="1">
      <c r="A14" s="2"/>
      <c r="B14" s="2"/>
      <c r="C14" s="2"/>
      <c r="D14" s="2"/>
      <c r="E14" s="2"/>
      <c r="F14" s="2"/>
      <c r="G14" s="2"/>
      <c r="H14" s="2"/>
      <c r="I14" s="182" t="s">
        <v>537</v>
      </c>
      <c r="J14" s="182" t="s">
        <v>789</v>
      </c>
      <c r="K14" s="183">
        <f>K13</f>
        <v>10</v>
      </c>
      <c r="L14" s="183">
        <f>L13</f>
        <v>15</v>
      </c>
      <c r="M14" s="183">
        <f>M13</f>
        <v>10</v>
      </c>
      <c r="N14" s="91"/>
      <c r="O14" s="91"/>
      <c r="P14" s="91"/>
      <c r="Q14" s="91"/>
      <c r="R14" s="91"/>
      <c r="S14" s="91"/>
      <c r="T14" s="98" t="str">
        <f>P_SIGNAL_COMP_OUT</f>
        <v>Snr_P SIGNAL_COMP OUT(PSI)_IN</v>
      </c>
      <c r="U14" s="90">
        <v>155</v>
      </c>
      <c r="V14" s="89">
        <v>5</v>
      </c>
      <c r="W14" s="91"/>
      <c r="X14" s="91"/>
      <c r="Y14" s="91"/>
      <c r="Z14" s="91"/>
      <c r="AA14" s="91"/>
      <c r="AB14" s="91"/>
      <c r="AC14" s="91"/>
      <c r="AD14" s="91"/>
      <c r="AE14" s="91"/>
      <c r="AF14" s="91"/>
      <c r="AG14" s="91"/>
      <c r="AH14" s="91"/>
      <c r="AI14" s="91"/>
      <c r="AJ14" s="91"/>
      <c r="AK14" s="91"/>
      <c r="AL14" s="91"/>
      <c r="AM14" s="91"/>
      <c r="AN14" s="91"/>
      <c r="AO14" s="91"/>
      <c r="AP14" s="91"/>
      <c r="AQ14" s="91"/>
      <c r="AR14" s="91"/>
      <c r="AS14" s="91"/>
      <c r="AT14" s="91"/>
      <c r="AU14" s="91"/>
      <c r="AV14" s="91"/>
      <c r="AW14" s="91"/>
      <c r="AX14" s="91"/>
      <c r="AY14" s="91"/>
      <c r="AZ14" s="91"/>
      <c r="BA14" s="91"/>
      <c r="BB14" s="91"/>
      <c r="BC14" s="91"/>
      <c r="BD14" s="91"/>
      <c r="BE14" s="91"/>
      <c r="BF14" s="91"/>
      <c r="BG14" s="91"/>
      <c r="BH14" s="91"/>
      <c r="BI14" s="91"/>
      <c r="BJ14" s="91"/>
      <c r="BK14" s="91"/>
      <c r="BL14" s="91"/>
      <c r="BM14" s="91"/>
      <c r="BN14" s="91"/>
      <c r="BO14" s="91"/>
      <c r="BP14" s="91"/>
      <c r="BQ14" s="91"/>
      <c r="BR14" s="91"/>
      <c r="BS14" s="91"/>
      <c r="BT14" s="91"/>
      <c r="BU14" s="91"/>
      <c r="BV14" s="91"/>
      <c r="BW14" s="91"/>
      <c r="BX14" s="91"/>
      <c r="BY14" s="91"/>
      <c r="BZ14" s="91"/>
      <c r="CA14" s="91"/>
      <c r="CB14" s="90">
        <v>0</v>
      </c>
      <c r="CC14" s="91"/>
      <c r="CD14" s="90">
        <v>2700</v>
      </c>
      <c r="CE14" s="91"/>
      <c r="CF14" s="91"/>
      <c r="CG14" s="90">
        <v>3500</v>
      </c>
      <c r="CH14" s="91"/>
      <c r="CI14" s="91"/>
      <c r="CJ14" s="91"/>
      <c r="CK14" s="91"/>
      <c r="CL14" s="91"/>
      <c r="CM14" s="91"/>
      <c r="CN14" s="91"/>
      <c r="CO14" s="91"/>
      <c r="CP14" s="91"/>
      <c r="CQ14" s="91"/>
      <c r="CR14" s="91"/>
      <c r="CS14" s="91"/>
      <c r="CT14" s="91"/>
      <c r="CU14" s="91"/>
      <c r="CV14" s="91"/>
      <c r="CW14" s="91"/>
      <c r="CX14" s="91"/>
      <c r="CY14" s="91"/>
      <c r="CZ14" s="91"/>
      <c r="DA14" s="91"/>
      <c r="DB14" s="91"/>
      <c r="DC14" s="91"/>
      <c r="DD14" s="91"/>
      <c r="DE14" s="91"/>
      <c r="DF14" s="91"/>
      <c r="DG14" s="91"/>
      <c r="DH14" s="91"/>
      <c r="DI14" s="91"/>
      <c r="DJ14" s="91"/>
      <c r="DK14" s="91"/>
      <c r="DL14" s="91"/>
      <c r="DM14" s="91"/>
      <c r="DN14" s="91"/>
      <c r="DO14" s="91"/>
      <c r="DP14" s="2"/>
    </row>
    <row r="15" spans="1:120" ht="12.75" customHeight="1">
      <c r="A15" s="2"/>
      <c r="B15" s="2"/>
      <c r="C15" s="2"/>
      <c r="D15" s="2"/>
      <c r="E15" s="2"/>
      <c r="F15" s="2"/>
      <c r="G15" s="2"/>
      <c r="H15" s="2"/>
      <c r="I15" s="182" t="s">
        <v>537</v>
      </c>
      <c r="J15" s="182" t="s">
        <v>1165</v>
      </c>
      <c r="K15" s="183">
        <f>K14</f>
        <v>10</v>
      </c>
      <c r="L15" s="183">
        <f>L14</f>
        <v>15</v>
      </c>
      <c r="M15" s="183">
        <f>M14</f>
        <v>10</v>
      </c>
      <c r="N15" s="91"/>
      <c r="O15" s="91"/>
      <c r="P15" s="91"/>
      <c r="Q15" s="91"/>
      <c r="R15" s="91"/>
      <c r="S15" s="91"/>
      <c r="T15" s="98" t="str">
        <f>P_SIGNAL_COMP_OUT</f>
        <v>Snr_P SIGNAL_COMP OUT(PSI)_IN</v>
      </c>
      <c r="U15" s="90">
        <v>109</v>
      </c>
      <c r="V15" s="89">
        <v>5</v>
      </c>
      <c r="W15" s="91"/>
      <c r="X15" s="91"/>
      <c r="Y15" s="91"/>
      <c r="Z15" s="91"/>
      <c r="AA15" s="91"/>
      <c r="AB15" s="91"/>
      <c r="AC15" s="91"/>
      <c r="AD15" s="91"/>
      <c r="AE15" s="91"/>
      <c r="AF15" s="91"/>
      <c r="AG15" s="91"/>
      <c r="AH15" s="91"/>
      <c r="AI15" s="91"/>
      <c r="AJ15" s="91"/>
      <c r="AK15" s="91"/>
      <c r="AL15" s="91"/>
      <c r="AM15" s="91"/>
      <c r="AN15" s="91"/>
      <c r="AO15" s="91"/>
      <c r="AP15" s="91"/>
      <c r="AQ15" s="91"/>
      <c r="AR15" s="91"/>
      <c r="AS15" s="91"/>
      <c r="AT15" s="91"/>
      <c r="AU15" s="91"/>
      <c r="AV15" s="91"/>
      <c r="AW15" s="91"/>
      <c r="AX15" s="91"/>
      <c r="AY15" s="91"/>
      <c r="AZ15" s="91"/>
      <c r="BA15" s="91"/>
      <c r="BB15" s="91"/>
      <c r="BC15" s="91"/>
      <c r="BD15" s="91"/>
      <c r="BE15" s="91"/>
      <c r="BF15" s="91"/>
      <c r="BG15" s="91"/>
      <c r="BH15" s="91"/>
      <c r="BI15" s="91"/>
      <c r="BJ15" s="91"/>
      <c r="BK15" s="91"/>
      <c r="BL15" s="91"/>
      <c r="BM15" s="91"/>
      <c r="BN15" s="91"/>
      <c r="BO15" s="91"/>
      <c r="BP15" s="91"/>
      <c r="BQ15" s="91"/>
      <c r="BR15" s="91"/>
      <c r="BS15" s="91"/>
      <c r="BT15" s="91"/>
      <c r="BU15" s="91"/>
      <c r="BV15" s="91"/>
      <c r="BW15" s="91"/>
      <c r="BX15" s="91"/>
      <c r="BY15" s="91"/>
      <c r="BZ15" s="91"/>
      <c r="CA15" s="91"/>
      <c r="CB15" s="90">
        <v>0</v>
      </c>
      <c r="CC15" s="91"/>
      <c r="CD15" s="90">
        <v>1700</v>
      </c>
      <c r="CE15" s="91"/>
      <c r="CF15" s="91"/>
      <c r="CG15" s="90">
        <v>2000</v>
      </c>
      <c r="CH15" s="91"/>
      <c r="CI15" s="91"/>
      <c r="CJ15" s="91"/>
      <c r="CK15" s="91"/>
      <c r="CL15" s="91"/>
      <c r="CM15" s="91"/>
      <c r="CN15" s="91"/>
      <c r="CO15" s="91"/>
      <c r="CP15" s="91"/>
      <c r="CQ15" s="91"/>
      <c r="CR15" s="91"/>
      <c r="CS15" s="91"/>
      <c r="CT15" s="91"/>
      <c r="CU15" s="91"/>
      <c r="CV15" s="91"/>
      <c r="CW15" s="91"/>
      <c r="CX15" s="91"/>
      <c r="CY15" s="91"/>
      <c r="CZ15" s="91"/>
      <c r="DA15" s="91"/>
      <c r="DB15" s="91"/>
      <c r="DC15" s="91"/>
      <c r="DD15" s="91"/>
      <c r="DE15" s="91"/>
      <c r="DF15" s="91"/>
      <c r="DG15" s="91"/>
      <c r="DH15" s="91"/>
      <c r="DI15" s="91"/>
      <c r="DJ15" s="91"/>
      <c r="DK15" s="91"/>
      <c r="DL15" s="91"/>
      <c r="DM15" s="91"/>
      <c r="DN15" s="91"/>
      <c r="DO15" s="91"/>
      <c r="DP15" s="2"/>
    </row>
    <row r="16" spans="1:120" ht="12.75" customHeight="1">
      <c r="A16" s="2"/>
      <c r="B16" s="2"/>
      <c r="C16" s="2"/>
      <c r="D16" s="2"/>
      <c r="E16" s="2"/>
      <c r="F16" s="2"/>
      <c r="G16" s="2"/>
      <c r="H16" s="2"/>
      <c r="I16" s="182" t="s">
        <v>537</v>
      </c>
      <c r="J16" s="182" t="s">
        <v>1166</v>
      </c>
      <c r="K16" s="183">
        <f>K15</f>
        <v>10</v>
      </c>
      <c r="L16" s="183">
        <f>L15</f>
        <v>15</v>
      </c>
      <c r="M16" s="183">
        <f>M15</f>
        <v>10</v>
      </c>
      <c r="N16" s="91"/>
      <c r="O16" s="91"/>
      <c r="P16" s="91"/>
      <c r="Q16" s="91"/>
      <c r="R16" s="91"/>
      <c r="S16" s="91"/>
      <c r="T16" s="98" t="str">
        <f>P_SIGNAL_COMP_OUT</f>
        <v>Snr_P SIGNAL_COMP OUT(PSI)_IN</v>
      </c>
      <c r="U16" s="90">
        <v>56</v>
      </c>
      <c r="V16" s="89">
        <v>5</v>
      </c>
      <c r="W16" s="91"/>
      <c r="X16" s="91"/>
      <c r="Y16" s="91"/>
      <c r="Z16" s="91"/>
      <c r="AA16" s="91"/>
      <c r="AB16" s="91"/>
      <c r="AC16" s="91"/>
      <c r="AD16" s="91"/>
      <c r="AE16" s="91"/>
      <c r="AF16" s="91"/>
      <c r="AG16" s="91"/>
      <c r="AH16" s="91"/>
      <c r="AI16" s="91"/>
      <c r="AJ16" s="91"/>
      <c r="AK16" s="91"/>
      <c r="AL16" s="91"/>
      <c r="AM16" s="91"/>
      <c r="AN16" s="91"/>
      <c r="AO16" s="91"/>
      <c r="AP16" s="91"/>
      <c r="AQ16" s="91"/>
      <c r="AR16" s="91"/>
      <c r="AS16" s="91"/>
      <c r="AT16" s="91"/>
      <c r="AU16" s="91"/>
      <c r="AV16" s="91"/>
      <c r="AW16" s="91"/>
      <c r="AX16" s="91"/>
      <c r="AY16" s="91"/>
      <c r="AZ16" s="91"/>
      <c r="BA16" s="91"/>
      <c r="BB16" s="91"/>
      <c r="BC16" s="91"/>
      <c r="BD16" s="91"/>
      <c r="BE16" s="91"/>
      <c r="BF16" s="91"/>
      <c r="BG16" s="91"/>
      <c r="BH16" s="91"/>
      <c r="BI16" s="91"/>
      <c r="BJ16" s="91"/>
      <c r="BK16" s="91"/>
      <c r="BL16" s="91"/>
      <c r="BM16" s="91"/>
      <c r="BN16" s="91"/>
      <c r="BO16" s="91"/>
      <c r="BP16" s="91"/>
      <c r="BQ16" s="91"/>
      <c r="BR16" s="91"/>
      <c r="BS16" s="91"/>
      <c r="BT16" s="91"/>
      <c r="BU16" s="91"/>
      <c r="BV16" s="91"/>
      <c r="BW16" s="91"/>
      <c r="BX16" s="91"/>
      <c r="BY16" s="91"/>
      <c r="BZ16" s="91"/>
      <c r="CA16" s="91"/>
      <c r="CB16" s="90">
        <v>0</v>
      </c>
      <c r="CC16" s="91"/>
      <c r="CD16" s="90">
        <v>600</v>
      </c>
      <c r="CE16" s="91"/>
      <c r="CF16" s="91"/>
      <c r="CG16" s="90">
        <v>1100</v>
      </c>
      <c r="CH16" s="91"/>
      <c r="CI16" s="91"/>
      <c r="CJ16" s="91"/>
      <c r="CK16" s="91"/>
      <c r="CL16" s="91"/>
      <c r="CM16" s="91"/>
      <c r="CN16" s="91"/>
      <c r="CO16" s="91"/>
      <c r="CP16" s="91"/>
      <c r="CQ16" s="91"/>
      <c r="CR16" s="91"/>
      <c r="CS16" s="91"/>
      <c r="CT16" s="91"/>
      <c r="CU16" s="91"/>
      <c r="CV16" s="91"/>
      <c r="CW16" s="91"/>
      <c r="CX16" s="91"/>
      <c r="CY16" s="91"/>
      <c r="CZ16" s="91"/>
      <c r="DA16" s="91"/>
      <c r="DB16" s="91"/>
      <c r="DC16" s="91"/>
      <c r="DD16" s="91"/>
      <c r="DE16" s="91"/>
      <c r="DF16" s="91"/>
      <c r="DG16" s="91"/>
      <c r="DH16" s="91"/>
      <c r="DI16" s="91"/>
      <c r="DJ16" s="91"/>
      <c r="DK16" s="91"/>
      <c r="DL16" s="91"/>
      <c r="DM16" s="91"/>
      <c r="DN16" s="91"/>
      <c r="DO16" s="91"/>
      <c r="DP16" s="2"/>
    </row>
    <row r="17" spans="1:120" ht="12.75" customHeight="1">
      <c r="A17" s="2"/>
      <c r="B17" s="2"/>
      <c r="C17" s="2"/>
      <c r="D17" s="2"/>
      <c r="E17" s="2"/>
      <c r="F17" s="2"/>
      <c r="G17" s="2"/>
      <c r="H17" s="2"/>
      <c r="I17" s="182" t="s">
        <v>537</v>
      </c>
      <c r="J17" s="182" t="s">
        <v>1167</v>
      </c>
      <c r="K17" s="183">
        <f>K16</f>
        <v>10</v>
      </c>
      <c r="L17" s="183">
        <f>L16</f>
        <v>15</v>
      </c>
      <c r="M17" s="183">
        <f>M16</f>
        <v>10</v>
      </c>
      <c r="N17" s="91"/>
      <c r="O17" s="91"/>
      <c r="P17" s="91"/>
      <c r="Q17" s="91"/>
      <c r="R17" s="91"/>
      <c r="S17" s="91"/>
      <c r="T17" s="98" t="str">
        <f>P_SIGNAL_COMP_OUT</f>
        <v>Snr_P SIGNAL_COMP OUT(PSI)_IN</v>
      </c>
      <c r="U17" s="90">
        <v>71</v>
      </c>
      <c r="V17" s="89">
        <v>5</v>
      </c>
      <c r="W17" s="91"/>
      <c r="X17" s="91"/>
      <c r="Y17" s="91"/>
      <c r="Z17" s="91"/>
      <c r="AA17" s="91"/>
      <c r="AB17" s="91"/>
      <c r="AC17" s="91"/>
      <c r="AD17" s="91"/>
      <c r="AE17" s="91"/>
      <c r="AF17" s="91"/>
      <c r="AG17" s="91"/>
      <c r="AH17" s="91"/>
      <c r="AI17" s="91"/>
      <c r="AJ17" s="91"/>
      <c r="AK17" s="91"/>
      <c r="AL17" s="91"/>
      <c r="AM17" s="91"/>
      <c r="AN17" s="91"/>
      <c r="AO17" s="91"/>
      <c r="AP17" s="91"/>
      <c r="AQ17" s="91"/>
      <c r="AR17" s="91"/>
      <c r="AS17" s="91"/>
      <c r="AT17" s="91"/>
      <c r="AU17" s="91"/>
      <c r="AV17" s="91"/>
      <c r="AW17" s="91"/>
      <c r="AX17" s="91"/>
      <c r="AY17" s="91"/>
      <c r="AZ17" s="91"/>
      <c r="BA17" s="91"/>
      <c r="BB17" s="91"/>
      <c r="BC17" s="91"/>
      <c r="BD17" s="91"/>
      <c r="BE17" s="91"/>
      <c r="BF17" s="91"/>
      <c r="BG17" s="91"/>
      <c r="BH17" s="91"/>
      <c r="BI17" s="91"/>
      <c r="BJ17" s="91"/>
      <c r="BK17" s="91"/>
      <c r="BL17" s="91"/>
      <c r="BM17" s="91"/>
      <c r="BN17" s="91"/>
      <c r="BO17" s="91"/>
      <c r="BP17" s="91"/>
      <c r="BQ17" s="91"/>
      <c r="BR17" s="91"/>
      <c r="BS17" s="91"/>
      <c r="BT17" s="91"/>
      <c r="BU17" s="91"/>
      <c r="BV17" s="91"/>
      <c r="BW17" s="91"/>
      <c r="BX17" s="91"/>
      <c r="BY17" s="91"/>
      <c r="BZ17" s="91"/>
      <c r="CA17" s="91"/>
      <c r="CB17" s="90">
        <v>0</v>
      </c>
      <c r="CC17" s="91"/>
      <c r="CD17" s="183">
        <f>CD15</f>
        <v>1700</v>
      </c>
      <c r="CE17" s="91"/>
      <c r="CF17" s="91"/>
      <c r="CG17" s="183">
        <f>CG15</f>
        <v>2000</v>
      </c>
      <c r="CH17" s="91"/>
      <c r="CI17" s="91"/>
      <c r="CJ17" s="91"/>
      <c r="CK17" s="91"/>
      <c r="CL17" s="91"/>
      <c r="CM17" s="91"/>
      <c r="CN17" s="91"/>
      <c r="CO17" s="91"/>
      <c r="CP17" s="91"/>
      <c r="CQ17" s="91"/>
      <c r="CR17" s="91"/>
      <c r="CS17" s="91"/>
      <c r="CT17" s="91"/>
      <c r="CU17" s="91"/>
      <c r="CV17" s="91"/>
      <c r="CW17" s="91"/>
      <c r="CX17" s="91"/>
      <c r="CY17" s="91"/>
      <c r="CZ17" s="91"/>
      <c r="DA17" s="91"/>
      <c r="DB17" s="91"/>
      <c r="DC17" s="91"/>
      <c r="DD17" s="91"/>
      <c r="DE17" s="91"/>
      <c r="DF17" s="91"/>
      <c r="DG17" s="91"/>
      <c r="DH17" s="91"/>
      <c r="DI17" s="91"/>
      <c r="DJ17" s="91"/>
      <c r="DK17" s="91"/>
      <c r="DL17" s="91"/>
      <c r="DM17" s="91"/>
      <c r="DN17" s="91"/>
      <c r="DO17" s="91"/>
      <c r="DP17" s="2"/>
    </row>
    <row r="18" spans="1:120" ht="12.75" customHeight="1">
      <c r="A18" s="2"/>
      <c r="B18" s="2"/>
      <c r="C18" s="2"/>
      <c r="D18" s="2"/>
      <c r="E18" s="2"/>
      <c r="F18" s="2"/>
      <c r="G18" s="2"/>
      <c r="H18" s="2"/>
      <c r="I18" s="182" t="s">
        <v>537</v>
      </c>
      <c r="J18" s="182" t="s">
        <v>1168</v>
      </c>
      <c r="K18" s="183">
        <f>K17</f>
        <v>10</v>
      </c>
      <c r="L18" s="183">
        <f>L17</f>
        <v>15</v>
      </c>
      <c r="M18" s="183">
        <f>M17</f>
        <v>10</v>
      </c>
      <c r="N18" s="91"/>
      <c r="O18" s="91"/>
      <c r="P18" s="91"/>
      <c r="Q18" s="91"/>
      <c r="R18" s="91"/>
      <c r="S18" s="91"/>
      <c r="T18" s="98" t="str">
        <f>P_SIGNAL_COMP_OUT</f>
        <v>Snr_P SIGNAL_COMP OUT(PSI)_IN</v>
      </c>
      <c r="U18" s="90">
        <v>130</v>
      </c>
      <c r="V18" s="89">
        <v>5</v>
      </c>
      <c r="W18" s="91"/>
      <c r="X18" s="91"/>
      <c r="Y18" s="91"/>
      <c r="Z18" s="91"/>
      <c r="AA18" s="91"/>
      <c r="AB18" s="91"/>
      <c r="AC18" s="91"/>
      <c r="AD18" s="91"/>
      <c r="AE18" s="91"/>
      <c r="AF18" s="91"/>
      <c r="AG18" s="91"/>
      <c r="AH18" s="91"/>
      <c r="AI18" s="91"/>
      <c r="AJ18" s="91"/>
      <c r="AK18" s="91"/>
      <c r="AL18" s="91"/>
      <c r="AM18" s="91"/>
      <c r="AN18" s="91"/>
      <c r="AO18" s="91"/>
      <c r="AP18" s="91"/>
      <c r="AQ18" s="91"/>
      <c r="AR18" s="91"/>
      <c r="AS18" s="91"/>
      <c r="AT18" s="91"/>
      <c r="AU18" s="91"/>
      <c r="AV18" s="91"/>
      <c r="AW18" s="91"/>
      <c r="AX18" s="91"/>
      <c r="AY18" s="91"/>
      <c r="AZ18" s="91"/>
      <c r="BA18" s="91"/>
      <c r="BB18" s="91"/>
      <c r="BC18" s="91"/>
      <c r="BD18" s="91"/>
      <c r="BE18" s="91"/>
      <c r="BF18" s="91"/>
      <c r="BG18" s="91"/>
      <c r="BH18" s="91"/>
      <c r="BI18" s="91"/>
      <c r="BJ18" s="91"/>
      <c r="BK18" s="91"/>
      <c r="BL18" s="91"/>
      <c r="BM18" s="91"/>
      <c r="BN18" s="91"/>
      <c r="BO18" s="91"/>
      <c r="BP18" s="91"/>
      <c r="BQ18" s="91"/>
      <c r="BR18" s="91"/>
      <c r="BS18" s="91"/>
      <c r="BT18" s="91"/>
      <c r="BU18" s="91"/>
      <c r="BV18" s="91"/>
      <c r="BW18" s="91"/>
      <c r="BX18" s="91"/>
      <c r="BY18" s="91"/>
      <c r="BZ18" s="91"/>
      <c r="CA18" s="91"/>
      <c r="CB18" s="90">
        <v>0</v>
      </c>
      <c r="CC18" s="91"/>
      <c r="CD18" s="183">
        <f>CD14</f>
        <v>2700</v>
      </c>
      <c r="CE18" s="91"/>
      <c r="CF18" s="91"/>
      <c r="CG18" s="183">
        <f>CG14</f>
        <v>3500</v>
      </c>
      <c r="CH18" s="91"/>
      <c r="CI18" s="91"/>
      <c r="CJ18" s="91"/>
      <c r="CK18" s="91"/>
      <c r="CL18" s="91"/>
      <c r="CM18" s="91"/>
      <c r="CN18" s="91"/>
      <c r="CO18" s="91"/>
      <c r="CP18" s="91"/>
      <c r="CQ18" s="91"/>
      <c r="CR18" s="91"/>
      <c r="CS18" s="91"/>
      <c r="CT18" s="91"/>
      <c r="CU18" s="91"/>
      <c r="CV18" s="91"/>
      <c r="CW18" s="91"/>
      <c r="CX18" s="91"/>
      <c r="CY18" s="91"/>
      <c r="CZ18" s="91"/>
      <c r="DA18" s="91"/>
      <c r="DB18" s="91"/>
      <c r="DC18" s="91"/>
      <c r="DD18" s="91"/>
      <c r="DE18" s="91"/>
      <c r="DF18" s="91"/>
      <c r="DG18" s="91"/>
      <c r="DH18" s="91"/>
      <c r="DI18" s="91"/>
      <c r="DJ18" s="91"/>
      <c r="DK18" s="91"/>
      <c r="DL18" s="91"/>
      <c r="DM18" s="91"/>
      <c r="DN18" s="91"/>
      <c r="DO18" s="91"/>
      <c r="DP18" s="2"/>
    </row>
    <row r="19" spans="1:120" ht="12.75" customHeight="1">
      <c r="A19" s="2"/>
      <c r="B19" s="2"/>
      <c r="C19" s="2"/>
      <c r="D19" s="2"/>
      <c r="E19" s="2"/>
      <c r="F19" s="2"/>
      <c r="G19" s="2"/>
      <c r="H19" s="2"/>
      <c r="I19" s="182" t="s">
        <v>537</v>
      </c>
      <c r="J19" s="182" t="s">
        <v>1169</v>
      </c>
      <c r="K19" s="183">
        <f>K18</f>
        <v>10</v>
      </c>
      <c r="L19" s="183">
        <f>L18</f>
        <v>15</v>
      </c>
      <c r="M19" s="183">
        <f>M18</f>
        <v>10</v>
      </c>
      <c r="N19" s="91"/>
      <c r="O19" s="91"/>
      <c r="P19" s="91"/>
      <c r="Q19" s="91"/>
      <c r="R19" s="91"/>
      <c r="S19" s="91"/>
      <c r="T19" s="98" t="str">
        <f>P_SIGNAL_COMP_OUT</f>
        <v>Snr_P SIGNAL_COMP OUT(PSI)_IN</v>
      </c>
      <c r="U19" s="90">
        <v>174</v>
      </c>
      <c r="V19" s="89">
        <v>5</v>
      </c>
      <c r="W19" s="91"/>
      <c r="X19" s="91"/>
      <c r="Y19" s="91"/>
      <c r="Z19" s="91"/>
      <c r="AA19" s="91"/>
      <c r="AB19" s="91"/>
      <c r="AC19" s="91"/>
      <c r="AD19" s="91"/>
      <c r="AE19" s="91"/>
      <c r="AF19" s="91"/>
      <c r="AG19" s="91"/>
      <c r="AH19" s="91"/>
      <c r="AI19" s="91"/>
      <c r="AJ19" s="91"/>
      <c r="AK19" s="91"/>
      <c r="AL19" s="91"/>
      <c r="AM19" s="91"/>
      <c r="AN19" s="91"/>
      <c r="AO19" s="91"/>
      <c r="AP19" s="91"/>
      <c r="AQ19" s="91"/>
      <c r="AR19" s="91"/>
      <c r="AS19" s="91"/>
      <c r="AT19" s="91"/>
      <c r="AU19" s="91"/>
      <c r="AV19" s="91"/>
      <c r="AW19" s="91"/>
      <c r="AX19" s="91"/>
      <c r="AY19" s="91"/>
      <c r="AZ19" s="91"/>
      <c r="BA19" s="91"/>
      <c r="BB19" s="91"/>
      <c r="BC19" s="91"/>
      <c r="BD19" s="91"/>
      <c r="BE19" s="91"/>
      <c r="BF19" s="91"/>
      <c r="BG19" s="91"/>
      <c r="BH19" s="91"/>
      <c r="BI19" s="91"/>
      <c r="BJ19" s="91"/>
      <c r="BK19" s="91"/>
      <c r="BL19" s="91"/>
      <c r="BM19" s="91"/>
      <c r="BN19" s="91"/>
      <c r="BO19" s="91"/>
      <c r="BP19" s="91"/>
      <c r="BQ19" s="91"/>
      <c r="BR19" s="91"/>
      <c r="BS19" s="91"/>
      <c r="BT19" s="91"/>
      <c r="BU19" s="91"/>
      <c r="BV19" s="91"/>
      <c r="BW19" s="91"/>
      <c r="BX19" s="91"/>
      <c r="BY19" s="91"/>
      <c r="BZ19" s="91"/>
      <c r="CA19" s="91"/>
      <c r="CB19" s="90">
        <v>0</v>
      </c>
      <c r="CC19" s="91"/>
      <c r="CD19" s="183">
        <f>CD13</f>
        <v>3200</v>
      </c>
      <c r="CE19" s="91"/>
      <c r="CF19" s="91"/>
      <c r="CG19" s="183">
        <f>CG13</f>
        <v>4500</v>
      </c>
      <c r="CH19" s="91"/>
      <c r="CI19" s="91"/>
      <c r="CJ19" s="91"/>
      <c r="CK19" s="91"/>
      <c r="CL19" s="91"/>
      <c r="CM19" s="91"/>
      <c r="CN19" s="91"/>
      <c r="CO19" s="91"/>
      <c r="CP19" s="91"/>
      <c r="CQ19" s="91"/>
      <c r="CR19" s="91"/>
      <c r="CS19" s="91"/>
      <c r="CT19" s="91"/>
      <c r="CU19" s="91"/>
      <c r="CV19" s="91"/>
      <c r="CW19" s="91"/>
      <c r="CX19" s="91"/>
      <c r="CY19" s="91"/>
      <c r="CZ19" s="91"/>
      <c r="DA19" s="91"/>
      <c r="DB19" s="91"/>
      <c r="DC19" s="91"/>
      <c r="DD19" s="91"/>
      <c r="DE19" s="91"/>
      <c r="DF19" s="91"/>
      <c r="DG19" s="91"/>
      <c r="DH19" s="91"/>
      <c r="DI19" s="91"/>
      <c r="DJ19" s="91"/>
      <c r="DK19" s="91"/>
      <c r="DL19" s="91"/>
      <c r="DM19" s="91"/>
      <c r="DN19" s="91"/>
      <c r="DO19" s="91"/>
      <c r="DP19" s="2"/>
    </row>
    <row r="20" spans="1:120" ht="12.75" customHeight="1">
      <c r="A20" s="2"/>
      <c r="B20" s="2"/>
      <c r="C20" s="2"/>
      <c r="D20" s="2"/>
      <c r="E20" s="2"/>
      <c r="F20" s="2"/>
      <c r="G20" s="2"/>
      <c r="H20" s="2"/>
      <c r="I20" s="182" t="s">
        <v>537</v>
      </c>
      <c r="J20" s="182" t="s">
        <v>1170</v>
      </c>
      <c r="K20" s="183">
        <f>K19</f>
        <v>10</v>
      </c>
      <c r="L20" s="183">
        <f>L19</f>
        <v>15</v>
      </c>
      <c r="M20" s="183">
        <f>M19</f>
        <v>10</v>
      </c>
      <c r="N20" s="91"/>
      <c r="O20" s="91"/>
      <c r="P20" s="91"/>
      <c r="Q20" s="91"/>
      <c r="R20" s="91"/>
      <c r="S20" s="91"/>
      <c r="T20" s="98" t="str">
        <f>P_SIGNAL_COMP_OUT</f>
        <v>Snr_P SIGNAL_COMP OUT(PSI)_IN</v>
      </c>
      <c r="U20" s="90">
        <v>232</v>
      </c>
      <c r="V20" s="89">
        <v>5</v>
      </c>
      <c r="W20" s="91"/>
      <c r="X20" s="91"/>
      <c r="Y20" s="91"/>
      <c r="Z20" s="91"/>
      <c r="AA20" s="91"/>
      <c r="AB20" s="91"/>
      <c r="AC20" s="91"/>
      <c r="AD20" s="91"/>
      <c r="AE20" s="91"/>
      <c r="AF20" s="91"/>
      <c r="AG20" s="91"/>
      <c r="AH20" s="91"/>
      <c r="AI20" s="91"/>
      <c r="AJ20" s="91"/>
      <c r="AK20" s="91"/>
      <c r="AL20" s="91"/>
      <c r="AM20" s="91"/>
      <c r="AN20" s="91"/>
      <c r="AO20" s="91"/>
      <c r="AP20" s="91"/>
      <c r="AQ20" s="91"/>
      <c r="AR20" s="91"/>
      <c r="AS20" s="91"/>
      <c r="AT20" s="91"/>
      <c r="AU20" s="91"/>
      <c r="AV20" s="91"/>
      <c r="AW20" s="91"/>
      <c r="AX20" s="91"/>
      <c r="AY20" s="91"/>
      <c r="AZ20" s="91"/>
      <c r="BA20" s="91"/>
      <c r="BB20" s="91"/>
      <c r="BC20" s="91"/>
      <c r="BD20" s="91"/>
      <c r="BE20" s="91"/>
      <c r="BF20" s="91"/>
      <c r="BG20" s="91"/>
      <c r="BH20" s="91"/>
      <c r="BI20" s="91"/>
      <c r="BJ20" s="91"/>
      <c r="BK20" s="91"/>
      <c r="BL20" s="91"/>
      <c r="BM20" s="91"/>
      <c r="BN20" s="91"/>
      <c r="BO20" s="91"/>
      <c r="BP20" s="91"/>
      <c r="BQ20" s="91"/>
      <c r="BR20" s="91"/>
      <c r="BS20" s="91"/>
      <c r="BT20" s="91"/>
      <c r="BU20" s="91"/>
      <c r="BV20" s="91"/>
      <c r="BW20" s="91"/>
      <c r="BX20" s="91"/>
      <c r="BY20" s="91"/>
      <c r="BZ20" s="91"/>
      <c r="CA20" s="91"/>
      <c r="CB20" s="90">
        <v>0</v>
      </c>
      <c r="CC20" s="91"/>
      <c r="CD20" s="183">
        <f>CD12</f>
        <v>4200</v>
      </c>
      <c r="CE20" s="91"/>
      <c r="CF20" s="91"/>
      <c r="CG20" s="183">
        <f>CG12</f>
        <v>5700</v>
      </c>
      <c r="CH20" s="91"/>
      <c r="CI20" s="91"/>
      <c r="CJ20" s="91"/>
      <c r="CK20" s="91"/>
      <c r="CL20" s="91"/>
      <c r="CM20" s="91"/>
      <c r="CN20" s="91"/>
      <c r="CO20" s="91"/>
      <c r="CP20" s="91"/>
      <c r="CQ20" s="91"/>
      <c r="CR20" s="91"/>
      <c r="CS20" s="91"/>
      <c r="CT20" s="91"/>
      <c r="CU20" s="91"/>
      <c r="CV20" s="91"/>
      <c r="CW20" s="91"/>
      <c r="CX20" s="91"/>
      <c r="CY20" s="91"/>
      <c r="CZ20" s="91"/>
      <c r="DA20" s="91"/>
      <c r="DB20" s="91"/>
      <c r="DC20" s="91"/>
      <c r="DD20" s="91"/>
      <c r="DE20" s="91"/>
      <c r="DF20" s="91"/>
      <c r="DG20" s="91"/>
      <c r="DH20" s="91"/>
      <c r="DI20" s="91"/>
      <c r="DJ20" s="91"/>
      <c r="DK20" s="91"/>
      <c r="DL20" s="91"/>
      <c r="DM20" s="91"/>
      <c r="DN20" s="91"/>
      <c r="DO20" s="91"/>
      <c r="DP20" s="2"/>
    </row>
    <row r="21" spans="1:120" ht="12.75" customHeight="1">
      <c r="A21" s="2"/>
      <c r="B21" s="2"/>
      <c r="C21" s="2"/>
      <c r="D21" s="2"/>
      <c r="E21" s="2"/>
      <c r="F21" s="2"/>
      <c r="G21" s="2"/>
      <c r="H21" s="2"/>
      <c r="I21" s="182" t="s">
        <v>537</v>
      </c>
      <c r="J21" s="182" t="s">
        <v>1171</v>
      </c>
      <c r="K21" s="183">
        <f>K20</f>
        <v>10</v>
      </c>
      <c r="L21" s="183">
        <f>L20</f>
        <v>15</v>
      </c>
      <c r="M21" s="183">
        <f>M20</f>
        <v>10</v>
      </c>
      <c r="N21" s="91"/>
      <c r="O21" s="91"/>
      <c r="P21" s="91"/>
      <c r="Q21" s="91"/>
      <c r="R21" s="91"/>
      <c r="S21" s="91"/>
      <c r="T21" s="98" t="str">
        <f>P_SIGNAL_COMP_OUT</f>
        <v>Snr_P SIGNAL_COMP OUT(PSI)_IN</v>
      </c>
      <c r="U21" s="90">
        <v>220</v>
      </c>
      <c r="V21" s="89">
        <v>5</v>
      </c>
      <c r="W21" s="91"/>
      <c r="X21" s="91"/>
      <c r="Y21" s="91"/>
      <c r="Z21" s="91"/>
      <c r="AA21" s="91"/>
      <c r="AB21" s="91"/>
      <c r="AC21" s="91"/>
      <c r="AD21" s="91"/>
      <c r="AE21" s="91"/>
      <c r="AF21" s="91"/>
      <c r="AG21" s="91"/>
      <c r="AH21" s="91"/>
      <c r="AI21" s="91"/>
      <c r="AJ21" s="91"/>
      <c r="AK21" s="91"/>
      <c r="AL21" s="91"/>
      <c r="AM21" s="91"/>
      <c r="AN21" s="91"/>
      <c r="AO21" s="91"/>
      <c r="AP21" s="91"/>
      <c r="AQ21" s="91"/>
      <c r="AR21" s="91"/>
      <c r="AS21" s="91"/>
      <c r="AT21" s="91"/>
      <c r="AU21" s="91"/>
      <c r="AV21" s="91"/>
      <c r="AW21" s="91"/>
      <c r="AX21" s="91"/>
      <c r="AY21" s="91"/>
      <c r="AZ21" s="91"/>
      <c r="BA21" s="91"/>
      <c r="BB21" s="91"/>
      <c r="BC21" s="91"/>
      <c r="BD21" s="91"/>
      <c r="BE21" s="91"/>
      <c r="BF21" s="91"/>
      <c r="BG21" s="91"/>
      <c r="BH21" s="91"/>
      <c r="BI21" s="91"/>
      <c r="BJ21" s="91"/>
      <c r="BK21" s="91"/>
      <c r="BL21" s="91"/>
      <c r="BM21" s="91"/>
      <c r="BN21" s="91"/>
      <c r="BO21" s="91"/>
      <c r="BP21" s="91"/>
      <c r="BQ21" s="91"/>
      <c r="BR21" s="91"/>
      <c r="BS21" s="91"/>
      <c r="BT21" s="91"/>
      <c r="BU21" s="91"/>
      <c r="BV21" s="91"/>
      <c r="BW21" s="91"/>
      <c r="BX21" s="91"/>
      <c r="BY21" s="91"/>
      <c r="BZ21" s="91"/>
      <c r="CA21" s="91"/>
      <c r="CB21" s="90">
        <v>0</v>
      </c>
      <c r="CC21" s="91"/>
      <c r="CD21" s="183">
        <f>CD20</f>
        <v>4200</v>
      </c>
      <c r="CE21" s="91"/>
      <c r="CF21" s="91"/>
      <c r="CG21" s="183">
        <f>CG20</f>
        <v>5700</v>
      </c>
      <c r="CH21" s="91"/>
      <c r="CI21" s="91"/>
      <c r="CJ21" s="91"/>
      <c r="CK21" s="91"/>
      <c r="CL21" s="91"/>
      <c r="CM21" s="91"/>
      <c r="CN21" s="91"/>
      <c r="CO21" s="91"/>
      <c r="CP21" s="91"/>
      <c r="CQ21" s="91"/>
      <c r="CR21" s="91"/>
      <c r="CS21" s="91"/>
      <c r="CT21" s="91"/>
      <c r="CU21" s="91"/>
      <c r="CV21" s="91"/>
      <c r="CW21" s="91"/>
      <c r="CX21" s="91"/>
      <c r="CY21" s="91"/>
      <c r="CZ21" s="91"/>
      <c r="DA21" s="91"/>
      <c r="DB21" s="91"/>
      <c r="DC21" s="91"/>
      <c r="DD21" s="91"/>
      <c r="DE21" s="91"/>
      <c r="DF21" s="91"/>
      <c r="DG21" s="91"/>
      <c r="DH21" s="91"/>
      <c r="DI21" s="91"/>
      <c r="DJ21" s="91"/>
      <c r="DK21" s="91"/>
      <c r="DL21" s="91"/>
      <c r="DM21" s="91"/>
      <c r="DN21" s="91"/>
      <c r="DO21" s="91"/>
      <c r="DP21" s="2"/>
    </row>
    <row r="22" spans="1:120" ht="12.75" customHeight="1">
      <c r="A22" s="2"/>
      <c r="B22" s="2"/>
      <c r="C22" s="2"/>
      <c r="D22" s="2"/>
      <c r="E22" s="2"/>
      <c r="F22" s="2"/>
      <c r="G22" s="2"/>
      <c r="H22" s="2"/>
      <c r="I22" s="182" t="s">
        <v>537</v>
      </c>
      <c r="J22" s="182" t="s">
        <v>1172</v>
      </c>
      <c r="K22" s="183">
        <f>K21</f>
        <v>10</v>
      </c>
      <c r="L22" s="183">
        <f>L21</f>
        <v>15</v>
      </c>
      <c r="M22" s="183">
        <f>M21</f>
        <v>10</v>
      </c>
      <c r="N22" s="91"/>
      <c r="O22" s="91"/>
      <c r="P22" s="91"/>
      <c r="Q22" s="91"/>
      <c r="R22" s="91"/>
      <c r="S22" s="91"/>
      <c r="T22" s="98" t="s">
        <v>1306</v>
      </c>
      <c r="U22" s="87" t="s">
        <v>371</v>
      </c>
      <c r="V22" s="89">
        <v>5</v>
      </c>
      <c r="W22" s="91"/>
      <c r="X22" s="91"/>
      <c r="Y22" s="91"/>
      <c r="Z22" s="91"/>
      <c r="AA22" s="91"/>
      <c r="AB22" s="91"/>
      <c r="AC22" s="91"/>
      <c r="AD22" s="91"/>
      <c r="AE22" s="91"/>
      <c r="AF22" s="91"/>
      <c r="AG22" s="91"/>
      <c r="AH22" s="91"/>
      <c r="AI22" s="91"/>
      <c r="AJ22" s="91"/>
      <c r="AK22" s="91"/>
      <c r="AL22" s="91"/>
      <c r="AM22" s="91"/>
      <c r="AN22" s="91"/>
      <c r="AO22" s="91"/>
      <c r="AP22" s="91"/>
      <c r="AQ22" s="91"/>
      <c r="AR22" s="91"/>
      <c r="AS22" s="91"/>
      <c r="AT22" s="91"/>
      <c r="AU22" s="91"/>
      <c r="AV22" s="91"/>
      <c r="AW22" s="91"/>
      <c r="AX22" s="91"/>
      <c r="AY22" s="91"/>
      <c r="AZ22" s="91"/>
      <c r="BA22" s="91"/>
      <c r="BB22" s="91"/>
      <c r="BC22" s="91"/>
      <c r="BD22" s="91"/>
      <c r="BE22" s="91"/>
      <c r="BF22" s="91"/>
      <c r="BG22" s="91"/>
      <c r="BH22" s="91"/>
      <c r="BI22" s="91"/>
      <c r="BJ22" s="91"/>
      <c r="BK22" s="91"/>
      <c r="BL22" s="91"/>
      <c r="BM22" s="91"/>
      <c r="BN22" s="91"/>
      <c r="BO22" s="91"/>
      <c r="BP22" s="91"/>
      <c r="BQ22" s="91"/>
      <c r="BR22" s="91"/>
      <c r="BS22" s="91"/>
      <c r="BT22" s="91"/>
      <c r="BU22" s="91"/>
      <c r="BV22" s="91"/>
      <c r="BW22" s="91"/>
      <c r="BX22" s="91"/>
      <c r="BY22" s="91"/>
      <c r="BZ22" s="91"/>
      <c r="CA22" s="91"/>
      <c r="CB22" s="90">
        <v>0</v>
      </c>
      <c r="CC22" s="91"/>
      <c r="CD22" s="183">
        <f>CD21</f>
        <v>4200</v>
      </c>
      <c r="CE22" s="91"/>
      <c r="CF22" s="91"/>
      <c r="CG22" s="183">
        <f>CG21</f>
        <v>5700</v>
      </c>
      <c r="CH22" s="91"/>
      <c r="CI22" s="91"/>
      <c r="CJ22" s="91"/>
      <c r="CK22" s="91"/>
      <c r="CL22" s="91"/>
      <c r="CM22" s="91"/>
      <c r="CN22" s="91"/>
      <c r="CO22" s="91"/>
      <c r="CP22" s="91"/>
      <c r="CQ22" s="91"/>
      <c r="CR22" s="91"/>
      <c r="CS22" s="91"/>
      <c r="CT22" s="91"/>
      <c r="CU22" s="91"/>
      <c r="CV22" s="91"/>
      <c r="CW22" s="91"/>
      <c r="CX22" s="91"/>
      <c r="CY22" s="91"/>
      <c r="CZ22" s="91"/>
      <c r="DA22" s="91"/>
      <c r="DB22" s="91"/>
      <c r="DC22" s="91"/>
      <c r="DD22" s="91"/>
      <c r="DE22" s="91"/>
      <c r="DF22" s="91"/>
      <c r="DG22" s="91"/>
      <c r="DH22" s="91"/>
      <c r="DI22" s="91"/>
      <c r="DJ22" s="91"/>
      <c r="DK22" s="91"/>
      <c r="DL22" s="91"/>
      <c r="DM22" s="91"/>
      <c r="DN22" s="91"/>
      <c r="DO22" s="91"/>
      <c r="DP22" s="2"/>
    </row>
    <row r="23" spans="1:120" ht="12.75" customHeight="1">
      <c r="A23" s="2"/>
      <c r="B23" s="2"/>
      <c r="C23" s="2"/>
      <c r="D23" s="2"/>
      <c r="E23" s="2"/>
      <c r="F23" s="2"/>
      <c r="G23" s="2"/>
      <c r="H23" s="2"/>
      <c r="I23" s="182" t="s">
        <v>537</v>
      </c>
      <c r="J23" s="182" t="s">
        <v>1173</v>
      </c>
      <c r="K23" s="183">
        <f>K22</f>
        <v>10</v>
      </c>
      <c r="L23" s="183">
        <f>L22</f>
        <v>15</v>
      </c>
      <c r="M23" s="183">
        <f>M22</f>
        <v>10</v>
      </c>
      <c r="N23" s="91"/>
      <c r="O23" s="91"/>
      <c r="P23" s="91"/>
      <c r="Q23" s="91"/>
      <c r="R23" s="91"/>
      <c r="S23" s="91"/>
      <c r="T23" s="86" t="s">
        <v>1307</v>
      </c>
      <c r="U23" s="87" t="s">
        <v>371</v>
      </c>
      <c r="V23" s="89">
        <v>5</v>
      </c>
      <c r="W23" s="91"/>
      <c r="X23" s="91"/>
      <c r="Y23" s="91"/>
      <c r="Z23" s="91"/>
      <c r="AA23" s="91"/>
      <c r="AB23" s="91"/>
      <c r="AC23" s="91"/>
      <c r="AD23" s="91"/>
      <c r="AE23" s="91"/>
      <c r="AF23" s="91"/>
      <c r="AG23" s="91"/>
      <c r="AH23" s="91"/>
      <c r="AI23" s="91"/>
      <c r="AJ23" s="91"/>
      <c r="AK23" s="91"/>
      <c r="AL23" s="91"/>
      <c r="AM23" s="91"/>
      <c r="AN23" s="91"/>
      <c r="AO23" s="91"/>
      <c r="AP23" s="91"/>
      <c r="AQ23" s="91"/>
      <c r="AR23" s="91"/>
      <c r="AS23" s="91"/>
      <c r="AT23" s="91"/>
      <c r="AU23" s="91"/>
      <c r="AV23" s="91"/>
      <c r="AW23" s="91"/>
      <c r="AX23" s="91"/>
      <c r="AY23" s="91"/>
      <c r="AZ23" s="91"/>
      <c r="BA23" s="91"/>
      <c r="BB23" s="91"/>
      <c r="BC23" s="91"/>
      <c r="BD23" s="91"/>
      <c r="BE23" s="91"/>
      <c r="BF23" s="91"/>
      <c r="BG23" s="91"/>
      <c r="BH23" s="91"/>
      <c r="BI23" s="91"/>
      <c r="BJ23" s="91"/>
      <c r="BK23" s="91"/>
      <c r="BL23" s="91"/>
      <c r="BM23" s="91"/>
      <c r="BN23" s="91"/>
      <c r="BO23" s="91"/>
      <c r="BP23" s="91"/>
      <c r="BQ23" s="91"/>
      <c r="BR23" s="91"/>
      <c r="BS23" s="91"/>
      <c r="BT23" s="91"/>
      <c r="BU23" s="91"/>
      <c r="BV23" s="91"/>
      <c r="BW23" s="91"/>
      <c r="BX23" s="91"/>
      <c r="BY23" s="91"/>
      <c r="BZ23" s="91"/>
      <c r="CA23" s="91"/>
      <c r="CB23" s="90">
        <v>0</v>
      </c>
      <c r="CC23" s="91"/>
      <c r="CD23" s="183">
        <f>CD13</f>
        <v>3200</v>
      </c>
      <c r="CE23" s="91"/>
      <c r="CF23" s="91"/>
      <c r="CG23" s="183">
        <f>CG13</f>
        <v>4500</v>
      </c>
      <c r="CH23" s="91"/>
      <c r="CI23" s="91"/>
      <c r="CJ23" s="91"/>
      <c r="CK23" s="91"/>
      <c r="CL23" s="91"/>
      <c r="CM23" s="91"/>
      <c r="CN23" s="91"/>
      <c r="CO23" s="91"/>
      <c r="CP23" s="91"/>
      <c r="CQ23" s="91"/>
      <c r="CR23" s="91"/>
      <c r="CS23" s="91"/>
      <c r="CT23" s="91"/>
      <c r="CU23" s="91"/>
      <c r="CV23" s="91"/>
      <c r="CW23" s="91"/>
      <c r="CX23" s="91"/>
      <c r="CY23" s="91"/>
      <c r="CZ23" s="91"/>
      <c r="DA23" s="91"/>
      <c r="DB23" s="91"/>
      <c r="DC23" s="91"/>
      <c r="DD23" s="91"/>
      <c r="DE23" s="91"/>
      <c r="DF23" s="91"/>
      <c r="DG23" s="91"/>
      <c r="DH23" s="91"/>
      <c r="DI23" s="91"/>
      <c r="DJ23" s="91"/>
      <c r="DK23" s="91"/>
      <c r="DL23" s="91"/>
      <c r="DM23" s="91"/>
      <c r="DN23" s="91"/>
      <c r="DO23" s="91"/>
      <c r="DP23" s="2"/>
    </row>
    <row r="24" spans="1:120" ht="12.75" customHeight="1">
      <c r="A24" s="2"/>
      <c r="B24" s="2"/>
      <c r="C24" s="2"/>
      <c r="D24" s="2"/>
      <c r="E24" s="2"/>
      <c r="F24" s="2"/>
      <c r="G24" s="2"/>
      <c r="H24" s="2"/>
      <c r="I24" s="182" t="s">
        <v>537</v>
      </c>
      <c r="J24" s="182" t="s">
        <v>1174</v>
      </c>
      <c r="K24" s="183">
        <f>K23</f>
        <v>10</v>
      </c>
      <c r="L24" s="183">
        <f>L23</f>
        <v>15</v>
      </c>
      <c r="M24" s="183">
        <f>M23</f>
        <v>10</v>
      </c>
      <c r="N24" s="91"/>
      <c r="O24" s="91"/>
      <c r="P24" s="91"/>
      <c r="Q24" s="91"/>
      <c r="R24" s="91"/>
      <c r="S24" s="91"/>
      <c r="T24" s="98" t="str">
        <f>P_SIGNAL_COMP_OUT</f>
        <v>Snr_P SIGNAL_COMP OUT(PSI)_IN</v>
      </c>
      <c r="U24" s="90">
        <v>165</v>
      </c>
      <c r="V24" s="89">
        <v>5</v>
      </c>
      <c r="W24" s="91"/>
      <c r="X24" s="91"/>
      <c r="Y24" s="91"/>
      <c r="Z24" s="91"/>
      <c r="AA24" s="91"/>
      <c r="AB24" s="91"/>
      <c r="AC24" s="91"/>
      <c r="AD24" s="91"/>
      <c r="AE24" s="91"/>
      <c r="AF24" s="91"/>
      <c r="AG24" s="91"/>
      <c r="AH24" s="91"/>
      <c r="AI24" s="91"/>
      <c r="AJ24" s="91"/>
      <c r="AK24" s="91"/>
      <c r="AL24" s="91"/>
      <c r="AM24" s="91"/>
      <c r="AN24" s="91"/>
      <c r="AO24" s="91"/>
      <c r="AP24" s="91"/>
      <c r="AQ24" s="91"/>
      <c r="AR24" s="91"/>
      <c r="AS24" s="91"/>
      <c r="AT24" s="91"/>
      <c r="AU24" s="91"/>
      <c r="AV24" s="91"/>
      <c r="AW24" s="91"/>
      <c r="AX24" s="91"/>
      <c r="AY24" s="91"/>
      <c r="AZ24" s="91"/>
      <c r="BA24" s="91"/>
      <c r="BB24" s="91"/>
      <c r="BC24" s="91"/>
      <c r="BD24" s="91"/>
      <c r="BE24" s="91"/>
      <c r="BF24" s="91"/>
      <c r="BG24" s="91"/>
      <c r="BH24" s="91"/>
      <c r="BI24" s="91"/>
      <c r="BJ24" s="91"/>
      <c r="BK24" s="91"/>
      <c r="BL24" s="91"/>
      <c r="BM24" s="91"/>
      <c r="BN24" s="91"/>
      <c r="BO24" s="91"/>
      <c r="BP24" s="91"/>
      <c r="BQ24" s="91"/>
      <c r="BR24" s="91"/>
      <c r="BS24" s="91"/>
      <c r="BT24" s="91"/>
      <c r="BU24" s="91"/>
      <c r="BV24" s="91"/>
      <c r="BW24" s="91"/>
      <c r="BX24" s="91"/>
      <c r="BY24" s="91"/>
      <c r="BZ24" s="91"/>
      <c r="CA24" s="91"/>
      <c r="CB24" s="90">
        <v>0</v>
      </c>
      <c r="CC24" s="91"/>
      <c r="CD24" s="183">
        <f>CD23</f>
        <v>3200</v>
      </c>
      <c r="CE24" s="91"/>
      <c r="CF24" s="91"/>
      <c r="CG24" s="183">
        <f>CG23</f>
        <v>4500</v>
      </c>
      <c r="CH24" s="91"/>
      <c r="CI24" s="91"/>
      <c r="CJ24" s="91"/>
      <c r="CK24" s="91"/>
      <c r="CL24" s="91"/>
      <c r="CM24" s="91"/>
      <c r="CN24" s="91"/>
      <c r="CO24" s="91"/>
      <c r="CP24" s="91"/>
      <c r="CQ24" s="91"/>
      <c r="CR24" s="91"/>
      <c r="CS24" s="91"/>
      <c r="CT24" s="91"/>
      <c r="CU24" s="91"/>
      <c r="CV24" s="91"/>
      <c r="CW24" s="91"/>
      <c r="CX24" s="91"/>
      <c r="CY24" s="91"/>
      <c r="CZ24" s="91"/>
      <c r="DA24" s="91"/>
      <c r="DB24" s="91"/>
      <c r="DC24" s="91"/>
      <c r="DD24" s="91"/>
      <c r="DE24" s="91"/>
      <c r="DF24" s="91"/>
      <c r="DG24" s="91"/>
      <c r="DH24" s="91"/>
      <c r="DI24" s="91"/>
      <c r="DJ24" s="91"/>
      <c r="DK24" s="91"/>
      <c r="DL24" s="91"/>
      <c r="DM24" s="91"/>
      <c r="DN24" s="91"/>
      <c r="DO24" s="91"/>
      <c r="DP24" s="2"/>
    </row>
    <row r="25" spans="1:120" ht="12.75" customHeight="1">
      <c r="A25" s="2"/>
      <c r="B25" s="2"/>
      <c r="C25" s="2"/>
      <c r="D25" s="2"/>
      <c r="E25" s="2"/>
      <c r="F25" s="2"/>
      <c r="G25" s="2"/>
      <c r="H25" s="2"/>
      <c r="I25" s="182" t="s">
        <v>537</v>
      </c>
      <c r="J25" s="182" t="s">
        <v>1175</v>
      </c>
      <c r="K25" s="183">
        <f>K24</f>
        <v>10</v>
      </c>
      <c r="L25" s="183">
        <f>L24</f>
        <v>15</v>
      </c>
      <c r="M25" s="183">
        <f>M24</f>
        <v>10</v>
      </c>
      <c r="N25" s="91"/>
      <c r="O25" s="91"/>
      <c r="P25" s="91"/>
      <c r="Q25" s="91"/>
      <c r="R25" s="91"/>
      <c r="S25" s="91"/>
      <c r="T25" s="98" t="s">
        <v>1306</v>
      </c>
      <c r="U25" s="87" t="s">
        <v>371</v>
      </c>
      <c r="V25" s="89">
        <v>5</v>
      </c>
      <c r="W25" s="91"/>
      <c r="X25" s="91"/>
      <c r="Y25" s="91"/>
      <c r="Z25" s="91"/>
      <c r="AA25" s="91"/>
      <c r="AB25" s="91"/>
      <c r="AC25" s="91"/>
      <c r="AD25" s="91"/>
      <c r="AE25" s="91"/>
      <c r="AF25" s="91"/>
      <c r="AG25" s="91"/>
      <c r="AH25" s="91"/>
      <c r="AI25" s="91"/>
      <c r="AJ25" s="91"/>
      <c r="AK25" s="91"/>
      <c r="AL25" s="91"/>
      <c r="AM25" s="91"/>
      <c r="AN25" s="91"/>
      <c r="AO25" s="91"/>
      <c r="AP25" s="91"/>
      <c r="AQ25" s="91"/>
      <c r="AR25" s="91"/>
      <c r="AS25" s="91"/>
      <c r="AT25" s="91"/>
      <c r="AU25" s="91"/>
      <c r="AV25" s="91"/>
      <c r="AW25" s="91"/>
      <c r="AX25" s="91"/>
      <c r="AY25" s="91"/>
      <c r="AZ25" s="91"/>
      <c r="BA25" s="91"/>
      <c r="BB25" s="91"/>
      <c r="BC25" s="91"/>
      <c r="BD25" s="91"/>
      <c r="BE25" s="91"/>
      <c r="BF25" s="91"/>
      <c r="BG25" s="91"/>
      <c r="BH25" s="91"/>
      <c r="BI25" s="91"/>
      <c r="BJ25" s="91"/>
      <c r="BK25" s="91"/>
      <c r="BL25" s="91"/>
      <c r="BM25" s="91"/>
      <c r="BN25" s="91"/>
      <c r="BO25" s="91"/>
      <c r="BP25" s="91"/>
      <c r="BQ25" s="91"/>
      <c r="BR25" s="91"/>
      <c r="BS25" s="91"/>
      <c r="BT25" s="91"/>
      <c r="BU25" s="91"/>
      <c r="BV25" s="91"/>
      <c r="BW25" s="91"/>
      <c r="BX25" s="91"/>
      <c r="BY25" s="91"/>
      <c r="BZ25" s="91"/>
      <c r="CA25" s="91"/>
      <c r="CB25" s="90">
        <v>0</v>
      </c>
      <c r="CC25" s="91"/>
      <c r="CD25" s="183">
        <f>CD24</f>
        <v>3200</v>
      </c>
      <c r="CE25" s="91"/>
      <c r="CF25" s="91"/>
      <c r="CG25" s="183">
        <f>CG24</f>
        <v>4500</v>
      </c>
      <c r="CH25" s="91"/>
      <c r="CI25" s="91"/>
      <c r="CJ25" s="91"/>
      <c r="CK25" s="91"/>
      <c r="CL25" s="91"/>
      <c r="CM25" s="91"/>
      <c r="CN25" s="91"/>
      <c r="CO25" s="91"/>
      <c r="CP25" s="91"/>
      <c r="CQ25" s="91"/>
      <c r="CR25" s="91"/>
      <c r="CS25" s="91"/>
      <c r="CT25" s="91"/>
      <c r="CU25" s="91"/>
      <c r="CV25" s="91"/>
      <c r="CW25" s="91"/>
      <c r="CX25" s="91"/>
      <c r="CY25" s="91"/>
      <c r="CZ25" s="91"/>
      <c r="DA25" s="91"/>
      <c r="DB25" s="91"/>
      <c r="DC25" s="91"/>
      <c r="DD25" s="91"/>
      <c r="DE25" s="91"/>
      <c r="DF25" s="91"/>
      <c r="DG25" s="91"/>
      <c r="DH25" s="91"/>
      <c r="DI25" s="91"/>
      <c r="DJ25" s="91"/>
      <c r="DK25" s="91"/>
      <c r="DL25" s="91"/>
      <c r="DM25" s="91"/>
      <c r="DN25" s="91"/>
      <c r="DO25" s="91"/>
      <c r="DP25" s="2"/>
    </row>
    <row r="26" spans="1:120" ht="12.75" customHeight="1">
      <c r="A26" s="2"/>
      <c r="B26" s="2"/>
      <c r="C26" s="2"/>
      <c r="D26" s="2"/>
      <c r="E26" s="2"/>
      <c r="F26" s="2"/>
      <c r="G26" s="2"/>
      <c r="H26" s="2"/>
      <c r="I26" s="182" t="s">
        <v>537</v>
      </c>
      <c r="J26" s="182" t="s">
        <v>1176</v>
      </c>
      <c r="K26" s="183">
        <f>K25</f>
        <v>10</v>
      </c>
      <c r="L26" s="183">
        <f>L25</f>
        <v>15</v>
      </c>
      <c r="M26" s="183">
        <f>M25</f>
        <v>10</v>
      </c>
      <c r="N26" s="91"/>
      <c r="O26" s="91"/>
      <c r="P26" s="91"/>
      <c r="Q26" s="91"/>
      <c r="R26" s="91"/>
      <c r="S26" s="91"/>
      <c r="T26" s="86" t="s">
        <v>1307</v>
      </c>
      <c r="U26" s="87" t="s">
        <v>371</v>
      </c>
      <c r="V26" s="89">
        <v>5</v>
      </c>
      <c r="W26" s="91"/>
      <c r="X26" s="91"/>
      <c r="Y26" s="91"/>
      <c r="Z26" s="91"/>
      <c r="AA26" s="91"/>
      <c r="AB26" s="91"/>
      <c r="AC26" s="91"/>
      <c r="AD26" s="91"/>
      <c r="AE26" s="91"/>
      <c r="AF26" s="91"/>
      <c r="AG26" s="91"/>
      <c r="AH26" s="91"/>
      <c r="AI26" s="91"/>
      <c r="AJ26" s="91"/>
      <c r="AK26" s="91"/>
      <c r="AL26" s="91"/>
      <c r="AM26" s="91"/>
      <c r="AN26" s="91"/>
      <c r="AO26" s="91"/>
      <c r="AP26" s="91"/>
      <c r="AQ26" s="91"/>
      <c r="AR26" s="91"/>
      <c r="AS26" s="91"/>
      <c r="AT26" s="91"/>
      <c r="AU26" s="91"/>
      <c r="AV26" s="91"/>
      <c r="AW26" s="91"/>
      <c r="AX26" s="91"/>
      <c r="AY26" s="91"/>
      <c r="AZ26" s="91"/>
      <c r="BA26" s="91"/>
      <c r="BB26" s="91"/>
      <c r="BC26" s="91"/>
      <c r="BD26" s="91"/>
      <c r="BE26" s="91"/>
      <c r="BF26" s="91"/>
      <c r="BG26" s="91"/>
      <c r="BH26" s="91"/>
      <c r="BI26" s="91"/>
      <c r="BJ26" s="91"/>
      <c r="BK26" s="91"/>
      <c r="BL26" s="91"/>
      <c r="BM26" s="91"/>
      <c r="BN26" s="91"/>
      <c r="BO26" s="91"/>
      <c r="BP26" s="91"/>
      <c r="BQ26" s="91"/>
      <c r="BR26" s="91"/>
      <c r="BS26" s="91"/>
      <c r="BT26" s="91"/>
      <c r="BU26" s="91"/>
      <c r="BV26" s="91"/>
      <c r="BW26" s="91"/>
      <c r="BX26" s="91"/>
      <c r="BY26" s="91"/>
      <c r="BZ26" s="91"/>
      <c r="CA26" s="91"/>
      <c r="CB26" s="90">
        <v>0</v>
      </c>
      <c r="CC26" s="91"/>
      <c r="CD26" s="183">
        <f>CD14</f>
        <v>2700</v>
      </c>
      <c r="CE26" s="91"/>
      <c r="CF26" s="91"/>
      <c r="CG26" s="183">
        <f>CG14</f>
        <v>3500</v>
      </c>
      <c r="CH26" s="91"/>
      <c r="CI26" s="91"/>
      <c r="CJ26" s="91"/>
      <c r="CK26" s="91"/>
      <c r="CL26" s="91"/>
      <c r="CM26" s="91"/>
      <c r="CN26" s="91"/>
      <c r="CO26" s="91"/>
      <c r="CP26" s="91"/>
      <c r="CQ26" s="91"/>
      <c r="CR26" s="91"/>
      <c r="CS26" s="91"/>
      <c r="CT26" s="91"/>
      <c r="CU26" s="91"/>
      <c r="CV26" s="91"/>
      <c r="CW26" s="91"/>
      <c r="CX26" s="91"/>
      <c r="CY26" s="91"/>
      <c r="CZ26" s="91"/>
      <c r="DA26" s="91"/>
      <c r="DB26" s="91"/>
      <c r="DC26" s="91"/>
      <c r="DD26" s="91"/>
      <c r="DE26" s="91"/>
      <c r="DF26" s="91"/>
      <c r="DG26" s="91"/>
      <c r="DH26" s="91"/>
      <c r="DI26" s="91"/>
      <c r="DJ26" s="91"/>
      <c r="DK26" s="91"/>
      <c r="DL26" s="91"/>
      <c r="DM26" s="91"/>
      <c r="DN26" s="91"/>
      <c r="DO26" s="91"/>
      <c r="DP26" s="2"/>
    </row>
    <row r="27" spans="1:120" ht="12.75" customHeight="1">
      <c r="A27" s="2"/>
      <c r="B27" s="2"/>
      <c r="C27" s="2"/>
      <c r="D27" s="2"/>
      <c r="E27" s="2"/>
      <c r="F27" s="2"/>
      <c r="G27" s="2"/>
      <c r="H27" s="2"/>
      <c r="I27" s="182" t="s">
        <v>537</v>
      </c>
      <c r="J27" s="182" t="s">
        <v>1177</v>
      </c>
      <c r="K27" s="183">
        <f>K26</f>
        <v>10</v>
      </c>
      <c r="L27" s="183">
        <f>L26</f>
        <v>15</v>
      </c>
      <c r="M27" s="183">
        <f>M26</f>
        <v>10</v>
      </c>
      <c r="N27" s="91"/>
      <c r="O27" s="91"/>
      <c r="P27" s="91"/>
      <c r="Q27" s="91"/>
      <c r="R27" s="91"/>
      <c r="S27" s="91"/>
      <c r="T27" s="98" t="str">
        <f>P_SIGNAL_COMP_OUT</f>
        <v>Snr_P SIGNAL_COMP OUT(PSI)_IN</v>
      </c>
      <c r="U27" s="90">
        <v>120</v>
      </c>
      <c r="V27" s="89">
        <v>5</v>
      </c>
      <c r="W27" s="91"/>
      <c r="X27" s="91"/>
      <c r="Y27" s="91"/>
      <c r="Z27" s="91"/>
      <c r="AA27" s="91"/>
      <c r="AB27" s="91"/>
      <c r="AC27" s="91"/>
      <c r="AD27" s="91"/>
      <c r="AE27" s="91"/>
      <c r="AF27" s="91"/>
      <c r="AG27" s="91"/>
      <c r="AH27" s="91"/>
      <c r="AI27" s="91"/>
      <c r="AJ27" s="91"/>
      <c r="AK27" s="91"/>
      <c r="AL27" s="91"/>
      <c r="AM27" s="91"/>
      <c r="AN27" s="91"/>
      <c r="AO27" s="91"/>
      <c r="AP27" s="91"/>
      <c r="AQ27" s="91"/>
      <c r="AR27" s="91"/>
      <c r="AS27" s="91"/>
      <c r="AT27" s="91"/>
      <c r="AU27" s="91"/>
      <c r="AV27" s="91"/>
      <c r="AW27" s="91"/>
      <c r="AX27" s="91"/>
      <c r="AY27" s="91"/>
      <c r="AZ27" s="91"/>
      <c r="BA27" s="91"/>
      <c r="BB27" s="91"/>
      <c r="BC27" s="91"/>
      <c r="BD27" s="91"/>
      <c r="BE27" s="91"/>
      <c r="BF27" s="91"/>
      <c r="BG27" s="91"/>
      <c r="BH27" s="91"/>
      <c r="BI27" s="91"/>
      <c r="BJ27" s="91"/>
      <c r="BK27" s="91"/>
      <c r="BL27" s="91"/>
      <c r="BM27" s="91"/>
      <c r="BN27" s="91"/>
      <c r="BO27" s="91"/>
      <c r="BP27" s="91"/>
      <c r="BQ27" s="91"/>
      <c r="BR27" s="91"/>
      <c r="BS27" s="91"/>
      <c r="BT27" s="91"/>
      <c r="BU27" s="91"/>
      <c r="BV27" s="91"/>
      <c r="BW27" s="91"/>
      <c r="BX27" s="91"/>
      <c r="BY27" s="91"/>
      <c r="BZ27" s="91"/>
      <c r="CA27" s="91"/>
      <c r="CB27" s="90">
        <v>0</v>
      </c>
      <c r="CC27" s="91"/>
      <c r="CD27" s="183">
        <f>CD26</f>
        <v>2700</v>
      </c>
      <c r="CE27" s="91"/>
      <c r="CF27" s="91"/>
      <c r="CG27" s="183">
        <f>CG26</f>
        <v>3500</v>
      </c>
      <c r="CH27" s="91"/>
      <c r="CI27" s="91"/>
      <c r="CJ27" s="91"/>
      <c r="CK27" s="91"/>
      <c r="CL27" s="91"/>
      <c r="CM27" s="91"/>
      <c r="CN27" s="91"/>
      <c r="CO27" s="91"/>
      <c r="CP27" s="91"/>
      <c r="CQ27" s="91"/>
      <c r="CR27" s="91"/>
      <c r="CS27" s="91"/>
      <c r="CT27" s="91"/>
      <c r="CU27" s="91"/>
      <c r="CV27" s="91"/>
      <c r="CW27" s="91"/>
      <c r="CX27" s="91"/>
      <c r="CY27" s="91"/>
      <c r="CZ27" s="91"/>
      <c r="DA27" s="91"/>
      <c r="DB27" s="91"/>
      <c r="DC27" s="91"/>
      <c r="DD27" s="91"/>
      <c r="DE27" s="91"/>
      <c r="DF27" s="91"/>
      <c r="DG27" s="91"/>
      <c r="DH27" s="91"/>
      <c r="DI27" s="91"/>
      <c r="DJ27" s="91"/>
      <c r="DK27" s="91"/>
      <c r="DL27" s="91"/>
      <c r="DM27" s="91"/>
      <c r="DN27" s="91"/>
      <c r="DO27" s="91"/>
      <c r="DP27" s="2"/>
    </row>
    <row r="28" spans="1:120" ht="12.75" customHeight="1">
      <c r="A28" s="2"/>
      <c r="B28" s="2"/>
      <c r="C28" s="2"/>
      <c r="D28" s="2"/>
      <c r="E28" s="2"/>
      <c r="F28" s="2"/>
      <c r="G28" s="2"/>
      <c r="H28" s="2"/>
      <c r="I28" s="182" t="s">
        <v>537</v>
      </c>
      <c r="J28" s="182" t="s">
        <v>1178</v>
      </c>
      <c r="K28" s="183">
        <f>K27</f>
        <v>10</v>
      </c>
      <c r="L28" s="183">
        <f>L27</f>
        <v>15</v>
      </c>
      <c r="M28" s="183">
        <f>M27</f>
        <v>10</v>
      </c>
      <c r="N28" s="91"/>
      <c r="O28" s="91"/>
      <c r="P28" s="91"/>
      <c r="Q28" s="91"/>
      <c r="R28" s="91"/>
      <c r="S28" s="91"/>
      <c r="T28" s="98" t="s">
        <v>1306</v>
      </c>
      <c r="U28" s="87" t="s">
        <v>371</v>
      </c>
      <c r="V28" s="89">
        <v>5</v>
      </c>
      <c r="W28" s="91"/>
      <c r="X28" s="91"/>
      <c r="Y28" s="91"/>
      <c r="Z28" s="91"/>
      <c r="AA28" s="91"/>
      <c r="AB28" s="91"/>
      <c r="AC28" s="91"/>
      <c r="AD28" s="91"/>
      <c r="AE28" s="91"/>
      <c r="AF28" s="91"/>
      <c r="AG28" s="91"/>
      <c r="AH28" s="91"/>
      <c r="AI28" s="91"/>
      <c r="AJ28" s="91"/>
      <c r="AK28" s="91"/>
      <c r="AL28" s="91"/>
      <c r="AM28" s="91"/>
      <c r="AN28" s="91"/>
      <c r="AO28" s="91"/>
      <c r="AP28" s="91"/>
      <c r="AQ28" s="91"/>
      <c r="AR28" s="91"/>
      <c r="AS28" s="91"/>
      <c r="AT28" s="91"/>
      <c r="AU28" s="91"/>
      <c r="AV28" s="91"/>
      <c r="AW28" s="91"/>
      <c r="AX28" s="91"/>
      <c r="AY28" s="91"/>
      <c r="AZ28" s="91"/>
      <c r="BA28" s="91"/>
      <c r="BB28" s="91"/>
      <c r="BC28" s="91"/>
      <c r="BD28" s="91"/>
      <c r="BE28" s="91"/>
      <c r="BF28" s="91"/>
      <c r="BG28" s="91"/>
      <c r="BH28" s="91"/>
      <c r="BI28" s="91"/>
      <c r="BJ28" s="91"/>
      <c r="BK28" s="91"/>
      <c r="BL28" s="91"/>
      <c r="BM28" s="91"/>
      <c r="BN28" s="91"/>
      <c r="BO28" s="91"/>
      <c r="BP28" s="91"/>
      <c r="BQ28" s="91"/>
      <c r="BR28" s="91"/>
      <c r="BS28" s="91"/>
      <c r="BT28" s="91"/>
      <c r="BU28" s="91"/>
      <c r="BV28" s="91"/>
      <c r="BW28" s="91"/>
      <c r="BX28" s="91"/>
      <c r="BY28" s="91"/>
      <c r="BZ28" s="91"/>
      <c r="CA28" s="91"/>
      <c r="CB28" s="90">
        <v>0</v>
      </c>
      <c r="CC28" s="91"/>
      <c r="CD28" s="183">
        <f>CD27</f>
        <v>2700</v>
      </c>
      <c r="CE28" s="91"/>
      <c r="CF28" s="91"/>
      <c r="CG28" s="183">
        <f>CG27</f>
        <v>3500</v>
      </c>
      <c r="CH28" s="91"/>
      <c r="CI28" s="91"/>
      <c r="CJ28" s="91"/>
      <c r="CK28" s="91"/>
      <c r="CL28" s="91"/>
      <c r="CM28" s="91"/>
      <c r="CN28" s="91"/>
      <c r="CO28" s="91"/>
      <c r="CP28" s="91"/>
      <c r="CQ28" s="91"/>
      <c r="CR28" s="91"/>
      <c r="CS28" s="91"/>
      <c r="CT28" s="91"/>
      <c r="CU28" s="91"/>
      <c r="CV28" s="91"/>
      <c r="CW28" s="91"/>
      <c r="CX28" s="91"/>
      <c r="CY28" s="91"/>
      <c r="CZ28" s="91"/>
      <c r="DA28" s="91"/>
      <c r="DB28" s="91"/>
      <c r="DC28" s="91"/>
      <c r="DD28" s="91"/>
      <c r="DE28" s="91"/>
      <c r="DF28" s="91"/>
      <c r="DG28" s="91"/>
      <c r="DH28" s="91"/>
      <c r="DI28" s="91"/>
      <c r="DJ28" s="91"/>
      <c r="DK28" s="91"/>
      <c r="DL28" s="91"/>
      <c r="DM28" s="91"/>
      <c r="DN28" s="91"/>
      <c r="DO28" s="91"/>
      <c r="DP28" s="2"/>
    </row>
    <row r="29" spans="1:120" ht="12.75" customHeight="1">
      <c r="A29" s="2"/>
      <c r="B29" s="2"/>
      <c r="C29" s="2"/>
      <c r="D29" s="2"/>
      <c r="E29" s="2"/>
      <c r="F29" s="2"/>
      <c r="G29" s="2"/>
      <c r="H29" s="2"/>
      <c r="I29" s="182" t="s">
        <v>537</v>
      </c>
      <c r="J29" s="182" t="s">
        <v>1179</v>
      </c>
      <c r="K29" s="183">
        <f>K28</f>
        <v>10</v>
      </c>
      <c r="L29" s="183">
        <f>L28</f>
        <v>15</v>
      </c>
      <c r="M29" s="183">
        <f>M28</f>
        <v>10</v>
      </c>
      <c r="N29" s="91"/>
      <c r="O29" s="91"/>
      <c r="P29" s="91"/>
      <c r="Q29" s="91"/>
      <c r="R29" s="91"/>
      <c r="S29" s="91"/>
      <c r="T29" s="86" t="s">
        <v>1307</v>
      </c>
      <c r="U29" s="87" t="s">
        <v>371</v>
      </c>
      <c r="V29" s="89">
        <v>5</v>
      </c>
      <c r="W29" s="91"/>
      <c r="X29" s="91"/>
      <c r="Y29" s="91"/>
      <c r="Z29" s="91"/>
      <c r="AA29" s="91"/>
      <c r="AB29" s="91"/>
      <c r="AC29" s="91"/>
      <c r="AD29" s="91"/>
      <c r="AE29" s="91"/>
      <c r="AF29" s="91"/>
      <c r="AG29" s="91"/>
      <c r="AH29" s="91"/>
      <c r="AI29" s="91"/>
      <c r="AJ29" s="91"/>
      <c r="AK29" s="91"/>
      <c r="AL29" s="91"/>
      <c r="AM29" s="91"/>
      <c r="AN29" s="91"/>
      <c r="AO29" s="91"/>
      <c r="AP29" s="91"/>
      <c r="AQ29" s="91"/>
      <c r="AR29" s="91"/>
      <c r="AS29" s="91"/>
      <c r="AT29" s="91"/>
      <c r="AU29" s="91"/>
      <c r="AV29" s="91"/>
      <c r="AW29" s="91"/>
      <c r="AX29" s="91"/>
      <c r="AY29" s="91"/>
      <c r="AZ29" s="91"/>
      <c r="BA29" s="91"/>
      <c r="BB29" s="91"/>
      <c r="BC29" s="91"/>
      <c r="BD29" s="91"/>
      <c r="BE29" s="91"/>
      <c r="BF29" s="91"/>
      <c r="BG29" s="91"/>
      <c r="BH29" s="91"/>
      <c r="BI29" s="91"/>
      <c r="BJ29" s="91"/>
      <c r="BK29" s="91"/>
      <c r="BL29" s="91"/>
      <c r="BM29" s="91"/>
      <c r="BN29" s="91"/>
      <c r="BO29" s="91"/>
      <c r="BP29" s="91"/>
      <c r="BQ29" s="91"/>
      <c r="BR29" s="91"/>
      <c r="BS29" s="91"/>
      <c r="BT29" s="91"/>
      <c r="BU29" s="91"/>
      <c r="BV29" s="91"/>
      <c r="BW29" s="91"/>
      <c r="BX29" s="91"/>
      <c r="BY29" s="91"/>
      <c r="BZ29" s="91"/>
      <c r="CA29" s="91"/>
      <c r="CB29" s="90">
        <v>0</v>
      </c>
      <c r="CC29" s="91"/>
      <c r="CD29" s="183">
        <f>CD15</f>
        <v>1700</v>
      </c>
      <c r="CE29" s="91"/>
      <c r="CF29" s="91"/>
      <c r="CG29" s="183">
        <f>CG15</f>
        <v>2000</v>
      </c>
      <c r="CH29" s="91"/>
      <c r="CI29" s="91"/>
      <c r="CJ29" s="91"/>
      <c r="CK29" s="91"/>
      <c r="CL29" s="91"/>
      <c r="CM29" s="91"/>
      <c r="CN29" s="91"/>
      <c r="CO29" s="91"/>
      <c r="CP29" s="91"/>
      <c r="CQ29" s="91"/>
      <c r="CR29" s="91"/>
      <c r="CS29" s="91"/>
      <c r="CT29" s="91"/>
      <c r="CU29" s="91"/>
      <c r="CV29" s="91"/>
      <c r="CW29" s="91"/>
      <c r="CX29" s="91"/>
      <c r="CY29" s="91"/>
      <c r="CZ29" s="91"/>
      <c r="DA29" s="91"/>
      <c r="DB29" s="91"/>
      <c r="DC29" s="91"/>
      <c r="DD29" s="91"/>
      <c r="DE29" s="91"/>
      <c r="DF29" s="91"/>
      <c r="DG29" s="91"/>
      <c r="DH29" s="91"/>
      <c r="DI29" s="91"/>
      <c r="DJ29" s="91"/>
      <c r="DK29" s="91"/>
      <c r="DL29" s="91"/>
      <c r="DM29" s="91"/>
      <c r="DN29" s="91"/>
      <c r="DO29" s="91"/>
      <c r="DP29" s="2"/>
    </row>
    <row r="30" spans="1:120" ht="12.75" customHeight="1">
      <c r="A30" s="2"/>
      <c r="B30" s="2"/>
      <c r="C30" s="2"/>
      <c r="D30" s="2"/>
      <c r="E30" s="2"/>
      <c r="F30" s="2"/>
      <c r="G30" s="2"/>
      <c r="H30" s="2"/>
      <c r="I30" s="182" t="s">
        <v>537</v>
      </c>
      <c r="J30" s="182" t="s">
        <v>1180</v>
      </c>
      <c r="K30" s="183">
        <f>K29</f>
        <v>10</v>
      </c>
      <c r="L30" s="183">
        <f>L29</f>
        <v>15</v>
      </c>
      <c r="M30" s="183">
        <f>M29</f>
        <v>10</v>
      </c>
      <c r="N30" s="91"/>
      <c r="O30" s="91"/>
      <c r="P30" s="91"/>
      <c r="Q30" s="91"/>
      <c r="R30" s="91"/>
      <c r="S30" s="91"/>
      <c r="T30" s="98" t="str">
        <f>P_SIGNAL_COMP_OUT</f>
        <v>Snr_P SIGNAL_COMP OUT(PSI)_IN</v>
      </c>
      <c r="U30" s="90">
        <v>65</v>
      </c>
      <c r="V30" s="89">
        <v>5</v>
      </c>
      <c r="W30" s="91"/>
      <c r="X30" s="91"/>
      <c r="Y30" s="91"/>
      <c r="Z30" s="91"/>
      <c r="AA30" s="91"/>
      <c r="AB30" s="91"/>
      <c r="AC30" s="91"/>
      <c r="AD30" s="91"/>
      <c r="AE30" s="91"/>
      <c r="AF30" s="91"/>
      <c r="AG30" s="91"/>
      <c r="AH30" s="91"/>
      <c r="AI30" s="91"/>
      <c r="AJ30" s="91"/>
      <c r="AK30" s="91"/>
      <c r="AL30" s="91"/>
      <c r="AM30" s="91"/>
      <c r="AN30" s="91"/>
      <c r="AO30" s="91"/>
      <c r="AP30" s="91"/>
      <c r="AQ30" s="91"/>
      <c r="AR30" s="91"/>
      <c r="AS30" s="91"/>
      <c r="AT30" s="91"/>
      <c r="AU30" s="91"/>
      <c r="AV30" s="91"/>
      <c r="AW30" s="91"/>
      <c r="AX30" s="91"/>
      <c r="AY30" s="91"/>
      <c r="AZ30" s="91"/>
      <c r="BA30" s="91"/>
      <c r="BB30" s="91"/>
      <c r="BC30" s="91"/>
      <c r="BD30" s="91"/>
      <c r="BE30" s="91"/>
      <c r="BF30" s="91"/>
      <c r="BG30" s="91"/>
      <c r="BH30" s="91"/>
      <c r="BI30" s="91"/>
      <c r="BJ30" s="91"/>
      <c r="BK30" s="91"/>
      <c r="BL30" s="91"/>
      <c r="BM30" s="91"/>
      <c r="BN30" s="91"/>
      <c r="BO30" s="91"/>
      <c r="BP30" s="91"/>
      <c r="BQ30" s="91"/>
      <c r="BR30" s="91"/>
      <c r="BS30" s="91"/>
      <c r="BT30" s="91"/>
      <c r="BU30" s="91"/>
      <c r="BV30" s="91"/>
      <c r="BW30" s="91"/>
      <c r="BX30" s="91"/>
      <c r="BY30" s="91"/>
      <c r="BZ30" s="91"/>
      <c r="CA30" s="91"/>
      <c r="CB30" s="90">
        <v>0</v>
      </c>
      <c r="CC30" s="91"/>
      <c r="CD30" s="183">
        <f>CD29</f>
        <v>1700</v>
      </c>
      <c r="CE30" s="91"/>
      <c r="CF30" s="91"/>
      <c r="CG30" s="183">
        <f>CG29</f>
        <v>2000</v>
      </c>
      <c r="CH30" s="91"/>
      <c r="CI30" s="91"/>
      <c r="CJ30" s="91"/>
      <c r="CK30" s="91"/>
      <c r="CL30" s="91"/>
      <c r="CM30" s="91"/>
      <c r="CN30" s="91"/>
      <c r="CO30" s="91"/>
      <c r="CP30" s="91"/>
      <c r="CQ30" s="91"/>
      <c r="CR30" s="91"/>
      <c r="CS30" s="91"/>
      <c r="CT30" s="91"/>
      <c r="CU30" s="91"/>
      <c r="CV30" s="91"/>
      <c r="CW30" s="91"/>
      <c r="CX30" s="91"/>
      <c r="CY30" s="91"/>
      <c r="CZ30" s="91"/>
      <c r="DA30" s="91"/>
      <c r="DB30" s="91"/>
      <c r="DC30" s="91"/>
      <c r="DD30" s="91"/>
      <c r="DE30" s="91"/>
      <c r="DF30" s="91"/>
      <c r="DG30" s="91"/>
      <c r="DH30" s="91"/>
      <c r="DI30" s="91"/>
      <c r="DJ30" s="91"/>
      <c r="DK30" s="91"/>
      <c r="DL30" s="91"/>
      <c r="DM30" s="91"/>
      <c r="DN30" s="91"/>
      <c r="DO30" s="91"/>
      <c r="DP30" s="2"/>
    </row>
    <row r="31" spans="1:120" ht="12.75" customHeight="1">
      <c r="A31" s="2"/>
      <c r="B31" s="2"/>
      <c r="C31" s="2"/>
      <c r="D31" s="2"/>
      <c r="E31" s="2"/>
      <c r="F31" s="2"/>
      <c r="G31" s="2"/>
      <c r="H31" s="2"/>
      <c r="I31" s="182" t="s">
        <v>537</v>
      </c>
      <c r="J31" s="182" t="s">
        <v>1181</v>
      </c>
      <c r="K31" s="183">
        <f>K30</f>
        <v>10</v>
      </c>
      <c r="L31" s="183">
        <f>L30</f>
        <v>15</v>
      </c>
      <c r="M31" s="183">
        <f>M30</f>
        <v>10</v>
      </c>
      <c r="N31" s="91"/>
      <c r="O31" s="91"/>
      <c r="P31" s="91"/>
      <c r="Q31" s="91"/>
      <c r="R31" s="91"/>
      <c r="S31" s="91"/>
      <c r="T31" s="98" t="s">
        <v>1306</v>
      </c>
      <c r="U31" s="87" t="s">
        <v>371</v>
      </c>
      <c r="V31" s="89">
        <v>5</v>
      </c>
      <c r="W31" s="91"/>
      <c r="X31" s="91"/>
      <c r="Y31" s="91"/>
      <c r="Z31" s="91"/>
      <c r="AA31" s="91"/>
      <c r="AB31" s="91"/>
      <c r="AC31" s="91"/>
      <c r="AD31" s="91"/>
      <c r="AE31" s="91"/>
      <c r="AF31" s="91"/>
      <c r="AG31" s="91"/>
      <c r="AH31" s="91"/>
      <c r="AI31" s="91"/>
      <c r="AJ31" s="91"/>
      <c r="AK31" s="91"/>
      <c r="AL31" s="91"/>
      <c r="AM31" s="91"/>
      <c r="AN31" s="91"/>
      <c r="AO31" s="91"/>
      <c r="AP31" s="91"/>
      <c r="AQ31" s="91"/>
      <c r="AR31" s="91"/>
      <c r="AS31" s="91"/>
      <c r="AT31" s="91"/>
      <c r="AU31" s="91"/>
      <c r="AV31" s="91"/>
      <c r="AW31" s="91"/>
      <c r="AX31" s="91"/>
      <c r="AY31" s="91"/>
      <c r="AZ31" s="91"/>
      <c r="BA31" s="91"/>
      <c r="BB31" s="91"/>
      <c r="BC31" s="91"/>
      <c r="BD31" s="91"/>
      <c r="BE31" s="91"/>
      <c r="BF31" s="91"/>
      <c r="BG31" s="91"/>
      <c r="BH31" s="91"/>
      <c r="BI31" s="91"/>
      <c r="BJ31" s="91"/>
      <c r="BK31" s="91"/>
      <c r="BL31" s="91"/>
      <c r="BM31" s="91"/>
      <c r="BN31" s="91"/>
      <c r="BO31" s="91"/>
      <c r="BP31" s="91"/>
      <c r="BQ31" s="91"/>
      <c r="BR31" s="91"/>
      <c r="BS31" s="91"/>
      <c r="BT31" s="91"/>
      <c r="BU31" s="91"/>
      <c r="BV31" s="91"/>
      <c r="BW31" s="91"/>
      <c r="BX31" s="91"/>
      <c r="BY31" s="91"/>
      <c r="BZ31" s="91"/>
      <c r="CA31" s="91"/>
      <c r="CB31" s="90">
        <v>0</v>
      </c>
      <c r="CC31" s="91"/>
      <c r="CD31" s="183">
        <f>CD30</f>
        <v>1700</v>
      </c>
      <c r="CE31" s="91"/>
      <c r="CF31" s="91"/>
      <c r="CG31" s="183">
        <f>CG30</f>
        <v>2000</v>
      </c>
      <c r="CH31" s="91"/>
      <c r="CI31" s="91"/>
      <c r="CJ31" s="91"/>
      <c r="CK31" s="91"/>
      <c r="CL31" s="91"/>
      <c r="CM31" s="91"/>
      <c r="CN31" s="91"/>
      <c r="CO31" s="91"/>
      <c r="CP31" s="91"/>
      <c r="CQ31" s="91"/>
      <c r="CR31" s="91"/>
      <c r="CS31" s="91"/>
      <c r="CT31" s="91"/>
      <c r="CU31" s="91"/>
      <c r="CV31" s="91"/>
      <c r="CW31" s="91"/>
      <c r="CX31" s="91"/>
      <c r="CY31" s="91"/>
      <c r="CZ31" s="91"/>
      <c r="DA31" s="91"/>
      <c r="DB31" s="91"/>
      <c r="DC31" s="91"/>
      <c r="DD31" s="91"/>
      <c r="DE31" s="91"/>
      <c r="DF31" s="91"/>
      <c r="DG31" s="91"/>
      <c r="DH31" s="91"/>
      <c r="DI31" s="91"/>
      <c r="DJ31" s="91"/>
      <c r="DK31" s="91"/>
      <c r="DL31" s="91"/>
      <c r="DM31" s="91"/>
      <c r="DN31" s="91"/>
      <c r="DO31" s="91"/>
      <c r="DP31" s="2"/>
    </row>
    <row r="32" spans="1:120" ht="12.75" customHeight="1">
      <c r="A32" s="2"/>
      <c r="B32" s="2"/>
      <c r="C32" s="2"/>
      <c r="D32" s="2"/>
      <c r="E32" s="2"/>
      <c r="F32" s="2"/>
      <c r="G32" s="2"/>
      <c r="H32" s="2"/>
      <c r="I32" s="182" t="s">
        <v>537</v>
      </c>
      <c r="J32" s="182" t="s">
        <v>1182</v>
      </c>
      <c r="K32" s="183">
        <f>K31</f>
        <v>10</v>
      </c>
      <c r="L32" s="183">
        <f>L31</f>
        <v>15</v>
      </c>
      <c r="M32" s="183">
        <f>M31</f>
        <v>10</v>
      </c>
      <c r="N32" s="91"/>
      <c r="O32" s="91"/>
      <c r="P32" s="91"/>
      <c r="Q32" s="91"/>
      <c r="R32" s="91"/>
      <c r="S32" s="91"/>
      <c r="T32" s="86" t="s">
        <v>1307</v>
      </c>
      <c r="U32" s="87" t="s">
        <v>371</v>
      </c>
      <c r="V32" s="89">
        <v>5</v>
      </c>
      <c r="W32" s="91"/>
      <c r="X32" s="91"/>
      <c r="Y32" s="91"/>
      <c r="Z32" s="91"/>
      <c r="AA32" s="91"/>
      <c r="AB32" s="91"/>
      <c r="AC32" s="91"/>
      <c r="AD32" s="91"/>
      <c r="AE32" s="91"/>
      <c r="AF32" s="91"/>
      <c r="AG32" s="91"/>
      <c r="AH32" s="91"/>
      <c r="AI32" s="91"/>
      <c r="AJ32" s="91"/>
      <c r="AK32" s="91"/>
      <c r="AL32" s="91"/>
      <c r="AM32" s="91"/>
      <c r="AN32" s="91"/>
      <c r="AO32" s="91"/>
      <c r="AP32" s="91"/>
      <c r="AQ32" s="91"/>
      <c r="AR32" s="91"/>
      <c r="AS32" s="91"/>
      <c r="AT32" s="91"/>
      <c r="AU32" s="91"/>
      <c r="AV32" s="91"/>
      <c r="AW32" s="91"/>
      <c r="AX32" s="91"/>
      <c r="AY32" s="91"/>
      <c r="AZ32" s="91"/>
      <c r="BA32" s="91"/>
      <c r="BB32" s="91"/>
      <c r="BC32" s="91"/>
      <c r="BD32" s="91"/>
      <c r="BE32" s="91"/>
      <c r="BF32" s="91"/>
      <c r="BG32" s="91"/>
      <c r="BH32" s="91"/>
      <c r="BI32" s="91"/>
      <c r="BJ32" s="91"/>
      <c r="BK32" s="91"/>
      <c r="BL32" s="91"/>
      <c r="BM32" s="91"/>
      <c r="BN32" s="91"/>
      <c r="BO32" s="91"/>
      <c r="BP32" s="91"/>
      <c r="BQ32" s="91"/>
      <c r="BR32" s="91"/>
      <c r="BS32" s="91"/>
      <c r="BT32" s="91"/>
      <c r="BU32" s="91"/>
      <c r="BV32" s="91"/>
      <c r="BW32" s="91"/>
      <c r="BX32" s="91"/>
      <c r="BY32" s="91"/>
      <c r="BZ32" s="91"/>
      <c r="CA32" s="91"/>
      <c r="CB32" s="90">
        <v>0</v>
      </c>
      <c r="CC32" s="91"/>
      <c r="CD32" s="183">
        <f>CD16</f>
        <v>600</v>
      </c>
      <c r="CE32" s="91"/>
      <c r="CF32" s="91"/>
      <c r="CG32" s="183">
        <f>CG16</f>
        <v>1100</v>
      </c>
      <c r="CH32" s="91"/>
      <c r="CI32" s="91"/>
      <c r="CJ32" s="91"/>
      <c r="CK32" s="91"/>
      <c r="CL32" s="91"/>
      <c r="CM32" s="91"/>
      <c r="CN32" s="91"/>
      <c r="CO32" s="91"/>
      <c r="CP32" s="91"/>
      <c r="CQ32" s="91"/>
      <c r="CR32" s="91"/>
      <c r="CS32" s="91"/>
      <c r="CT32" s="91"/>
      <c r="CU32" s="91"/>
      <c r="CV32" s="91"/>
      <c r="CW32" s="91"/>
      <c r="CX32" s="91"/>
      <c r="CY32" s="91"/>
      <c r="CZ32" s="91"/>
      <c r="DA32" s="91"/>
      <c r="DB32" s="91"/>
      <c r="DC32" s="91"/>
      <c r="DD32" s="91"/>
      <c r="DE32" s="91"/>
      <c r="DF32" s="91"/>
      <c r="DG32" s="91"/>
      <c r="DH32" s="91"/>
      <c r="DI32" s="91"/>
      <c r="DJ32" s="91"/>
      <c r="DK32" s="91"/>
      <c r="DL32" s="91"/>
      <c r="DM32" s="91"/>
      <c r="DN32" s="91"/>
      <c r="DO32" s="91"/>
      <c r="DP32" s="2"/>
    </row>
    <row r="33" spans="1:120" ht="13.5" customHeight="1">
      <c r="A33" s="2"/>
      <c r="B33" s="2"/>
      <c r="C33" s="2"/>
      <c r="D33" s="2"/>
      <c r="E33" s="2"/>
      <c r="F33" s="2"/>
      <c r="G33" s="2"/>
      <c r="H33" s="2"/>
      <c r="I33" s="97" t="s">
        <v>7</v>
      </c>
      <c r="J33" s="97" t="s">
        <v>1308</v>
      </c>
      <c r="K33" s="233" t="s">
        <v>1309</v>
      </c>
      <c r="L33" s="97"/>
      <c r="M33" s="97"/>
      <c r="N33" s="97"/>
      <c r="O33" s="97"/>
      <c r="P33" s="97"/>
      <c r="Q33" s="97"/>
      <c r="R33" s="97"/>
      <c r="S33" s="97"/>
      <c r="T33" s="97"/>
      <c r="U33" s="234"/>
      <c r="V33" s="234"/>
      <c r="W33" s="97"/>
      <c r="X33" s="97"/>
      <c r="Y33" s="97"/>
      <c r="Z33" s="97"/>
      <c r="AA33" s="97"/>
      <c r="AB33" s="97"/>
      <c r="AC33" s="97"/>
      <c r="AD33" s="97"/>
      <c r="AE33" s="97"/>
      <c r="AF33" s="97"/>
      <c r="AG33" s="97"/>
      <c r="AH33" s="97"/>
      <c r="AI33" s="97"/>
      <c r="AJ33" s="97"/>
      <c r="AK33" s="97"/>
      <c r="AL33" s="97"/>
      <c r="AM33" s="97"/>
      <c r="AN33" s="97"/>
      <c r="AO33" s="97"/>
      <c r="AP33" s="97"/>
      <c r="AQ33" s="97"/>
      <c r="AR33" s="97"/>
      <c r="AS33" s="97"/>
      <c r="AT33" s="97"/>
      <c r="AU33" s="97"/>
      <c r="AV33" s="97"/>
      <c r="AW33" s="97"/>
      <c r="AX33" s="97"/>
      <c r="AY33" s="97"/>
      <c r="AZ33" s="97"/>
      <c r="BA33" s="97"/>
      <c r="BB33" s="97"/>
      <c r="BC33" s="97"/>
      <c r="BD33" s="97"/>
      <c r="BE33" s="97"/>
      <c r="BF33" s="97"/>
      <c r="BG33" s="97"/>
      <c r="BH33" s="97"/>
      <c r="BI33" s="97"/>
      <c r="BJ33" s="97"/>
      <c r="BK33" s="97"/>
      <c r="BL33" s="97"/>
      <c r="BM33" s="97"/>
      <c r="BN33" s="97"/>
      <c r="BO33" s="97"/>
      <c r="BP33" s="97"/>
      <c r="BQ33" s="97"/>
      <c r="BR33" s="97"/>
      <c r="BS33" s="97"/>
      <c r="BT33" s="97"/>
      <c r="BU33" s="97"/>
      <c r="BV33" s="97"/>
      <c r="BW33" s="97"/>
      <c r="BX33" s="97"/>
      <c r="BY33" s="97"/>
      <c r="BZ33" s="97"/>
      <c r="CA33" s="97"/>
      <c r="CB33" s="97"/>
      <c r="CC33" s="97"/>
      <c r="CD33" s="97"/>
      <c r="CE33" s="97"/>
      <c r="CF33" s="97"/>
      <c r="CG33" s="97"/>
      <c r="CH33" s="97"/>
      <c r="CI33" s="97"/>
      <c r="CJ33" s="97"/>
      <c r="CK33" s="97"/>
      <c r="CL33" s="97"/>
      <c r="CM33" s="97"/>
      <c r="CN33" s="97"/>
      <c r="CO33" s="97"/>
      <c r="CP33" s="97"/>
      <c r="CQ33" s="97"/>
      <c r="CR33" s="97"/>
      <c r="CS33" s="97"/>
      <c r="CT33" s="97"/>
      <c r="CU33" s="97"/>
      <c r="CV33" s="97"/>
      <c r="CW33" s="97"/>
      <c r="CX33" s="97"/>
      <c r="CY33" s="97"/>
      <c r="CZ33" s="97"/>
      <c r="DA33" s="97"/>
      <c r="DB33" s="97"/>
      <c r="DC33" s="97"/>
      <c r="DD33" s="97"/>
      <c r="DE33" s="97"/>
      <c r="DF33" s="97"/>
      <c r="DG33" s="97"/>
      <c r="DH33" s="97"/>
      <c r="DI33" s="97"/>
      <c r="DJ33" s="97"/>
      <c r="DK33" s="97"/>
      <c r="DL33" s="97"/>
      <c r="DM33" s="97"/>
      <c r="DN33" s="97"/>
      <c r="DO33" s="97"/>
      <c r="DP33" s="2"/>
    </row>
    <row r="34" spans="1:120" ht="12.75" customHeight="1">
      <c r="A34" s="2"/>
      <c r="B34" s="2"/>
      <c r="C34" s="2"/>
      <c r="D34" s="2"/>
      <c r="E34" s="2"/>
      <c r="F34" s="2"/>
      <c r="G34" s="2"/>
      <c r="H34" s="2"/>
      <c r="I34" s="182" t="s">
        <v>47</v>
      </c>
      <c r="J34" s="182" t="s">
        <v>1184</v>
      </c>
      <c r="K34" s="183">
        <f>K32</f>
        <v>10</v>
      </c>
      <c r="L34" s="183">
        <f>L32</f>
        <v>15</v>
      </c>
      <c r="M34" s="183">
        <f>M32</f>
        <v>10</v>
      </c>
      <c r="N34" s="91"/>
      <c r="O34" s="91"/>
      <c r="P34" s="91"/>
      <c r="Q34" s="91"/>
      <c r="R34" s="91"/>
      <c r="S34" s="91"/>
      <c r="T34" s="98" t="str">
        <f>P_SIGNAL_COMP_OUT</f>
        <v>Snr_P SIGNAL_COMP OUT(PSI)_IN</v>
      </c>
      <c r="U34" s="90">
        <v>235</v>
      </c>
      <c r="V34" s="89">
        <v>10</v>
      </c>
      <c r="W34" s="91"/>
      <c r="X34" s="91"/>
      <c r="Y34" s="91"/>
      <c r="Z34" s="91"/>
      <c r="AA34" s="91"/>
      <c r="AB34" s="91"/>
      <c r="AC34" s="91"/>
      <c r="AD34" s="91"/>
      <c r="AE34" s="91"/>
      <c r="AF34" s="91"/>
      <c r="AG34" s="91"/>
      <c r="AH34" s="91"/>
      <c r="AI34" s="91"/>
      <c r="AJ34" s="91"/>
      <c r="AK34" s="91"/>
      <c r="AL34" s="91"/>
      <c r="AM34" s="91"/>
      <c r="AN34" s="90" t="s">
        <v>48</v>
      </c>
      <c r="AO34" s="91"/>
      <c r="AP34" s="91"/>
      <c r="AQ34" s="91"/>
      <c r="AR34" s="91"/>
      <c r="AS34" s="91"/>
      <c r="AT34" s="91"/>
      <c r="AU34" s="91"/>
      <c r="AV34" s="91"/>
      <c r="AW34" s="91"/>
      <c r="AX34" s="91"/>
      <c r="AY34" s="91"/>
      <c r="AZ34" s="91"/>
      <c r="BA34" s="91"/>
      <c r="BB34" s="91"/>
      <c r="BC34" s="91"/>
      <c r="BD34" s="91"/>
      <c r="BE34" s="91"/>
      <c r="BF34" s="91"/>
      <c r="BG34" s="91"/>
      <c r="BH34" s="91"/>
      <c r="BI34" s="91"/>
      <c r="BJ34" s="91"/>
      <c r="BK34" s="91"/>
      <c r="BL34" s="91"/>
      <c r="BM34" s="91"/>
      <c r="BN34" s="91"/>
      <c r="BO34" s="91"/>
      <c r="BP34" s="91"/>
      <c r="BQ34" s="91"/>
      <c r="BR34" s="91"/>
      <c r="BS34" s="91"/>
      <c r="BT34" s="91"/>
      <c r="BU34" s="91"/>
      <c r="BV34" s="91"/>
      <c r="BW34" s="91"/>
      <c r="BX34" s="91"/>
      <c r="BY34" s="91"/>
      <c r="BZ34" s="91"/>
      <c r="CA34" s="91"/>
      <c r="CB34" s="90">
        <v>0</v>
      </c>
      <c r="CC34" s="91"/>
      <c r="CD34" s="90">
        <v>4200</v>
      </c>
      <c r="CE34" s="91"/>
      <c r="CF34" s="91"/>
      <c r="CG34" s="90">
        <v>5700</v>
      </c>
      <c r="CH34" s="91"/>
      <c r="CI34" s="91"/>
      <c r="CJ34" s="91"/>
      <c r="CK34" s="91"/>
      <c r="CL34" s="91"/>
      <c r="CM34" s="91"/>
      <c r="CN34" s="91"/>
      <c r="CO34" s="91"/>
      <c r="CP34" s="91"/>
      <c r="CQ34" s="91"/>
      <c r="CR34" s="91"/>
      <c r="CS34" s="91"/>
      <c r="CT34" s="91"/>
      <c r="CU34" s="91"/>
      <c r="CV34" s="91"/>
      <c r="CW34" s="91"/>
      <c r="CX34" s="91"/>
      <c r="CY34" s="91"/>
      <c r="CZ34" s="91"/>
      <c r="DA34" s="91"/>
      <c r="DB34" s="91"/>
      <c r="DC34" s="91"/>
      <c r="DD34" s="91"/>
      <c r="DE34" s="91"/>
      <c r="DF34" s="91"/>
      <c r="DG34" s="91"/>
      <c r="DH34" s="91"/>
      <c r="DI34" s="91"/>
      <c r="DJ34" s="91"/>
      <c r="DK34" s="91"/>
      <c r="DL34" s="91"/>
      <c r="DM34" s="91"/>
      <c r="DN34" s="91"/>
      <c r="DO34" s="91"/>
      <c r="DP34" s="2"/>
    </row>
    <row r="35" spans="1:120" ht="12.75" customHeight="1">
      <c r="A35" s="2"/>
      <c r="B35" s="2"/>
      <c r="C35" s="2"/>
      <c r="D35" s="2"/>
      <c r="E35" s="2"/>
      <c r="F35" s="2"/>
      <c r="G35" s="2"/>
      <c r="H35" s="2"/>
      <c r="I35" s="182" t="s">
        <v>537</v>
      </c>
      <c r="J35" s="182" t="s">
        <v>1185</v>
      </c>
      <c r="K35" s="183">
        <f>K34</f>
        <v>10</v>
      </c>
      <c r="L35" s="183">
        <f>L34</f>
        <v>15</v>
      </c>
      <c r="M35" s="183">
        <f>M34</f>
        <v>10</v>
      </c>
      <c r="N35" s="91"/>
      <c r="O35" s="91"/>
      <c r="P35" s="91"/>
      <c r="Q35" s="91"/>
      <c r="R35" s="91"/>
      <c r="S35" s="91"/>
      <c r="T35" s="98" t="s">
        <v>220</v>
      </c>
      <c r="U35" s="89">
        <v>1</v>
      </c>
      <c r="V35" s="89">
        <v>2</v>
      </c>
      <c r="W35" s="91"/>
      <c r="X35" s="91"/>
      <c r="Y35" s="91"/>
      <c r="Z35" s="91"/>
      <c r="AA35" s="91"/>
      <c r="AB35" s="91"/>
      <c r="AC35" s="91"/>
      <c r="AD35" s="91"/>
      <c r="AE35" s="91"/>
      <c r="AF35" s="91"/>
      <c r="AG35" s="91"/>
      <c r="AH35" s="91"/>
      <c r="AI35" s="91"/>
      <c r="AJ35" s="91"/>
      <c r="AK35" s="91"/>
      <c r="AL35" s="91"/>
      <c r="AM35" s="91"/>
      <c r="AN35" s="90" t="s">
        <v>88</v>
      </c>
      <c r="AO35" s="91"/>
      <c r="AP35" s="91"/>
      <c r="AQ35" s="91"/>
      <c r="AR35" s="91"/>
      <c r="AS35" s="91"/>
      <c r="AT35" s="91"/>
      <c r="AU35" s="91"/>
      <c r="AV35" s="91"/>
      <c r="AW35" s="91"/>
      <c r="AX35" s="91"/>
      <c r="AY35" s="91"/>
      <c r="AZ35" s="91"/>
      <c r="BA35" s="91"/>
      <c r="BB35" s="91"/>
      <c r="BC35" s="91"/>
      <c r="BD35" s="91"/>
      <c r="BE35" s="91"/>
      <c r="BF35" s="91"/>
      <c r="BG35" s="91"/>
      <c r="BH35" s="91"/>
      <c r="BI35" s="91"/>
      <c r="BJ35" s="91"/>
      <c r="BK35" s="91"/>
      <c r="BL35" s="91"/>
      <c r="BM35" s="91"/>
      <c r="BN35" s="91"/>
      <c r="BO35" s="91"/>
      <c r="BP35" s="91"/>
      <c r="BQ35" s="91"/>
      <c r="BR35" s="91"/>
      <c r="BS35" s="91"/>
      <c r="BT35" s="91"/>
      <c r="BU35" s="91"/>
      <c r="BV35" s="91"/>
      <c r="BW35" s="91"/>
      <c r="BX35" s="91"/>
      <c r="BY35" s="91"/>
      <c r="BZ35" s="91"/>
      <c r="CA35" s="91"/>
      <c r="CB35" s="90">
        <v>5</v>
      </c>
      <c r="CC35" s="91"/>
      <c r="CD35" s="90">
        <v>0</v>
      </c>
      <c r="CE35" s="91"/>
      <c r="CF35" s="91"/>
      <c r="CG35" s="90">
        <v>0</v>
      </c>
      <c r="CH35" s="91"/>
      <c r="CI35" s="91"/>
      <c r="CJ35" s="91"/>
      <c r="CK35" s="91"/>
      <c r="CL35" s="91"/>
      <c r="CM35" s="91"/>
      <c r="CN35" s="91"/>
      <c r="CO35" s="91"/>
      <c r="CP35" s="91"/>
      <c r="CQ35" s="91"/>
      <c r="CR35" s="91"/>
      <c r="CS35" s="91"/>
      <c r="CT35" s="91"/>
      <c r="CU35" s="91"/>
      <c r="CV35" s="91"/>
      <c r="CW35" s="91"/>
      <c r="CX35" s="91"/>
      <c r="CY35" s="91"/>
      <c r="CZ35" s="91"/>
      <c r="DA35" s="91"/>
      <c r="DB35" s="91"/>
      <c r="DC35" s="91"/>
      <c r="DD35" s="91"/>
      <c r="DE35" s="91"/>
      <c r="DF35" s="91"/>
      <c r="DG35" s="91"/>
      <c r="DH35" s="91"/>
      <c r="DI35" s="91"/>
      <c r="DJ35" s="91"/>
      <c r="DK35" s="91"/>
      <c r="DL35" s="91"/>
      <c r="DM35" s="91"/>
      <c r="DN35" s="91"/>
      <c r="DO35" s="91"/>
      <c r="DP35" s="2"/>
    </row>
    <row r="36" spans="1:120" ht="12.75" customHeight="1">
      <c r="A36" s="2"/>
      <c r="B36" s="2"/>
      <c r="C36" s="2"/>
      <c r="D36" s="2"/>
      <c r="E36" s="2"/>
      <c r="F36" s="2"/>
      <c r="G36" s="2"/>
      <c r="H36" s="2"/>
      <c r="I36" s="182" t="s">
        <v>537</v>
      </c>
      <c r="J36" s="182" t="s">
        <v>1186</v>
      </c>
      <c r="K36" s="183">
        <f>K35</f>
        <v>10</v>
      </c>
      <c r="L36" s="183">
        <f>L35</f>
        <v>15</v>
      </c>
      <c r="M36" s="183">
        <f>M35</f>
        <v>10</v>
      </c>
      <c r="N36" s="91"/>
      <c r="O36" s="91"/>
      <c r="P36" s="91"/>
      <c r="Q36" s="91"/>
      <c r="R36" s="91"/>
      <c r="S36" s="91"/>
      <c r="T36" s="98" t="str">
        <f>BatChllrTgtRpm</f>
        <v>VCU_BatChllrTgtRpm</v>
      </c>
      <c r="U36" s="90">
        <v>1000</v>
      </c>
      <c r="V36" s="89">
        <v>5</v>
      </c>
      <c r="W36" s="91"/>
      <c r="X36" s="91"/>
      <c r="Y36" s="91"/>
      <c r="Z36" s="91"/>
      <c r="AA36" s="91"/>
      <c r="AB36" s="91"/>
      <c r="AC36" s="91"/>
      <c r="AD36" s="91"/>
      <c r="AE36" s="91"/>
      <c r="AF36" s="91"/>
      <c r="AG36" s="91"/>
      <c r="AH36" s="91"/>
      <c r="AI36" s="91"/>
      <c r="AJ36" s="91"/>
      <c r="AK36" s="91"/>
      <c r="AL36" s="91"/>
      <c r="AM36" s="91"/>
      <c r="AN36" s="90" t="s">
        <v>88</v>
      </c>
      <c r="AO36" s="91"/>
      <c r="AP36" s="91"/>
      <c r="AQ36" s="91"/>
      <c r="AR36" s="91"/>
      <c r="AS36" s="91"/>
      <c r="AT36" s="91"/>
      <c r="AU36" s="91"/>
      <c r="AV36" s="91"/>
      <c r="AW36" s="91"/>
      <c r="AX36" s="91"/>
      <c r="AY36" s="91"/>
      <c r="AZ36" s="91"/>
      <c r="BA36" s="91"/>
      <c r="BB36" s="91"/>
      <c r="BC36" s="91"/>
      <c r="BD36" s="91"/>
      <c r="BE36" s="91"/>
      <c r="BF36" s="91"/>
      <c r="BG36" s="91"/>
      <c r="BH36" s="91"/>
      <c r="BI36" s="91"/>
      <c r="BJ36" s="91"/>
      <c r="BK36" s="91"/>
      <c r="BL36" s="91"/>
      <c r="BM36" s="91"/>
      <c r="BN36" s="91"/>
      <c r="BO36" s="91"/>
      <c r="BP36" s="91"/>
      <c r="BQ36" s="91"/>
      <c r="BR36" s="91"/>
      <c r="BS36" s="91"/>
      <c r="BT36" s="91"/>
      <c r="BU36" s="91"/>
      <c r="BV36" s="91"/>
      <c r="BW36" s="91"/>
      <c r="BX36" s="91"/>
      <c r="BY36" s="91"/>
      <c r="BZ36" s="91"/>
      <c r="CA36" s="91"/>
      <c r="CB36" s="90">
        <v>10</v>
      </c>
      <c r="CC36" s="91"/>
      <c r="CD36" s="90">
        <v>4200</v>
      </c>
      <c r="CE36" s="91"/>
      <c r="CF36" s="91"/>
      <c r="CG36" s="90">
        <v>5700</v>
      </c>
      <c r="CH36" s="91"/>
      <c r="CI36" s="91"/>
      <c r="CJ36" s="91"/>
      <c r="CK36" s="91"/>
      <c r="CL36" s="91"/>
      <c r="CM36" s="91"/>
      <c r="CN36" s="91"/>
      <c r="CO36" s="91"/>
      <c r="CP36" s="91"/>
      <c r="CQ36" s="91"/>
      <c r="CR36" s="91"/>
      <c r="CS36" s="91"/>
      <c r="CT36" s="91"/>
      <c r="CU36" s="91"/>
      <c r="CV36" s="91"/>
      <c r="CW36" s="91"/>
      <c r="CX36" s="91"/>
      <c r="CY36" s="91"/>
      <c r="CZ36" s="91"/>
      <c r="DA36" s="91"/>
      <c r="DB36" s="91"/>
      <c r="DC36" s="91"/>
      <c r="DD36" s="91"/>
      <c r="DE36" s="91"/>
      <c r="DF36" s="91"/>
      <c r="DG36" s="91"/>
      <c r="DH36" s="91"/>
      <c r="DI36" s="91"/>
      <c r="DJ36" s="91"/>
      <c r="DK36" s="91"/>
      <c r="DL36" s="91"/>
      <c r="DM36" s="91"/>
      <c r="DN36" s="91"/>
      <c r="DO36" s="91"/>
      <c r="DP36" s="2"/>
    </row>
    <row r="37" spans="1:120" ht="12.75" customHeight="1">
      <c r="A37" s="2"/>
      <c r="B37" s="2"/>
      <c r="C37" s="2"/>
      <c r="D37" s="2"/>
      <c r="E37" s="2"/>
      <c r="F37" s="2"/>
      <c r="G37" s="2"/>
      <c r="H37" s="2"/>
      <c r="I37" s="182" t="s">
        <v>537</v>
      </c>
      <c r="J37" s="182" t="s">
        <v>1187</v>
      </c>
      <c r="K37" s="183">
        <f>K36</f>
        <v>10</v>
      </c>
      <c r="L37" s="183">
        <f>L36</f>
        <v>15</v>
      </c>
      <c r="M37" s="183">
        <f>M36</f>
        <v>10</v>
      </c>
      <c r="N37" s="91"/>
      <c r="O37" s="91"/>
      <c r="P37" s="91"/>
      <c r="Q37" s="91"/>
      <c r="R37" s="91"/>
      <c r="S37" s="91"/>
      <c r="T37" s="98" t="str">
        <f>BatChllrTgtRpm</f>
        <v>VCU_BatChllrTgtRpm</v>
      </c>
      <c r="U37" s="90">
        <v>0</v>
      </c>
      <c r="V37" s="89">
        <v>5</v>
      </c>
      <c r="W37" s="91"/>
      <c r="X37" s="91"/>
      <c r="Y37" s="91"/>
      <c r="Z37" s="91"/>
      <c r="AA37" s="91"/>
      <c r="AB37" s="91"/>
      <c r="AC37" s="91"/>
      <c r="AD37" s="91"/>
      <c r="AE37" s="91"/>
      <c r="AF37" s="91"/>
      <c r="AG37" s="91"/>
      <c r="AH37" s="91"/>
      <c r="AI37" s="91"/>
      <c r="AJ37" s="91"/>
      <c r="AK37" s="91"/>
      <c r="AL37" s="91"/>
      <c r="AM37" s="91"/>
      <c r="AN37" s="90" t="s">
        <v>88</v>
      </c>
      <c r="AO37" s="91"/>
      <c r="AP37" s="91"/>
      <c r="AQ37" s="91"/>
      <c r="AR37" s="91"/>
      <c r="AS37" s="91"/>
      <c r="AT37" s="91"/>
      <c r="AU37" s="91"/>
      <c r="AV37" s="91"/>
      <c r="AW37" s="91"/>
      <c r="AX37" s="91"/>
      <c r="AY37" s="91"/>
      <c r="AZ37" s="91"/>
      <c r="BA37" s="91"/>
      <c r="BB37" s="91"/>
      <c r="BC37" s="91"/>
      <c r="BD37" s="91"/>
      <c r="BE37" s="91"/>
      <c r="BF37" s="91"/>
      <c r="BG37" s="91"/>
      <c r="BH37" s="91"/>
      <c r="BI37" s="91"/>
      <c r="BJ37" s="91"/>
      <c r="BK37" s="91"/>
      <c r="BL37" s="91"/>
      <c r="BM37" s="91"/>
      <c r="BN37" s="91"/>
      <c r="BO37" s="91"/>
      <c r="BP37" s="91"/>
      <c r="BQ37" s="91"/>
      <c r="BR37" s="91"/>
      <c r="BS37" s="91"/>
      <c r="BT37" s="91"/>
      <c r="BU37" s="91"/>
      <c r="BV37" s="91"/>
      <c r="BW37" s="91"/>
      <c r="BX37" s="91"/>
      <c r="BY37" s="91"/>
      <c r="BZ37" s="91"/>
      <c r="CA37" s="91"/>
      <c r="CB37" s="90">
        <v>5</v>
      </c>
      <c r="CC37" s="91"/>
      <c r="CD37" s="90">
        <v>0</v>
      </c>
      <c r="CE37" s="91"/>
      <c r="CF37" s="91"/>
      <c r="CG37" s="90">
        <v>0</v>
      </c>
      <c r="CH37" s="91"/>
      <c r="CI37" s="91"/>
      <c r="CJ37" s="91"/>
      <c r="CK37" s="91"/>
      <c r="CL37" s="91"/>
      <c r="CM37" s="91"/>
      <c r="CN37" s="91"/>
      <c r="CO37" s="91"/>
      <c r="CP37" s="91"/>
      <c r="CQ37" s="91"/>
      <c r="CR37" s="91"/>
      <c r="CS37" s="91"/>
      <c r="CT37" s="91"/>
      <c r="CU37" s="91"/>
      <c r="CV37" s="91"/>
      <c r="CW37" s="91"/>
      <c r="CX37" s="91"/>
      <c r="CY37" s="91"/>
      <c r="CZ37" s="91"/>
      <c r="DA37" s="91"/>
      <c r="DB37" s="91"/>
      <c r="DC37" s="91"/>
      <c r="DD37" s="91"/>
      <c r="DE37" s="91"/>
      <c r="DF37" s="91"/>
      <c r="DG37" s="91"/>
      <c r="DH37" s="91"/>
      <c r="DI37" s="91"/>
      <c r="DJ37" s="91"/>
      <c r="DK37" s="91"/>
      <c r="DL37" s="91"/>
      <c r="DM37" s="91"/>
      <c r="DN37" s="91"/>
      <c r="DO37" s="91"/>
      <c r="DP37" s="2"/>
    </row>
    <row r="38" spans="1:120" ht="12.75" customHeight="1">
      <c r="A38" s="2"/>
      <c r="B38" s="2"/>
      <c r="C38" s="2"/>
      <c r="D38" s="2"/>
      <c r="E38" s="2"/>
      <c r="F38" s="2"/>
      <c r="G38" s="2"/>
      <c r="H38" s="2"/>
      <c r="I38" s="182" t="s">
        <v>537</v>
      </c>
      <c r="J38" s="182" t="s">
        <v>1188</v>
      </c>
      <c r="K38" s="183">
        <f>K37</f>
        <v>10</v>
      </c>
      <c r="L38" s="183">
        <f>L37</f>
        <v>15</v>
      </c>
      <c r="M38" s="183">
        <f>M37</f>
        <v>10</v>
      </c>
      <c r="N38" s="91"/>
      <c r="O38" s="91"/>
      <c r="P38" s="91"/>
      <c r="Q38" s="91"/>
      <c r="R38" s="91"/>
      <c r="S38" s="91"/>
      <c r="T38" s="98" t="s">
        <v>220</v>
      </c>
      <c r="U38" s="89">
        <v>1</v>
      </c>
      <c r="V38" s="89">
        <v>2</v>
      </c>
      <c r="W38" s="91"/>
      <c r="X38" s="91"/>
      <c r="Y38" s="91"/>
      <c r="Z38" s="91"/>
      <c r="AA38" s="91"/>
      <c r="AB38" s="91"/>
      <c r="AC38" s="91"/>
      <c r="AD38" s="91"/>
      <c r="AE38" s="91"/>
      <c r="AF38" s="91"/>
      <c r="AG38" s="91"/>
      <c r="AH38" s="91"/>
      <c r="AI38" s="91"/>
      <c r="AJ38" s="91"/>
      <c r="AK38" s="91"/>
      <c r="AL38" s="91"/>
      <c r="AM38" s="91"/>
      <c r="AN38" s="90" t="s">
        <v>48</v>
      </c>
      <c r="AO38" s="91"/>
      <c r="AP38" s="91"/>
      <c r="AQ38" s="91"/>
      <c r="AR38" s="91"/>
      <c r="AS38" s="91"/>
      <c r="AT38" s="91"/>
      <c r="AU38" s="91"/>
      <c r="AV38" s="91"/>
      <c r="AW38" s="91"/>
      <c r="AX38" s="91"/>
      <c r="AY38" s="91"/>
      <c r="AZ38" s="91"/>
      <c r="BA38" s="91"/>
      <c r="BB38" s="91"/>
      <c r="BC38" s="91"/>
      <c r="BD38" s="91"/>
      <c r="BE38" s="91"/>
      <c r="BF38" s="91"/>
      <c r="BG38" s="91"/>
      <c r="BH38" s="91"/>
      <c r="BI38" s="91"/>
      <c r="BJ38" s="91"/>
      <c r="BK38" s="91"/>
      <c r="BL38" s="91"/>
      <c r="BM38" s="91"/>
      <c r="BN38" s="91"/>
      <c r="BO38" s="91"/>
      <c r="BP38" s="91"/>
      <c r="BQ38" s="91"/>
      <c r="BR38" s="91"/>
      <c r="BS38" s="91"/>
      <c r="BT38" s="91"/>
      <c r="BU38" s="91"/>
      <c r="BV38" s="91"/>
      <c r="BW38" s="91"/>
      <c r="BX38" s="91"/>
      <c r="BY38" s="91"/>
      <c r="BZ38" s="91"/>
      <c r="CA38" s="91"/>
      <c r="CB38" s="90">
        <v>0</v>
      </c>
      <c r="CC38" s="91"/>
      <c r="CD38" s="90">
        <v>4200</v>
      </c>
      <c r="CE38" s="91"/>
      <c r="CF38" s="91"/>
      <c r="CG38" s="90">
        <v>5700</v>
      </c>
      <c r="CH38" s="91"/>
      <c r="CI38" s="91"/>
      <c r="CJ38" s="91"/>
      <c r="CK38" s="91"/>
      <c r="CL38" s="91"/>
      <c r="CM38" s="91"/>
      <c r="CN38" s="91"/>
      <c r="CO38" s="91"/>
      <c r="CP38" s="91"/>
      <c r="CQ38" s="91"/>
      <c r="CR38" s="91"/>
      <c r="CS38" s="91"/>
      <c r="CT38" s="91"/>
      <c r="CU38" s="91"/>
      <c r="CV38" s="91"/>
      <c r="CW38" s="91"/>
      <c r="CX38" s="91"/>
      <c r="CY38" s="91"/>
      <c r="CZ38" s="91"/>
      <c r="DA38" s="91"/>
      <c r="DB38" s="91"/>
      <c r="DC38" s="91"/>
      <c r="DD38" s="91"/>
      <c r="DE38" s="91"/>
      <c r="DF38" s="91"/>
      <c r="DG38" s="91"/>
      <c r="DH38" s="91"/>
      <c r="DI38" s="91"/>
      <c r="DJ38" s="91"/>
      <c r="DK38" s="91"/>
      <c r="DL38" s="91"/>
      <c r="DM38" s="91"/>
      <c r="DN38" s="91"/>
      <c r="DO38" s="91"/>
      <c r="DP38" s="2"/>
    </row>
    <row r="39" spans="1:120" ht="12.75" customHeight="1">
      <c r="A39" s="2"/>
      <c r="B39" s="2"/>
      <c r="C39" s="2"/>
      <c r="D39" s="2"/>
      <c r="E39" s="2"/>
      <c r="F39" s="2"/>
      <c r="G39" s="2"/>
      <c r="H39" s="2"/>
      <c r="I39" s="182" t="s">
        <v>537</v>
      </c>
      <c r="J39" s="182" t="s">
        <v>1189</v>
      </c>
      <c r="K39" s="183">
        <f>K38</f>
        <v>10</v>
      </c>
      <c r="L39" s="183">
        <f>L38</f>
        <v>15</v>
      </c>
      <c r="M39" s="183">
        <f>M38</f>
        <v>10</v>
      </c>
      <c r="N39" s="91"/>
      <c r="O39" s="91"/>
      <c r="P39" s="91"/>
      <c r="Q39" s="91"/>
      <c r="R39" s="91"/>
      <c r="S39" s="91"/>
      <c r="T39" s="98" t="str">
        <f>BatChllrTgtRpm</f>
        <v>VCU_BatChllrTgtRpm</v>
      </c>
      <c r="U39" s="90">
        <v>1000</v>
      </c>
      <c r="V39" s="89">
        <v>5</v>
      </c>
      <c r="W39" s="91"/>
      <c r="X39" s="91"/>
      <c r="Y39" s="91"/>
      <c r="Z39" s="91"/>
      <c r="AA39" s="91"/>
      <c r="AB39" s="91"/>
      <c r="AC39" s="91"/>
      <c r="AD39" s="91"/>
      <c r="AE39" s="91"/>
      <c r="AF39" s="91"/>
      <c r="AG39" s="91"/>
      <c r="AH39" s="91"/>
      <c r="AI39" s="91"/>
      <c r="AJ39" s="91"/>
      <c r="AK39" s="91"/>
      <c r="AL39" s="91"/>
      <c r="AM39" s="91"/>
      <c r="AN39" s="90" t="s">
        <v>48</v>
      </c>
      <c r="AO39" s="91"/>
      <c r="AP39" s="91"/>
      <c r="AQ39" s="91"/>
      <c r="AR39" s="91"/>
      <c r="AS39" s="91"/>
      <c r="AT39" s="91"/>
      <c r="AU39" s="91"/>
      <c r="AV39" s="91"/>
      <c r="AW39" s="91"/>
      <c r="AX39" s="91"/>
      <c r="AY39" s="91"/>
      <c r="AZ39" s="91"/>
      <c r="BA39" s="91"/>
      <c r="BB39" s="91"/>
      <c r="BC39" s="91"/>
      <c r="BD39" s="91"/>
      <c r="BE39" s="91"/>
      <c r="BF39" s="91"/>
      <c r="BG39" s="91"/>
      <c r="BH39" s="91"/>
      <c r="BI39" s="91"/>
      <c r="BJ39" s="91"/>
      <c r="BK39" s="91"/>
      <c r="BL39" s="91"/>
      <c r="BM39" s="91"/>
      <c r="BN39" s="91"/>
      <c r="BO39" s="91"/>
      <c r="BP39" s="91"/>
      <c r="BQ39" s="91"/>
      <c r="BR39" s="91"/>
      <c r="BS39" s="91"/>
      <c r="BT39" s="91"/>
      <c r="BU39" s="91"/>
      <c r="BV39" s="91"/>
      <c r="BW39" s="91"/>
      <c r="BX39" s="91"/>
      <c r="BY39" s="91"/>
      <c r="BZ39" s="91"/>
      <c r="CA39" s="91"/>
      <c r="CB39" s="90">
        <v>9</v>
      </c>
      <c r="CC39" s="91"/>
      <c r="CD39" s="90">
        <v>4200</v>
      </c>
      <c r="CE39" s="91"/>
      <c r="CF39" s="91"/>
      <c r="CG39" s="90">
        <v>5700</v>
      </c>
      <c r="CH39" s="91"/>
      <c r="CI39" s="91"/>
      <c r="CJ39" s="91"/>
      <c r="CK39" s="91"/>
      <c r="CL39" s="91"/>
      <c r="CM39" s="91"/>
      <c r="CN39" s="91"/>
      <c r="CO39" s="91"/>
      <c r="CP39" s="91"/>
      <c r="CQ39" s="91"/>
      <c r="CR39" s="91"/>
      <c r="CS39" s="91"/>
      <c r="CT39" s="91"/>
      <c r="CU39" s="91"/>
      <c r="CV39" s="91"/>
      <c r="CW39" s="91"/>
      <c r="CX39" s="91"/>
      <c r="CY39" s="91"/>
      <c r="CZ39" s="91"/>
      <c r="DA39" s="91"/>
      <c r="DB39" s="91"/>
      <c r="DC39" s="91"/>
      <c r="DD39" s="91"/>
      <c r="DE39" s="91"/>
      <c r="DF39" s="91"/>
      <c r="DG39" s="91"/>
      <c r="DH39" s="91"/>
      <c r="DI39" s="91"/>
      <c r="DJ39" s="91"/>
      <c r="DK39" s="91"/>
      <c r="DL39" s="91"/>
      <c r="DM39" s="91"/>
      <c r="DN39" s="91"/>
      <c r="DO39" s="91"/>
      <c r="DP39" s="2"/>
    </row>
    <row r="40" spans="1:120" ht="12.75" customHeight="1">
      <c r="A40" s="2"/>
      <c r="B40" s="2"/>
      <c r="C40" s="2"/>
      <c r="D40" s="2"/>
      <c r="E40" s="2"/>
      <c r="F40" s="2"/>
      <c r="G40" s="2"/>
      <c r="H40" s="2"/>
      <c r="I40" s="182" t="s">
        <v>537</v>
      </c>
      <c r="J40" s="182" t="s">
        <v>1190</v>
      </c>
      <c r="K40" s="183">
        <f>K39</f>
        <v>10</v>
      </c>
      <c r="L40" s="183">
        <f>L39</f>
        <v>15</v>
      </c>
      <c r="M40" s="183">
        <f>M39</f>
        <v>10</v>
      </c>
      <c r="N40" s="91"/>
      <c r="O40" s="91"/>
      <c r="P40" s="91"/>
      <c r="Q40" s="91"/>
      <c r="R40" s="91"/>
      <c r="S40" s="91"/>
      <c r="T40" s="98" t="str">
        <f>BatChllrTgtRpm</f>
        <v>VCU_BatChllrTgtRpm</v>
      </c>
      <c r="U40" s="90">
        <v>0</v>
      </c>
      <c r="V40" s="89">
        <v>5</v>
      </c>
      <c r="W40" s="91"/>
      <c r="X40" s="91"/>
      <c r="Y40" s="91"/>
      <c r="Z40" s="91"/>
      <c r="AA40" s="91"/>
      <c r="AB40" s="91"/>
      <c r="AC40" s="91"/>
      <c r="AD40" s="91"/>
      <c r="AE40" s="91"/>
      <c r="AF40" s="91"/>
      <c r="AG40" s="91"/>
      <c r="AH40" s="91"/>
      <c r="AI40" s="91"/>
      <c r="AJ40" s="91"/>
      <c r="AK40" s="91"/>
      <c r="AL40" s="91"/>
      <c r="AM40" s="91"/>
      <c r="AN40" s="90" t="s">
        <v>48</v>
      </c>
      <c r="AO40" s="91"/>
      <c r="AP40" s="91"/>
      <c r="AQ40" s="91"/>
      <c r="AR40" s="91"/>
      <c r="AS40" s="91"/>
      <c r="AT40" s="91"/>
      <c r="AU40" s="91"/>
      <c r="AV40" s="91"/>
      <c r="AW40" s="91"/>
      <c r="AX40" s="91"/>
      <c r="AY40" s="91"/>
      <c r="AZ40" s="91"/>
      <c r="BA40" s="91"/>
      <c r="BB40" s="91"/>
      <c r="BC40" s="91"/>
      <c r="BD40" s="91"/>
      <c r="BE40" s="91"/>
      <c r="BF40" s="91"/>
      <c r="BG40" s="91"/>
      <c r="BH40" s="91"/>
      <c r="BI40" s="91"/>
      <c r="BJ40" s="91"/>
      <c r="BK40" s="91"/>
      <c r="BL40" s="91"/>
      <c r="BM40" s="91"/>
      <c r="BN40" s="91"/>
      <c r="BO40" s="91"/>
      <c r="BP40" s="91"/>
      <c r="BQ40" s="91"/>
      <c r="BR40" s="91"/>
      <c r="BS40" s="91"/>
      <c r="BT40" s="91"/>
      <c r="BU40" s="91"/>
      <c r="BV40" s="91"/>
      <c r="BW40" s="91"/>
      <c r="BX40" s="91"/>
      <c r="BY40" s="91"/>
      <c r="BZ40" s="91"/>
      <c r="CA40" s="91"/>
      <c r="CB40" s="90">
        <v>0</v>
      </c>
      <c r="CC40" s="91"/>
      <c r="CD40" s="90">
        <v>4200</v>
      </c>
      <c r="CE40" s="91"/>
      <c r="CF40" s="91"/>
      <c r="CG40" s="90">
        <v>5700</v>
      </c>
      <c r="CH40" s="91"/>
      <c r="CI40" s="91"/>
      <c r="CJ40" s="91"/>
      <c r="CK40" s="91"/>
      <c r="CL40" s="91"/>
      <c r="CM40" s="91"/>
      <c r="CN40" s="91"/>
      <c r="CO40" s="91"/>
      <c r="CP40" s="91"/>
      <c r="CQ40" s="91"/>
      <c r="CR40" s="91"/>
      <c r="CS40" s="91"/>
      <c r="CT40" s="91"/>
      <c r="CU40" s="91"/>
      <c r="CV40" s="91"/>
      <c r="CW40" s="91"/>
      <c r="CX40" s="91"/>
      <c r="CY40" s="91"/>
      <c r="CZ40" s="91"/>
      <c r="DA40" s="91"/>
      <c r="DB40" s="91"/>
      <c r="DC40" s="91"/>
      <c r="DD40" s="91"/>
      <c r="DE40" s="91"/>
      <c r="DF40" s="91"/>
      <c r="DG40" s="91"/>
      <c r="DH40" s="91"/>
      <c r="DI40" s="91"/>
      <c r="DJ40" s="91"/>
      <c r="DK40" s="91"/>
      <c r="DL40" s="91"/>
      <c r="DM40" s="91"/>
      <c r="DN40" s="91"/>
      <c r="DO40" s="91"/>
      <c r="DP40" s="2"/>
    </row>
    <row r="41" spans="1:120" ht="12.75" customHeight="1">
      <c r="A41" s="2"/>
      <c r="B41" s="2"/>
      <c r="C41" s="2"/>
      <c r="D41" s="2"/>
      <c r="E41" s="2"/>
      <c r="F41" s="2"/>
      <c r="G41" s="2"/>
      <c r="H41" s="2"/>
      <c r="I41" s="182" t="s">
        <v>537</v>
      </c>
      <c r="J41" s="182" t="s">
        <v>1191</v>
      </c>
      <c r="K41" s="183">
        <f>K40</f>
        <v>10</v>
      </c>
      <c r="L41" s="183">
        <f>L40</f>
        <v>15</v>
      </c>
      <c r="M41" s="183">
        <f>M40</f>
        <v>10</v>
      </c>
      <c r="N41" s="91"/>
      <c r="O41" s="91"/>
      <c r="P41" s="91"/>
      <c r="Q41" s="91"/>
      <c r="R41" s="91"/>
      <c r="S41" s="91"/>
      <c r="T41" s="98" t="s">
        <v>1310</v>
      </c>
      <c r="U41" s="89">
        <v>1</v>
      </c>
      <c r="V41" s="89">
        <v>5</v>
      </c>
      <c r="W41" s="91"/>
      <c r="X41" s="91"/>
      <c r="Y41" s="91"/>
      <c r="Z41" s="91"/>
      <c r="AA41" s="91"/>
      <c r="AB41" s="91"/>
      <c r="AC41" s="91"/>
      <c r="AD41" s="91"/>
      <c r="AE41" s="91"/>
      <c r="AF41" s="91"/>
      <c r="AG41" s="91"/>
      <c r="AH41" s="91"/>
      <c r="AI41" s="91"/>
      <c r="AJ41" s="91"/>
      <c r="AK41" s="91"/>
      <c r="AL41" s="91"/>
      <c r="AM41" s="91"/>
      <c r="AN41" s="90" t="s">
        <v>88</v>
      </c>
      <c r="AO41" s="91"/>
      <c r="AP41" s="91"/>
      <c r="AQ41" s="91"/>
      <c r="AR41" s="91"/>
      <c r="AS41" s="91"/>
      <c r="AT41" s="91"/>
      <c r="AU41" s="91"/>
      <c r="AV41" s="91"/>
      <c r="AW41" s="91"/>
      <c r="AX41" s="91"/>
      <c r="AY41" s="91"/>
      <c r="AZ41" s="91"/>
      <c r="BA41" s="91"/>
      <c r="BB41" s="91"/>
      <c r="BC41" s="91"/>
      <c r="BD41" s="91"/>
      <c r="BE41" s="91"/>
      <c r="BF41" s="91"/>
      <c r="BG41" s="91"/>
      <c r="BH41" s="91"/>
      <c r="BI41" s="91"/>
      <c r="BJ41" s="91"/>
      <c r="BK41" s="91"/>
      <c r="BL41" s="91"/>
      <c r="BM41" s="91"/>
      <c r="BN41" s="91"/>
      <c r="BO41" s="91"/>
      <c r="BP41" s="91"/>
      <c r="BQ41" s="91"/>
      <c r="BR41" s="91"/>
      <c r="BS41" s="91"/>
      <c r="BT41" s="91"/>
      <c r="BU41" s="91"/>
      <c r="BV41" s="91"/>
      <c r="BW41" s="91"/>
      <c r="BX41" s="91"/>
      <c r="BY41" s="91"/>
      <c r="BZ41" s="91"/>
      <c r="CA41" s="91"/>
      <c r="CB41" s="90">
        <v>7</v>
      </c>
      <c r="CC41" s="91"/>
      <c r="CD41" s="90">
        <v>0</v>
      </c>
      <c r="CE41" s="91"/>
      <c r="CF41" s="91"/>
      <c r="CG41" s="90">
        <v>0</v>
      </c>
      <c r="CH41" s="91"/>
      <c r="CI41" s="91"/>
      <c r="CJ41" s="91"/>
      <c r="CK41" s="91"/>
      <c r="CL41" s="91"/>
      <c r="CM41" s="91"/>
      <c r="CN41" s="91"/>
      <c r="CO41" s="91"/>
      <c r="CP41" s="91"/>
      <c r="CQ41" s="91"/>
      <c r="CR41" s="91"/>
      <c r="CS41" s="91"/>
      <c r="CT41" s="91"/>
      <c r="CU41" s="91"/>
      <c r="CV41" s="91"/>
      <c r="CW41" s="91"/>
      <c r="CX41" s="91"/>
      <c r="CY41" s="91"/>
      <c r="CZ41" s="91"/>
      <c r="DA41" s="91"/>
      <c r="DB41" s="91"/>
      <c r="DC41" s="91"/>
      <c r="DD41" s="91"/>
      <c r="DE41" s="91"/>
      <c r="DF41" s="91"/>
      <c r="DG41" s="91"/>
      <c r="DH41" s="91"/>
      <c r="DI41" s="91"/>
      <c r="DJ41" s="91"/>
      <c r="DK41" s="91"/>
      <c r="DL41" s="91"/>
      <c r="DM41" s="91"/>
      <c r="DN41" s="91"/>
      <c r="DO41" s="91"/>
      <c r="DP41" s="2"/>
    </row>
    <row r="42" spans="1:120" ht="13.5" customHeight="1">
      <c r="A42" s="2"/>
      <c r="B42" s="2"/>
      <c r="C42" s="2"/>
      <c r="D42" s="2"/>
      <c r="E42" s="2"/>
      <c r="F42" s="2"/>
      <c r="G42" s="2"/>
      <c r="H42" s="2"/>
      <c r="I42" s="97" t="s">
        <v>7</v>
      </c>
      <c r="J42" s="97" t="s">
        <v>1192</v>
      </c>
      <c r="K42" s="233" t="s">
        <v>1311</v>
      </c>
      <c r="L42" s="97"/>
      <c r="M42" s="97"/>
      <c r="N42" s="97"/>
      <c r="O42" s="97"/>
      <c r="P42" s="97"/>
      <c r="Q42" s="97"/>
      <c r="R42" s="97"/>
      <c r="S42" s="97"/>
      <c r="T42" s="97"/>
      <c r="U42" s="234"/>
      <c r="V42" s="234"/>
      <c r="W42" s="97"/>
      <c r="X42" s="97"/>
      <c r="Y42" s="97"/>
      <c r="Z42" s="97"/>
      <c r="AA42" s="97"/>
      <c r="AB42" s="97"/>
      <c r="AC42" s="97"/>
      <c r="AD42" s="97"/>
      <c r="AE42" s="97"/>
      <c r="AF42" s="97"/>
      <c r="AG42" s="97"/>
      <c r="AH42" s="97"/>
      <c r="AI42" s="97"/>
      <c r="AJ42" s="97"/>
      <c r="AK42" s="97"/>
      <c r="AL42" s="97"/>
      <c r="AM42" s="97"/>
      <c r="AN42" s="97"/>
      <c r="AO42" s="97"/>
      <c r="AP42" s="97"/>
      <c r="AQ42" s="97"/>
      <c r="AR42" s="97"/>
      <c r="AS42" s="97"/>
      <c r="AT42" s="97"/>
      <c r="AU42" s="97"/>
      <c r="AV42" s="97"/>
      <c r="AW42" s="97"/>
      <c r="AX42" s="97"/>
      <c r="AY42" s="97"/>
      <c r="AZ42" s="97"/>
      <c r="BA42" s="97"/>
      <c r="BB42" s="97"/>
      <c r="BC42" s="97"/>
      <c r="BD42" s="97"/>
      <c r="BE42" s="97"/>
      <c r="BF42" s="97"/>
      <c r="BG42" s="97"/>
      <c r="BH42" s="97"/>
      <c r="BI42" s="97"/>
      <c r="BJ42" s="97"/>
      <c r="BK42" s="97"/>
      <c r="BL42" s="97"/>
      <c r="BM42" s="97"/>
      <c r="BN42" s="97"/>
      <c r="BO42" s="97"/>
      <c r="BP42" s="97"/>
      <c r="BQ42" s="97"/>
      <c r="BR42" s="97"/>
      <c r="BS42" s="97"/>
      <c r="BT42" s="97"/>
      <c r="BU42" s="97"/>
      <c r="BV42" s="97"/>
      <c r="BW42" s="97"/>
      <c r="BX42" s="97"/>
      <c r="BY42" s="97"/>
      <c r="BZ42" s="97"/>
      <c r="CA42" s="97"/>
      <c r="CB42" s="97"/>
      <c r="CC42" s="97"/>
      <c r="CD42" s="97"/>
      <c r="CE42" s="97"/>
      <c r="CF42" s="97"/>
      <c r="CG42" s="97"/>
      <c r="CH42" s="97"/>
      <c r="CI42" s="97"/>
      <c r="CJ42" s="97"/>
      <c r="CK42" s="97"/>
      <c r="CL42" s="97"/>
      <c r="CM42" s="97"/>
      <c r="CN42" s="97"/>
      <c r="CO42" s="97"/>
      <c r="CP42" s="97"/>
      <c r="CQ42" s="97"/>
      <c r="CR42" s="97"/>
      <c r="CS42" s="97"/>
      <c r="CT42" s="97"/>
      <c r="CU42" s="97"/>
      <c r="CV42" s="97"/>
      <c r="CW42" s="97"/>
      <c r="CX42" s="97"/>
      <c r="CY42" s="97"/>
      <c r="CZ42" s="97"/>
      <c r="DA42" s="97"/>
      <c r="DB42" s="97"/>
      <c r="DC42" s="97"/>
      <c r="DD42" s="97"/>
      <c r="DE42" s="97"/>
      <c r="DF42" s="97"/>
      <c r="DG42" s="97"/>
      <c r="DH42" s="97"/>
      <c r="DI42" s="97"/>
      <c r="DJ42" s="97"/>
      <c r="DK42" s="97"/>
      <c r="DL42" s="97"/>
      <c r="DM42" s="97"/>
      <c r="DN42" s="97"/>
      <c r="DO42" s="97"/>
      <c r="DP42" s="2"/>
    </row>
    <row r="43" spans="1:120" ht="12.75" customHeight="1">
      <c r="A43" s="2"/>
      <c r="B43" s="2"/>
      <c r="C43" s="2"/>
      <c r="D43" s="2"/>
      <c r="E43" s="2"/>
      <c r="F43" s="2"/>
      <c r="G43" s="2"/>
      <c r="H43" s="2"/>
      <c r="I43" s="182" t="s">
        <v>47</v>
      </c>
      <c r="J43" s="182" t="s">
        <v>1193</v>
      </c>
      <c r="K43" s="183">
        <f>K41</f>
        <v>10</v>
      </c>
      <c r="L43" s="90">
        <v>-2</v>
      </c>
      <c r="M43" s="183">
        <f>M41</f>
        <v>10</v>
      </c>
      <c r="N43" s="91"/>
      <c r="O43" s="91"/>
      <c r="P43" s="91"/>
      <c r="Q43" s="91"/>
      <c r="R43" s="91"/>
      <c r="S43" s="91"/>
      <c r="T43" s="98" t="s">
        <v>188</v>
      </c>
      <c r="U43" s="90" t="e">
        <f>IF(FLAG_Country&lt;&gt;"USA","설정 온도 22 degC, AUTO ON (SYNC ON) + OFF 선택 상태 설정","설정 온도 72 degF, AUTO ON (SYNC ON) + OFF 선택 상태 설정")</f>
        <v>#NAME?</v>
      </c>
      <c r="V43" s="89">
        <v>10</v>
      </c>
      <c r="W43" s="91"/>
      <c r="X43" s="91"/>
      <c r="Y43" s="91"/>
      <c r="Z43" s="91"/>
      <c r="AA43" s="91"/>
      <c r="AB43" s="91"/>
      <c r="AC43" s="91"/>
      <c r="AD43" s="91"/>
      <c r="AE43" s="91"/>
      <c r="AF43" s="91"/>
      <c r="AG43" s="91"/>
      <c r="AH43" s="91"/>
      <c r="AI43" s="91"/>
      <c r="AJ43" s="91"/>
      <c r="AK43" s="91"/>
      <c r="AL43" s="91"/>
      <c r="AM43" s="91"/>
      <c r="AN43" s="91"/>
      <c r="AO43" s="91"/>
      <c r="AP43" s="91"/>
      <c r="AQ43" s="91"/>
      <c r="AR43" s="91"/>
      <c r="AS43" s="91"/>
      <c r="AT43" s="91"/>
      <c r="AU43" s="91"/>
      <c r="AV43" s="91"/>
      <c r="AW43" s="91"/>
      <c r="AX43" s="91"/>
      <c r="AY43" s="91"/>
      <c r="AZ43" s="91"/>
      <c r="BA43" s="91"/>
      <c r="BB43" s="91"/>
      <c r="BC43" s="91"/>
      <c r="BD43" s="91"/>
      <c r="BE43" s="91"/>
      <c r="BF43" s="91"/>
      <c r="BG43" s="91"/>
      <c r="BH43" s="91"/>
      <c r="BI43" s="91"/>
      <c r="BJ43" s="91"/>
      <c r="BK43" s="91"/>
      <c r="BL43" s="91"/>
      <c r="BM43" s="91"/>
      <c r="BN43" s="91"/>
      <c r="BO43" s="91"/>
      <c r="BP43" s="91"/>
      <c r="BQ43" s="91"/>
      <c r="BR43" s="91"/>
      <c r="BS43" s="91"/>
      <c r="BT43" s="91"/>
      <c r="BU43" s="91"/>
      <c r="BV43" s="91"/>
      <c r="BW43" s="91"/>
      <c r="BX43" s="91"/>
      <c r="BY43" s="91"/>
      <c r="BZ43" s="91"/>
      <c r="CA43" s="91"/>
      <c r="CB43" s="90">
        <v>7</v>
      </c>
      <c r="CC43" s="91"/>
      <c r="CD43" s="90">
        <v>0</v>
      </c>
      <c r="CE43" s="91"/>
      <c r="CF43" s="91"/>
      <c r="CG43" s="90">
        <v>0</v>
      </c>
      <c r="CH43" s="91"/>
      <c r="CI43" s="91"/>
      <c r="CJ43" s="91"/>
      <c r="CK43" s="91"/>
      <c r="CL43" s="91"/>
      <c r="CM43" s="91"/>
      <c r="CN43" s="91"/>
      <c r="CO43" s="91"/>
      <c r="CP43" s="91"/>
      <c r="CQ43" s="91"/>
      <c r="CR43" s="91"/>
      <c r="CS43" s="91"/>
      <c r="CT43" s="91"/>
      <c r="CU43" s="91"/>
      <c r="CV43" s="91"/>
      <c r="CW43" s="91"/>
      <c r="CX43" s="91"/>
      <c r="CY43" s="91"/>
      <c r="CZ43" s="91"/>
      <c r="DA43" s="91"/>
      <c r="DB43" s="91"/>
      <c r="DC43" s="91"/>
      <c r="DD43" s="91"/>
      <c r="DE43" s="91"/>
      <c r="DF43" s="91"/>
      <c r="DG43" s="91"/>
      <c r="DH43" s="91"/>
      <c r="DI43" s="91"/>
      <c r="DJ43" s="91"/>
      <c r="DK43" s="91"/>
      <c r="DL43" s="91"/>
      <c r="DM43" s="91"/>
      <c r="DN43" s="91"/>
      <c r="DO43" s="91"/>
      <c r="DP43" s="2"/>
    </row>
    <row r="44" spans="1:120" ht="12.75" customHeight="1">
      <c r="A44" s="2"/>
      <c r="B44" s="2"/>
      <c r="C44" s="2"/>
      <c r="D44" s="2"/>
      <c r="E44" s="2"/>
      <c r="F44" s="2"/>
      <c r="G44" s="2"/>
      <c r="H44" s="2"/>
      <c r="I44" s="182" t="s">
        <v>537</v>
      </c>
      <c r="J44" s="182" t="s">
        <v>1194</v>
      </c>
      <c r="K44" s="183">
        <f>K43</f>
        <v>10</v>
      </c>
      <c r="L44" s="183">
        <f>L43</f>
        <v>-2</v>
      </c>
      <c r="M44" s="183">
        <f>M43</f>
        <v>10</v>
      </c>
      <c r="N44" s="91"/>
      <c r="O44" s="91"/>
      <c r="P44" s="91"/>
      <c r="Q44" s="91"/>
      <c r="R44" s="91"/>
      <c r="S44" s="91"/>
      <c r="T44" s="98" t="s">
        <v>217</v>
      </c>
      <c r="U44" s="89">
        <v>1</v>
      </c>
      <c r="V44" s="89">
        <v>2</v>
      </c>
      <c r="W44" s="91"/>
      <c r="X44" s="91"/>
      <c r="Y44" s="91"/>
      <c r="Z44" s="91"/>
      <c r="AA44" s="91"/>
      <c r="AB44" s="91"/>
      <c r="AC44" s="91"/>
      <c r="AD44" s="91"/>
      <c r="AE44" s="91"/>
      <c r="AF44" s="90">
        <v>1</v>
      </c>
      <c r="AG44" s="91"/>
      <c r="AH44" s="91"/>
      <c r="AI44" s="91"/>
      <c r="AJ44" s="91"/>
      <c r="AK44" s="91"/>
      <c r="AL44" s="91"/>
      <c r="AM44" s="91"/>
      <c r="AN44" s="91"/>
      <c r="AO44" s="91"/>
      <c r="AP44" s="91"/>
      <c r="AQ44" s="91"/>
      <c r="AR44" s="91"/>
      <c r="AS44" s="91"/>
      <c r="AT44" s="91"/>
      <c r="AU44" s="91"/>
      <c r="AV44" s="91"/>
      <c r="AW44" s="91"/>
      <c r="AX44" s="91"/>
      <c r="AY44" s="91"/>
      <c r="AZ44" s="91"/>
      <c r="BA44" s="91"/>
      <c r="BB44" s="91"/>
      <c r="BC44" s="91"/>
      <c r="BD44" s="91"/>
      <c r="BE44" s="91"/>
      <c r="BF44" s="91"/>
      <c r="BG44" s="91"/>
      <c r="BH44" s="91"/>
      <c r="BI44" s="91"/>
      <c r="BJ44" s="91"/>
      <c r="BK44" s="91"/>
      <c r="BL44" s="91"/>
      <c r="BM44" s="91"/>
      <c r="BN44" s="91"/>
      <c r="BO44" s="91"/>
      <c r="BP44" s="91"/>
      <c r="BQ44" s="91"/>
      <c r="BR44" s="91"/>
      <c r="BS44" s="91"/>
      <c r="BT44" s="91"/>
      <c r="BU44" s="91"/>
      <c r="BV44" s="91"/>
      <c r="BW44" s="91"/>
      <c r="BX44" s="91"/>
      <c r="BY44" s="91"/>
      <c r="BZ44" s="91"/>
      <c r="CA44" s="91"/>
      <c r="CB44" s="90">
        <v>4</v>
      </c>
      <c r="CC44" s="91"/>
      <c r="CD44" s="90">
        <v>4200</v>
      </c>
      <c r="CE44" s="91"/>
      <c r="CF44" s="91"/>
      <c r="CG44" s="90">
        <v>4300</v>
      </c>
      <c r="CH44" s="91"/>
      <c r="CI44" s="91"/>
      <c r="CJ44" s="91"/>
      <c r="CK44" s="91"/>
      <c r="CL44" s="91"/>
      <c r="CM44" s="91"/>
      <c r="CN44" s="91"/>
      <c r="CO44" s="91"/>
      <c r="CP44" s="91"/>
      <c r="CQ44" s="91"/>
      <c r="CR44" s="91"/>
      <c r="CS44" s="91"/>
      <c r="CT44" s="91"/>
      <c r="CU44" s="91"/>
      <c r="CV44" s="91"/>
      <c r="CW44" s="91"/>
      <c r="CX44" s="91"/>
      <c r="CY44" s="91"/>
      <c r="CZ44" s="91"/>
      <c r="DA44" s="91"/>
      <c r="DB44" s="91"/>
      <c r="DC44" s="91"/>
      <c r="DD44" s="91"/>
      <c r="DE44" s="91"/>
      <c r="DF44" s="91"/>
      <c r="DG44" s="91"/>
      <c r="DH44" s="91"/>
      <c r="DI44" s="91"/>
      <c r="DJ44" s="91"/>
      <c r="DK44" s="91"/>
      <c r="DL44" s="91"/>
      <c r="DM44" s="91"/>
      <c r="DN44" s="91"/>
      <c r="DO44" s="91"/>
      <c r="DP44" s="2"/>
    </row>
    <row r="45" spans="1:120" ht="12.75" customHeight="1">
      <c r="A45" s="2"/>
      <c r="B45" s="2"/>
      <c r="C45" s="2"/>
      <c r="D45" s="2"/>
      <c r="E45" s="2"/>
      <c r="F45" s="2"/>
      <c r="G45" s="2"/>
      <c r="H45" s="2"/>
      <c r="I45" s="182" t="s">
        <v>537</v>
      </c>
      <c r="J45" s="182" t="s">
        <v>1195</v>
      </c>
      <c r="K45" s="183">
        <f>K44</f>
        <v>10</v>
      </c>
      <c r="L45" s="183">
        <f>L44</f>
        <v>-2</v>
      </c>
      <c r="M45" s="183">
        <f>M44</f>
        <v>10</v>
      </c>
      <c r="N45" s="91"/>
      <c r="O45" s="91"/>
      <c r="P45" s="91"/>
      <c r="Q45" s="91"/>
      <c r="R45" s="91"/>
      <c r="S45" s="91"/>
      <c r="T45" s="98" t="str">
        <f>BatChllrTgtRpm</f>
        <v>VCU_BatChllrTgtRpm</v>
      </c>
      <c r="U45" s="90">
        <v>1000</v>
      </c>
      <c r="V45" s="89">
        <v>5</v>
      </c>
      <c r="W45" s="91"/>
      <c r="X45" s="91"/>
      <c r="Y45" s="91"/>
      <c r="Z45" s="91"/>
      <c r="AA45" s="91"/>
      <c r="AB45" s="91"/>
      <c r="AC45" s="91"/>
      <c r="AD45" s="91"/>
      <c r="AE45" s="91"/>
      <c r="AF45" s="90">
        <v>1</v>
      </c>
      <c r="AG45" s="91"/>
      <c r="AH45" s="91"/>
      <c r="AI45" s="91"/>
      <c r="AJ45" s="91"/>
      <c r="AK45" s="91"/>
      <c r="AL45" s="91"/>
      <c r="AM45" s="91"/>
      <c r="AN45" s="91"/>
      <c r="AO45" s="91"/>
      <c r="AP45" s="91"/>
      <c r="AQ45" s="91"/>
      <c r="AR45" s="91"/>
      <c r="AS45" s="91"/>
      <c r="AT45" s="91"/>
      <c r="AU45" s="91"/>
      <c r="AV45" s="91"/>
      <c r="AW45" s="91"/>
      <c r="AX45" s="91"/>
      <c r="AY45" s="91"/>
      <c r="AZ45" s="91"/>
      <c r="BA45" s="91"/>
      <c r="BB45" s="91"/>
      <c r="BC45" s="91"/>
      <c r="BD45" s="91"/>
      <c r="BE45" s="91"/>
      <c r="BF45" s="91"/>
      <c r="BG45" s="91"/>
      <c r="BH45" s="91"/>
      <c r="BI45" s="91"/>
      <c r="BJ45" s="91"/>
      <c r="BK45" s="91"/>
      <c r="BL45" s="91"/>
      <c r="BM45" s="91"/>
      <c r="BN45" s="91"/>
      <c r="BO45" s="91"/>
      <c r="BP45" s="91"/>
      <c r="BQ45" s="91"/>
      <c r="BR45" s="91"/>
      <c r="BS45" s="91"/>
      <c r="BT45" s="91"/>
      <c r="BU45" s="91"/>
      <c r="BV45" s="91"/>
      <c r="BW45" s="91"/>
      <c r="BX45" s="91"/>
      <c r="BY45" s="91"/>
      <c r="BZ45" s="91"/>
      <c r="CA45" s="91"/>
      <c r="CB45" s="90">
        <v>10</v>
      </c>
      <c r="CC45" s="91"/>
      <c r="CD45" s="90">
        <v>1700</v>
      </c>
      <c r="CE45" s="91"/>
      <c r="CF45" s="91"/>
      <c r="CG45" s="90">
        <v>2000</v>
      </c>
      <c r="CH45" s="91"/>
      <c r="CI45" s="91"/>
      <c r="CJ45" s="91"/>
      <c r="CK45" s="91"/>
      <c r="CL45" s="91"/>
      <c r="CM45" s="91"/>
      <c r="CN45" s="91"/>
      <c r="CO45" s="91"/>
      <c r="CP45" s="91"/>
      <c r="CQ45" s="91"/>
      <c r="CR45" s="91"/>
      <c r="CS45" s="91"/>
      <c r="CT45" s="91"/>
      <c r="CU45" s="91"/>
      <c r="CV45" s="91"/>
      <c r="CW45" s="91"/>
      <c r="CX45" s="91"/>
      <c r="CY45" s="91"/>
      <c r="CZ45" s="91"/>
      <c r="DA45" s="91"/>
      <c r="DB45" s="91"/>
      <c r="DC45" s="91"/>
      <c r="DD45" s="91"/>
      <c r="DE45" s="91"/>
      <c r="DF45" s="91"/>
      <c r="DG45" s="91"/>
      <c r="DH45" s="91"/>
      <c r="DI45" s="91"/>
      <c r="DJ45" s="91"/>
      <c r="DK45" s="91"/>
      <c r="DL45" s="91"/>
      <c r="DM45" s="91"/>
      <c r="DN45" s="91"/>
      <c r="DO45" s="91"/>
      <c r="DP45" s="2"/>
    </row>
    <row r="46" spans="1:120" ht="12.75" customHeight="1">
      <c r="A46" s="2"/>
      <c r="B46" s="2"/>
      <c r="C46" s="2"/>
      <c r="D46" s="2"/>
      <c r="E46" s="2"/>
      <c r="F46" s="2"/>
      <c r="G46" s="2"/>
      <c r="H46" s="2"/>
      <c r="I46" s="182" t="s">
        <v>537</v>
      </c>
      <c r="J46" s="182" t="s">
        <v>1196</v>
      </c>
      <c r="K46" s="183">
        <f>K45</f>
        <v>10</v>
      </c>
      <c r="L46" s="183">
        <f>L45</f>
        <v>-2</v>
      </c>
      <c r="M46" s="183">
        <f>M45</f>
        <v>10</v>
      </c>
      <c r="N46" s="91"/>
      <c r="O46" s="91"/>
      <c r="P46" s="91"/>
      <c r="Q46" s="91"/>
      <c r="R46" s="91"/>
      <c r="S46" s="91"/>
      <c r="T46" s="98" t="str">
        <f>BatChllrTgtRpm</f>
        <v>VCU_BatChllrTgtRpm</v>
      </c>
      <c r="U46" s="90">
        <v>0</v>
      </c>
      <c r="V46" s="89">
        <v>2</v>
      </c>
      <c r="W46" s="91"/>
      <c r="X46" s="91"/>
      <c r="Y46" s="91"/>
      <c r="Z46" s="91"/>
      <c r="AA46" s="91"/>
      <c r="AB46" s="91"/>
      <c r="AC46" s="91"/>
      <c r="AD46" s="91"/>
      <c r="AE46" s="91"/>
      <c r="AF46" s="90">
        <v>1</v>
      </c>
      <c r="AG46" s="91"/>
      <c r="AH46" s="91"/>
      <c r="AI46" s="91"/>
      <c r="AJ46" s="91"/>
      <c r="AK46" s="91"/>
      <c r="AL46" s="91"/>
      <c r="AM46" s="91"/>
      <c r="AN46" s="91"/>
      <c r="AO46" s="91"/>
      <c r="AP46" s="91"/>
      <c r="AQ46" s="91"/>
      <c r="AR46" s="91"/>
      <c r="AS46" s="91"/>
      <c r="AT46" s="91"/>
      <c r="AU46" s="91"/>
      <c r="AV46" s="91"/>
      <c r="AW46" s="91"/>
      <c r="AX46" s="91"/>
      <c r="AY46" s="91"/>
      <c r="AZ46" s="91"/>
      <c r="BA46" s="91"/>
      <c r="BB46" s="91"/>
      <c r="BC46" s="91"/>
      <c r="BD46" s="91"/>
      <c r="BE46" s="91"/>
      <c r="BF46" s="91"/>
      <c r="BG46" s="91"/>
      <c r="BH46" s="91"/>
      <c r="BI46" s="91"/>
      <c r="BJ46" s="91"/>
      <c r="BK46" s="91"/>
      <c r="BL46" s="91"/>
      <c r="BM46" s="91"/>
      <c r="BN46" s="91"/>
      <c r="BO46" s="91"/>
      <c r="BP46" s="91"/>
      <c r="BQ46" s="91"/>
      <c r="BR46" s="91"/>
      <c r="BS46" s="91"/>
      <c r="BT46" s="91"/>
      <c r="BU46" s="91"/>
      <c r="BV46" s="91"/>
      <c r="BW46" s="91"/>
      <c r="BX46" s="91"/>
      <c r="BY46" s="91"/>
      <c r="BZ46" s="91"/>
      <c r="CA46" s="91"/>
      <c r="CB46" s="90">
        <v>4</v>
      </c>
      <c r="CC46" s="91"/>
      <c r="CD46" s="90">
        <v>4200</v>
      </c>
      <c r="CE46" s="91"/>
      <c r="CF46" s="91"/>
      <c r="CG46" s="90">
        <v>4300</v>
      </c>
      <c r="CH46" s="91"/>
      <c r="CI46" s="91"/>
      <c r="CJ46" s="91"/>
      <c r="CK46" s="91"/>
      <c r="CL46" s="91"/>
      <c r="CM46" s="91"/>
      <c r="CN46" s="91"/>
      <c r="CO46" s="91"/>
      <c r="CP46" s="91"/>
      <c r="CQ46" s="91"/>
      <c r="CR46" s="91"/>
      <c r="CS46" s="91"/>
      <c r="CT46" s="91"/>
      <c r="CU46" s="91"/>
      <c r="CV46" s="91"/>
      <c r="CW46" s="91"/>
      <c r="CX46" s="91"/>
      <c r="CY46" s="91"/>
      <c r="CZ46" s="91"/>
      <c r="DA46" s="91"/>
      <c r="DB46" s="91"/>
      <c r="DC46" s="91"/>
      <c r="DD46" s="91"/>
      <c r="DE46" s="91"/>
      <c r="DF46" s="91"/>
      <c r="DG46" s="91"/>
      <c r="DH46" s="91"/>
      <c r="DI46" s="91"/>
      <c r="DJ46" s="91"/>
      <c r="DK46" s="91"/>
      <c r="DL46" s="91"/>
      <c r="DM46" s="91"/>
      <c r="DN46" s="91"/>
      <c r="DO46" s="91"/>
      <c r="DP46" s="2"/>
    </row>
    <row r="47" spans="1:120" ht="12.75" customHeight="1">
      <c r="A47" s="2"/>
      <c r="B47" s="2"/>
      <c r="C47" s="2"/>
      <c r="D47" s="2"/>
      <c r="E47" s="2"/>
      <c r="F47" s="2"/>
      <c r="G47" s="2"/>
      <c r="H47" s="2"/>
      <c r="I47" s="182" t="s">
        <v>537</v>
      </c>
      <c r="J47" s="182" t="s">
        <v>1197</v>
      </c>
      <c r="K47" s="183">
        <f>K46</f>
        <v>10</v>
      </c>
      <c r="L47" s="183">
        <f>L46</f>
        <v>-2</v>
      </c>
      <c r="M47" s="183">
        <f>M46</f>
        <v>10</v>
      </c>
      <c r="N47" s="91"/>
      <c r="O47" s="91"/>
      <c r="P47" s="91"/>
      <c r="Q47" s="91"/>
      <c r="R47" s="91"/>
      <c r="S47" s="91"/>
      <c r="T47" s="98" t="str">
        <f>Main_Relay_Sta</f>
        <v>xEV_MainRlyOnSta</v>
      </c>
      <c r="U47" s="90">
        <v>0</v>
      </c>
      <c r="V47" s="89">
        <v>5</v>
      </c>
      <c r="W47" s="91"/>
      <c r="X47" s="91"/>
      <c r="Y47" s="91"/>
      <c r="Z47" s="91"/>
      <c r="AA47" s="91"/>
      <c r="AB47" s="91"/>
      <c r="AC47" s="91"/>
      <c r="AD47" s="91"/>
      <c r="AE47" s="91"/>
      <c r="AF47" s="90">
        <v>1</v>
      </c>
      <c r="AG47" s="91"/>
      <c r="AH47" s="91"/>
      <c r="AI47" s="91"/>
      <c r="AJ47" s="91"/>
      <c r="AK47" s="91"/>
      <c r="AL47" s="91"/>
      <c r="AM47" s="91"/>
      <c r="AN47" s="91"/>
      <c r="AO47" s="91"/>
      <c r="AP47" s="91"/>
      <c r="AQ47" s="91"/>
      <c r="AR47" s="91"/>
      <c r="AS47" s="91"/>
      <c r="AT47" s="91"/>
      <c r="AU47" s="91"/>
      <c r="AV47" s="91"/>
      <c r="AW47" s="91"/>
      <c r="AX47" s="91"/>
      <c r="AY47" s="91"/>
      <c r="AZ47" s="91"/>
      <c r="BA47" s="91"/>
      <c r="BB47" s="91"/>
      <c r="BC47" s="91"/>
      <c r="BD47" s="91"/>
      <c r="BE47" s="91"/>
      <c r="BF47" s="91"/>
      <c r="BG47" s="91"/>
      <c r="BH47" s="91"/>
      <c r="BI47" s="91"/>
      <c r="BJ47" s="91"/>
      <c r="BK47" s="91"/>
      <c r="BL47" s="91"/>
      <c r="BM47" s="91"/>
      <c r="BN47" s="91"/>
      <c r="BO47" s="91"/>
      <c r="BP47" s="91"/>
      <c r="BQ47" s="91"/>
      <c r="BR47" s="91"/>
      <c r="BS47" s="91"/>
      <c r="BT47" s="91"/>
      <c r="BU47" s="91"/>
      <c r="BV47" s="91"/>
      <c r="BW47" s="91"/>
      <c r="BX47" s="91"/>
      <c r="BY47" s="91"/>
      <c r="BZ47" s="91"/>
      <c r="CA47" s="91"/>
      <c r="CB47" s="90">
        <v>4</v>
      </c>
      <c r="CC47" s="91"/>
      <c r="CD47" s="90">
        <v>0</v>
      </c>
      <c r="CE47" s="91"/>
      <c r="CF47" s="91"/>
      <c r="CG47" s="90">
        <v>0</v>
      </c>
      <c r="CH47" s="91"/>
      <c r="CI47" s="91"/>
      <c r="CJ47" s="91"/>
      <c r="CK47" s="91"/>
      <c r="CL47" s="91"/>
      <c r="CM47" s="91"/>
      <c r="CN47" s="91"/>
      <c r="CO47" s="91"/>
      <c r="CP47" s="91"/>
      <c r="CQ47" s="91"/>
      <c r="CR47" s="91"/>
      <c r="CS47" s="91"/>
      <c r="CT47" s="91"/>
      <c r="CU47" s="91"/>
      <c r="CV47" s="91"/>
      <c r="CW47" s="91"/>
      <c r="CX47" s="91"/>
      <c r="CY47" s="91"/>
      <c r="CZ47" s="91"/>
      <c r="DA47" s="91"/>
      <c r="DB47" s="91"/>
      <c r="DC47" s="91"/>
      <c r="DD47" s="91"/>
      <c r="DE47" s="91"/>
      <c r="DF47" s="91"/>
      <c r="DG47" s="91"/>
      <c r="DH47" s="91"/>
      <c r="DI47" s="91"/>
      <c r="DJ47" s="91"/>
      <c r="DK47" s="91"/>
      <c r="DL47" s="91"/>
      <c r="DM47" s="91"/>
      <c r="DN47" s="91"/>
      <c r="DO47" s="91"/>
      <c r="DP47" s="2"/>
    </row>
    <row r="48" spans="1:120" ht="12.75" customHeight="1">
      <c r="A48" s="2"/>
      <c r="B48" s="2"/>
      <c r="C48" s="2"/>
      <c r="D48" s="2"/>
      <c r="E48" s="2"/>
      <c r="F48" s="2"/>
      <c r="G48" s="2"/>
      <c r="H48" s="2"/>
      <c r="I48" s="182" t="s">
        <v>537</v>
      </c>
      <c r="J48" s="182" t="s">
        <v>1198</v>
      </c>
      <c r="K48" s="183">
        <f>K47</f>
        <v>10</v>
      </c>
      <c r="L48" s="183">
        <f>L47</f>
        <v>-2</v>
      </c>
      <c r="M48" s="183">
        <f>M47</f>
        <v>10</v>
      </c>
      <c r="N48" s="91"/>
      <c r="O48" s="91"/>
      <c r="P48" s="91"/>
      <c r="Q48" s="91"/>
      <c r="R48" s="91"/>
      <c r="S48" s="91"/>
      <c r="T48" s="98" t="str">
        <f>Main_Relay_Sta</f>
        <v>xEV_MainRlyOnSta</v>
      </c>
      <c r="U48" s="90">
        <v>1</v>
      </c>
      <c r="V48" s="89">
        <v>2</v>
      </c>
      <c r="W48" s="91"/>
      <c r="X48" s="91"/>
      <c r="Y48" s="91"/>
      <c r="Z48" s="91"/>
      <c r="AA48" s="91"/>
      <c r="AB48" s="91"/>
      <c r="AC48" s="91"/>
      <c r="AD48" s="91"/>
      <c r="AE48" s="91"/>
      <c r="AF48" s="90">
        <v>1</v>
      </c>
      <c r="AG48" s="91"/>
      <c r="AH48" s="91"/>
      <c r="AI48" s="91"/>
      <c r="AJ48" s="91"/>
      <c r="AK48" s="91"/>
      <c r="AL48" s="91"/>
      <c r="AM48" s="91"/>
      <c r="AN48" s="91"/>
      <c r="AO48" s="91"/>
      <c r="AP48" s="91"/>
      <c r="AQ48" s="91"/>
      <c r="AR48" s="91"/>
      <c r="AS48" s="91"/>
      <c r="AT48" s="91"/>
      <c r="AU48" s="91"/>
      <c r="AV48" s="91"/>
      <c r="AW48" s="91"/>
      <c r="AX48" s="91"/>
      <c r="AY48" s="91"/>
      <c r="AZ48" s="91"/>
      <c r="BA48" s="91"/>
      <c r="BB48" s="91"/>
      <c r="BC48" s="91"/>
      <c r="BD48" s="91"/>
      <c r="BE48" s="91"/>
      <c r="BF48" s="91"/>
      <c r="BG48" s="91"/>
      <c r="BH48" s="91"/>
      <c r="BI48" s="91"/>
      <c r="BJ48" s="91"/>
      <c r="BK48" s="91"/>
      <c r="BL48" s="91"/>
      <c r="BM48" s="91"/>
      <c r="BN48" s="91"/>
      <c r="BO48" s="91"/>
      <c r="BP48" s="91"/>
      <c r="BQ48" s="91"/>
      <c r="BR48" s="91"/>
      <c r="BS48" s="91"/>
      <c r="BT48" s="91"/>
      <c r="BU48" s="91"/>
      <c r="BV48" s="91"/>
      <c r="BW48" s="91"/>
      <c r="BX48" s="91"/>
      <c r="BY48" s="91"/>
      <c r="BZ48" s="91"/>
      <c r="CA48" s="91"/>
      <c r="CB48" s="90">
        <v>4</v>
      </c>
      <c r="CC48" s="91"/>
      <c r="CD48" s="90">
        <v>4200</v>
      </c>
      <c r="CE48" s="91"/>
      <c r="CF48" s="91"/>
      <c r="CG48" s="90">
        <v>4300</v>
      </c>
      <c r="CH48" s="91"/>
      <c r="CI48" s="91"/>
      <c r="CJ48" s="91"/>
      <c r="CK48" s="91"/>
      <c r="CL48" s="91"/>
      <c r="CM48" s="91"/>
      <c r="CN48" s="91"/>
      <c r="CO48" s="91"/>
      <c r="CP48" s="91"/>
      <c r="CQ48" s="91"/>
      <c r="CR48" s="91"/>
      <c r="CS48" s="91"/>
      <c r="CT48" s="91"/>
      <c r="CU48" s="91"/>
      <c r="CV48" s="91"/>
      <c r="CW48" s="91"/>
      <c r="CX48" s="91"/>
      <c r="CY48" s="91"/>
      <c r="CZ48" s="91"/>
      <c r="DA48" s="91"/>
      <c r="DB48" s="91"/>
      <c r="DC48" s="91"/>
      <c r="DD48" s="91"/>
      <c r="DE48" s="91"/>
      <c r="DF48" s="91"/>
      <c r="DG48" s="91"/>
      <c r="DH48" s="91"/>
      <c r="DI48" s="91"/>
      <c r="DJ48" s="91"/>
      <c r="DK48" s="91"/>
      <c r="DL48" s="91"/>
      <c r="DM48" s="91"/>
      <c r="DN48" s="91"/>
      <c r="DO48" s="91"/>
      <c r="DP48" s="2"/>
    </row>
    <row r="49" spans="1:120" ht="12.75" customHeight="1">
      <c r="A49" s="2"/>
      <c r="B49" s="2"/>
      <c r="C49" s="2"/>
      <c r="D49" s="2"/>
      <c r="E49" s="2"/>
      <c r="F49" s="2"/>
      <c r="G49" s="2"/>
      <c r="H49" s="2"/>
      <c r="I49" s="182" t="s">
        <v>537</v>
      </c>
      <c r="J49" s="182" t="s">
        <v>1199</v>
      </c>
      <c r="K49" s="183">
        <f>K48</f>
        <v>10</v>
      </c>
      <c r="L49" s="183">
        <f>L48</f>
        <v>-2</v>
      </c>
      <c r="M49" s="183">
        <f>M48</f>
        <v>10</v>
      </c>
      <c r="N49" s="91"/>
      <c r="O49" s="91"/>
      <c r="P49" s="91"/>
      <c r="Q49" s="91"/>
      <c r="R49" s="91"/>
      <c r="S49" s="91"/>
      <c r="T49" s="98" t="s">
        <v>192</v>
      </c>
      <c r="U49" s="89">
        <v>1</v>
      </c>
      <c r="V49" s="89">
        <v>5</v>
      </c>
      <c r="W49" s="91"/>
      <c r="X49" s="91"/>
      <c r="Y49" s="91"/>
      <c r="Z49" s="91"/>
      <c r="AA49" s="91"/>
      <c r="AB49" s="91"/>
      <c r="AC49" s="91"/>
      <c r="AD49" s="91"/>
      <c r="AE49" s="91"/>
      <c r="AF49" s="90" t="s">
        <v>88</v>
      </c>
      <c r="AG49" s="91"/>
      <c r="AH49" s="91"/>
      <c r="AI49" s="91"/>
      <c r="AJ49" s="91"/>
      <c r="AK49" s="91"/>
      <c r="AL49" s="91"/>
      <c r="AM49" s="91"/>
      <c r="AN49" s="91"/>
      <c r="AO49" s="91"/>
      <c r="AP49" s="91"/>
      <c r="AQ49" s="91"/>
      <c r="AR49" s="91"/>
      <c r="AS49" s="91"/>
      <c r="AT49" s="91"/>
      <c r="AU49" s="91"/>
      <c r="AV49" s="91"/>
      <c r="AW49" s="91"/>
      <c r="AX49" s="91"/>
      <c r="AY49" s="91"/>
      <c r="AZ49" s="91"/>
      <c r="BA49" s="91"/>
      <c r="BB49" s="91"/>
      <c r="BC49" s="91"/>
      <c r="BD49" s="91"/>
      <c r="BE49" s="91"/>
      <c r="BF49" s="91"/>
      <c r="BG49" s="91"/>
      <c r="BH49" s="91"/>
      <c r="BI49" s="91"/>
      <c r="BJ49" s="91"/>
      <c r="BK49" s="91"/>
      <c r="BL49" s="91"/>
      <c r="BM49" s="91"/>
      <c r="BN49" s="91"/>
      <c r="BO49" s="91"/>
      <c r="BP49" s="91"/>
      <c r="BQ49" s="91"/>
      <c r="BR49" s="91"/>
      <c r="BS49" s="91"/>
      <c r="BT49" s="91"/>
      <c r="BU49" s="91"/>
      <c r="BV49" s="91"/>
      <c r="BW49" s="91"/>
      <c r="BX49" s="91"/>
      <c r="BY49" s="91"/>
      <c r="BZ49" s="91"/>
      <c r="CA49" s="91"/>
      <c r="CB49" s="90">
        <v>7</v>
      </c>
      <c r="CC49" s="91"/>
      <c r="CD49" s="90">
        <v>0</v>
      </c>
      <c r="CE49" s="91"/>
      <c r="CF49" s="91"/>
      <c r="CG49" s="90">
        <v>0</v>
      </c>
      <c r="CH49" s="91"/>
      <c r="CI49" s="91"/>
      <c r="CJ49" s="91"/>
      <c r="CK49" s="91"/>
      <c r="CL49" s="91"/>
      <c r="CM49" s="91"/>
      <c r="CN49" s="91"/>
      <c r="CO49" s="91"/>
      <c r="CP49" s="91"/>
      <c r="CQ49" s="91"/>
      <c r="CR49" s="91"/>
      <c r="CS49" s="91"/>
      <c r="CT49" s="91"/>
      <c r="CU49" s="91"/>
      <c r="CV49" s="91"/>
      <c r="CW49" s="91"/>
      <c r="CX49" s="91"/>
      <c r="CY49" s="91"/>
      <c r="CZ49" s="91"/>
      <c r="DA49" s="91"/>
      <c r="DB49" s="91"/>
      <c r="DC49" s="91"/>
      <c r="DD49" s="91"/>
      <c r="DE49" s="91"/>
      <c r="DF49" s="91"/>
      <c r="DG49" s="91"/>
      <c r="DH49" s="91"/>
      <c r="DI49" s="91"/>
      <c r="DJ49" s="91"/>
      <c r="DK49" s="91"/>
      <c r="DL49" s="91"/>
      <c r="DM49" s="91"/>
      <c r="DN49" s="91"/>
      <c r="DO49" s="91"/>
      <c r="DP49" s="2"/>
    </row>
    <row r="50" spans="1:120" ht="12.75" customHeight="1">
      <c r="A50" s="2"/>
      <c r="B50" s="2"/>
      <c r="C50" s="2"/>
      <c r="D50" s="2"/>
      <c r="E50" s="2"/>
      <c r="F50" s="2"/>
      <c r="G50" s="2"/>
      <c r="H50" s="2"/>
      <c r="I50" s="182"/>
      <c r="J50" s="182"/>
      <c r="K50" s="183"/>
      <c r="L50" s="183"/>
      <c r="M50" s="183"/>
      <c r="N50" s="91"/>
      <c r="O50" s="91"/>
      <c r="P50" s="91"/>
      <c r="Q50" s="91"/>
      <c r="R50" s="91"/>
      <c r="S50" s="91"/>
      <c r="T50" s="86"/>
      <c r="U50" s="87"/>
      <c r="V50" s="87"/>
      <c r="W50" s="91"/>
      <c r="X50" s="91"/>
      <c r="Y50" s="91"/>
      <c r="Z50" s="91"/>
      <c r="AA50" s="91"/>
      <c r="AB50" s="91"/>
      <c r="AC50" s="91"/>
      <c r="AD50" s="91"/>
      <c r="AE50" s="91"/>
      <c r="AF50" s="91"/>
      <c r="AG50" s="91"/>
      <c r="AH50" s="91"/>
      <c r="AI50" s="91"/>
      <c r="AJ50" s="91"/>
      <c r="AK50" s="91"/>
      <c r="AL50" s="91"/>
      <c r="AM50" s="91"/>
      <c r="AN50" s="91"/>
      <c r="AO50" s="91"/>
      <c r="AP50" s="91"/>
      <c r="AQ50" s="91"/>
      <c r="AR50" s="91"/>
      <c r="AS50" s="91"/>
      <c r="AT50" s="91"/>
      <c r="AU50" s="91"/>
      <c r="AV50" s="91"/>
      <c r="AW50" s="91"/>
      <c r="AX50" s="91"/>
      <c r="AY50" s="91"/>
      <c r="AZ50" s="91"/>
      <c r="BA50" s="91"/>
      <c r="BB50" s="91"/>
      <c r="BC50" s="91"/>
      <c r="BD50" s="91"/>
      <c r="BE50" s="91"/>
      <c r="BF50" s="91"/>
      <c r="BG50" s="91"/>
      <c r="BH50" s="91"/>
      <c r="BI50" s="91"/>
      <c r="BJ50" s="91"/>
      <c r="BK50" s="91"/>
      <c r="BL50" s="91"/>
      <c r="BM50" s="91"/>
      <c r="BN50" s="91"/>
      <c r="BO50" s="91"/>
      <c r="BP50" s="91"/>
      <c r="BQ50" s="91"/>
      <c r="BR50" s="91"/>
      <c r="BS50" s="91"/>
      <c r="BT50" s="91"/>
      <c r="BU50" s="91"/>
      <c r="BV50" s="91"/>
      <c r="BW50" s="91"/>
      <c r="BX50" s="91"/>
      <c r="BY50" s="91"/>
      <c r="BZ50" s="91"/>
      <c r="CA50" s="91"/>
      <c r="CB50" s="91"/>
      <c r="CC50" s="91"/>
      <c r="CD50" s="91"/>
      <c r="CE50" s="91"/>
      <c r="CF50" s="91"/>
      <c r="CG50" s="91"/>
      <c r="CH50" s="91"/>
      <c r="CI50" s="91"/>
      <c r="CJ50" s="91"/>
      <c r="CK50" s="91"/>
      <c r="CL50" s="91"/>
      <c r="CM50" s="91"/>
      <c r="CN50" s="91"/>
      <c r="CO50" s="91"/>
      <c r="CP50" s="91"/>
      <c r="CQ50" s="91"/>
      <c r="CR50" s="91"/>
      <c r="CS50" s="91"/>
      <c r="CT50" s="91"/>
      <c r="CU50" s="91"/>
      <c r="CV50" s="91"/>
      <c r="CW50" s="91"/>
      <c r="CX50" s="91"/>
      <c r="CY50" s="91"/>
      <c r="CZ50" s="91"/>
      <c r="DA50" s="91"/>
      <c r="DB50" s="91"/>
      <c r="DC50" s="91"/>
      <c r="DD50" s="91"/>
      <c r="DE50" s="91"/>
      <c r="DF50" s="91"/>
      <c r="DG50" s="91"/>
      <c r="DH50" s="91"/>
      <c r="DI50" s="91"/>
      <c r="DJ50" s="91"/>
      <c r="DK50" s="91"/>
      <c r="DL50" s="91"/>
      <c r="DM50" s="91"/>
      <c r="DN50" s="91"/>
      <c r="DO50" s="91"/>
      <c r="DP50" s="2"/>
    </row>
    <row r="51" spans="1:120" ht="12.75" customHeight="1">
      <c r="A51" s="2"/>
      <c r="B51" s="2"/>
      <c r="C51" s="2"/>
      <c r="D51" s="2"/>
      <c r="E51" s="2"/>
      <c r="F51" s="2"/>
      <c r="G51" s="2"/>
      <c r="H51" s="2"/>
      <c r="I51" s="182"/>
      <c r="J51" s="182"/>
      <c r="K51" s="183"/>
      <c r="L51" s="183"/>
      <c r="M51" s="183"/>
      <c r="N51" s="91"/>
      <c r="O51" s="91"/>
      <c r="P51" s="91"/>
      <c r="Q51" s="91"/>
      <c r="R51" s="91"/>
      <c r="S51" s="91"/>
      <c r="T51" s="86"/>
      <c r="U51" s="87"/>
      <c r="V51" s="87"/>
      <c r="W51" s="91"/>
      <c r="X51" s="91"/>
      <c r="Y51" s="91"/>
      <c r="Z51" s="91"/>
      <c r="AA51" s="91"/>
      <c r="AB51" s="91"/>
      <c r="AC51" s="91"/>
      <c r="AD51" s="91"/>
      <c r="AE51" s="91"/>
      <c r="AF51" s="91"/>
      <c r="AG51" s="91"/>
      <c r="AH51" s="91"/>
      <c r="AI51" s="91"/>
      <c r="AJ51" s="91"/>
      <c r="AK51" s="91"/>
      <c r="AL51" s="91"/>
      <c r="AM51" s="91"/>
      <c r="AN51" s="91"/>
      <c r="AO51" s="91"/>
      <c r="AP51" s="91"/>
      <c r="AQ51" s="91"/>
      <c r="AR51" s="91"/>
      <c r="AS51" s="91"/>
      <c r="AT51" s="91"/>
      <c r="AU51" s="91"/>
      <c r="AV51" s="91"/>
      <c r="AW51" s="91"/>
      <c r="AX51" s="91"/>
      <c r="AY51" s="91"/>
      <c r="AZ51" s="91"/>
      <c r="BA51" s="91"/>
      <c r="BB51" s="91"/>
      <c r="BC51" s="91"/>
      <c r="BD51" s="91"/>
      <c r="BE51" s="91"/>
      <c r="BF51" s="91"/>
      <c r="BG51" s="91"/>
      <c r="BH51" s="91"/>
      <c r="BI51" s="91"/>
      <c r="BJ51" s="91"/>
      <c r="BK51" s="91"/>
      <c r="BL51" s="91"/>
      <c r="BM51" s="91"/>
      <c r="BN51" s="91"/>
      <c r="BO51" s="91"/>
      <c r="BP51" s="91"/>
      <c r="BQ51" s="91"/>
      <c r="BR51" s="91"/>
      <c r="BS51" s="91"/>
      <c r="BT51" s="91"/>
      <c r="BU51" s="91"/>
      <c r="BV51" s="91"/>
      <c r="BW51" s="91"/>
      <c r="BX51" s="91"/>
      <c r="BY51" s="91"/>
      <c r="BZ51" s="91"/>
      <c r="CA51" s="91"/>
      <c r="CB51" s="91"/>
      <c r="CC51" s="91"/>
      <c r="CD51" s="91"/>
      <c r="CE51" s="91"/>
      <c r="CF51" s="91"/>
      <c r="CG51" s="91"/>
      <c r="CH51" s="91"/>
      <c r="CI51" s="91"/>
      <c r="CJ51" s="91"/>
      <c r="CK51" s="91"/>
      <c r="CL51" s="91"/>
      <c r="CM51" s="91"/>
      <c r="CN51" s="91"/>
      <c r="CO51" s="91"/>
      <c r="CP51" s="91"/>
      <c r="CQ51" s="91"/>
      <c r="CR51" s="91"/>
      <c r="CS51" s="91"/>
      <c r="CT51" s="91"/>
      <c r="CU51" s="91"/>
      <c r="CV51" s="91"/>
      <c r="CW51" s="91"/>
      <c r="CX51" s="91"/>
      <c r="CY51" s="91"/>
      <c r="CZ51" s="91"/>
      <c r="DA51" s="91"/>
      <c r="DB51" s="91"/>
      <c r="DC51" s="91"/>
      <c r="DD51" s="91"/>
      <c r="DE51" s="91"/>
      <c r="DF51" s="91"/>
      <c r="DG51" s="91"/>
      <c r="DH51" s="91"/>
      <c r="DI51" s="91"/>
      <c r="DJ51" s="91"/>
      <c r="DK51" s="91"/>
      <c r="DL51" s="91"/>
      <c r="DM51" s="91"/>
      <c r="DN51" s="91"/>
      <c r="DO51" s="91"/>
      <c r="DP51" s="2"/>
    </row>
    <row r="52" spans="1:120" ht="12.75" customHeight="1">
      <c r="A52" s="2"/>
      <c r="B52" s="2"/>
      <c r="C52" s="2"/>
      <c r="D52" s="2"/>
      <c r="E52" s="2"/>
      <c r="F52" s="2"/>
      <c r="G52" s="2"/>
      <c r="H52" s="2"/>
      <c r="I52" s="182"/>
      <c r="J52" s="182"/>
      <c r="K52" s="183"/>
      <c r="L52" s="183"/>
      <c r="M52" s="183"/>
      <c r="N52" s="91"/>
      <c r="O52" s="91"/>
      <c r="P52" s="91"/>
      <c r="Q52" s="91"/>
      <c r="R52" s="91"/>
      <c r="S52" s="91"/>
      <c r="T52" s="86"/>
      <c r="U52" s="87"/>
      <c r="V52" s="87"/>
      <c r="W52" s="91"/>
      <c r="X52" s="91"/>
      <c r="Y52" s="91"/>
      <c r="Z52" s="91"/>
      <c r="AA52" s="91"/>
      <c r="AB52" s="91"/>
      <c r="AC52" s="91"/>
      <c r="AD52" s="91"/>
      <c r="AE52" s="91"/>
      <c r="AF52" s="91"/>
      <c r="AG52" s="91"/>
      <c r="AH52" s="91"/>
      <c r="AI52" s="91"/>
      <c r="AJ52" s="91"/>
      <c r="AK52" s="91"/>
      <c r="AL52" s="91"/>
      <c r="AM52" s="91"/>
      <c r="AN52" s="91"/>
      <c r="AO52" s="91"/>
      <c r="AP52" s="91"/>
      <c r="AQ52" s="91"/>
      <c r="AR52" s="91"/>
      <c r="AS52" s="91"/>
      <c r="AT52" s="91"/>
      <c r="AU52" s="91"/>
      <c r="AV52" s="91"/>
      <c r="AW52" s="91"/>
      <c r="AX52" s="91"/>
      <c r="AY52" s="91"/>
      <c r="AZ52" s="91"/>
      <c r="BA52" s="91"/>
      <c r="BB52" s="91"/>
      <c r="BC52" s="91"/>
      <c r="BD52" s="91"/>
      <c r="BE52" s="91"/>
      <c r="BF52" s="91"/>
      <c r="BG52" s="91"/>
      <c r="BH52" s="91"/>
      <c r="BI52" s="91"/>
      <c r="BJ52" s="91"/>
      <c r="BK52" s="91"/>
      <c r="BL52" s="91"/>
      <c r="BM52" s="91"/>
      <c r="BN52" s="91"/>
      <c r="BO52" s="91"/>
      <c r="BP52" s="91"/>
      <c r="BQ52" s="91"/>
      <c r="BR52" s="91"/>
      <c r="BS52" s="91"/>
      <c r="BT52" s="91"/>
      <c r="BU52" s="91"/>
      <c r="BV52" s="91"/>
      <c r="BW52" s="91"/>
      <c r="BX52" s="91"/>
      <c r="BY52" s="91"/>
      <c r="BZ52" s="91"/>
      <c r="CA52" s="91"/>
      <c r="CB52" s="91"/>
      <c r="CC52" s="91"/>
      <c r="CD52" s="91"/>
      <c r="CE52" s="91"/>
      <c r="CF52" s="91"/>
      <c r="CG52" s="91"/>
      <c r="CH52" s="91"/>
      <c r="CI52" s="91"/>
      <c r="CJ52" s="91"/>
      <c r="CK52" s="91"/>
      <c r="CL52" s="91"/>
      <c r="CM52" s="91"/>
      <c r="CN52" s="91"/>
      <c r="CO52" s="91"/>
      <c r="CP52" s="91"/>
      <c r="CQ52" s="91"/>
      <c r="CR52" s="91"/>
      <c r="CS52" s="91"/>
      <c r="CT52" s="91"/>
      <c r="CU52" s="91"/>
      <c r="CV52" s="91"/>
      <c r="CW52" s="91"/>
      <c r="CX52" s="91"/>
      <c r="CY52" s="91"/>
      <c r="CZ52" s="91"/>
      <c r="DA52" s="91"/>
      <c r="DB52" s="91"/>
      <c r="DC52" s="91"/>
      <c r="DD52" s="91"/>
      <c r="DE52" s="91"/>
      <c r="DF52" s="91"/>
      <c r="DG52" s="91"/>
      <c r="DH52" s="91"/>
      <c r="DI52" s="91"/>
      <c r="DJ52" s="91"/>
      <c r="DK52" s="91"/>
      <c r="DL52" s="91"/>
      <c r="DM52" s="91"/>
      <c r="DN52" s="91"/>
      <c r="DO52" s="91"/>
      <c r="DP52" s="2"/>
    </row>
    <row r="53" spans="1:120" ht="12.75" customHeight="1">
      <c r="A53" s="2"/>
      <c r="B53" s="2"/>
      <c r="C53" s="2"/>
      <c r="D53" s="2"/>
      <c r="E53" s="2"/>
      <c r="F53" s="2"/>
      <c r="G53" s="2"/>
      <c r="H53" s="2"/>
      <c r="I53" s="182"/>
      <c r="J53" s="182"/>
      <c r="K53" s="183"/>
      <c r="L53" s="183"/>
      <c r="M53" s="183"/>
      <c r="N53" s="91"/>
      <c r="O53" s="91"/>
      <c r="P53" s="91"/>
      <c r="Q53" s="91"/>
      <c r="R53" s="91"/>
      <c r="S53" s="91"/>
      <c r="T53" s="86"/>
      <c r="U53" s="87"/>
      <c r="V53" s="87"/>
      <c r="W53" s="91"/>
      <c r="X53" s="91"/>
      <c r="Y53" s="91"/>
      <c r="Z53" s="91"/>
      <c r="AA53" s="91"/>
      <c r="AB53" s="91"/>
      <c r="AC53" s="91"/>
      <c r="AD53" s="91"/>
      <c r="AE53" s="91"/>
      <c r="AF53" s="91"/>
      <c r="AG53" s="91"/>
      <c r="AH53" s="91"/>
      <c r="AI53" s="91"/>
      <c r="AJ53" s="91"/>
      <c r="AK53" s="91"/>
      <c r="AL53" s="91"/>
      <c r="AM53" s="91"/>
      <c r="AN53" s="91"/>
      <c r="AO53" s="91"/>
      <c r="AP53" s="91"/>
      <c r="AQ53" s="91"/>
      <c r="AR53" s="91"/>
      <c r="AS53" s="91"/>
      <c r="AT53" s="91"/>
      <c r="AU53" s="91"/>
      <c r="AV53" s="91"/>
      <c r="AW53" s="91"/>
      <c r="AX53" s="91"/>
      <c r="AY53" s="91"/>
      <c r="AZ53" s="91"/>
      <c r="BA53" s="91"/>
      <c r="BB53" s="91"/>
      <c r="BC53" s="91"/>
      <c r="BD53" s="91"/>
      <c r="BE53" s="91"/>
      <c r="BF53" s="91"/>
      <c r="BG53" s="91"/>
      <c r="BH53" s="91"/>
      <c r="BI53" s="91"/>
      <c r="BJ53" s="91"/>
      <c r="BK53" s="91"/>
      <c r="BL53" s="91"/>
      <c r="BM53" s="91"/>
      <c r="BN53" s="91"/>
      <c r="BO53" s="91"/>
      <c r="BP53" s="91"/>
      <c r="BQ53" s="91"/>
      <c r="BR53" s="91"/>
      <c r="BS53" s="91"/>
      <c r="BT53" s="91"/>
      <c r="BU53" s="91"/>
      <c r="BV53" s="91"/>
      <c r="BW53" s="91"/>
      <c r="BX53" s="91"/>
      <c r="BY53" s="91"/>
      <c r="BZ53" s="91"/>
      <c r="CA53" s="91"/>
      <c r="CB53" s="91"/>
      <c r="CC53" s="91"/>
      <c r="CD53" s="91"/>
      <c r="CE53" s="91"/>
      <c r="CF53" s="91"/>
      <c r="CG53" s="91"/>
      <c r="CH53" s="91"/>
      <c r="CI53" s="91"/>
      <c r="CJ53" s="91"/>
      <c r="CK53" s="91"/>
      <c r="CL53" s="91"/>
      <c r="CM53" s="91"/>
      <c r="CN53" s="91"/>
      <c r="CO53" s="91"/>
      <c r="CP53" s="91"/>
      <c r="CQ53" s="91"/>
      <c r="CR53" s="91"/>
      <c r="CS53" s="91"/>
      <c r="CT53" s="91"/>
      <c r="CU53" s="91"/>
      <c r="CV53" s="91"/>
      <c r="CW53" s="91"/>
      <c r="CX53" s="91"/>
      <c r="CY53" s="91"/>
      <c r="CZ53" s="91"/>
      <c r="DA53" s="91"/>
      <c r="DB53" s="91"/>
      <c r="DC53" s="91"/>
      <c r="DD53" s="91"/>
      <c r="DE53" s="91"/>
      <c r="DF53" s="91"/>
      <c r="DG53" s="91"/>
      <c r="DH53" s="91"/>
      <c r="DI53" s="91"/>
      <c r="DJ53" s="91"/>
      <c r="DK53" s="91"/>
      <c r="DL53" s="91"/>
      <c r="DM53" s="91"/>
      <c r="DN53" s="91"/>
      <c r="DO53" s="91"/>
      <c r="DP53" s="2"/>
    </row>
    <row r="54" spans="1:120" ht="12.75" customHeight="1">
      <c r="A54" s="2"/>
      <c r="B54" s="2"/>
      <c r="C54" s="2"/>
      <c r="D54" s="2"/>
      <c r="E54" s="2"/>
      <c r="F54" s="2"/>
      <c r="G54" s="2"/>
      <c r="H54" s="2"/>
      <c r="I54" s="182"/>
      <c r="J54" s="182"/>
      <c r="K54" s="183"/>
      <c r="L54" s="183"/>
      <c r="M54" s="183"/>
      <c r="N54" s="91"/>
      <c r="O54" s="91"/>
      <c r="P54" s="91"/>
      <c r="Q54" s="91"/>
      <c r="R54" s="91"/>
      <c r="S54" s="91"/>
      <c r="T54" s="86"/>
      <c r="U54" s="87"/>
      <c r="V54" s="87"/>
      <c r="W54" s="91"/>
      <c r="X54" s="91"/>
      <c r="Y54" s="91"/>
      <c r="Z54" s="91"/>
      <c r="AA54" s="91"/>
      <c r="AB54" s="91"/>
      <c r="AC54" s="91"/>
      <c r="AD54" s="91"/>
      <c r="AE54" s="91"/>
      <c r="AF54" s="91"/>
      <c r="AG54" s="91"/>
      <c r="AH54" s="91"/>
      <c r="AI54" s="91"/>
      <c r="AJ54" s="91"/>
      <c r="AK54" s="91"/>
      <c r="AL54" s="91"/>
      <c r="AM54" s="91"/>
      <c r="AN54" s="91"/>
      <c r="AO54" s="91"/>
      <c r="AP54" s="91"/>
      <c r="AQ54" s="91"/>
      <c r="AR54" s="91"/>
      <c r="AS54" s="91"/>
      <c r="AT54" s="91"/>
      <c r="AU54" s="91"/>
      <c r="AV54" s="91"/>
      <c r="AW54" s="91"/>
      <c r="AX54" s="91"/>
      <c r="AY54" s="91"/>
      <c r="AZ54" s="91"/>
      <c r="BA54" s="91"/>
      <c r="BB54" s="91"/>
      <c r="BC54" s="91"/>
      <c r="BD54" s="91"/>
      <c r="BE54" s="91"/>
      <c r="BF54" s="91"/>
      <c r="BG54" s="91"/>
      <c r="BH54" s="91"/>
      <c r="BI54" s="91"/>
      <c r="BJ54" s="91"/>
      <c r="BK54" s="91"/>
      <c r="BL54" s="91"/>
      <c r="BM54" s="91"/>
      <c r="BN54" s="91"/>
      <c r="BO54" s="91"/>
      <c r="BP54" s="91"/>
      <c r="BQ54" s="91"/>
      <c r="BR54" s="91"/>
      <c r="BS54" s="91"/>
      <c r="BT54" s="91"/>
      <c r="BU54" s="91"/>
      <c r="BV54" s="91"/>
      <c r="BW54" s="91"/>
      <c r="BX54" s="91"/>
      <c r="BY54" s="91"/>
      <c r="BZ54" s="91"/>
      <c r="CA54" s="91"/>
      <c r="CB54" s="91"/>
      <c r="CC54" s="91"/>
      <c r="CD54" s="91"/>
      <c r="CE54" s="91"/>
      <c r="CF54" s="91"/>
      <c r="CG54" s="91"/>
      <c r="CH54" s="91"/>
      <c r="CI54" s="91"/>
      <c r="CJ54" s="91"/>
      <c r="CK54" s="91"/>
      <c r="CL54" s="91"/>
      <c r="CM54" s="91"/>
      <c r="CN54" s="91"/>
      <c r="CO54" s="91"/>
      <c r="CP54" s="91"/>
      <c r="CQ54" s="91"/>
      <c r="CR54" s="91"/>
      <c r="CS54" s="91"/>
      <c r="CT54" s="91"/>
      <c r="CU54" s="91"/>
      <c r="CV54" s="91"/>
      <c r="CW54" s="91"/>
      <c r="CX54" s="91"/>
      <c r="CY54" s="91"/>
      <c r="CZ54" s="91"/>
      <c r="DA54" s="91"/>
      <c r="DB54" s="91"/>
      <c r="DC54" s="91"/>
      <c r="DD54" s="91"/>
      <c r="DE54" s="91"/>
      <c r="DF54" s="91"/>
      <c r="DG54" s="91"/>
      <c r="DH54" s="91"/>
      <c r="DI54" s="91"/>
      <c r="DJ54" s="91"/>
      <c r="DK54" s="91"/>
      <c r="DL54" s="91"/>
      <c r="DM54" s="91"/>
      <c r="DN54" s="91"/>
      <c r="DO54" s="91"/>
      <c r="DP54" s="2"/>
    </row>
    <row r="55" spans="1:120" ht="12.75" customHeight="1">
      <c r="A55" s="2"/>
      <c r="B55" s="2"/>
      <c r="C55" s="2"/>
      <c r="D55" s="2"/>
      <c r="E55" s="2"/>
      <c r="F55" s="2"/>
      <c r="G55" s="2"/>
      <c r="H55" s="2"/>
      <c r="I55" s="182"/>
      <c r="J55" s="182"/>
      <c r="K55" s="183"/>
      <c r="L55" s="183"/>
      <c r="M55" s="183"/>
      <c r="N55" s="91"/>
      <c r="O55" s="91"/>
      <c r="P55" s="91"/>
      <c r="Q55" s="91"/>
      <c r="R55" s="91"/>
      <c r="S55" s="91"/>
      <c r="T55" s="86"/>
      <c r="U55" s="87"/>
      <c r="V55" s="87"/>
      <c r="W55" s="91"/>
      <c r="X55" s="91"/>
      <c r="Y55" s="91"/>
      <c r="Z55" s="91"/>
      <c r="AA55" s="91"/>
      <c r="AB55" s="91"/>
      <c r="AC55" s="91"/>
      <c r="AD55" s="91"/>
      <c r="AE55" s="91"/>
      <c r="AF55" s="91"/>
      <c r="AG55" s="91"/>
      <c r="AH55" s="91"/>
      <c r="AI55" s="91"/>
      <c r="AJ55" s="91"/>
      <c r="AK55" s="91"/>
      <c r="AL55" s="91"/>
      <c r="AM55" s="91"/>
      <c r="AN55" s="91"/>
      <c r="AO55" s="91"/>
      <c r="AP55" s="91"/>
      <c r="AQ55" s="91"/>
      <c r="AR55" s="91"/>
      <c r="AS55" s="91"/>
      <c r="AT55" s="91"/>
      <c r="AU55" s="91"/>
      <c r="AV55" s="91"/>
      <c r="AW55" s="91"/>
      <c r="AX55" s="91"/>
      <c r="AY55" s="91"/>
      <c r="AZ55" s="91"/>
      <c r="BA55" s="91"/>
      <c r="BB55" s="91"/>
      <c r="BC55" s="91"/>
      <c r="BD55" s="91"/>
      <c r="BE55" s="91"/>
      <c r="BF55" s="91"/>
      <c r="BG55" s="91"/>
      <c r="BH55" s="91"/>
      <c r="BI55" s="91"/>
      <c r="BJ55" s="91"/>
      <c r="BK55" s="91"/>
      <c r="BL55" s="91"/>
      <c r="BM55" s="91"/>
      <c r="BN55" s="91"/>
      <c r="BO55" s="91"/>
      <c r="BP55" s="91"/>
      <c r="BQ55" s="91"/>
      <c r="BR55" s="91"/>
      <c r="BS55" s="91"/>
      <c r="BT55" s="91"/>
      <c r="BU55" s="91"/>
      <c r="BV55" s="91"/>
      <c r="BW55" s="91"/>
      <c r="BX55" s="91"/>
      <c r="BY55" s="91"/>
      <c r="BZ55" s="91"/>
      <c r="CA55" s="91"/>
      <c r="CB55" s="91"/>
      <c r="CC55" s="91"/>
      <c r="CD55" s="91"/>
      <c r="CE55" s="91"/>
      <c r="CF55" s="91"/>
      <c r="CG55" s="91"/>
      <c r="CH55" s="91"/>
      <c r="CI55" s="91"/>
      <c r="CJ55" s="91"/>
      <c r="CK55" s="91"/>
      <c r="CL55" s="91"/>
      <c r="CM55" s="91"/>
      <c r="CN55" s="91"/>
      <c r="CO55" s="91"/>
      <c r="CP55" s="91"/>
      <c r="CQ55" s="91"/>
      <c r="CR55" s="91"/>
      <c r="CS55" s="91"/>
      <c r="CT55" s="91"/>
      <c r="CU55" s="91"/>
      <c r="CV55" s="91"/>
      <c r="CW55" s="91"/>
      <c r="CX55" s="91"/>
      <c r="CY55" s="91"/>
      <c r="CZ55" s="91"/>
      <c r="DA55" s="91"/>
      <c r="DB55" s="91"/>
      <c r="DC55" s="91"/>
      <c r="DD55" s="91"/>
      <c r="DE55" s="91"/>
      <c r="DF55" s="91"/>
      <c r="DG55" s="91"/>
      <c r="DH55" s="91"/>
      <c r="DI55" s="91"/>
      <c r="DJ55" s="91"/>
      <c r="DK55" s="91"/>
      <c r="DL55" s="91"/>
      <c r="DM55" s="91"/>
      <c r="DN55" s="91"/>
      <c r="DO55" s="91"/>
      <c r="DP55" s="2"/>
    </row>
    <row r="56" spans="1:120" ht="12.75" customHeight="1">
      <c r="A56" s="2"/>
      <c r="B56" s="2"/>
      <c r="C56" s="2"/>
      <c r="D56" s="2"/>
      <c r="E56" s="2"/>
      <c r="F56" s="2"/>
      <c r="G56" s="2"/>
      <c r="H56" s="2"/>
      <c r="I56" s="182"/>
      <c r="J56" s="182"/>
      <c r="K56" s="183"/>
      <c r="L56" s="183"/>
      <c r="M56" s="183"/>
      <c r="N56" s="91"/>
      <c r="O56" s="91"/>
      <c r="P56" s="91"/>
      <c r="Q56" s="91"/>
      <c r="R56" s="91"/>
      <c r="S56" s="91"/>
      <c r="T56" s="86"/>
      <c r="U56" s="87"/>
      <c r="V56" s="87"/>
      <c r="W56" s="91"/>
      <c r="X56" s="91"/>
      <c r="Y56" s="91"/>
      <c r="Z56" s="91"/>
      <c r="AA56" s="91"/>
      <c r="AB56" s="91"/>
      <c r="AC56" s="91"/>
      <c r="AD56" s="91"/>
      <c r="AE56" s="91"/>
      <c r="AF56" s="91"/>
      <c r="AG56" s="91"/>
      <c r="AH56" s="91"/>
      <c r="AI56" s="91"/>
      <c r="AJ56" s="91"/>
      <c r="AK56" s="91"/>
      <c r="AL56" s="91"/>
      <c r="AM56" s="91"/>
      <c r="AN56" s="91"/>
      <c r="AO56" s="91"/>
      <c r="AP56" s="91"/>
      <c r="AQ56" s="91"/>
      <c r="AR56" s="91"/>
      <c r="AS56" s="91"/>
      <c r="AT56" s="91"/>
      <c r="AU56" s="91"/>
      <c r="AV56" s="91"/>
      <c r="AW56" s="91"/>
      <c r="AX56" s="91"/>
      <c r="AY56" s="91"/>
      <c r="AZ56" s="91"/>
      <c r="BA56" s="91"/>
      <c r="BB56" s="91"/>
      <c r="BC56" s="91"/>
      <c r="BD56" s="91"/>
      <c r="BE56" s="91"/>
      <c r="BF56" s="91"/>
      <c r="BG56" s="91"/>
      <c r="BH56" s="91"/>
      <c r="BI56" s="91"/>
      <c r="BJ56" s="91"/>
      <c r="BK56" s="91"/>
      <c r="BL56" s="91"/>
      <c r="BM56" s="91"/>
      <c r="BN56" s="91"/>
      <c r="BO56" s="91"/>
      <c r="BP56" s="91"/>
      <c r="BQ56" s="91"/>
      <c r="BR56" s="91"/>
      <c r="BS56" s="91"/>
      <c r="BT56" s="91"/>
      <c r="BU56" s="91"/>
      <c r="BV56" s="91"/>
      <c r="BW56" s="91"/>
      <c r="BX56" s="91"/>
      <c r="BY56" s="91"/>
      <c r="BZ56" s="91"/>
      <c r="CA56" s="91"/>
      <c r="CB56" s="91"/>
      <c r="CC56" s="91"/>
      <c r="CD56" s="91"/>
      <c r="CE56" s="91"/>
      <c r="CF56" s="91"/>
      <c r="CG56" s="91"/>
      <c r="CH56" s="91"/>
      <c r="CI56" s="91"/>
      <c r="CJ56" s="91"/>
      <c r="CK56" s="91"/>
      <c r="CL56" s="91"/>
      <c r="CM56" s="91"/>
      <c r="CN56" s="91"/>
      <c r="CO56" s="91"/>
      <c r="CP56" s="91"/>
      <c r="CQ56" s="91"/>
      <c r="CR56" s="91"/>
      <c r="CS56" s="91"/>
      <c r="CT56" s="91"/>
      <c r="CU56" s="91"/>
      <c r="CV56" s="91"/>
      <c r="CW56" s="91"/>
      <c r="CX56" s="91"/>
      <c r="CY56" s="91"/>
      <c r="CZ56" s="91"/>
      <c r="DA56" s="91"/>
      <c r="DB56" s="91"/>
      <c r="DC56" s="91"/>
      <c r="DD56" s="91"/>
      <c r="DE56" s="91"/>
      <c r="DF56" s="91"/>
      <c r="DG56" s="91"/>
      <c r="DH56" s="91"/>
      <c r="DI56" s="91"/>
      <c r="DJ56" s="91"/>
      <c r="DK56" s="91"/>
      <c r="DL56" s="91"/>
      <c r="DM56" s="91"/>
      <c r="DN56" s="91"/>
      <c r="DO56" s="91"/>
      <c r="DP56" s="2"/>
    </row>
    <row r="57" spans="1:120" ht="12.75" customHeight="1">
      <c r="A57" s="2"/>
      <c r="B57" s="2"/>
      <c r="C57" s="2"/>
      <c r="D57" s="2"/>
      <c r="E57" s="2"/>
      <c r="F57" s="2"/>
      <c r="G57" s="2"/>
      <c r="H57" s="2"/>
      <c r="I57" s="182"/>
      <c r="J57" s="182"/>
      <c r="K57" s="183"/>
      <c r="L57" s="183"/>
      <c r="M57" s="183"/>
      <c r="N57" s="91"/>
      <c r="O57" s="91"/>
      <c r="P57" s="91"/>
      <c r="Q57" s="91"/>
      <c r="R57" s="91"/>
      <c r="S57" s="91"/>
      <c r="T57" s="86"/>
      <c r="U57" s="87"/>
      <c r="V57" s="87"/>
      <c r="W57" s="91"/>
      <c r="X57" s="91"/>
      <c r="Y57" s="91"/>
      <c r="Z57" s="91"/>
      <c r="AA57" s="91"/>
      <c r="AB57" s="91"/>
      <c r="AC57" s="91"/>
      <c r="AD57" s="91"/>
      <c r="AE57" s="91"/>
      <c r="AF57" s="91"/>
      <c r="AG57" s="91"/>
      <c r="AH57" s="91"/>
      <c r="AI57" s="91"/>
      <c r="AJ57" s="91"/>
      <c r="AK57" s="91"/>
      <c r="AL57" s="91"/>
      <c r="AM57" s="91"/>
      <c r="AN57" s="91"/>
      <c r="AO57" s="91"/>
      <c r="AP57" s="91"/>
      <c r="AQ57" s="91"/>
      <c r="AR57" s="91"/>
      <c r="AS57" s="91"/>
      <c r="AT57" s="91"/>
      <c r="AU57" s="91"/>
      <c r="AV57" s="91"/>
      <c r="AW57" s="91"/>
      <c r="AX57" s="91"/>
      <c r="AY57" s="91"/>
      <c r="AZ57" s="91"/>
      <c r="BA57" s="91"/>
      <c r="BB57" s="91"/>
      <c r="BC57" s="91"/>
      <c r="BD57" s="91"/>
      <c r="BE57" s="91"/>
      <c r="BF57" s="91"/>
      <c r="BG57" s="91"/>
      <c r="BH57" s="91"/>
      <c r="BI57" s="91"/>
      <c r="BJ57" s="91"/>
      <c r="BK57" s="91"/>
      <c r="BL57" s="91"/>
      <c r="BM57" s="91"/>
      <c r="BN57" s="91"/>
      <c r="BO57" s="91"/>
      <c r="BP57" s="91"/>
      <c r="BQ57" s="91"/>
      <c r="BR57" s="91"/>
      <c r="BS57" s="91"/>
      <c r="BT57" s="91"/>
      <c r="BU57" s="91"/>
      <c r="BV57" s="91"/>
      <c r="BW57" s="91"/>
      <c r="BX57" s="91"/>
      <c r="BY57" s="91"/>
      <c r="BZ57" s="91"/>
      <c r="CA57" s="91"/>
      <c r="CB57" s="91"/>
      <c r="CC57" s="91"/>
      <c r="CD57" s="91"/>
      <c r="CE57" s="91"/>
      <c r="CF57" s="91"/>
      <c r="CG57" s="91"/>
      <c r="CH57" s="91"/>
      <c r="CI57" s="91"/>
      <c r="CJ57" s="91"/>
      <c r="CK57" s="91"/>
      <c r="CL57" s="91"/>
      <c r="CM57" s="91"/>
      <c r="CN57" s="91"/>
      <c r="CO57" s="91"/>
      <c r="CP57" s="91"/>
      <c r="CQ57" s="91"/>
      <c r="CR57" s="91"/>
      <c r="CS57" s="91"/>
      <c r="CT57" s="91"/>
      <c r="CU57" s="91"/>
      <c r="CV57" s="91"/>
      <c r="CW57" s="91"/>
      <c r="CX57" s="91"/>
      <c r="CY57" s="91"/>
      <c r="CZ57" s="91"/>
      <c r="DA57" s="91"/>
      <c r="DB57" s="91"/>
      <c r="DC57" s="91"/>
      <c r="DD57" s="91"/>
      <c r="DE57" s="91"/>
      <c r="DF57" s="91"/>
      <c r="DG57" s="91"/>
      <c r="DH57" s="91"/>
      <c r="DI57" s="91"/>
      <c r="DJ57" s="91"/>
      <c r="DK57" s="91"/>
      <c r="DL57" s="91"/>
      <c r="DM57" s="91"/>
      <c r="DN57" s="91"/>
      <c r="DO57" s="91"/>
      <c r="DP57" s="2"/>
    </row>
    <row r="58" spans="1:120" ht="12.75" customHeight="1">
      <c r="A58" s="2"/>
      <c r="B58" s="2"/>
      <c r="C58" s="2"/>
      <c r="D58" s="2"/>
      <c r="E58" s="2"/>
      <c r="F58" s="2"/>
      <c r="G58" s="2"/>
      <c r="H58" s="2"/>
      <c r="I58" s="182"/>
      <c r="J58" s="182"/>
      <c r="K58" s="183"/>
      <c r="L58" s="183"/>
      <c r="M58" s="183"/>
      <c r="N58" s="91"/>
      <c r="O58" s="91"/>
      <c r="P58" s="91"/>
      <c r="Q58" s="91"/>
      <c r="R58" s="91"/>
      <c r="S58" s="91"/>
      <c r="T58" s="86"/>
      <c r="U58" s="87"/>
      <c r="V58" s="87"/>
      <c r="W58" s="91"/>
      <c r="X58" s="91"/>
      <c r="Y58" s="91"/>
      <c r="Z58" s="91"/>
      <c r="AA58" s="91"/>
      <c r="AB58" s="91"/>
      <c r="AC58" s="91"/>
      <c r="AD58" s="91"/>
      <c r="AE58" s="91"/>
      <c r="AF58" s="91"/>
      <c r="AG58" s="91"/>
      <c r="AH58" s="91"/>
      <c r="AI58" s="91"/>
      <c r="AJ58" s="91"/>
      <c r="AK58" s="91"/>
      <c r="AL58" s="91"/>
      <c r="AM58" s="91"/>
      <c r="AN58" s="91"/>
      <c r="AO58" s="91"/>
      <c r="AP58" s="91"/>
      <c r="AQ58" s="91"/>
      <c r="AR58" s="91"/>
      <c r="AS58" s="91"/>
      <c r="AT58" s="91"/>
      <c r="AU58" s="91"/>
      <c r="AV58" s="91"/>
      <c r="AW58" s="91"/>
      <c r="AX58" s="91"/>
      <c r="AY58" s="91"/>
      <c r="AZ58" s="91"/>
      <c r="BA58" s="91"/>
      <c r="BB58" s="91"/>
      <c r="BC58" s="91"/>
      <c r="BD58" s="91"/>
      <c r="BE58" s="91"/>
      <c r="BF58" s="91"/>
      <c r="BG58" s="91"/>
      <c r="BH58" s="91"/>
      <c r="BI58" s="91"/>
      <c r="BJ58" s="91"/>
      <c r="BK58" s="91"/>
      <c r="BL58" s="91"/>
      <c r="BM58" s="91"/>
      <c r="BN58" s="91"/>
      <c r="BO58" s="91"/>
      <c r="BP58" s="91"/>
      <c r="BQ58" s="91"/>
      <c r="BR58" s="91"/>
      <c r="BS58" s="91"/>
      <c r="BT58" s="91"/>
      <c r="BU58" s="91"/>
      <c r="BV58" s="91"/>
      <c r="BW58" s="91"/>
      <c r="BX58" s="91"/>
      <c r="BY58" s="91"/>
      <c r="BZ58" s="91"/>
      <c r="CA58" s="91"/>
      <c r="CB58" s="91"/>
      <c r="CC58" s="91"/>
      <c r="CD58" s="91"/>
      <c r="CE58" s="91"/>
      <c r="CF58" s="91"/>
      <c r="CG58" s="91"/>
      <c r="CH58" s="91"/>
      <c r="CI58" s="91"/>
      <c r="CJ58" s="91"/>
      <c r="CK58" s="91"/>
      <c r="CL58" s="91"/>
      <c r="CM58" s="91"/>
      <c r="CN58" s="91"/>
      <c r="CO58" s="91"/>
      <c r="CP58" s="91"/>
      <c r="CQ58" s="91"/>
      <c r="CR58" s="91"/>
      <c r="CS58" s="91"/>
      <c r="CT58" s="91"/>
      <c r="CU58" s="91"/>
      <c r="CV58" s="91"/>
      <c r="CW58" s="91"/>
      <c r="CX58" s="91"/>
      <c r="CY58" s="91"/>
      <c r="CZ58" s="91"/>
      <c r="DA58" s="91"/>
      <c r="DB58" s="91"/>
      <c r="DC58" s="91"/>
      <c r="DD58" s="91"/>
      <c r="DE58" s="91"/>
      <c r="DF58" s="91"/>
      <c r="DG58" s="91"/>
      <c r="DH58" s="91"/>
      <c r="DI58" s="91"/>
      <c r="DJ58" s="91"/>
      <c r="DK58" s="91"/>
      <c r="DL58" s="91"/>
      <c r="DM58" s="91"/>
      <c r="DN58" s="91"/>
      <c r="DO58" s="91"/>
      <c r="DP58" s="2"/>
    </row>
    <row r="59" spans="1:120" ht="12.75" customHeight="1">
      <c r="A59" s="2"/>
      <c r="B59" s="2"/>
      <c r="C59" s="2"/>
      <c r="D59" s="2"/>
      <c r="E59" s="2"/>
      <c r="F59" s="2"/>
      <c r="G59" s="2"/>
      <c r="H59" s="2"/>
      <c r="I59" s="182"/>
      <c r="J59" s="182"/>
      <c r="K59" s="183"/>
      <c r="L59" s="183"/>
      <c r="M59" s="183"/>
      <c r="N59" s="91"/>
      <c r="O59" s="91"/>
      <c r="P59" s="91"/>
      <c r="Q59" s="91"/>
      <c r="R59" s="91"/>
      <c r="S59" s="91"/>
      <c r="T59" s="86"/>
      <c r="U59" s="87"/>
      <c r="V59" s="87"/>
      <c r="W59" s="91"/>
      <c r="X59" s="91"/>
      <c r="Y59" s="91"/>
      <c r="Z59" s="91"/>
      <c r="AA59" s="91"/>
      <c r="AB59" s="91"/>
      <c r="AC59" s="91"/>
      <c r="AD59" s="91"/>
      <c r="AE59" s="91"/>
      <c r="AF59" s="91"/>
      <c r="AG59" s="91"/>
      <c r="AH59" s="91"/>
      <c r="AI59" s="91"/>
      <c r="AJ59" s="91"/>
      <c r="AK59" s="91"/>
      <c r="AL59" s="91"/>
      <c r="AM59" s="91"/>
      <c r="AN59" s="91"/>
      <c r="AO59" s="91"/>
      <c r="AP59" s="91"/>
      <c r="AQ59" s="91"/>
      <c r="AR59" s="91"/>
      <c r="AS59" s="91"/>
      <c r="AT59" s="91"/>
      <c r="AU59" s="91"/>
      <c r="AV59" s="91"/>
      <c r="AW59" s="91"/>
      <c r="AX59" s="91"/>
      <c r="AY59" s="91"/>
      <c r="AZ59" s="91"/>
      <c r="BA59" s="91"/>
      <c r="BB59" s="91"/>
      <c r="BC59" s="91"/>
      <c r="BD59" s="91"/>
      <c r="BE59" s="91"/>
      <c r="BF59" s="91"/>
      <c r="BG59" s="91"/>
      <c r="BH59" s="91"/>
      <c r="BI59" s="91"/>
      <c r="BJ59" s="91"/>
      <c r="BK59" s="91"/>
      <c r="BL59" s="91"/>
      <c r="BM59" s="91"/>
      <c r="BN59" s="91"/>
      <c r="BO59" s="91"/>
      <c r="BP59" s="91"/>
      <c r="BQ59" s="91"/>
      <c r="BR59" s="91"/>
      <c r="BS59" s="91"/>
      <c r="BT59" s="91"/>
      <c r="BU59" s="91"/>
      <c r="BV59" s="91"/>
      <c r="BW59" s="91"/>
      <c r="BX59" s="91"/>
      <c r="BY59" s="91"/>
      <c r="BZ59" s="91"/>
      <c r="CA59" s="91"/>
      <c r="CB59" s="91"/>
      <c r="CC59" s="91"/>
      <c r="CD59" s="91"/>
      <c r="CE59" s="91"/>
      <c r="CF59" s="91"/>
      <c r="CG59" s="91"/>
      <c r="CH59" s="91"/>
      <c r="CI59" s="91"/>
      <c r="CJ59" s="91"/>
      <c r="CK59" s="91"/>
      <c r="CL59" s="91"/>
      <c r="CM59" s="91"/>
      <c r="CN59" s="91"/>
      <c r="CO59" s="91"/>
      <c r="CP59" s="91"/>
      <c r="CQ59" s="91"/>
      <c r="CR59" s="91"/>
      <c r="CS59" s="91"/>
      <c r="CT59" s="91"/>
      <c r="CU59" s="91"/>
      <c r="CV59" s="91"/>
      <c r="CW59" s="91"/>
      <c r="CX59" s="91"/>
      <c r="CY59" s="91"/>
      <c r="CZ59" s="91"/>
      <c r="DA59" s="91"/>
      <c r="DB59" s="91"/>
      <c r="DC59" s="91"/>
      <c r="DD59" s="91"/>
      <c r="DE59" s="91"/>
      <c r="DF59" s="91"/>
      <c r="DG59" s="91"/>
      <c r="DH59" s="91"/>
      <c r="DI59" s="91"/>
      <c r="DJ59" s="91"/>
      <c r="DK59" s="91"/>
      <c r="DL59" s="91"/>
      <c r="DM59" s="91"/>
      <c r="DN59" s="91"/>
      <c r="DO59" s="91"/>
      <c r="DP59" s="2"/>
    </row>
    <row r="60" spans="1:120" ht="12.75" customHeight="1">
      <c r="A60" s="2"/>
      <c r="B60" s="2"/>
      <c r="C60" s="2"/>
      <c r="D60" s="2"/>
      <c r="E60" s="2"/>
      <c r="F60" s="2"/>
      <c r="G60" s="2"/>
      <c r="H60" s="2"/>
      <c r="I60" s="182"/>
      <c r="J60" s="182"/>
      <c r="K60" s="183"/>
      <c r="L60" s="183"/>
      <c r="M60" s="183"/>
      <c r="N60" s="91"/>
      <c r="O60" s="91"/>
      <c r="P60" s="91"/>
      <c r="Q60" s="91"/>
      <c r="R60" s="91"/>
      <c r="S60" s="91"/>
      <c r="T60" s="86"/>
      <c r="U60" s="87"/>
      <c r="V60" s="87"/>
      <c r="W60" s="91"/>
      <c r="X60" s="91"/>
      <c r="Y60" s="91"/>
      <c r="Z60" s="91"/>
      <c r="AA60" s="91"/>
      <c r="AB60" s="91"/>
      <c r="AC60" s="91"/>
      <c r="AD60" s="91"/>
      <c r="AE60" s="91"/>
      <c r="AF60" s="91"/>
      <c r="AG60" s="91"/>
      <c r="AH60" s="91"/>
      <c r="AI60" s="91"/>
      <c r="AJ60" s="91"/>
      <c r="AK60" s="91"/>
      <c r="AL60" s="91"/>
      <c r="AM60" s="91"/>
      <c r="AN60" s="91"/>
      <c r="AO60" s="91"/>
      <c r="AP60" s="91"/>
      <c r="AQ60" s="91"/>
      <c r="AR60" s="91"/>
      <c r="AS60" s="91"/>
      <c r="AT60" s="91"/>
      <c r="AU60" s="91"/>
      <c r="AV60" s="91"/>
      <c r="AW60" s="91"/>
      <c r="AX60" s="91"/>
      <c r="AY60" s="91"/>
      <c r="AZ60" s="91"/>
      <c r="BA60" s="91"/>
      <c r="BB60" s="91"/>
      <c r="BC60" s="91"/>
      <c r="BD60" s="91"/>
      <c r="BE60" s="91"/>
      <c r="BF60" s="91"/>
      <c r="BG60" s="91"/>
      <c r="BH60" s="91"/>
      <c r="BI60" s="91"/>
      <c r="BJ60" s="91"/>
      <c r="BK60" s="91"/>
      <c r="BL60" s="91"/>
      <c r="BM60" s="91"/>
      <c r="BN60" s="91"/>
      <c r="BO60" s="91"/>
      <c r="BP60" s="91"/>
      <c r="BQ60" s="91"/>
      <c r="BR60" s="91"/>
      <c r="BS60" s="91"/>
      <c r="BT60" s="91"/>
      <c r="BU60" s="91"/>
      <c r="BV60" s="91"/>
      <c r="BW60" s="91"/>
      <c r="BX60" s="91"/>
      <c r="BY60" s="91"/>
      <c r="BZ60" s="91"/>
      <c r="CA60" s="91"/>
      <c r="CB60" s="91"/>
      <c r="CC60" s="91"/>
      <c r="CD60" s="91"/>
      <c r="CE60" s="91"/>
      <c r="CF60" s="91"/>
      <c r="CG60" s="91"/>
      <c r="CH60" s="91"/>
      <c r="CI60" s="91"/>
      <c r="CJ60" s="91"/>
      <c r="CK60" s="91"/>
      <c r="CL60" s="91"/>
      <c r="CM60" s="91"/>
      <c r="CN60" s="91"/>
      <c r="CO60" s="91"/>
      <c r="CP60" s="91"/>
      <c r="CQ60" s="91"/>
      <c r="CR60" s="91"/>
      <c r="CS60" s="91"/>
      <c r="CT60" s="91"/>
      <c r="CU60" s="91"/>
      <c r="CV60" s="91"/>
      <c r="CW60" s="91"/>
      <c r="CX60" s="91"/>
      <c r="CY60" s="91"/>
      <c r="CZ60" s="91"/>
      <c r="DA60" s="91"/>
      <c r="DB60" s="91"/>
      <c r="DC60" s="91"/>
      <c r="DD60" s="91"/>
      <c r="DE60" s="91"/>
      <c r="DF60" s="91"/>
      <c r="DG60" s="91"/>
      <c r="DH60" s="91"/>
      <c r="DI60" s="91"/>
      <c r="DJ60" s="91"/>
      <c r="DK60" s="91"/>
      <c r="DL60" s="91"/>
      <c r="DM60" s="91"/>
      <c r="DN60" s="91"/>
      <c r="DO60" s="91"/>
      <c r="DP60" s="2"/>
    </row>
    <row r="61" spans="1:120" ht="12.75" customHeight="1">
      <c r="A61" s="2"/>
      <c r="B61" s="2"/>
      <c r="C61" s="2"/>
      <c r="D61" s="2"/>
      <c r="E61" s="2"/>
      <c r="F61" s="2"/>
      <c r="G61" s="2"/>
      <c r="H61" s="2"/>
      <c r="I61" s="182"/>
      <c r="J61" s="182"/>
      <c r="K61" s="183"/>
      <c r="L61" s="183"/>
      <c r="M61" s="183"/>
      <c r="N61" s="91"/>
      <c r="O61" s="91"/>
      <c r="P61" s="91"/>
      <c r="Q61" s="91"/>
      <c r="R61" s="91"/>
      <c r="S61" s="91"/>
      <c r="T61" s="86"/>
      <c r="U61" s="87"/>
      <c r="V61" s="87"/>
      <c r="W61" s="91"/>
      <c r="X61" s="91"/>
      <c r="Y61" s="91"/>
      <c r="Z61" s="91"/>
      <c r="AA61" s="91"/>
      <c r="AB61" s="91"/>
      <c r="AC61" s="91"/>
      <c r="AD61" s="91"/>
      <c r="AE61" s="91"/>
      <c r="AF61" s="91"/>
      <c r="AG61" s="91"/>
      <c r="AH61" s="91"/>
      <c r="AI61" s="91"/>
      <c r="AJ61" s="91"/>
      <c r="AK61" s="91"/>
      <c r="AL61" s="91"/>
      <c r="AM61" s="91"/>
      <c r="AN61" s="91"/>
      <c r="AO61" s="91"/>
      <c r="AP61" s="91"/>
      <c r="AQ61" s="91"/>
      <c r="AR61" s="91"/>
      <c r="AS61" s="91"/>
      <c r="AT61" s="91"/>
      <c r="AU61" s="91"/>
      <c r="AV61" s="91"/>
      <c r="AW61" s="91"/>
      <c r="AX61" s="91"/>
      <c r="AY61" s="91"/>
      <c r="AZ61" s="91"/>
      <c r="BA61" s="91"/>
      <c r="BB61" s="91"/>
      <c r="BC61" s="91"/>
      <c r="BD61" s="91"/>
      <c r="BE61" s="91"/>
      <c r="BF61" s="91"/>
      <c r="BG61" s="91"/>
      <c r="BH61" s="91"/>
      <c r="BI61" s="91"/>
      <c r="BJ61" s="91"/>
      <c r="BK61" s="91"/>
      <c r="BL61" s="91"/>
      <c r="BM61" s="91"/>
      <c r="BN61" s="91"/>
      <c r="BO61" s="91"/>
      <c r="BP61" s="91"/>
      <c r="BQ61" s="91"/>
      <c r="BR61" s="91"/>
      <c r="BS61" s="91"/>
      <c r="BT61" s="91"/>
      <c r="BU61" s="91"/>
      <c r="BV61" s="91"/>
      <c r="BW61" s="91"/>
      <c r="BX61" s="91"/>
      <c r="BY61" s="91"/>
      <c r="BZ61" s="91"/>
      <c r="CA61" s="91"/>
      <c r="CB61" s="91"/>
      <c r="CC61" s="91"/>
      <c r="CD61" s="91"/>
      <c r="CE61" s="91"/>
      <c r="CF61" s="91"/>
      <c r="CG61" s="91"/>
      <c r="CH61" s="91"/>
      <c r="CI61" s="91"/>
      <c r="CJ61" s="91"/>
      <c r="CK61" s="91"/>
      <c r="CL61" s="91"/>
      <c r="CM61" s="91"/>
      <c r="CN61" s="91"/>
      <c r="CO61" s="91"/>
      <c r="CP61" s="91"/>
      <c r="CQ61" s="91"/>
      <c r="CR61" s="91"/>
      <c r="CS61" s="91"/>
      <c r="CT61" s="91"/>
      <c r="CU61" s="91"/>
      <c r="CV61" s="91"/>
      <c r="CW61" s="91"/>
      <c r="CX61" s="91"/>
      <c r="CY61" s="91"/>
      <c r="CZ61" s="91"/>
      <c r="DA61" s="91"/>
      <c r="DB61" s="91"/>
      <c r="DC61" s="91"/>
      <c r="DD61" s="91"/>
      <c r="DE61" s="91"/>
      <c r="DF61" s="91"/>
      <c r="DG61" s="91"/>
      <c r="DH61" s="91"/>
      <c r="DI61" s="91"/>
      <c r="DJ61" s="91"/>
      <c r="DK61" s="91"/>
      <c r="DL61" s="91"/>
      <c r="DM61" s="91"/>
      <c r="DN61" s="91"/>
      <c r="DO61" s="91"/>
      <c r="DP61" s="2"/>
    </row>
    <row r="62" spans="1:120" ht="12.75" customHeight="1">
      <c r="A62" s="2"/>
      <c r="B62" s="2"/>
      <c r="C62" s="2"/>
      <c r="D62" s="2"/>
      <c r="E62" s="2"/>
      <c r="F62" s="2"/>
      <c r="G62" s="2"/>
      <c r="H62" s="2"/>
      <c r="I62" s="182"/>
      <c r="J62" s="182"/>
      <c r="K62" s="183"/>
      <c r="L62" s="183"/>
      <c r="M62" s="183"/>
      <c r="N62" s="91"/>
      <c r="O62" s="91"/>
      <c r="P62" s="91"/>
      <c r="Q62" s="91"/>
      <c r="R62" s="91"/>
      <c r="S62" s="91"/>
      <c r="T62" s="86"/>
      <c r="U62" s="87"/>
      <c r="V62" s="87"/>
      <c r="W62" s="91"/>
      <c r="X62" s="91"/>
      <c r="Y62" s="91"/>
      <c r="Z62" s="91"/>
      <c r="AA62" s="91"/>
      <c r="AB62" s="91"/>
      <c r="AC62" s="91"/>
      <c r="AD62" s="91"/>
      <c r="AE62" s="91"/>
      <c r="AF62" s="91"/>
      <c r="AG62" s="91"/>
      <c r="AH62" s="91"/>
      <c r="AI62" s="91"/>
      <c r="AJ62" s="91"/>
      <c r="AK62" s="91"/>
      <c r="AL62" s="91"/>
      <c r="AM62" s="91"/>
      <c r="AN62" s="91"/>
      <c r="AO62" s="91"/>
      <c r="AP62" s="91"/>
      <c r="AQ62" s="91"/>
      <c r="AR62" s="91"/>
      <c r="AS62" s="91"/>
      <c r="AT62" s="91"/>
      <c r="AU62" s="91"/>
      <c r="AV62" s="91"/>
      <c r="AW62" s="91"/>
      <c r="AX62" s="91"/>
      <c r="AY62" s="91"/>
      <c r="AZ62" s="91"/>
      <c r="BA62" s="91"/>
      <c r="BB62" s="91"/>
      <c r="BC62" s="91"/>
      <c r="BD62" s="91"/>
      <c r="BE62" s="91"/>
      <c r="BF62" s="91"/>
      <c r="BG62" s="91"/>
      <c r="BH62" s="91"/>
      <c r="BI62" s="91"/>
      <c r="BJ62" s="91"/>
      <c r="BK62" s="91"/>
      <c r="BL62" s="91"/>
      <c r="BM62" s="91"/>
      <c r="BN62" s="91"/>
      <c r="BO62" s="91"/>
      <c r="BP62" s="91"/>
      <c r="BQ62" s="91"/>
      <c r="BR62" s="91"/>
      <c r="BS62" s="91"/>
      <c r="BT62" s="91"/>
      <c r="BU62" s="91"/>
      <c r="BV62" s="91"/>
      <c r="BW62" s="91"/>
      <c r="BX62" s="91"/>
      <c r="BY62" s="91"/>
      <c r="BZ62" s="91"/>
      <c r="CA62" s="91"/>
      <c r="CB62" s="91"/>
      <c r="CC62" s="91"/>
      <c r="CD62" s="91"/>
      <c r="CE62" s="91"/>
      <c r="CF62" s="91"/>
      <c r="CG62" s="91"/>
      <c r="CH62" s="91"/>
      <c r="CI62" s="91"/>
      <c r="CJ62" s="91"/>
      <c r="CK62" s="91"/>
      <c r="CL62" s="91"/>
      <c r="CM62" s="91"/>
      <c r="CN62" s="91"/>
      <c r="CO62" s="91"/>
      <c r="CP62" s="91"/>
      <c r="CQ62" s="91"/>
      <c r="CR62" s="91"/>
      <c r="CS62" s="91"/>
      <c r="CT62" s="91"/>
      <c r="CU62" s="91"/>
      <c r="CV62" s="91"/>
      <c r="CW62" s="91"/>
      <c r="CX62" s="91"/>
      <c r="CY62" s="91"/>
      <c r="CZ62" s="91"/>
      <c r="DA62" s="91"/>
      <c r="DB62" s="91"/>
      <c r="DC62" s="91"/>
      <c r="DD62" s="91"/>
      <c r="DE62" s="91"/>
      <c r="DF62" s="91"/>
      <c r="DG62" s="91"/>
      <c r="DH62" s="91"/>
      <c r="DI62" s="91"/>
      <c r="DJ62" s="91"/>
      <c r="DK62" s="91"/>
      <c r="DL62" s="91"/>
      <c r="DM62" s="91"/>
      <c r="DN62" s="91"/>
      <c r="DO62" s="91"/>
      <c r="DP62" s="2"/>
    </row>
    <row r="63" spans="1:120" ht="12.75" customHeight="1">
      <c r="A63" s="2"/>
      <c r="B63" s="2"/>
      <c r="C63" s="2"/>
      <c r="D63" s="2"/>
      <c r="E63" s="2"/>
      <c r="F63" s="2"/>
      <c r="G63" s="2"/>
      <c r="H63" s="2"/>
      <c r="I63" s="182"/>
      <c r="J63" s="182"/>
      <c r="K63" s="183"/>
      <c r="L63" s="183"/>
      <c r="M63" s="183"/>
      <c r="N63" s="91"/>
      <c r="O63" s="91"/>
      <c r="P63" s="91"/>
      <c r="Q63" s="91"/>
      <c r="R63" s="91"/>
      <c r="S63" s="91"/>
      <c r="T63" s="86"/>
      <c r="U63" s="87"/>
      <c r="V63" s="87"/>
      <c r="W63" s="91"/>
      <c r="X63" s="91"/>
      <c r="Y63" s="91"/>
      <c r="Z63" s="91"/>
      <c r="AA63" s="91"/>
      <c r="AB63" s="91"/>
      <c r="AC63" s="91"/>
      <c r="AD63" s="91"/>
      <c r="AE63" s="91"/>
      <c r="AF63" s="91"/>
      <c r="AG63" s="91"/>
      <c r="AH63" s="91"/>
      <c r="AI63" s="91"/>
      <c r="AJ63" s="91"/>
      <c r="AK63" s="91"/>
      <c r="AL63" s="91"/>
      <c r="AM63" s="91"/>
      <c r="AN63" s="91"/>
      <c r="AO63" s="91"/>
      <c r="AP63" s="91"/>
      <c r="AQ63" s="91"/>
      <c r="AR63" s="91"/>
      <c r="AS63" s="91"/>
      <c r="AT63" s="91"/>
      <c r="AU63" s="91"/>
      <c r="AV63" s="91"/>
      <c r="AW63" s="91"/>
      <c r="AX63" s="91"/>
      <c r="AY63" s="91"/>
      <c r="AZ63" s="91"/>
      <c r="BA63" s="91"/>
      <c r="BB63" s="91"/>
      <c r="BC63" s="91"/>
      <c r="BD63" s="91"/>
      <c r="BE63" s="91"/>
      <c r="BF63" s="91"/>
      <c r="BG63" s="91"/>
      <c r="BH63" s="91"/>
      <c r="BI63" s="91"/>
      <c r="BJ63" s="91"/>
      <c r="BK63" s="91"/>
      <c r="BL63" s="91"/>
      <c r="BM63" s="91"/>
      <c r="BN63" s="91"/>
      <c r="BO63" s="91"/>
      <c r="BP63" s="91"/>
      <c r="BQ63" s="91"/>
      <c r="BR63" s="91"/>
      <c r="BS63" s="91"/>
      <c r="BT63" s="91"/>
      <c r="BU63" s="91"/>
      <c r="BV63" s="91"/>
      <c r="BW63" s="91"/>
      <c r="BX63" s="91"/>
      <c r="BY63" s="91"/>
      <c r="BZ63" s="91"/>
      <c r="CA63" s="91"/>
      <c r="CB63" s="91"/>
      <c r="CC63" s="91"/>
      <c r="CD63" s="91"/>
      <c r="CE63" s="91"/>
      <c r="CF63" s="91"/>
      <c r="CG63" s="91"/>
      <c r="CH63" s="91"/>
      <c r="CI63" s="91"/>
      <c r="CJ63" s="91"/>
      <c r="CK63" s="91"/>
      <c r="CL63" s="91"/>
      <c r="CM63" s="91"/>
      <c r="CN63" s="91"/>
      <c r="CO63" s="91"/>
      <c r="CP63" s="91"/>
      <c r="CQ63" s="91"/>
      <c r="CR63" s="91"/>
      <c r="CS63" s="91"/>
      <c r="CT63" s="91"/>
      <c r="CU63" s="91"/>
      <c r="CV63" s="91"/>
      <c r="CW63" s="91"/>
      <c r="CX63" s="91"/>
      <c r="CY63" s="91"/>
      <c r="CZ63" s="91"/>
      <c r="DA63" s="91"/>
      <c r="DB63" s="91"/>
      <c r="DC63" s="91"/>
      <c r="DD63" s="91"/>
      <c r="DE63" s="91"/>
      <c r="DF63" s="91"/>
      <c r="DG63" s="91"/>
      <c r="DH63" s="91"/>
      <c r="DI63" s="91"/>
      <c r="DJ63" s="91"/>
      <c r="DK63" s="91"/>
      <c r="DL63" s="91"/>
      <c r="DM63" s="91"/>
      <c r="DN63" s="91"/>
      <c r="DO63" s="91"/>
      <c r="DP63" s="2"/>
    </row>
    <row r="64" spans="1:120" ht="12.75" customHeight="1">
      <c r="A64" s="2"/>
      <c r="B64" s="2"/>
      <c r="C64" s="2"/>
      <c r="D64" s="2"/>
      <c r="E64" s="2"/>
      <c r="F64" s="2"/>
      <c r="G64" s="2"/>
      <c r="H64" s="2"/>
      <c r="I64" s="182"/>
      <c r="J64" s="182"/>
      <c r="K64" s="183"/>
      <c r="L64" s="183"/>
      <c r="M64" s="183"/>
      <c r="N64" s="91"/>
      <c r="O64" s="91"/>
      <c r="P64" s="91"/>
      <c r="Q64" s="91"/>
      <c r="R64" s="91"/>
      <c r="S64" s="91"/>
      <c r="T64" s="86"/>
      <c r="U64" s="87"/>
      <c r="V64" s="87"/>
      <c r="W64" s="91"/>
      <c r="X64" s="91"/>
      <c r="Y64" s="91"/>
      <c r="Z64" s="91"/>
      <c r="AA64" s="91"/>
      <c r="AB64" s="91"/>
      <c r="AC64" s="91"/>
      <c r="AD64" s="91"/>
      <c r="AE64" s="91"/>
      <c r="AF64" s="91"/>
      <c r="AG64" s="91"/>
      <c r="AH64" s="91"/>
      <c r="AI64" s="91"/>
      <c r="AJ64" s="91"/>
      <c r="AK64" s="91"/>
      <c r="AL64" s="91"/>
      <c r="AM64" s="91"/>
      <c r="AN64" s="91"/>
      <c r="AO64" s="91"/>
      <c r="AP64" s="91"/>
      <c r="AQ64" s="91"/>
      <c r="AR64" s="91"/>
      <c r="AS64" s="91"/>
      <c r="AT64" s="91"/>
      <c r="AU64" s="91"/>
      <c r="AV64" s="91"/>
      <c r="AW64" s="91"/>
      <c r="AX64" s="91"/>
      <c r="AY64" s="91"/>
      <c r="AZ64" s="91"/>
      <c r="BA64" s="91"/>
      <c r="BB64" s="91"/>
      <c r="BC64" s="91"/>
      <c r="BD64" s="91"/>
      <c r="BE64" s="91"/>
      <c r="BF64" s="91"/>
      <c r="BG64" s="91"/>
      <c r="BH64" s="91"/>
      <c r="BI64" s="91"/>
      <c r="BJ64" s="91"/>
      <c r="BK64" s="91"/>
      <c r="BL64" s="91"/>
      <c r="BM64" s="91"/>
      <c r="BN64" s="91"/>
      <c r="BO64" s="91"/>
      <c r="BP64" s="91"/>
      <c r="BQ64" s="91"/>
      <c r="BR64" s="91"/>
      <c r="BS64" s="91"/>
      <c r="BT64" s="91"/>
      <c r="BU64" s="91"/>
      <c r="BV64" s="91"/>
      <c r="BW64" s="91"/>
      <c r="BX64" s="91"/>
      <c r="BY64" s="91"/>
      <c r="BZ64" s="91"/>
      <c r="CA64" s="91"/>
      <c r="CB64" s="91"/>
      <c r="CC64" s="91"/>
      <c r="CD64" s="91"/>
      <c r="CE64" s="91"/>
      <c r="CF64" s="91"/>
      <c r="CG64" s="91"/>
      <c r="CH64" s="91"/>
      <c r="CI64" s="91"/>
      <c r="CJ64" s="91"/>
      <c r="CK64" s="91"/>
      <c r="CL64" s="91"/>
      <c r="CM64" s="91"/>
      <c r="CN64" s="91"/>
      <c r="CO64" s="91"/>
      <c r="CP64" s="91"/>
      <c r="CQ64" s="91"/>
      <c r="CR64" s="91"/>
      <c r="CS64" s="91"/>
      <c r="CT64" s="91"/>
      <c r="CU64" s="91"/>
      <c r="CV64" s="91"/>
      <c r="CW64" s="91"/>
      <c r="CX64" s="91"/>
      <c r="CY64" s="91"/>
      <c r="CZ64" s="91"/>
      <c r="DA64" s="91"/>
      <c r="DB64" s="91"/>
      <c r="DC64" s="91"/>
      <c r="DD64" s="91"/>
      <c r="DE64" s="91"/>
      <c r="DF64" s="91"/>
      <c r="DG64" s="91"/>
      <c r="DH64" s="91"/>
      <c r="DI64" s="91"/>
      <c r="DJ64" s="91"/>
      <c r="DK64" s="91"/>
      <c r="DL64" s="91"/>
      <c r="DM64" s="91"/>
      <c r="DN64" s="91"/>
      <c r="DO64" s="91"/>
      <c r="DP64" s="2"/>
    </row>
    <row r="65" spans="1:120" ht="12.75" customHeight="1">
      <c r="A65" s="2"/>
      <c r="B65" s="2"/>
      <c r="C65" s="2"/>
      <c r="D65" s="2"/>
      <c r="E65" s="2"/>
      <c r="F65" s="2"/>
      <c r="G65" s="2"/>
      <c r="H65" s="2"/>
      <c r="I65" s="182"/>
      <c r="J65" s="182"/>
      <c r="K65" s="183"/>
      <c r="L65" s="183"/>
      <c r="M65" s="183"/>
      <c r="N65" s="91"/>
      <c r="O65" s="91"/>
      <c r="P65" s="91"/>
      <c r="Q65" s="91"/>
      <c r="R65" s="91"/>
      <c r="S65" s="91"/>
      <c r="T65" s="86"/>
      <c r="U65" s="87"/>
      <c r="V65" s="87"/>
      <c r="W65" s="91"/>
      <c r="X65" s="91"/>
      <c r="Y65" s="91"/>
      <c r="Z65" s="91"/>
      <c r="AA65" s="91"/>
      <c r="AB65" s="91"/>
      <c r="AC65" s="91"/>
      <c r="AD65" s="91"/>
      <c r="AE65" s="91"/>
      <c r="AF65" s="91"/>
      <c r="AG65" s="91"/>
      <c r="AH65" s="91"/>
      <c r="AI65" s="91"/>
      <c r="AJ65" s="91"/>
      <c r="AK65" s="91"/>
      <c r="AL65" s="91"/>
      <c r="AM65" s="91"/>
      <c r="AN65" s="91"/>
      <c r="AO65" s="91"/>
      <c r="AP65" s="91"/>
      <c r="AQ65" s="91"/>
      <c r="AR65" s="91"/>
      <c r="AS65" s="91"/>
      <c r="AT65" s="91"/>
      <c r="AU65" s="91"/>
      <c r="AV65" s="91"/>
      <c r="AW65" s="91"/>
      <c r="AX65" s="91"/>
      <c r="AY65" s="91"/>
      <c r="AZ65" s="91"/>
      <c r="BA65" s="91"/>
      <c r="BB65" s="91"/>
      <c r="BC65" s="91"/>
      <c r="BD65" s="91"/>
      <c r="BE65" s="91"/>
      <c r="BF65" s="91"/>
      <c r="BG65" s="91"/>
      <c r="BH65" s="91"/>
      <c r="BI65" s="91"/>
      <c r="BJ65" s="91"/>
      <c r="BK65" s="91"/>
      <c r="BL65" s="91"/>
      <c r="BM65" s="91"/>
      <c r="BN65" s="91"/>
      <c r="BO65" s="91"/>
      <c r="BP65" s="91"/>
      <c r="BQ65" s="91"/>
      <c r="BR65" s="91"/>
      <c r="BS65" s="91"/>
      <c r="BT65" s="91"/>
      <c r="BU65" s="91"/>
      <c r="BV65" s="91"/>
      <c r="BW65" s="91"/>
      <c r="BX65" s="91"/>
      <c r="BY65" s="91"/>
      <c r="BZ65" s="91"/>
      <c r="CA65" s="91"/>
      <c r="CB65" s="91"/>
      <c r="CC65" s="91"/>
      <c r="CD65" s="91"/>
      <c r="CE65" s="91"/>
      <c r="CF65" s="91"/>
      <c r="CG65" s="91"/>
      <c r="CH65" s="91"/>
      <c r="CI65" s="91"/>
      <c r="CJ65" s="91"/>
      <c r="CK65" s="91"/>
      <c r="CL65" s="91"/>
      <c r="CM65" s="91"/>
      <c r="CN65" s="91"/>
      <c r="CO65" s="91"/>
      <c r="CP65" s="91"/>
      <c r="CQ65" s="91"/>
      <c r="CR65" s="91"/>
      <c r="CS65" s="91"/>
      <c r="CT65" s="91"/>
      <c r="CU65" s="91"/>
      <c r="CV65" s="91"/>
      <c r="CW65" s="91"/>
      <c r="CX65" s="91"/>
      <c r="CY65" s="91"/>
      <c r="CZ65" s="91"/>
      <c r="DA65" s="91"/>
      <c r="DB65" s="91"/>
      <c r="DC65" s="91"/>
      <c r="DD65" s="91"/>
      <c r="DE65" s="91"/>
      <c r="DF65" s="91"/>
      <c r="DG65" s="91"/>
      <c r="DH65" s="91"/>
      <c r="DI65" s="91"/>
      <c r="DJ65" s="91"/>
      <c r="DK65" s="91"/>
      <c r="DL65" s="91"/>
      <c r="DM65" s="91"/>
      <c r="DN65" s="91"/>
      <c r="DO65" s="91"/>
      <c r="DP65" s="2"/>
    </row>
    <row r="66" spans="1:120" ht="12.75" customHeight="1">
      <c r="A66" s="2"/>
      <c r="B66" s="2"/>
      <c r="C66" s="2"/>
      <c r="D66" s="2"/>
      <c r="E66" s="2"/>
      <c r="F66" s="2"/>
      <c r="G66" s="2"/>
      <c r="H66" s="2"/>
      <c r="I66" s="182"/>
      <c r="J66" s="182"/>
      <c r="K66" s="183"/>
      <c r="L66" s="183"/>
      <c r="M66" s="183"/>
      <c r="N66" s="91"/>
      <c r="O66" s="91"/>
      <c r="P66" s="91"/>
      <c r="Q66" s="91"/>
      <c r="R66" s="91"/>
      <c r="S66" s="91"/>
      <c r="T66" s="86"/>
      <c r="U66" s="87"/>
      <c r="V66" s="87"/>
      <c r="W66" s="91"/>
      <c r="X66" s="91"/>
      <c r="Y66" s="91"/>
      <c r="Z66" s="91"/>
      <c r="AA66" s="91"/>
      <c r="AB66" s="91"/>
      <c r="AC66" s="91"/>
      <c r="AD66" s="91"/>
      <c r="AE66" s="91"/>
      <c r="AF66" s="91"/>
      <c r="AG66" s="91"/>
      <c r="AH66" s="91"/>
      <c r="AI66" s="91"/>
      <c r="AJ66" s="91"/>
      <c r="AK66" s="91"/>
      <c r="AL66" s="91"/>
      <c r="AM66" s="91"/>
      <c r="AN66" s="91"/>
      <c r="AO66" s="91"/>
      <c r="AP66" s="91"/>
      <c r="AQ66" s="91"/>
      <c r="AR66" s="91"/>
      <c r="AS66" s="91"/>
      <c r="AT66" s="91"/>
      <c r="AU66" s="91"/>
      <c r="AV66" s="91"/>
      <c r="AW66" s="91"/>
      <c r="AX66" s="91"/>
      <c r="AY66" s="91"/>
      <c r="AZ66" s="91"/>
      <c r="BA66" s="91"/>
      <c r="BB66" s="91"/>
      <c r="BC66" s="91"/>
      <c r="BD66" s="91"/>
      <c r="BE66" s="91"/>
      <c r="BF66" s="91"/>
      <c r="BG66" s="91"/>
      <c r="BH66" s="91"/>
      <c r="BI66" s="91"/>
      <c r="BJ66" s="91"/>
      <c r="BK66" s="91"/>
      <c r="BL66" s="91"/>
      <c r="BM66" s="91"/>
      <c r="BN66" s="91"/>
      <c r="BO66" s="91"/>
      <c r="BP66" s="91"/>
      <c r="BQ66" s="91"/>
      <c r="BR66" s="91"/>
      <c r="BS66" s="91"/>
      <c r="BT66" s="91"/>
      <c r="BU66" s="91"/>
      <c r="BV66" s="91"/>
      <c r="BW66" s="91"/>
      <c r="BX66" s="91"/>
      <c r="BY66" s="91"/>
      <c r="BZ66" s="91"/>
      <c r="CA66" s="91"/>
      <c r="CB66" s="91"/>
      <c r="CC66" s="91"/>
      <c r="CD66" s="91"/>
      <c r="CE66" s="91"/>
      <c r="CF66" s="91"/>
      <c r="CG66" s="91"/>
      <c r="CH66" s="91"/>
      <c r="CI66" s="91"/>
      <c r="CJ66" s="91"/>
      <c r="CK66" s="91"/>
      <c r="CL66" s="91"/>
      <c r="CM66" s="91"/>
      <c r="CN66" s="91"/>
      <c r="CO66" s="91"/>
      <c r="CP66" s="91"/>
      <c r="CQ66" s="91"/>
      <c r="CR66" s="91"/>
      <c r="CS66" s="91"/>
      <c r="CT66" s="91"/>
      <c r="CU66" s="91"/>
      <c r="CV66" s="91"/>
      <c r="CW66" s="91"/>
      <c r="CX66" s="91"/>
      <c r="CY66" s="91"/>
      <c r="CZ66" s="91"/>
      <c r="DA66" s="91"/>
      <c r="DB66" s="91"/>
      <c r="DC66" s="91"/>
      <c r="DD66" s="91"/>
      <c r="DE66" s="91"/>
      <c r="DF66" s="91"/>
      <c r="DG66" s="91"/>
      <c r="DH66" s="91"/>
      <c r="DI66" s="91"/>
      <c r="DJ66" s="91"/>
      <c r="DK66" s="91"/>
      <c r="DL66" s="91"/>
      <c r="DM66" s="91"/>
      <c r="DN66" s="91"/>
      <c r="DO66" s="91"/>
      <c r="DP66" s="2"/>
    </row>
    <row r="67" spans="1:120" ht="12.75" customHeight="1">
      <c r="A67" s="2"/>
      <c r="B67" s="2"/>
      <c r="C67" s="2"/>
      <c r="D67" s="2"/>
      <c r="E67" s="2"/>
      <c r="F67" s="2"/>
      <c r="G67" s="2"/>
      <c r="H67" s="2"/>
      <c r="I67" s="182"/>
      <c r="J67" s="182"/>
      <c r="K67" s="183"/>
      <c r="L67" s="183"/>
      <c r="M67" s="183"/>
      <c r="N67" s="91"/>
      <c r="O67" s="91"/>
      <c r="P67" s="91"/>
      <c r="Q67" s="91"/>
      <c r="R67" s="91"/>
      <c r="S67" s="91"/>
      <c r="T67" s="86"/>
      <c r="U67" s="87"/>
      <c r="V67" s="87"/>
      <c r="W67" s="91"/>
      <c r="X67" s="91"/>
      <c r="Y67" s="91"/>
      <c r="Z67" s="91"/>
      <c r="AA67" s="91"/>
      <c r="AB67" s="91"/>
      <c r="AC67" s="91"/>
      <c r="AD67" s="91"/>
      <c r="AE67" s="91"/>
      <c r="AF67" s="91"/>
      <c r="AG67" s="91"/>
      <c r="AH67" s="91"/>
      <c r="AI67" s="91"/>
      <c r="AJ67" s="91"/>
      <c r="AK67" s="91"/>
      <c r="AL67" s="91"/>
      <c r="AM67" s="91"/>
      <c r="AN67" s="91"/>
      <c r="AO67" s="91"/>
      <c r="AP67" s="91"/>
      <c r="AQ67" s="91"/>
      <c r="AR67" s="91"/>
      <c r="AS67" s="91"/>
      <c r="AT67" s="91"/>
      <c r="AU67" s="91"/>
      <c r="AV67" s="91"/>
      <c r="AW67" s="91"/>
      <c r="AX67" s="91"/>
      <c r="AY67" s="91"/>
      <c r="AZ67" s="91"/>
      <c r="BA67" s="91"/>
      <c r="BB67" s="91"/>
      <c r="BC67" s="91"/>
      <c r="BD67" s="91"/>
      <c r="BE67" s="91"/>
      <c r="BF67" s="91"/>
      <c r="BG67" s="91"/>
      <c r="BH67" s="91"/>
      <c r="BI67" s="91"/>
      <c r="BJ67" s="91"/>
      <c r="BK67" s="91"/>
      <c r="BL67" s="91"/>
      <c r="BM67" s="91"/>
      <c r="BN67" s="91"/>
      <c r="BO67" s="91"/>
      <c r="BP67" s="91"/>
      <c r="BQ67" s="91"/>
      <c r="BR67" s="91"/>
      <c r="BS67" s="91"/>
      <c r="BT67" s="91"/>
      <c r="BU67" s="91"/>
      <c r="BV67" s="91"/>
      <c r="BW67" s="91"/>
      <c r="BX67" s="91"/>
      <c r="BY67" s="91"/>
      <c r="BZ67" s="91"/>
      <c r="CA67" s="91"/>
      <c r="CB67" s="91"/>
      <c r="CC67" s="91"/>
      <c r="CD67" s="91"/>
      <c r="CE67" s="91"/>
      <c r="CF67" s="91"/>
      <c r="CG67" s="91"/>
      <c r="CH67" s="91"/>
      <c r="CI67" s="91"/>
      <c r="CJ67" s="91"/>
      <c r="CK67" s="91"/>
      <c r="CL67" s="91"/>
      <c r="CM67" s="91"/>
      <c r="CN67" s="91"/>
      <c r="CO67" s="91"/>
      <c r="CP67" s="91"/>
      <c r="CQ67" s="91"/>
      <c r="CR67" s="91"/>
      <c r="CS67" s="91"/>
      <c r="CT67" s="91"/>
      <c r="CU67" s="91"/>
      <c r="CV67" s="91"/>
      <c r="CW67" s="91"/>
      <c r="CX67" s="91"/>
      <c r="CY67" s="91"/>
      <c r="CZ67" s="91"/>
      <c r="DA67" s="91"/>
      <c r="DB67" s="91"/>
      <c r="DC67" s="91"/>
      <c r="DD67" s="91"/>
      <c r="DE67" s="91"/>
      <c r="DF67" s="91"/>
      <c r="DG67" s="91"/>
      <c r="DH67" s="91"/>
      <c r="DI67" s="91"/>
      <c r="DJ67" s="91"/>
      <c r="DK67" s="91"/>
      <c r="DL67" s="91"/>
      <c r="DM67" s="91"/>
      <c r="DN67" s="91"/>
      <c r="DO67" s="91"/>
      <c r="DP67" s="2"/>
    </row>
    <row r="68" spans="1:120" ht="12.75" customHeight="1">
      <c r="A68" s="2"/>
      <c r="B68" s="2"/>
      <c r="C68" s="2"/>
      <c r="D68" s="2"/>
      <c r="E68" s="2"/>
      <c r="F68" s="2"/>
      <c r="G68" s="2"/>
      <c r="H68" s="2"/>
      <c r="I68" s="182"/>
      <c r="J68" s="182"/>
      <c r="K68" s="183"/>
      <c r="L68" s="183"/>
      <c r="M68" s="183"/>
      <c r="N68" s="91"/>
      <c r="O68" s="91"/>
      <c r="P68" s="91"/>
      <c r="Q68" s="91"/>
      <c r="R68" s="91"/>
      <c r="S68" s="91"/>
      <c r="T68" s="86"/>
      <c r="U68" s="87"/>
      <c r="V68" s="87"/>
      <c r="W68" s="91"/>
      <c r="X68" s="91"/>
      <c r="Y68" s="91"/>
      <c r="Z68" s="91"/>
      <c r="AA68" s="91"/>
      <c r="AB68" s="91"/>
      <c r="AC68" s="91"/>
      <c r="AD68" s="91"/>
      <c r="AE68" s="91"/>
      <c r="AF68" s="91"/>
      <c r="AG68" s="91"/>
      <c r="AH68" s="91"/>
      <c r="AI68" s="91"/>
      <c r="AJ68" s="91"/>
      <c r="AK68" s="91"/>
      <c r="AL68" s="91"/>
      <c r="AM68" s="91"/>
      <c r="AN68" s="91"/>
      <c r="AO68" s="91"/>
      <c r="AP68" s="91"/>
      <c r="AQ68" s="91"/>
      <c r="AR68" s="91"/>
      <c r="AS68" s="91"/>
      <c r="AT68" s="91"/>
      <c r="AU68" s="91"/>
      <c r="AV68" s="91"/>
      <c r="AW68" s="91"/>
      <c r="AX68" s="91"/>
      <c r="AY68" s="91"/>
      <c r="AZ68" s="91"/>
      <c r="BA68" s="91"/>
      <c r="BB68" s="91"/>
      <c r="BC68" s="91"/>
      <c r="BD68" s="91"/>
      <c r="BE68" s="91"/>
      <c r="BF68" s="91"/>
      <c r="BG68" s="91"/>
      <c r="BH68" s="91"/>
      <c r="BI68" s="91"/>
      <c r="BJ68" s="91"/>
      <c r="BK68" s="91"/>
      <c r="BL68" s="91"/>
      <c r="BM68" s="91"/>
      <c r="BN68" s="91"/>
      <c r="BO68" s="91"/>
      <c r="BP68" s="91"/>
      <c r="BQ68" s="91"/>
      <c r="BR68" s="91"/>
      <c r="BS68" s="91"/>
      <c r="BT68" s="91"/>
      <c r="BU68" s="91"/>
      <c r="BV68" s="91"/>
      <c r="BW68" s="91"/>
      <c r="BX68" s="91"/>
      <c r="BY68" s="91"/>
      <c r="BZ68" s="91"/>
      <c r="CA68" s="91"/>
      <c r="CB68" s="91"/>
      <c r="CC68" s="91"/>
      <c r="CD68" s="91"/>
      <c r="CE68" s="91"/>
      <c r="CF68" s="91"/>
      <c r="CG68" s="91"/>
      <c r="CH68" s="91"/>
      <c r="CI68" s="91"/>
      <c r="CJ68" s="91"/>
      <c r="CK68" s="91"/>
      <c r="CL68" s="91"/>
      <c r="CM68" s="91"/>
      <c r="CN68" s="91"/>
      <c r="CO68" s="91"/>
      <c r="CP68" s="91"/>
      <c r="CQ68" s="91"/>
      <c r="CR68" s="91"/>
      <c r="CS68" s="91"/>
      <c r="CT68" s="91"/>
      <c r="CU68" s="91"/>
      <c r="CV68" s="91"/>
      <c r="CW68" s="91"/>
      <c r="CX68" s="91"/>
      <c r="CY68" s="91"/>
      <c r="CZ68" s="91"/>
      <c r="DA68" s="91"/>
      <c r="DB68" s="91"/>
      <c r="DC68" s="91"/>
      <c r="DD68" s="91"/>
      <c r="DE68" s="91"/>
      <c r="DF68" s="91"/>
      <c r="DG68" s="91"/>
      <c r="DH68" s="91"/>
      <c r="DI68" s="91"/>
      <c r="DJ68" s="91"/>
      <c r="DK68" s="91"/>
      <c r="DL68" s="91"/>
      <c r="DM68" s="91"/>
      <c r="DN68" s="91"/>
      <c r="DO68" s="91"/>
      <c r="DP68" s="2"/>
    </row>
    <row r="69" spans="1:120" ht="12.75" customHeight="1">
      <c r="A69" s="2"/>
      <c r="B69" s="2"/>
      <c r="C69" s="2"/>
      <c r="D69" s="2"/>
      <c r="E69" s="2"/>
      <c r="F69" s="2"/>
      <c r="G69" s="2"/>
      <c r="H69" s="2"/>
      <c r="I69" s="182"/>
      <c r="J69" s="182"/>
      <c r="K69" s="183"/>
      <c r="L69" s="183"/>
      <c r="M69" s="183"/>
      <c r="N69" s="91"/>
      <c r="O69" s="91"/>
      <c r="P69" s="91"/>
      <c r="Q69" s="91"/>
      <c r="R69" s="91"/>
      <c r="S69" s="91"/>
      <c r="T69" s="86"/>
      <c r="U69" s="87"/>
      <c r="V69" s="87"/>
      <c r="W69" s="91"/>
      <c r="X69" s="91"/>
      <c r="Y69" s="91"/>
      <c r="Z69" s="91"/>
      <c r="AA69" s="91"/>
      <c r="AB69" s="91"/>
      <c r="AC69" s="91"/>
      <c r="AD69" s="91"/>
      <c r="AE69" s="91"/>
      <c r="AF69" s="91"/>
      <c r="AG69" s="91"/>
      <c r="AH69" s="91"/>
      <c r="AI69" s="91"/>
      <c r="AJ69" s="91"/>
      <c r="AK69" s="91"/>
      <c r="AL69" s="91"/>
      <c r="AM69" s="91"/>
      <c r="AN69" s="91"/>
      <c r="AO69" s="91"/>
      <c r="AP69" s="91"/>
      <c r="AQ69" s="91"/>
      <c r="AR69" s="91"/>
      <c r="AS69" s="91"/>
      <c r="AT69" s="91"/>
      <c r="AU69" s="91"/>
      <c r="AV69" s="91"/>
      <c r="AW69" s="91"/>
      <c r="AX69" s="91"/>
      <c r="AY69" s="91"/>
      <c r="AZ69" s="91"/>
      <c r="BA69" s="91"/>
      <c r="BB69" s="91"/>
      <c r="BC69" s="91"/>
      <c r="BD69" s="91"/>
      <c r="BE69" s="91"/>
      <c r="BF69" s="91"/>
      <c r="BG69" s="91"/>
      <c r="BH69" s="91"/>
      <c r="BI69" s="91"/>
      <c r="BJ69" s="91"/>
      <c r="BK69" s="91"/>
      <c r="BL69" s="91"/>
      <c r="BM69" s="91"/>
      <c r="BN69" s="91"/>
      <c r="BO69" s="91"/>
      <c r="BP69" s="91"/>
      <c r="BQ69" s="91"/>
      <c r="BR69" s="91"/>
      <c r="BS69" s="91"/>
      <c r="BT69" s="91"/>
      <c r="BU69" s="91"/>
      <c r="BV69" s="91"/>
      <c r="BW69" s="91"/>
      <c r="BX69" s="91"/>
      <c r="BY69" s="91"/>
      <c r="BZ69" s="91"/>
      <c r="CA69" s="91"/>
      <c r="CB69" s="91"/>
      <c r="CC69" s="91"/>
      <c r="CD69" s="91"/>
      <c r="CE69" s="91"/>
      <c r="CF69" s="91"/>
      <c r="CG69" s="91"/>
      <c r="CH69" s="91"/>
      <c r="CI69" s="91"/>
      <c r="CJ69" s="91"/>
      <c r="CK69" s="91"/>
      <c r="CL69" s="91"/>
      <c r="CM69" s="91"/>
      <c r="CN69" s="91"/>
      <c r="CO69" s="91"/>
      <c r="CP69" s="91"/>
      <c r="CQ69" s="91"/>
      <c r="CR69" s="91"/>
      <c r="CS69" s="91"/>
      <c r="CT69" s="91"/>
      <c r="CU69" s="91"/>
      <c r="CV69" s="91"/>
      <c r="CW69" s="91"/>
      <c r="CX69" s="91"/>
      <c r="CY69" s="91"/>
      <c r="CZ69" s="91"/>
      <c r="DA69" s="91"/>
      <c r="DB69" s="91"/>
      <c r="DC69" s="91"/>
      <c r="DD69" s="91"/>
      <c r="DE69" s="91"/>
      <c r="DF69" s="91"/>
      <c r="DG69" s="91"/>
      <c r="DH69" s="91"/>
      <c r="DI69" s="91"/>
      <c r="DJ69" s="91"/>
      <c r="DK69" s="91"/>
      <c r="DL69" s="91"/>
      <c r="DM69" s="91"/>
      <c r="DN69" s="91"/>
      <c r="DO69" s="91"/>
      <c r="DP69" s="2"/>
    </row>
    <row r="70" spans="1:120" ht="12.75" customHeight="1">
      <c r="A70" s="2"/>
      <c r="B70" s="2"/>
      <c r="C70" s="2"/>
      <c r="D70" s="2"/>
      <c r="E70" s="2"/>
      <c r="F70" s="2"/>
      <c r="G70" s="2"/>
      <c r="H70" s="2"/>
      <c r="I70" s="182"/>
      <c r="J70" s="182"/>
      <c r="K70" s="183"/>
      <c r="L70" s="183"/>
      <c r="M70" s="183"/>
      <c r="N70" s="91"/>
      <c r="O70" s="91"/>
      <c r="P70" s="91"/>
      <c r="Q70" s="91"/>
      <c r="R70" s="91"/>
      <c r="S70" s="91"/>
      <c r="T70" s="86"/>
      <c r="U70" s="87"/>
      <c r="V70" s="87"/>
      <c r="W70" s="91"/>
      <c r="X70" s="91"/>
      <c r="Y70" s="91"/>
      <c r="Z70" s="91"/>
      <c r="AA70" s="91"/>
      <c r="AB70" s="91"/>
      <c r="AC70" s="91"/>
      <c r="AD70" s="91"/>
      <c r="AE70" s="91"/>
      <c r="AF70" s="91"/>
      <c r="AG70" s="91"/>
      <c r="AH70" s="91"/>
      <c r="AI70" s="91"/>
      <c r="AJ70" s="91"/>
      <c r="AK70" s="91"/>
      <c r="AL70" s="91"/>
      <c r="AM70" s="91"/>
      <c r="AN70" s="91"/>
      <c r="AO70" s="91"/>
      <c r="AP70" s="91"/>
      <c r="AQ70" s="91"/>
      <c r="AR70" s="91"/>
      <c r="AS70" s="91"/>
      <c r="AT70" s="91"/>
      <c r="AU70" s="91"/>
      <c r="AV70" s="91"/>
      <c r="AW70" s="91"/>
      <c r="AX70" s="91"/>
      <c r="AY70" s="91"/>
      <c r="AZ70" s="91"/>
      <c r="BA70" s="91"/>
      <c r="BB70" s="91"/>
      <c r="BC70" s="91"/>
      <c r="BD70" s="91"/>
      <c r="BE70" s="91"/>
      <c r="BF70" s="91"/>
      <c r="BG70" s="91"/>
      <c r="BH70" s="91"/>
      <c r="BI70" s="91"/>
      <c r="BJ70" s="91"/>
      <c r="BK70" s="91"/>
      <c r="BL70" s="91"/>
      <c r="BM70" s="91"/>
      <c r="BN70" s="91"/>
      <c r="BO70" s="91"/>
      <c r="BP70" s="91"/>
      <c r="BQ70" s="91"/>
      <c r="BR70" s="91"/>
      <c r="BS70" s="91"/>
      <c r="BT70" s="91"/>
      <c r="BU70" s="91"/>
      <c r="BV70" s="91"/>
      <c r="BW70" s="91"/>
      <c r="BX70" s="91"/>
      <c r="BY70" s="91"/>
      <c r="BZ70" s="91"/>
      <c r="CA70" s="91"/>
      <c r="CB70" s="91"/>
      <c r="CC70" s="91"/>
      <c r="CD70" s="91"/>
      <c r="CE70" s="91"/>
      <c r="CF70" s="91"/>
      <c r="CG70" s="91"/>
      <c r="CH70" s="91"/>
      <c r="CI70" s="91"/>
      <c r="CJ70" s="91"/>
      <c r="CK70" s="91"/>
      <c r="CL70" s="91"/>
      <c r="CM70" s="91"/>
      <c r="CN70" s="91"/>
      <c r="CO70" s="91"/>
      <c r="CP70" s="91"/>
      <c r="CQ70" s="91"/>
      <c r="CR70" s="91"/>
      <c r="CS70" s="91"/>
      <c r="CT70" s="91"/>
      <c r="CU70" s="91"/>
      <c r="CV70" s="91"/>
      <c r="CW70" s="91"/>
      <c r="CX70" s="91"/>
      <c r="CY70" s="91"/>
      <c r="CZ70" s="91"/>
      <c r="DA70" s="91"/>
      <c r="DB70" s="91"/>
      <c r="DC70" s="91"/>
      <c r="DD70" s="91"/>
      <c r="DE70" s="91"/>
      <c r="DF70" s="91"/>
      <c r="DG70" s="91"/>
      <c r="DH70" s="91"/>
      <c r="DI70" s="91"/>
      <c r="DJ70" s="91"/>
      <c r="DK70" s="91"/>
      <c r="DL70" s="91"/>
      <c r="DM70" s="91"/>
      <c r="DN70" s="91"/>
      <c r="DO70" s="91"/>
      <c r="DP70" s="2"/>
    </row>
    <row r="71" spans="1:120" ht="12.75" customHeight="1">
      <c r="A71" s="2"/>
      <c r="B71" s="2"/>
      <c r="C71" s="2"/>
      <c r="D71" s="2"/>
      <c r="E71" s="2"/>
      <c r="F71" s="2"/>
      <c r="G71" s="2"/>
      <c r="H71" s="2"/>
      <c r="I71" s="182"/>
      <c r="J71" s="182"/>
      <c r="K71" s="183"/>
      <c r="L71" s="183"/>
      <c r="M71" s="183"/>
      <c r="N71" s="91"/>
      <c r="O71" s="91"/>
      <c r="P71" s="91"/>
      <c r="Q71" s="91"/>
      <c r="R71" s="91"/>
      <c r="S71" s="91"/>
      <c r="T71" s="86"/>
      <c r="U71" s="87"/>
      <c r="V71" s="87"/>
      <c r="W71" s="91"/>
      <c r="X71" s="91"/>
      <c r="Y71" s="91"/>
      <c r="Z71" s="91"/>
      <c r="AA71" s="91"/>
      <c r="AB71" s="91"/>
      <c r="AC71" s="91"/>
      <c r="AD71" s="91"/>
      <c r="AE71" s="91"/>
      <c r="AF71" s="91"/>
      <c r="AG71" s="91"/>
      <c r="AH71" s="91"/>
      <c r="AI71" s="91"/>
      <c r="AJ71" s="91"/>
      <c r="AK71" s="91"/>
      <c r="AL71" s="91"/>
      <c r="AM71" s="91"/>
      <c r="AN71" s="91"/>
      <c r="AO71" s="91"/>
      <c r="AP71" s="91"/>
      <c r="AQ71" s="91"/>
      <c r="AR71" s="91"/>
      <c r="AS71" s="91"/>
      <c r="AT71" s="91"/>
      <c r="AU71" s="91"/>
      <c r="AV71" s="91"/>
      <c r="AW71" s="91"/>
      <c r="AX71" s="91"/>
      <c r="AY71" s="91"/>
      <c r="AZ71" s="91"/>
      <c r="BA71" s="91"/>
      <c r="BB71" s="91"/>
      <c r="BC71" s="91"/>
      <c r="BD71" s="91"/>
      <c r="BE71" s="91"/>
      <c r="BF71" s="91"/>
      <c r="BG71" s="91"/>
      <c r="BH71" s="91"/>
      <c r="BI71" s="91"/>
      <c r="BJ71" s="91"/>
      <c r="BK71" s="91"/>
      <c r="BL71" s="91"/>
      <c r="BM71" s="91"/>
      <c r="BN71" s="91"/>
      <c r="BO71" s="91"/>
      <c r="BP71" s="91"/>
      <c r="BQ71" s="91"/>
      <c r="BR71" s="91"/>
      <c r="BS71" s="91"/>
      <c r="BT71" s="91"/>
      <c r="BU71" s="91"/>
      <c r="BV71" s="91"/>
      <c r="BW71" s="91"/>
      <c r="BX71" s="91"/>
      <c r="BY71" s="91"/>
      <c r="BZ71" s="91"/>
      <c r="CA71" s="91"/>
      <c r="CB71" s="91"/>
      <c r="CC71" s="91"/>
      <c r="CD71" s="91"/>
      <c r="CE71" s="91"/>
      <c r="CF71" s="91"/>
      <c r="CG71" s="91"/>
      <c r="CH71" s="91"/>
      <c r="CI71" s="91"/>
      <c r="CJ71" s="91"/>
      <c r="CK71" s="91"/>
      <c r="CL71" s="91"/>
      <c r="CM71" s="91"/>
      <c r="CN71" s="91"/>
      <c r="CO71" s="91"/>
      <c r="CP71" s="91"/>
      <c r="CQ71" s="91"/>
      <c r="CR71" s="91"/>
      <c r="CS71" s="91"/>
      <c r="CT71" s="91"/>
      <c r="CU71" s="91"/>
      <c r="CV71" s="91"/>
      <c r="CW71" s="91"/>
      <c r="CX71" s="91"/>
      <c r="CY71" s="91"/>
      <c r="CZ71" s="91"/>
      <c r="DA71" s="91"/>
      <c r="DB71" s="91"/>
      <c r="DC71" s="91"/>
      <c r="DD71" s="91"/>
      <c r="DE71" s="91"/>
      <c r="DF71" s="91"/>
      <c r="DG71" s="91"/>
      <c r="DH71" s="91"/>
      <c r="DI71" s="91"/>
      <c r="DJ71" s="91"/>
      <c r="DK71" s="91"/>
      <c r="DL71" s="91"/>
      <c r="DM71" s="91"/>
      <c r="DN71" s="91"/>
      <c r="DO71" s="91"/>
      <c r="DP71" s="2"/>
    </row>
    <row r="72" spans="1:120" ht="12.75" customHeight="1">
      <c r="A72" s="2"/>
      <c r="B72" s="2"/>
      <c r="C72" s="2"/>
      <c r="D72" s="2"/>
      <c r="E72" s="2"/>
      <c r="F72" s="2"/>
      <c r="G72" s="2"/>
      <c r="H72" s="2"/>
      <c r="I72" s="182"/>
      <c r="J72" s="182"/>
      <c r="K72" s="183"/>
      <c r="L72" s="183"/>
      <c r="M72" s="183"/>
      <c r="N72" s="91"/>
      <c r="O72" s="91"/>
      <c r="P72" s="91"/>
      <c r="Q72" s="91"/>
      <c r="R72" s="91"/>
      <c r="S72" s="91"/>
      <c r="T72" s="86"/>
      <c r="U72" s="87"/>
      <c r="V72" s="87"/>
      <c r="W72" s="91"/>
      <c r="X72" s="91"/>
      <c r="Y72" s="91"/>
      <c r="Z72" s="91"/>
      <c r="AA72" s="91"/>
      <c r="AB72" s="91"/>
      <c r="AC72" s="91"/>
      <c r="AD72" s="91"/>
      <c r="AE72" s="91"/>
      <c r="AF72" s="91"/>
      <c r="AG72" s="91"/>
      <c r="AH72" s="91"/>
      <c r="AI72" s="91"/>
      <c r="AJ72" s="91"/>
      <c r="AK72" s="91"/>
      <c r="AL72" s="91"/>
      <c r="AM72" s="91"/>
      <c r="AN72" s="91"/>
      <c r="AO72" s="91"/>
      <c r="AP72" s="91"/>
      <c r="AQ72" s="91"/>
      <c r="AR72" s="91"/>
      <c r="AS72" s="91"/>
      <c r="AT72" s="91"/>
      <c r="AU72" s="91"/>
      <c r="AV72" s="91"/>
      <c r="AW72" s="91"/>
      <c r="AX72" s="91"/>
      <c r="AY72" s="91"/>
      <c r="AZ72" s="91"/>
      <c r="BA72" s="91"/>
      <c r="BB72" s="91"/>
      <c r="BC72" s="91"/>
      <c r="BD72" s="91"/>
      <c r="BE72" s="91"/>
      <c r="BF72" s="91"/>
      <c r="BG72" s="91"/>
      <c r="BH72" s="91"/>
      <c r="BI72" s="91"/>
      <c r="BJ72" s="91"/>
      <c r="BK72" s="91"/>
      <c r="BL72" s="91"/>
      <c r="BM72" s="91"/>
      <c r="BN72" s="91"/>
      <c r="BO72" s="91"/>
      <c r="BP72" s="91"/>
      <c r="BQ72" s="91"/>
      <c r="BR72" s="91"/>
      <c r="BS72" s="91"/>
      <c r="BT72" s="91"/>
      <c r="BU72" s="91"/>
      <c r="BV72" s="91"/>
      <c r="BW72" s="91"/>
      <c r="BX72" s="91"/>
      <c r="BY72" s="91"/>
      <c r="BZ72" s="91"/>
      <c r="CA72" s="91"/>
      <c r="CB72" s="91"/>
      <c r="CC72" s="91"/>
      <c r="CD72" s="91"/>
      <c r="CE72" s="91"/>
      <c r="CF72" s="91"/>
      <c r="CG72" s="91"/>
      <c r="CH72" s="91"/>
      <c r="CI72" s="91"/>
      <c r="CJ72" s="91"/>
      <c r="CK72" s="91"/>
      <c r="CL72" s="91"/>
      <c r="CM72" s="91"/>
      <c r="CN72" s="91"/>
      <c r="CO72" s="91"/>
      <c r="CP72" s="91"/>
      <c r="CQ72" s="91"/>
      <c r="CR72" s="91"/>
      <c r="CS72" s="91"/>
      <c r="CT72" s="91"/>
      <c r="CU72" s="91"/>
      <c r="CV72" s="91"/>
      <c r="CW72" s="91"/>
      <c r="CX72" s="91"/>
      <c r="CY72" s="91"/>
      <c r="CZ72" s="91"/>
      <c r="DA72" s="91"/>
      <c r="DB72" s="91"/>
      <c r="DC72" s="91"/>
      <c r="DD72" s="91"/>
      <c r="DE72" s="91"/>
      <c r="DF72" s="91"/>
      <c r="DG72" s="91"/>
      <c r="DH72" s="91"/>
      <c r="DI72" s="91"/>
      <c r="DJ72" s="91"/>
      <c r="DK72" s="91"/>
      <c r="DL72" s="91"/>
      <c r="DM72" s="91"/>
      <c r="DN72" s="91"/>
      <c r="DO72" s="91"/>
      <c r="DP72" s="2"/>
    </row>
    <row r="73" spans="1:120" ht="12.75" customHeight="1">
      <c r="A73" s="2"/>
      <c r="B73" s="2"/>
      <c r="C73" s="2"/>
      <c r="D73" s="2"/>
      <c r="E73" s="2"/>
      <c r="F73" s="2"/>
      <c r="G73" s="2"/>
      <c r="H73" s="2"/>
      <c r="I73" s="182"/>
      <c r="J73" s="182"/>
      <c r="K73" s="183"/>
      <c r="L73" s="183"/>
      <c r="M73" s="183"/>
      <c r="N73" s="91"/>
      <c r="O73" s="91"/>
      <c r="P73" s="91"/>
      <c r="Q73" s="91"/>
      <c r="R73" s="91"/>
      <c r="S73" s="91"/>
      <c r="T73" s="86"/>
      <c r="U73" s="87"/>
      <c r="V73" s="87"/>
      <c r="W73" s="91"/>
      <c r="X73" s="91"/>
      <c r="Y73" s="91"/>
      <c r="Z73" s="91"/>
      <c r="AA73" s="91"/>
      <c r="AB73" s="91"/>
      <c r="AC73" s="91"/>
      <c r="AD73" s="91"/>
      <c r="AE73" s="91"/>
      <c r="AF73" s="91"/>
      <c r="AG73" s="91"/>
      <c r="AH73" s="91"/>
      <c r="AI73" s="91"/>
      <c r="AJ73" s="91"/>
      <c r="AK73" s="91"/>
      <c r="AL73" s="91"/>
      <c r="AM73" s="91"/>
      <c r="AN73" s="91"/>
      <c r="AO73" s="91"/>
      <c r="AP73" s="91"/>
      <c r="AQ73" s="91"/>
      <c r="AR73" s="91"/>
      <c r="AS73" s="91"/>
      <c r="AT73" s="91"/>
      <c r="AU73" s="91"/>
      <c r="AV73" s="91"/>
      <c r="AW73" s="91"/>
      <c r="AX73" s="91"/>
      <c r="AY73" s="91"/>
      <c r="AZ73" s="91"/>
      <c r="BA73" s="91"/>
      <c r="BB73" s="91"/>
      <c r="BC73" s="91"/>
      <c r="BD73" s="91"/>
      <c r="BE73" s="91"/>
      <c r="BF73" s="91"/>
      <c r="BG73" s="91"/>
      <c r="BH73" s="91"/>
      <c r="BI73" s="91"/>
      <c r="BJ73" s="91"/>
      <c r="BK73" s="91"/>
      <c r="BL73" s="91"/>
      <c r="BM73" s="91"/>
      <c r="BN73" s="91"/>
      <c r="BO73" s="91"/>
      <c r="BP73" s="91"/>
      <c r="BQ73" s="91"/>
      <c r="BR73" s="91"/>
      <c r="BS73" s="91"/>
      <c r="BT73" s="91"/>
      <c r="BU73" s="91"/>
      <c r="BV73" s="91"/>
      <c r="BW73" s="91"/>
      <c r="BX73" s="91"/>
      <c r="BY73" s="91"/>
      <c r="BZ73" s="91"/>
      <c r="CA73" s="91"/>
      <c r="CB73" s="91"/>
      <c r="CC73" s="91"/>
      <c r="CD73" s="91"/>
      <c r="CE73" s="91"/>
      <c r="CF73" s="91"/>
      <c r="CG73" s="91"/>
      <c r="CH73" s="91"/>
      <c r="CI73" s="91"/>
      <c r="CJ73" s="91"/>
      <c r="CK73" s="91"/>
      <c r="CL73" s="91"/>
      <c r="CM73" s="91"/>
      <c r="CN73" s="91"/>
      <c r="CO73" s="91"/>
      <c r="CP73" s="91"/>
      <c r="CQ73" s="91"/>
      <c r="CR73" s="91"/>
      <c r="CS73" s="91"/>
      <c r="CT73" s="91"/>
      <c r="CU73" s="91"/>
      <c r="CV73" s="91"/>
      <c r="CW73" s="91"/>
      <c r="CX73" s="91"/>
      <c r="CY73" s="91"/>
      <c r="CZ73" s="91"/>
      <c r="DA73" s="91"/>
      <c r="DB73" s="91"/>
      <c r="DC73" s="91"/>
      <c r="DD73" s="91"/>
      <c r="DE73" s="91"/>
      <c r="DF73" s="91"/>
      <c r="DG73" s="91"/>
      <c r="DH73" s="91"/>
      <c r="DI73" s="91"/>
      <c r="DJ73" s="91"/>
      <c r="DK73" s="91"/>
      <c r="DL73" s="91"/>
      <c r="DM73" s="91"/>
      <c r="DN73" s="91"/>
      <c r="DO73" s="91"/>
      <c r="DP73" s="2"/>
    </row>
    <row r="74" spans="1:120" ht="12.75" customHeight="1">
      <c r="A74" s="2"/>
      <c r="B74" s="2"/>
      <c r="C74" s="2"/>
      <c r="D74" s="2"/>
      <c r="E74" s="2"/>
      <c r="F74" s="2"/>
      <c r="G74" s="2"/>
      <c r="H74" s="2"/>
      <c r="I74" s="182"/>
      <c r="J74" s="182"/>
      <c r="K74" s="183"/>
      <c r="L74" s="183"/>
      <c r="M74" s="183"/>
      <c r="N74" s="91"/>
      <c r="O74" s="91"/>
      <c r="P74" s="91"/>
      <c r="Q74" s="91"/>
      <c r="R74" s="91"/>
      <c r="S74" s="91"/>
      <c r="T74" s="86"/>
      <c r="U74" s="87"/>
      <c r="V74" s="87"/>
      <c r="W74" s="91"/>
      <c r="X74" s="91"/>
      <c r="Y74" s="91"/>
      <c r="Z74" s="91"/>
      <c r="AA74" s="91"/>
      <c r="AB74" s="91"/>
      <c r="AC74" s="91"/>
      <c r="AD74" s="91"/>
      <c r="AE74" s="91"/>
      <c r="AF74" s="91"/>
      <c r="AG74" s="91"/>
      <c r="AH74" s="91"/>
      <c r="AI74" s="91"/>
      <c r="AJ74" s="91"/>
      <c r="AK74" s="91"/>
      <c r="AL74" s="91"/>
      <c r="AM74" s="91"/>
      <c r="AN74" s="91"/>
      <c r="AO74" s="91"/>
      <c r="AP74" s="91"/>
      <c r="AQ74" s="91"/>
      <c r="AR74" s="91"/>
      <c r="AS74" s="91"/>
      <c r="AT74" s="91"/>
      <c r="AU74" s="91"/>
      <c r="AV74" s="91"/>
      <c r="AW74" s="91"/>
      <c r="AX74" s="91"/>
      <c r="AY74" s="91"/>
      <c r="AZ74" s="91"/>
      <c r="BA74" s="91"/>
      <c r="BB74" s="91"/>
      <c r="BC74" s="91"/>
      <c r="BD74" s="91"/>
      <c r="BE74" s="91"/>
      <c r="BF74" s="91"/>
      <c r="BG74" s="91"/>
      <c r="BH74" s="91"/>
      <c r="BI74" s="91"/>
      <c r="BJ74" s="91"/>
      <c r="BK74" s="91"/>
      <c r="BL74" s="91"/>
      <c r="BM74" s="91"/>
      <c r="BN74" s="91"/>
      <c r="BO74" s="91"/>
      <c r="BP74" s="91"/>
      <c r="BQ74" s="91"/>
      <c r="BR74" s="91"/>
      <c r="BS74" s="91"/>
      <c r="BT74" s="91"/>
      <c r="BU74" s="91"/>
      <c r="BV74" s="91"/>
      <c r="BW74" s="91"/>
      <c r="BX74" s="91"/>
      <c r="BY74" s="91"/>
      <c r="BZ74" s="91"/>
      <c r="CA74" s="91"/>
      <c r="CB74" s="91"/>
      <c r="CC74" s="91"/>
      <c r="CD74" s="91"/>
      <c r="CE74" s="91"/>
      <c r="CF74" s="91"/>
      <c r="CG74" s="91"/>
      <c r="CH74" s="91"/>
      <c r="CI74" s="91"/>
      <c r="CJ74" s="91"/>
      <c r="CK74" s="91"/>
      <c r="CL74" s="91"/>
      <c r="CM74" s="91"/>
      <c r="CN74" s="91"/>
      <c r="CO74" s="91"/>
      <c r="CP74" s="91"/>
      <c r="CQ74" s="91"/>
      <c r="CR74" s="91"/>
      <c r="CS74" s="91"/>
      <c r="CT74" s="91"/>
      <c r="CU74" s="91"/>
      <c r="CV74" s="91"/>
      <c r="CW74" s="91"/>
      <c r="CX74" s="91"/>
      <c r="CY74" s="91"/>
      <c r="CZ74" s="91"/>
      <c r="DA74" s="91"/>
      <c r="DB74" s="91"/>
      <c r="DC74" s="91"/>
      <c r="DD74" s="91"/>
      <c r="DE74" s="91"/>
      <c r="DF74" s="91"/>
      <c r="DG74" s="91"/>
      <c r="DH74" s="91"/>
      <c r="DI74" s="91"/>
      <c r="DJ74" s="91"/>
      <c r="DK74" s="91"/>
      <c r="DL74" s="91"/>
      <c r="DM74" s="91"/>
      <c r="DN74" s="91"/>
      <c r="DO74" s="91"/>
      <c r="DP74" s="2"/>
    </row>
    <row r="75" spans="1:120" ht="12.75" customHeight="1">
      <c r="A75" s="2"/>
      <c r="B75" s="2"/>
      <c r="C75" s="2"/>
      <c r="D75" s="2"/>
      <c r="E75" s="2"/>
      <c r="F75" s="2"/>
      <c r="G75" s="2"/>
      <c r="H75" s="2"/>
      <c r="I75" s="182"/>
      <c r="J75" s="182"/>
      <c r="K75" s="183"/>
      <c r="L75" s="183"/>
      <c r="M75" s="183"/>
      <c r="N75" s="91"/>
      <c r="O75" s="91"/>
      <c r="P75" s="91"/>
      <c r="Q75" s="91"/>
      <c r="R75" s="91"/>
      <c r="S75" s="91"/>
      <c r="T75" s="86"/>
      <c r="U75" s="87"/>
      <c r="V75" s="87"/>
      <c r="W75" s="91"/>
      <c r="X75" s="91"/>
      <c r="Y75" s="91"/>
      <c r="Z75" s="91"/>
      <c r="AA75" s="91"/>
      <c r="AB75" s="91"/>
      <c r="AC75" s="91"/>
      <c r="AD75" s="91"/>
      <c r="AE75" s="91"/>
      <c r="AF75" s="91"/>
      <c r="AG75" s="91"/>
      <c r="AH75" s="91"/>
      <c r="AI75" s="91"/>
      <c r="AJ75" s="91"/>
      <c r="AK75" s="91"/>
      <c r="AL75" s="91"/>
      <c r="AM75" s="91"/>
      <c r="AN75" s="91"/>
      <c r="AO75" s="91"/>
      <c r="AP75" s="91"/>
      <c r="AQ75" s="91"/>
      <c r="AR75" s="91"/>
      <c r="AS75" s="91"/>
      <c r="AT75" s="91"/>
      <c r="AU75" s="91"/>
      <c r="AV75" s="91"/>
      <c r="AW75" s="91"/>
      <c r="AX75" s="91"/>
      <c r="AY75" s="91"/>
      <c r="AZ75" s="91"/>
      <c r="BA75" s="91"/>
      <c r="BB75" s="91"/>
      <c r="BC75" s="91"/>
      <c r="BD75" s="91"/>
      <c r="BE75" s="91"/>
      <c r="BF75" s="91"/>
      <c r="BG75" s="91"/>
      <c r="BH75" s="91"/>
      <c r="BI75" s="91"/>
      <c r="BJ75" s="91"/>
      <c r="BK75" s="91"/>
      <c r="BL75" s="91"/>
      <c r="BM75" s="91"/>
      <c r="BN75" s="91"/>
      <c r="BO75" s="91"/>
      <c r="BP75" s="91"/>
      <c r="BQ75" s="91"/>
      <c r="BR75" s="91"/>
      <c r="BS75" s="91"/>
      <c r="BT75" s="91"/>
      <c r="BU75" s="91"/>
      <c r="BV75" s="91"/>
      <c r="BW75" s="91"/>
      <c r="BX75" s="91"/>
      <c r="BY75" s="91"/>
      <c r="BZ75" s="91"/>
      <c r="CA75" s="91"/>
      <c r="CB75" s="91"/>
      <c r="CC75" s="91"/>
      <c r="CD75" s="91"/>
      <c r="CE75" s="91"/>
      <c r="CF75" s="91"/>
      <c r="CG75" s="91"/>
      <c r="CH75" s="91"/>
      <c r="CI75" s="91"/>
      <c r="CJ75" s="91"/>
      <c r="CK75" s="91"/>
      <c r="CL75" s="91"/>
      <c r="CM75" s="91"/>
      <c r="CN75" s="91"/>
      <c r="CO75" s="91"/>
      <c r="CP75" s="91"/>
      <c r="CQ75" s="91"/>
      <c r="CR75" s="91"/>
      <c r="CS75" s="91"/>
      <c r="CT75" s="91"/>
      <c r="CU75" s="91"/>
      <c r="CV75" s="91"/>
      <c r="CW75" s="91"/>
      <c r="CX75" s="91"/>
      <c r="CY75" s="91"/>
      <c r="CZ75" s="91"/>
      <c r="DA75" s="91"/>
      <c r="DB75" s="91"/>
      <c r="DC75" s="91"/>
      <c r="DD75" s="91"/>
      <c r="DE75" s="91"/>
      <c r="DF75" s="91"/>
      <c r="DG75" s="91"/>
      <c r="DH75" s="91"/>
      <c r="DI75" s="91"/>
      <c r="DJ75" s="91"/>
      <c r="DK75" s="91"/>
      <c r="DL75" s="91"/>
      <c r="DM75" s="91"/>
      <c r="DN75" s="91"/>
      <c r="DO75" s="91"/>
      <c r="DP75" s="2"/>
    </row>
    <row r="76" spans="1:120" ht="12.75" customHeight="1">
      <c r="A76" s="2"/>
      <c r="B76" s="2"/>
      <c r="C76" s="2"/>
      <c r="D76" s="2"/>
      <c r="E76" s="2"/>
      <c r="F76" s="2"/>
      <c r="G76" s="2"/>
      <c r="H76" s="2"/>
      <c r="I76" s="182"/>
      <c r="J76" s="182"/>
      <c r="K76" s="183"/>
      <c r="L76" s="183"/>
      <c r="M76" s="183"/>
      <c r="N76" s="91"/>
      <c r="O76" s="91"/>
      <c r="P76" s="91"/>
      <c r="Q76" s="91"/>
      <c r="R76" s="91"/>
      <c r="S76" s="91"/>
      <c r="T76" s="86"/>
      <c r="U76" s="87"/>
      <c r="V76" s="87"/>
      <c r="W76" s="91"/>
      <c r="X76" s="91"/>
      <c r="Y76" s="91"/>
      <c r="Z76" s="91"/>
      <c r="AA76" s="91"/>
      <c r="AB76" s="91"/>
      <c r="AC76" s="91"/>
      <c r="AD76" s="91"/>
      <c r="AE76" s="91"/>
      <c r="AF76" s="91"/>
      <c r="AG76" s="91"/>
      <c r="AH76" s="91"/>
      <c r="AI76" s="91"/>
      <c r="AJ76" s="91"/>
      <c r="AK76" s="91"/>
      <c r="AL76" s="91"/>
      <c r="AM76" s="91"/>
      <c r="AN76" s="91"/>
      <c r="AO76" s="91"/>
      <c r="AP76" s="91"/>
      <c r="AQ76" s="91"/>
      <c r="AR76" s="91"/>
      <c r="AS76" s="91"/>
      <c r="AT76" s="91"/>
      <c r="AU76" s="91"/>
      <c r="AV76" s="91"/>
      <c r="AW76" s="91"/>
      <c r="AX76" s="91"/>
      <c r="AY76" s="91"/>
      <c r="AZ76" s="91"/>
      <c r="BA76" s="91"/>
      <c r="BB76" s="91"/>
      <c r="BC76" s="91"/>
      <c r="BD76" s="91"/>
      <c r="BE76" s="91"/>
      <c r="BF76" s="91"/>
      <c r="BG76" s="91"/>
      <c r="BH76" s="91"/>
      <c r="BI76" s="91"/>
      <c r="BJ76" s="91"/>
      <c r="BK76" s="91"/>
      <c r="BL76" s="91"/>
      <c r="BM76" s="91"/>
      <c r="BN76" s="91"/>
      <c r="BO76" s="91"/>
      <c r="BP76" s="91"/>
      <c r="BQ76" s="91"/>
      <c r="BR76" s="91"/>
      <c r="BS76" s="91"/>
      <c r="BT76" s="91"/>
      <c r="BU76" s="91"/>
      <c r="BV76" s="91"/>
      <c r="BW76" s="91"/>
      <c r="BX76" s="91"/>
      <c r="BY76" s="91"/>
      <c r="BZ76" s="91"/>
      <c r="CA76" s="91"/>
      <c r="CB76" s="91"/>
      <c r="CC76" s="91"/>
      <c r="CD76" s="91"/>
      <c r="CE76" s="91"/>
      <c r="CF76" s="91"/>
      <c r="CG76" s="91"/>
      <c r="CH76" s="91"/>
      <c r="CI76" s="91"/>
      <c r="CJ76" s="91"/>
      <c r="CK76" s="91"/>
      <c r="CL76" s="91"/>
      <c r="CM76" s="91"/>
      <c r="CN76" s="91"/>
      <c r="CO76" s="91"/>
      <c r="CP76" s="91"/>
      <c r="CQ76" s="91"/>
      <c r="CR76" s="91"/>
      <c r="CS76" s="91"/>
      <c r="CT76" s="91"/>
      <c r="CU76" s="91"/>
      <c r="CV76" s="91"/>
      <c r="CW76" s="91"/>
      <c r="CX76" s="91"/>
      <c r="CY76" s="91"/>
      <c r="CZ76" s="91"/>
      <c r="DA76" s="91"/>
      <c r="DB76" s="91"/>
      <c r="DC76" s="91"/>
      <c r="DD76" s="91"/>
      <c r="DE76" s="91"/>
      <c r="DF76" s="91"/>
      <c r="DG76" s="91"/>
      <c r="DH76" s="91"/>
      <c r="DI76" s="91"/>
      <c r="DJ76" s="91"/>
      <c r="DK76" s="91"/>
      <c r="DL76" s="91"/>
      <c r="DM76" s="91"/>
      <c r="DN76" s="91"/>
      <c r="DO76" s="91"/>
      <c r="DP76" s="2"/>
    </row>
    <row r="77" spans="1:120" ht="12.75" customHeight="1">
      <c r="A77" s="2"/>
      <c r="B77" s="2"/>
      <c r="C77" s="2"/>
      <c r="D77" s="2"/>
      <c r="E77" s="2"/>
      <c r="F77" s="2"/>
      <c r="G77" s="2"/>
      <c r="H77" s="2"/>
      <c r="I77" s="182"/>
      <c r="J77" s="182"/>
      <c r="K77" s="183"/>
      <c r="L77" s="183"/>
      <c r="M77" s="183"/>
      <c r="N77" s="91"/>
      <c r="O77" s="91"/>
      <c r="P77" s="91"/>
      <c r="Q77" s="91"/>
      <c r="R77" s="91"/>
      <c r="S77" s="91"/>
      <c r="T77" s="86"/>
      <c r="U77" s="87"/>
      <c r="V77" s="87"/>
      <c r="W77" s="91"/>
      <c r="X77" s="91"/>
      <c r="Y77" s="91"/>
      <c r="Z77" s="91"/>
      <c r="AA77" s="91"/>
      <c r="AB77" s="91"/>
      <c r="AC77" s="91"/>
      <c r="AD77" s="91"/>
      <c r="AE77" s="91"/>
      <c r="AF77" s="91"/>
      <c r="AG77" s="91"/>
      <c r="AH77" s="91"/>
      <c r="AI77" s="91"/>
      <c r="AJ77" s="91"/>
      <c r="AK77" s="91"/>
      <c r="AL77" s="91"/>
      <c r="AM77" s="91"/>
      <c r="AN77" s="91"/>
      <c r="AO77" s="91"/>
      <c r="AP77" s="91"/>
      <c r="AQ77" s="91"/>
      <c r="AR77" s="91"/>
      <c r="AS77" s="91"/>
      <c r="AT77" s="91"/>
      <c r="AU77" s="91"/>
      <c r="AV77" s="91"/>
      <c r="AW77" s="91"/>
      <c r="AX77" s="91"/>
      <c r="AY77" s="91"/>
      <c r="AZ77" s="91"/>
      <c r="BA77" s="91"/>
      <c r="BB77" s="91"/>
      <c r="BC77" s="91"/>
      <c r="BD77" s="91"/>
      <c r="BE77" s="91"/>
      <c r="BF77" s="91"/>
      <c r="BG77" s="91"/>
      <c r="BH77" s="91"/>
      <c r="BI77" s="91"/>
      <c r="BJ77" s="91"/>
      <c r="BK77" s="91"/>
      <c r="BL77" s="91"/>
      <c r="BM77" s="91"/>
      <c r="BN77" s="91"/>
      <c r="BO77" s="91"/>
      <c r="BP77" s="91"/>
      <c r="BQ77" s="91"/>
      <c r="BR77" s="91"/>
      <c r="BS77" s="91"/>
      <c r="BT77" s="91"/>
      <c r="BU77" s="91"/>
      <c r="BV77" s="91"/>
      <c r="BW77" s="91"/>
      <c r="BX77" s="91"/>
      <c r="BY77" s="91"/>
      <c r="BZ77" s="91"/>
      <c r="CA77" s="91"/>
      <c r="CB77" s="91"/>
      <c r="CC77" s="91"/>
      <c r="CD77" s="91"/>
      <c r="CE77" s="91"/>
      <c r="CF77" s="91"/>
      <c r="CG77" s="91"/>
      <c r="CH77" s="91"/>
      <c r="CI77" s="91"/>
      <c r="CJ77" s="91"/>
      <c r="CK77" s="91"/>
      <c r="CL77" s="91"/>
      <c r="CM77" s="91"/>
      <c r="CN77" s="91"/>
      <c r="CO77" s="91"/>
      <c r="CP77" s="91"/>
      <c r="CQ77" s="91"/>
      <c r="CR77" s="91"/>
      <c r="CS77" s="91"/>
      <c r="CT77" s="91"/>
      <c r="CU77" s="91"/>
      <c r="CV77" s="91"/>
      <c r="CW77" s="91"/>
      <c r="CX77" s="91"/>
      <c r="CY77" s="91"/>
      <c r="CZ77" s="91"/>
      <c r="DA77" s="91"/>
      <c r="DB77" s="91"/>
      <c r="DC77" s="91"/>
      <c r="DD77" s="91"/>
      <c r="DE77" s="91"/>
      <c r="DF77" s="91"/>
      <c r="DG77" s="91"/>
      <c r="DH77" s="91"/>
      <c r="DI77" s="91"/>
      <c r="DJ77" s="91"/>
      <c r="DK77" s="91"/>
      <c r="DL77" s="91"/>
      <c r="DM77" s="91"/>
      <c r="DN77" s="91"/>
      <c r="DO77" s="91"/>
      <c r="DP77" s="2"/>
    </row>
    <row r="78" spans="1:120" ht="12.75" customHeight="1">
      <c r="A78" s="2"/>
      <c r="B78" s="2"/>
      <c r="C78" s="2"/>
      <c r="D78" s="2"/>
      <c r="E78" s="2"/>
      <c r="F78" s="2"/>
      <c r="G78" s="2"/>
      <c r="H78" s="2"/>
      <c r="I78" s="182"/>
      <c r="J78" s="182"/>
      <c r="K78" s="183"/>
      <c r="L78" s="183"/>
      <c r="M78" s="183"/>
      <c r="N78" s="91"/>
      <c r="O78" s="91"/>
      <c r="P78" s="91"/>
      <c r="Q78" s="91"/>
      <c r="R78" s="91"/>
      <c r="S78" s="91"/>
      <c r="T78" s="86"/>
      <c r="U78" s="87"/>
      <c r="V78" s="87"/>
      <c r="W78" s="91"/>
      <c r="X78" s="91"/>
      <c r="Y78" s="91"/>
      <c r="Z78" s="91"/>
      <c r="AA78" s="91"/>
      <c r="AB78" s="91"/>
      <c r="AC78" s="91"/>
      <c r="AD78" s="91"/>
      <c r="AE78" s="91"/>
      <c r="AF78" s="91"/>
      <c r="AG78" s="91"/>
      <c r="AH78" s="91"/>
      <c r="AI78" s="91"/>
      <c r="AJ78" s="91"/>
      <c r="AK78" s="91"/>
      <c r="AL78" s="91"/>
      <c r="AM78" s="91"/>
      <c r="AN78" s="91"/>
      <c r="AO78" s="91"/>
      <c r="AP78" s="91"/>
      <c r="AQ78" s="91"/>
      <c r="AR78" s="91"/>
      <c r="AS78" s="91"/>
      <c r="AT78" s="91"/>
      <c r="AU78" s="91"/>
      <c r="AV78" s="91"/>
      <c r="AW78" s="91"/>
      <c r="AX78" s="91"/>
      <c r="AY78" s="91"/>
      <c r="AZ78" s="91"/>
      <c r="BA78" s="91"/>
      <c r="BB78" s="91"/>
      <c r="BC78" s="91"/>
      <c r="BD78" s="91"/>
      <c r="BE78" s="91"/>
      <c r="BF78" s="91"/>
      <c r="BG78" s="91"/>
      <c r="BH78" s="91"/>
      <c r="BI78" s="91"/>
      <c r="BJ78" s="91"/>
      <c r="BK78" s="91"/>
      <c r="BL78" s="91"/>
      <c r="BM78" s="91"/>
      <c r="BN78" s="91"/>
      <c r="BO78" s="91"/>
      <c r="BP78" s="91"/>
      <c r="BQ78" s="91"/>
      <c r="BR78" s="91"/>
      <c r="BS78" s="91"/>
      <c r="BT78" s="91"/>
      <c r="BU78" s="91"/>
      <c r="BV78" s="91"/>
      <c r="BW78" s="91"/>
      <c r="BX78" s="91"/>
      <c r="BY78" s="91"/>
      <c r="BZ78" s="91"/>
      <c r="CA78" s="91"/>
      <c r="CB78" s="91"/>
      <c r="CC78" s="91"/>
      <c r="CD78" s="91"/>
      <c r="CE78" s="91"/>
      <c r="CF78" s="91"/>
      <c r="CG78" s="91"/>
      <c r="CH78" s="91"/>
      <c r="CI78" s="91"/>
      <c r="CJ78" s="91"/>
      <c r="CK78" s="91"/>
      <c r="CL78" s="91"/>
      <c r="CM78" s="91"/>
      <c r="CN78" s="91"/>
      <c r="CO78" s="91"/>
      <c r="CP78" s="91"/>
      <c r="CQ78" s="91"/>
      <c r="CR78" s="91"/>
      <c r="CS78" s="91"/>
      <c r="CT78" s="91"/>
      <c r="CU78" s="91"/>
      <c r="CV78" s="91"/>
      <c r="CW78" s="91"/>
      <c r="CX78" s="91"/>
      <c r="CY78" s="91"/>
      <c r="CZ78" s="91"/>
      <c r="DA78" s="91"/>
      <c r="DB78" s="91"/>
      <c r="DC78" s="91"/>
      <c r="DD78" s="91"/>
      <c r="DE78" s="91"/>
      <c r="DF78" s="91"/>
      <c r="DG78" s="91"/>
      <c r="DH78" s="91"/>
      <c r="DI78" s="91"/>
      <c r="DJ78" s="91"/>
      <c r="DK78" s="91"/>
      <c r="DL78" s="91"/>
      <c r="DM78" s="91"/>
      <c r="DN78" s="91"/>
      <c r="DO78" s="91"/>
      <c r="DP78" s="2"/>
    </row>
    <row r="79" spans="1:120" ht="12.75" customHeight="1">
      <c r="A79" s="2"/>
      <c r="B79" s="2"/>
      <c r="C79" s="2"/>
      <c r="D79" s="2"/>
      <c r="E79" s="2"/>
      <c r="F79" s="2"/>
      <c r="G79" s="2"/>
      <c r="H79" s="2"/>
      <c r="I79" s="182"/>
      <c r="J79" s="182"/>
      <c r="K79" s="183"/>
      <c r="L79" s="183"/>
      <c r="M79" s="183"/>
      <c r="N79" s="91"/>
      <c r="O79" s="91"/>
      <c r="P79" s="91"/>
      <c r="Q79" s="91"/>
      <c r="R79" s="91"/>
      <c r="S79" s="91"/>
      <c r="T79" s="86"/>
      <c r="U79" s="87"/>
      <c r="V79" s="87"/>
      <c r="W79" s="91"/>
      <c r="X79" s="91"/>
      <c r="Y79" s="91"/>
      <c r="Z79" s="91"/>
      <c r="AA79" s="91"/>
      <c r="AB79" s="91"/>
      <c r="AC79" s="91"/>
      <c r="AD79" s="91"/>
      <c r="AE79" s="91"/>
      <c r="AF79" s="91"/>
      <c r="AG79" s="91"/>
      <c r="AH79" s="91"/>
      <c r="AI79" s="91"/>
      <c r="AJ79" s="91"/>
      <c r="AK79" s="91"/>
      <c r="AL79" s="91"/>
      <c r="AM79" s="91"/>
      <c r="AN79" s="91"/>
      <c r="AO79" s="91"/>
      <c r="AP79" s="91"/>
      <c r="AQ79" s="91"/>
      <c r="AR79" s="91"/>
      <c r="AS79" s="91"/>
      <c r="AT79" s="91"/>
      <c r="AU79" s="91"/>
      <c r="AV79" s="91"/>
      <c r="AW79" s="91"/>
      <c r="AX79" s="91"/>
      <c r="AY79" s="91"/>
      <c r="AZ79" s="91"/>
      <c r="BA79" s="91"/>
      <c r="BB79" s="91"/>
      <c r="BC79" s="91"/>
      <c r="BD79" s="91"/>
      <c r="BE79" s="91"/>
      <c r="BF79" s="91"/>
      <c r="BG79" s="91"/>
      <c r="BH79" s="91"/>
      <c r="BI79" s="91"/>
      <c r="BJ79" s="91"/>
      <c r="BK79" s="91"/>
      <c r="BL79" s="91"/>
      <c r="BM79" s="91"/>
      <c r="BN79" s="91"/>
      <c r="BO79" s="91"/>
      <c r="BP79" s="91"/>
      <c r="BQ79" s="91"/>
      <c r="BR79" s="91"/>
      <c r="BS79" s="91"/>
      <c r="BT79" s="91"/>
      <c r="BU79" s="91"/>
      <c r="BV79" s="91"/>
      <c r="BW79" s="91"/>
      <c r="BX79" s="91"/>
      <c r="BY79" s="91"/>
      <c r="BZ79" s="91"/>
      <c r="CA79" s="91"/>
      <c r="CB79" s="91"/>
      <c r="CC79" s="91"/>
      <c r="CD79" s="91"/>
      <c r="CE79" s="91"/>
      <c r="CF79" s="91"/>
      <c r="CG79" s="91"/>
      <c r="CH79" s="91"/>
      <c r="CI79" s="91"/>
      <c r="CJ79" s="91"/>
      <c r="CK79" s="91"/>
      <c r="CL79" s="91"/>
      <c r="CM79" s="91"/>
      <c r="CN79" s="91"/>
      <c r="CO79" s="91"/>
      <c r="CP79" s="91"/>
      <c r="CQ79" s="91"/>
      <c r="CR79" s="91"/>
      <c r="CS79" s="91"/>
      <c r="CT79" s="91"/>
      <c r="CU79" s="91"/>
      <c r="CV79" s="91"/>
      <c r="CW79" s="91"/>
      <c r="CX79" s="91"/>
      <c r="CY79" s="91"/>
      <c r="CZ79" s="91"/>
      <c r="DA79" s="91"/>
      <c r="DB79" s="91"/>
      <c r="DC79" s="91"/>
      <c r="DD79" s="91"/>
      <c r="DE79" s="91"/>
      <c r="DF79" s="91"/>
      <c r="DG79" s="91"/>
      <c r="DH79" s="91"/>
      <c r="DI79" s="91"/>
      <c r="DJ79" s="91"/>
      <c r="DK79" s="91"/>
      <c r="DL79" s="91"/>
      <c r="DM79" s="91"/>
      <c r="DN79" s="91"/>
      <c r="DO79" s="91"/>
      <c r="DP79" s="2"/>
    </row>
    <row r="80" spans="1:120" ht="12.75" customHeight="1">
      <c r="A80" s="2"/>
      <c r="B80" s="2"/>
      <c r="C80" s="2"/>
      <c r="D80" s="2"/>
      <c r="E80" s="2"/>
      <c r="F80" s="2"/>
      <c r="G80" s="2"/>
      <c r="H80" s="2"/>
      <c r="I80" s="182"/>
      <c r="J80" s="182"/>
      <c r="K80" s="183"/>
      <c r="L80" s="183"/>
      <c r="M80" s="183"/>
      <c r="N80" s="91"/>
      <c r="O80" s="91"/>
      <c r="P80" s="91"/>
      <c r="Q80" s="91"/>
      <c r="R80" s="91"/>
      <c r="S80" s="91"/>
      <c r="T80" s="86"/>
      <c r="U80" s="87"/>
      <c r="V80" s="87"/>
      <c r="W80" s="91"/>
      <c r="X80" s="91"/>
      <c r="Y80" s="91"/>
      <c r="Z80" s="91"/>
      <c r="AA80" s="91"/>
      <c r="AB80" s="91"/>
      <c r="AC80" s="91"/>
      <c r="AD80" s="91"/>
      <c r="AE80" s="91"/>
      <c r="AF80" s="91"/>
      <c r="AG80" s="91"/>
      <c r="AH80" s="91"/>
      <c r="AI80" s="91"/>
      <c r="AJ80" s="91"/>
      <c r="AK80" s="91"/>
      <c r="AL80" s="91"/>
      <c r="AM80" s="91"/>
      <c r="AN80" s="91"/>
      <c r="AO80" s="91"/>
      <c r="AP80" s="91"/>
      <c r="AQ80" s="91"/>
      <c r="AR80" s="91"/>
      <c r="AS80" s="91"/>
      <c r="AT80" s="91"/>
      <c r="AU80" s="91"/>
      <c r="AV80" s="91"/>
      <c r="AW80" s="91"/>
      <c r="AX80" s="91"/>
      <c r="AY80" s="91"/>
      <c r="AZ80" s="91"/>
      <c r="BA80" s="91"/>
      <c r="BB80" s="91"/>
      <c r="BC80" s="91"/>
      <c r="BD80" s="91"/>
      <c r="BE80" s="91"/>
      <c r="BF80" s="91"/>
      <c r="BG80" s="91"/>
      <c r="BH80" s="91"/>
      <c r="BI80" s="91"/>
      <c r="BJ80" s="91"/>
      <c r="BK80" s="91"/>
      <c r="BL80" s="91"/>
      <c r="BM80" s="91"/>
      <c r="BN80" s="91"/>
      <c r="BO80" s="91"/>
      <c r="BP80" s="91"/>
      <c r="BQ80" s="91"/>
      <c r="BR80" s="91"/>
      <c r="BS80" s="91"/>
      <c r="BT80" s="91"/>
      <c r="BU80" s="91"/>
      <c r="BV80" s="91"/>
      <c r="BW80" s="91"/>
      <c r="BX80" s="91"/>
      <c r="BY80" s="91"/>
      <c r="BZ80" s="91"/>
      <c r="CA80" s="91"/>
      <c r="CB80" s="91"/>
      <c r="CC80" s="91"/>
      <c r="CD80" s="91"/>
      <c r="CE80" s="91"/>
      <c r="CF80" s="91"/>
      <c r="CG80" s="91"/>
      <c r="CH80" s="91"/>
      <c r="CI80" s="91"/>
      <c r="CJ80" s="91"/>
      <c r="CK80" s="91"/>
      <c r="CL80" s="91"/>
      <c r="CM80" s="91"/>
      <c r="CN80" s="91"/>
      <c r="CO80" s="91"/>
      <c r="CP80" s="91"/>
      <c r="CQ80" s="91"/>
      <c r="CR80" s="91"/>
      <c r="CS80" s="91"/>
      <c r="CT80" s="91"/>
      <c r="CU80" s="91"/>
      <c r="CV80" s="91"/>
      <c r="CW80" s="91"/>
      <c r="CX80" s="91"/>
      <c r="CY80" s="91"/>
      <c r="CZ80" s="91"/>
      <c r="DA80" s="91"/>
      <c r="DB80" s="91"/>
      <c r="DC80" s="91"/>
      <c r="DD80" s="91"/>
      <c r="DE80" s="91"/>
      <c r="DF80" s="91"/>
      <c r="DG80" s="91"/>
      <c r="DH80" s="91"/>
      <c r="DI80" s="91"/>
      <c r="DJ80" s="91"/>
      <c r="DK80" s="91"/>
      <c r="DL80" s="91"/>
      <c r="DM80" s="91"/>
      <c r="DN80" s="91"/>
      <c r="DO80" s="91"/>
      <c r="DP80" s="2"/>
    </row>
    <row r="81" spans="1:120" ht="12.75" customHeight="1">
      <c r="A81" s="2"/>
      <c r="B81" s="2"/>
      <c r="C81" s="2"/>
      <c r="D81" s="2"/>
      <c r="E81" s="2"/>
      <c r="F81" s="2"/>
      <c r="G81" s="2"/>
      <c r="H81" s="2"/>
      <c r="I81" s="182"/>
      <c r="J81" s="182"/>
      <c r="K81" s="183"/>
      <c r="L81" s="183"/>
      <c r="M81" s="183"/>
      <c r="N81" s="91"/>
      <c r="O81" s="91"/>
      <c r="P81" s="91"/>
      <c r="Q81" s="91"/>
      <c r="R81" s="91"/>
      <c r="S81" s="91"/>
      <c r="T81" s="86"/>
      <c r="U81" s="87"/>
      <c r="V81" s="87"/>
      <c r="W81" s="91"/>
      <c r="X81" s="91"/>
      <c r="Y81" s="91"/>
      <c r="Z81" s="91"/>
      <c r="AA81" s="91"/>
      <c r="AB81" s="91"/>
      <c r="AC81" s="91"/>
      <c r="AD81" s="91"/>
      <c r="AE81" s="91"/>
      <c r="AF81" s="91"/>
      <c r="AG81" s="91"/>
      <c r="AH81" s="91"/>
      <c r="AI81" s="91"/>
      <c r="AJ81" s="91"/>
      <c r="AK81" s="91"/>
      <c r="AL81" s="91"/>
      <c r="AM81" s="91"/>
      <c r="AN81" s="91"/>
      <c r="AO81" s="91"/>
      <c r="AP81" s="91"/>
      <c r="AQ81" s="91"/>
      <c r="AR81" s="91"/>
      <c r="AS81" s="91"/>
      <c r="AT81" s="91"/>
      <c r="AU81" s="91"/>
      <c r="AV81" s="91"/>
      <c r="AW81" s="91"/>
      <c r="AX81" s="91"/>
      <c r="AY81" s="91"/>
      <c r="AZ81" s="91"/>
      <c r="BA81" s="91"/>
      <c r="BB81" s="91"/>
      <c r="BC81" s="91"/>
      <c r="BD81" s="91"/>
      <c r="BE81" s="91"/>
      <c r="BF81" s="91"/>
      <c r="BG81" s="91"/>
      <c r="BH81" s="91"/>
      <c r="BI81" s="91"/>
      <c r="BJ81" s="91"/>
      <c r="BK81" s="91"/>
      <c r="BL81" s="91"/>
      <c r="BM81" s="91"/>
      <c r="BN81" s="91"/>
      <c r="BO81" s="91"/>
      <c r="BP81" s="91"/>
      <c r="BQ81" s="91"/>
      <c r="BR81" s="91"/>
      <c r="BS81" s="91"/>
      <c r="BT81" s="91"/>
      <c r="BU81" s="91"/>
      <c r="BV81" s="91"/>
      <c r="BW81" s="91"/>
      <c r="BX81" s="91"/>
      <c r="BY81" s="91"/>
      <c r="BZ81" s="91"/>
      <c r="CA81" s="91"/>
      <c r="CB81" s="91"/>
      <c r="CC81" s="91"/>
      <c r="CD81" s="91"/>
      <c r="CE81" s="91"/>
      <c r="CF81" s="91"/>
      <c r="CG81" s="91"/>
      <c r="CH81" s="91"/>
      <c r="CI81" s="91"/>
      <c r="CJ81" s="91"/>
      <c r="CK81" s="91"/>
      <c r="CL81" s="91"/>
      <c r="CM81" s="91"/>
      <c r="CN81" s="91"/>
      <c r="CO81" s="91"/>
      <c r="CP81" s="91"/>
      <c r="CQ81" s="91"/>
      <c r="CR81" s="91"/>
      <c r="CS81" s="91"/>
      <c r="CT81" s="91"/>
      <c r="CU81" s="91"/>
      <c r="CV81" s="91"/>
      <c r="CW81" s="91"/>
      <c r="CX81" s="91"/>
      <c r="CY81" s="91"/>
      <c r="CZ81" s="91"/>
      <c r="DA81" s="91"/>
      <c r="DB81" s="91"/>
      <c r="DC81" s="91"/>
      <c r="DD81" s="91"/>
      <c r="DE81" s="91"/>
      <c r="DF81" s="91"/>
      <c r="DG81" s="91"/>
      <c r="DH81" s="91"/>
      <c r="DI81" s="91"/>
      <c r="DJ81" s="91"/>
      <c r="DK81" s="91"/>
      <c r="DL81" s="91"/>
      <c r="DM81" s="91"/>
      <c r="DN81" s="91"/>
      <c r="DO81" s="91"/>
      <c r="DP81" s="2"/>
    </row>
    <row r="82" spans="1:120" ht="12.75" customHeight="1">
      <c r="A82" s="2"/>
      <c r="B82" s="2"/>
      <c r="C82" s="2"/>
      <c r="D82" s="2"/>
      <c r="E82" s="2"/>
      <c r="F82" s="2"/>
      <c r="G82" s="2"/>
      <c r="H82" s="2"/>
      <c r="I82" s="182"/>
      <c r="J82" s="182"/>
      <c r="K82" s="183"/>
      <c r="L82" s="183"/>
      <c r="M82" s="183"/>
      <c r="N82" s="91"/>
      <c r="O82" s="91"/>
      <c r="P82" s="91"/>
      <c r="Q82" s="91"/>
      <c r="R82" s="91"/>
      <c r="S82" s="91"/>
      <c r="T82" s="86"/>
      <c r="U82" s="87"/>
      <c r="V82" s="87"/>
      <c r="W82" s="91"/>
      <c r="X82" s="91"/>
      <c r="Y82" s="91"/>
      <c r="Z82" s="91"/>
      <c r="AA82" s="91"/>
      <c r="AB82" s="91"/>
      <c r="AC82" s="91"/>
      <c r="AD82" s="91"/>
      <c r="AE82" s="91"/>
      <c r="AF82" s="91"/>
      <c r="AG82" s="91"/>
      <c r="AH82" s="91"/>
      <c r="AI82" s="91"/>
      <c r="AJ82" s="91"/>
      <c r="AK82" s="91"/>
      <c r="AL82" s="91"/>
      <c r="AM82" s="91"/>
      <c r="AN82" s="91"/>
      <c r="AO82" s="91"/>
      <c r="AP82" s="91"/>
      <c r="AQ82" s="91"/>
      <c r="AR82" s="91"/>
      <c r="AS82" s="91"/>
      <c r="AT82" s="91"/>
      <c r="AU82" s="91"/>
      <c r="AV82" s="91"/>
      <c r="AW82" s="91"/>
      <c r="AX82" s="91"/>
      <c r="AY82" s="91"/>
      <c r="AZ82" s="91"/>
      <c r="BA82" s="91"/>
      <c r="BB82" s="91"/>
      <c r="BC82" s="91"/>
      <c r="BD82" s="91"/>
      <c r="BE82" s="91"/>
      <c r="BF82" s="91"/>
      <c r="BG82" s="91"/>
      <c r="BH82" s="91"/>
      <c r="BI82" s="91"/>
      <c r="BJ82" s="91"/>
      <c r="BK82" s="91"/>
      <c r="BL82" s="91"/>
      <c r="BM82" s="91"/>
      <c r="BN82" s="91"/>
      <c r="BO82" s="91"/>
      <c r="BP82" s="91"/>
      <c r="BQ82" s="91"/>
      <c r="BR82" s="91"/>
      <c r="BS82" s="91"/>
      <c r="BT82" s="91"/>
      <c r="BU82" s="91"/>
      <c r="BV82" s="91"/>
      <c r="BW82" s="91"/>
      <c r="BX82" s="91"/>
      <c r="BY82" s="91"/>
      <c r="BZ82" s="91"/>
      <c r="CA82" s="91"/>
      <c r="CB82" s="91"/>
      <c r="CC82" s="91"/>
      <c r="CD82" s="91"/>
      <c r="CE82" s="91"/>
      <c r="CF82" s="91"/>
      <c r="CG82" s="91"/>
      <c r="CH82" s="91"/>
      <c r="CI82" s="91"/>
      <c r="CJ82" s="91"/>
      <c r="CK82" s="91"/>
      <c r="CL82" s="91"/>
      <c r="CM82" s="91"/>
      <c r="CN82" s="91"/>
      <c r="CO82" s="91"/>
      <c r="CP82" s="91"/>
      <c r="CQ82" s="91"/>
      <c r="CR82" s="91"/>
      <c r="CS82" s="91"/>
      <c r="CT82" s="91"/>
      <c r="CU82" s="91"/>
      <c r="CV82" s="91"/>
      <c r="CW82" s="91"/>
      <c r="CX82" s="91"/>
      <c r="CY82" s="91"/>
      <c r="CZ82" s="91"/>
      <c r="DA82" s="91"/>
      <c r="DB82" s="91"/>
      <c r="DC82" s="91"/>
      <c r="DD82" s="91"/>
      <c r="DE82" s="91"/>
      <c r="DF82" s="91"/>
      <c r="DG82" s="91"/>
      <c r="DH82" s="91"/>
      <c r="DI82" s="91"/>
      <c r="DJ82" s="91"/>
      <c r="DK82" s="91"/>
      <c r="DL82" s="91"/>
      <c r="DM82" s="91"/>
      <c r="DN82" s="91"/>
      <c r="DO82" s="91"/>
      <c r="DP82" s="2"/>
    </row>
    <row r="83" spans="1:120" ht="12.75" customHeight="1">
      <c r="A83" s="2"/>
      <c r="B83" s="2"/>
      <c r="C83" s="2"/>
      <c r="D83" s="2"/>
      <c r="E83" s="2"/>
      <c r="F83" s="2"/>
      <c r="G83" s="2"/>
      <c r="H83" s="2"/>
      <c r="I83" s="182"/>
      <c r="J83" s="182"/>
      <c r="K83" s="183"/>
      <c r="L83" s="183"/>
      <c r="M83" s="183"/>
      <c r="N83" s="91"/>
      <c r="O83" s="91"/>
      <c r="P83" s="91"/>
      <c r="Q83" s="91"/>
      <c r="R83" s="91"/>
      <c r="S83" s="91"/>
      <c r="T83" s="86"/>
      <c r="U83" s="87"/>
      <c r="V83" s="87"/>
      <c r="W83" s="91"/>
      <c r="X83" s="91"/>
      <c r="Y83" s="91"/>
      <c r="Z83" s="91"/>
      <c r="AA83" s="91"/>
      <c r="AB83" s="91"/>
      <c r="AC83" s="91"/>
      <c r="AD83" s="91"/>
      <c r="AE83" s="91"/>
      <c r="AF83" s="91"/>
      <c r="AG83" s="91"/>
      <c r="AH83" s="91"/>
      <c r="AI83" s="91"/>
      <c r="AJ83" s="91"/>
      <c r="AK83" s="91"/>
      <c r="AL83" s="91"/>
      <c r="AM83" s="91"/>
      <c r="AN83" s="91"/>
      <c r="AO83" s="91"/>
      <c r="AP83" s="91"/>
      <c r="AQ83" s="91"/>
      <c r="AR83" s="91"/>
      <c r="AS83" s="91"/>
      <c r="AT83" s="91"/>
      <c r="AU83" s="91"/>
      <c r="AV83" s="91"/>
      <c r="AW83" s="91"/>
      <c r="AX83" s="91"/>
      <c r="AY83" s="91"/>
      <c r="AZ83" s="91"/>
      <c r="BA83" s="91"/>
      <c r="BB83" s="91"/>
      <c r="BC83" s="91"/>
      <c r="BD83" s="91"/>
      <c r="BE83" s="91"/>
      <c r="BF83" s="91"/>
      <c r="BG83" s="91"/>
      <c r="BH83" s="91"/>
      <c r="BI83" s="91"/>
      <c r="BJ83" s="91"/>
      <c r="BK83" s="91"/>
      <c r="BL83" s="91"/>
      <c r="BM83" s="91"/>
      <c r="BN83" s="91"/>
      <c r="BO83" s="91"/>
      <c r="BP83" s="91"/>
      <c r="BQ83" s="91"/>
      <c r="BR83" s="91"/>
      <c r="BS83" s="91"/>
      <c r="BT83" s="91"/>
      <c r="BU83" s="91"/>
      <c r="BV83" s="91"/>
      <c r="BW83" s="91"/>
      <c r="BX83" s="91"/>
      <c r="BY83" s="91"/>
      <c r="BZ83" s="91"/>
      <c r="CA83" s="91"/>
      <c r="CB83" s="91"/>
      <c r="CC83" s="91"/>
      <c r="CD83" s="91"/>
      <c r="CE83" s="91"/>
      <c r="CF83" s="91"/>
      <c r="CG83" s="91"/>
      <c r="CH83" s="91"/>
      <c r="CI83" s="91"/>
      <c r="CJ83" s="91"/>
      <c r="CK83" s="91"/>
      <c r="CL83" s="91"/>
      <c r="CM83" s="91"/>
      <c r="CN83" s="91"/>
      <c r="CO83" s="91"/>
      <c r="CP83" s="91"/>
      <c r="CQ83" s="91"/>
      <c r="CR83" s="91"/>
      <c r="CS83" s="91"/>
      <c r="CT83" s="91"/>
      <c r="CU83" s="91"/>
      <c r="CV83" s="91"/>
      <c r="CW83" s="91"/>
      <c r="CX83" s="91"/>
      <c r="CY83" s="91"/>
      <c r="CZ83" s="91"/>
      <c r="DA83" s="91"/>
      <c r="DB83" s="91"/>
      <c r="DC83" s="91"/>
      <c r="DD83" s="91"/>
      <c r="DE83" s="91"/>
      <c r="DF83" s="91"/>
      <c r="DG83" s="91"/>
      <c r="DH83" s="91"/>
      <c r="DI83" s="91"/>
      <c r="DJ83" s="91"/>
      <c r="DK83" s="91"/>
      <c r="DL83" s="91"/>
      <c r="DM83" s="91"/>
      <c r="DN83" s="91"/>
      <c r="DO83" s="91"/>
      <c r="DP83" s="2"/>
    </row>
    <row r="84" spans="1:120" ht="12.75" customHeight="1">
      <c r="A84" s="2"/>
      <c r="B84" s="2"/>
      <c r="C84" s="2"/>
      <c r="D84" s="2"/>
      <c r="E84" s="2"/>
      <c r="F84" s="2"/>
      <c r="G84" s="2"/>
      <c r="H84" s="2"/>
      <c r="I84" s="182"/>
      <c r="J84" s="182"/>
      <c r="K84" s="183"/>
      <c r="L84" s="183"/>
      <c r="M84" s="183"/>
      <c r="N84" s="91"/>
      <c r="O84" s="91"/>
      <c r="P84" s="91"/>
      <c r="Q84" s="91"/>
      <c r="R84" s="91"/>
      <c r="S84" s="91"/>
      <c r="T84" s="86"/>
      <c r="U84" s="87"/>
      <c r="V84" s="87"/>
      <c r="W84" s="91"/>
      <c r="X84" s="91"/>
      <c r="Y84" s="91"/>
      <c r="Z84" s="91"/>
      <c r="AA84" s="91"/>
      <c r="AB84" s="91"/>
      <c r="AC84" s="91"/>
      <c r="AD84" s="91"/>
      <c r="AE84" s="91"/>
      <c r="AF84" s="91"/>
      <c r="AG84" s="91"/>
      <c r="AH84" s="91"/>
      <c r="AI84" s="91"/>
      <c r="AJ84" s="91"/>
      <c r="AK84" s="91"/>
      <c r="AL84" s="91"/>
      <c r="AM84" s="91"/>
      <c r="AN84" s="91"/>
      <c r="AO84" s="91"/>
      <c r="AP84" s="91"/>
      <c r="AQ84" s="91"/>
      <c r="AR84" s="91"/>
      <c r="AS84" s="91"/>
      <c r="AT84" s="91"/>
      <c r="AU84" s="91"/>
      <c r="AV84" s="91"/>
      <c r="AW84" s="91"/>
      <c r="AX84" s="91"/>
      <c r="AY84" s="91"/>
      <c r="AZ84" s="91"/>
      <c r="BA84" s="91"/>
      <c r="BB84" s="91"/>
      <c r="BC84" s="91"/>
      <c r="BD84" s="91"/>
      <c r="BE84" s="91"/>
      <c r="BF84" s="91"/>
      <c r="BG84" s="91"/>
      <c r="BH84" s="91"/>
      <c r="BI84" s="91"/>
      <c r="BJ84" s="91"/>
      <c r="BK84" s="91"/>
      <c r="BL84" s="91"/>
      <c r="BM84" s="91"/>
      <c r="BN84" s="91"/>
      <c r="BO84" s="91"/>
      <c r="BP84" s="91"/>
      <c r="BQ84" s="91"/>
      <c r="BR84" s="91"/>
      <c r="BS84" s="91"/>
      <c r="BT84" s="91"/>
      <c r="BU84" s="91"/>
      <c r="BV84" s="91"/>
      <c r="BW84" s="91"/>
      <c r="BX84" s="91"/>
      <c r="BY84" s="91"/>
      <c r="BZ84" s="91"/>
      <c r="CA84" s="91"/>
      <c r="CB84" s="91"/>
      <c r="CC84" s="91"/>
      <c r="CD84" s="91"/>
      <c r="CE84" s="91"/>
      <c r="CF84" s="91"/>
      <c r="CG84" s="91"/>
      <c r="CH84" s="91"/>
      <c r="CI84" s="91"/>
      <c r="CJ84" s="91"/>
      <c r="CK84" s="91"/>
      <c r="CL84" s="91"/>
      <c r="CM84" s="91"/>
      <c r="CN84" s="91"/>
      <c r="CO84" s="91"/>
      <c r="CP84" s="91"/>
      <c r="CQ84" s="91"/>
      <c r="CR84" s="91"/>
      <c r="CS84" s="91"/>
      <c r="CT84" s="91"/>
      <c r="CU84" s="91"/>
      <c r="CV84" s="91"/>
      <c r="CW84" s="91"/>
      <c r="CX84" s="91"/>
      <c r="CY84" s="91"/>
      <c r="CZ84" s="91"/>
      <c r="DA84" s="91"/>
      <c r="DB84" s="91"/>
      <c r="DC84" s="91"/>
      <c r="DD84" s="91"/>
      <c r="DE84" s="91"/>
      <c r="DF84" s="91"/>
      <c r="DG84" s="91"/>
      <c r="DH84" s="91"/>
      <c r="DI84" s="91"/>
      <c r="DJ84" s="91"/>
      <c r="DK84" s="91"/>
      <c r="DL84" s="91"/>
      <c r="DM84" s="91"/>
      <c r="DN84" s="91"/>
      <c r="DO84" s="91"/>
      <c r="DP84" s="2"/>
    </row>
    <row r="85" spans="1:120" ht="13.5" customHeight="1">
      <c r="A85" s="2"/>
      <c r="B85" s="2"/>
      <c r="C85" s="2"/>
      <c r="D85" s="2"/>
      <c r="E85" s="2"/>
      <c r="F85" s="2"/>
      <c r="G85" s="2"/>
      <c r="H85" s="2"/>
      <c r="I85" s="97" t="s">
        <v>7</v>
      </c>
      <c r="J85" s="97" t="s">
        <v>1312</v>
      </c>
      <c r="K85" s="233" t="s">
        <v>1313</v>
      </c>
      <c r="L85" s="97"/>
      <c r="M85" s="97"/>
      <c r="N85" s="97"/>
      <c r="O85" s="97"/>
      <c r="P85" s="97"/>
      <c r="Q85" s="97"/>
      <c r="R85" s="97"/>
      <c r="S85" s="97"/>
      <c r="T85" s="97"/>
      <c r="U85" s="234"/>
      <c r="V85" s="234"/>
      <c r="W85" s="97"/>
      <c r="X85" s="97"/>
      <c r="Y85" s="97"/>
      <c r="Z85" s="97"/>
      <c r="AA85" s="97"/>
      <c r="AB85" s="97"/>
      <c r="AC85" s="97"/>
      <c r="AD85" s="97"/>
      <c r="AE85" s="97"/>
      <c r="AF85" s="97"/>
      <c r="AG85" s="97"/>
      <c r="AH85" s="97"/>
      <c r="AI85" s="97"/>
      <c r="AJ85" s="97"/>
      <c r="AK85" s="97"/>
      <c r="AL85" s="97"/>
      <c r="AM85" s="97"/>
      <c r="AN85" s="97"/>
      <c r="AO85" s="97"/>
      <c r="AP85" s="97"/>
      <c r="AQ85" s="97"/>
      <c r="AR85" s="97"/>
      <c r="AS85" s="97"/>
      <c r="AT85" s="97"/>
      <c r="AU85" s="97"/>
      <c r="AV85" s="97"/>
      <c r="AW85" s="97"/>
      <c r="AX85" s="97"/>
      <c r="AY85" s="97"/>
      <c r="AZ85" s="97"/>
      <c r="BA85" s="97"/>
      <c r="BB85" s="97"/>
      <c r="BC85" s="97"/>
      <c r="BD85" s="97"/>
      <c r="BE85" s="97"/>
      <c r="BF85" s="97"/>
      <c r="BG85" s="97"/>
      <c r="BH85" s="97"/>
      <c r="BI85" s="97"/>
      <c r="BJ85" s="97"/>
      <c r="BK85" s="97"/>
      <c r="BL85" s="97"/>
      <c r="BM85" s="97"/>
      <c r="BN85" s="97"/>
      <c r="BO85" s="97"/>
      <c r="BP85" s="97"/>
      <c r="BQ85" s="97"/>
      <c r="BR85" s="97"/>
      <c r="BS85" s="97"/>
      <c r="BT85" s="97"/>
      <c r="BU85" s="97"/>
      <c r="BV85" s="97"/>
      <c r="BW85" s="97"/>
      <c r="BX85" s="97"/>
      <c r="BY85" s="97"/>
      <c r="BZ85" s="97"/>
      <c r="CA85" s="97"/>
      <c r="CB85" s="97"/>
      <c r="CC85" s="97"/>
      <c r="CD85" s="97"/>
      <c r="CE85" s="97"/>
      <c r="CF85" s="97"/>
      <c r="CG85" s="97"/>
      <c r="CH85" s="97"/>
      <c r="CI85" s="97"/>
      <c r="CJ85" s="97"/>
      <c r="CK85" s="97"/>
      <c r="CL85" s="97"/>
      <c r="CM85" s="97"/>
      <c r="CN85" s="97"/>
      <c r="CO85" s="97"/>
      <c r="CP85" s="97"/>
      <c r="CQ85" s="97"/>
      <c r="CR85" s="97"/>
      <c r="CS85" s="97"/>
      <c r="CT85" s="97"/>
      <c r="CU85" s="97"/>
      <c r="CV85" s="97"/>
      <c r="CW85" s="97"/>
      <c r="CX85" s="97"/>
      <c r="CY85" s="97"/>
      <c r="CZ85" s="97"/>
      <c r="DA85" s="97"/>
      <c r="DB85" s="97"/>
      <c r="DC85" s="97"/>
      <c r="DD85" s="97"/>
      <c r="DE85" s="97"/>
      <c r="DF85" s="97"/>
      <c r="DG85" s="97"/>
      <c r="DH85" s="97"/>
      <c r="DI85" s="97"/>
      <c r="DJ85" s="97"/>
      <c r="DK85" s="97"/>
      <c r="DL85" s="97"/>
      <c r="DM85" s="97"/>
      <c r="DN85" s="97"/>
      <c r="DO85" s="97"/>
      <c r="DP85" s="2"/>
    </row>
    <row r="86" spans="1:120" ht="13.5" customHeight="1">
      <c r="A86" s="2"/>
      <c r="B86" s="2"/>
      <c r="C86" s="2"/>
      <c r="D86" s="2"/>
      <c r="E86" s="2"/>
      <c r="F86" s="2"/>
      <c r="G86" s="2"/>
      <c r="H86" s="2"/>
      <c r="I86" s="97" t="s">
        <v>7</v>
      </c>
      <c r="J86" s="97" t="s">
        <v>1312</v>
      </c>
      <c r="K86" s="233" t="s">
        <v>1314</v>
      </c>
      <c r="L86" s="97"/>
      <c r="M86" s="97"/>
      <c r="N86" s="97"/>
      <c r="O86" s="97"/>
      <c r="P86" s="97"/>
      <c r="Q86" s="97"/>
      <c r="R86" s="97"/>
      <c r="S86" s="97"/>
      <c r="T86" s="97"/>
      <c r="U86" s="234"/>
      <c r="V86" s="234"/>
      <c r="W86" s="97"/>
      <c r="X86" s="97"/>
      <c r="Y86" s="97"/>
      <c r="Z86" s="97"/>
      <c r="AA86" s="97"/>
      <c r="AB86" s="97"/>
      <c r="AC86" s="97"/>
      <c r="AD86" s="97"/>
      <c r="AE86" s="97"/>
      <c r="AF86" s="97"/>
      <c r="AG86" s="97"/>
      <c r="AH86" s="97"/>
      <c r="AI86" s="97"/>
      <c r="AJ86" s="97"/>
      <c r="AK86" s="97"/>
      <c r="AL86" s="97"/>
      <c r="AM86" s="97"/>
      <c r="AN86" s="97"/>
      <c r="AO86" s="97"/>
      <c r="AP86" s="97"/>
      <c r="AQ86" s="97"/>
      <c r="AR86" s="97"/>
      <c r="AS86" s="97"/>
      <c r="AT86" s="97"/>
      <c r="AU86" s="97"/>
      <c r="AV86" s="97"/>
      <c r="AW86" s="97"/>
      <c r="AX86" s="97"/>
      <c r="AY86" s="97"/>
      <c r="AZ86" s="97"/>
      <c r="BA86" s="97"/>
      <c r="BB86" s="97"/>
      <c r="BC86" s="97"/>
      <c r="BD86" s="97"/>
      <c r="BE86" s="97"/>
      <c r="BF86" s="97"/>
      <c r="BG86" s="97"/>
      <c r="BH86" s="97"/>
      <c r="BI86" s="97"/>
      <c r="BJ86" s="97"/>
      <c r="BK86" s="97"/>
      <c r="BL86" s="97"/>
      <c r="BM86" s="97"/>
      <c r="BN86" s="97"/>
      <c r="BO86" s="97"/>
      <c r="BP86" s="97"/>
      <c r="BQ86" s="97"/>
      <c r="BR86" s="97"/>
      <c r="BS86" s="97"/>
      <c r="BT86" s="97"/>
      <c r="BU86" s="97"/>
      <c r="BV86" s="97"/>
      <c r="BW86" s="97"/>
      <c r="BX86" s="97"/>
      <c r="BY86" s="97"/>
      <c r="BZ86" s="97"/>
      <c r="CA86" s="97"/>
      <c r="CB86" s="97"/>
      <c r="CC86" s="97"/>
      <c r="CD86" s="97"/>
      <c r="CE86" s="97"/>
      <c r="CF86" s="97"/>
      <c r="CG86" s="97"/>
      <c r="CH86" s="97"/>
      <c r="CI86" s="97"/>
      <c r="CJ86" s="97"/>
      <c r="CK86" s="97"/>
      <c r="CL86" s="97"/>
      <c r="CM86" s="97"/>
      <c r="CN86" s="97"/>
      <c r="CO86" s="97"/>
      <c r="CP86" s="97"/>
      <c r="CQ86" s="97"/>
      <c r="CR86" s="97"/>
      <c r="CS86" s="97"/>
      <c r="CT86" s="97"/>
      <c r="CU86" s="97"/>
      <c r="CV86" s="97"/>
      <c r="CW86" s="97"/>
      <c r="CX86" s="97"/>
      <c r="CY86" s="97"/>
      <c r="CZ86" s="97"/>
      <c r="DA86" s="97"/>
      <c r="DB86" s="97"/>
      <c r="DC86" s="97"/>
      <c r="DD86" s="97"/>
      <c r="DE86" s="97"/>
      <c r="DF86" s="97"/>
      <c r="DG86" s="97"/>
      <c r="DH86" s="97"/>
      <c r="DI86" s="97"/>
      <c r="DJ86" s="97"/>
      <c r="DK86" s="97"/>
      <c r="DL86" s="97"/>
      <c r="DM86" s="97"/>
      <c r="DN86" s="97"/>
      <c r="DO86" s="97"/>
      <c r="DP86" s="2"/>
    </row>
    <row r="87" spans="1:120" ht="13.5" customHeight="1">
      <c r="A87" s="2"/>
      <c r="B87" s="2"/>
      <c r="C87" s="2"/>
      <c r="D87" s="2"/>
      <c r="E87" s="2"/>
      <c r="F87" s="2"/>
      <c r="G87" s="2"/>
      <c r="H87" s="2"/>
      <c r="I87" s="97" t="s">
        <v>7</v>
      </c>
      <c r="J87" s="97" t="s">
        <v>1312</v>
      </c>
      <c r="K87" s="233" t="s">
        <v>1315</v>
      </c>
      <c r="L87" s="97"/>
      <c r="M87" s="97"/>
      <c r="N87" s="97"/>
      <c r="O87" s="97"/>
      <c r="P87" s="97"/>
      <c r="Q87" s="97"/>
      <c r="R87" s="97"/>
      <c r="S87" s="97"/>
      <c r="T87" s="97"/>
      <c r="U87" s="234"/>
      <c r="V87" s="234"/>
      <c r="W87" s="97"/>
      <c r="X87" s="97"/>
      <c r="Y87" s="97"/>
      <c r="Z87" s="97"/>
      <c r="AA87" s="97"/>
      <c r="AB87" s="97"/>
      <c r="AC87" s="97"/>
      <c r="AD87" s="97"/>
      <c r="AE87" s="97"/>
      <c r="AF87" s="97"/>
      <c r="AG87" s="97"/>
      <c r="AH87" s="97"/>
      <c r="AI87" s="97"/>
      <c r="AJ87" s="97"/>
      <c r="AK87" s="97"/>
      <c r="AL87" s="97"/>
      <c r="AM87" s="97"/>
      <c r="AN87" s="97"/>
      <c r="AO87" s="97"/>
      <c r="AP87" s="97"/>
      <c r="AQ87" s="97"/>
      <c r="AR87" s="97"/>
      <c r="AS87" s="97"/>
      <c r="AT87" s="97"/>
      <c r="AU87" s="97"/>
      <c r="AV87" s="97"/>
      <c r="AW87" s="97"/>
      <c r="AX87" s="97"/>
      <c r="AY87" s="97"/>
      <c r="AZ87" s="97"/>
      <c r="BA87" s="97"/>
      <c r="BB87" s="97"/>
      <c r="BC87" s="97"/>
      <c r="BD87" s="97"/>
      <c r="BE87" s="97"/>
      <c r="BF87" s="97"/>
      <c r="BG87" s="97"/>
      <c r="BH87" s="97"/>
      <c r="BI87" s="97"/>
      <c r="BJ87" s="97"/>
      <c r="BK87" s="97"/>
      <c r="BL87" s="97"/>
      <c r="BM87" s="97"/>
      <c r="BN87" s="97"/>
      <c r="BO87" s="97"/>
      <c r="BP87" s="97"/>
      <c r="BQ87" s="97"/>
      <c r="BR87" s="97"/>
      <c r="BS87" s="97"/>
      <c r="BT87" s="97"/>
      <c r="BU87" s="97"/>
      <c r="BV87" s="97"/>
      <c r="BW87" s="97"/>
      <c r="BX87" s="97"/>
      <c r="BY87" s="97"/>
      <c r="BZ87" s="97"/>
      <c r="CA87" s="97"/>
      <c r="CB87" s="97"/>
      <c r="CC87" s="97"/>
      <c r="CD87" s="97"/>
      <c r="CE87" s="97"/>
      <c r="CF87" s="97"/>
      <c r="CG87" s="97"/>
      <c r="CH87" s="97"/>
      <c r="CI87" s="97"/>
      <c r="CJ87" s="97"/>
      <c r="CK87" s="97"/>
      <c r="CL87" s="97"/>
      <c r="CM87" s="97"/>
      <c r="CN87" s="97"/>
      <c r="CO87" s="97"/>
      <c r="CP87" s="97"/>
      <c r="CQ87" s="97"/>
      <c r="CR87" s="97"/>
      <c r="CS87" s="97"/>
      <c r="CT87" s="97"/>
      <c r="CU87" s="97"/>
      <c r="CV87" s="97"/>
      <c r="CW87" s="97"/>
      <c r="CX87" s="97"/>
      <c r="CY87" s="97"/>
      <c r="CZ87" s="97"/>
      <c r="DA87" s="97"/>
      <c r="DB87" s="97"/>
      <c r="DC87" s="97"/>
      <c r="DD87" s="97"/>
      <c r="DE87" s="97"/>
      <c r="DF87" s="97"/>
      <c r="DG87" s="97"/>
      <c r="DH87" s="97"/>
      <c r="DI87" s="97"/>
      <c r="DJ87" s="97"/>
      <c r="DK87" s="97"/>
      <c r="DL87" s="97"/>
      <c r="DM87" s="97"/>
      <c r="DN87" s="97"/>
      <c r="DO87" s="97"/>
      <c r="DP87" s="2"/>
    </row>
    <row r="88" spans="1:120" ht="12.75" customHeight="1">
      <c r="A88" s="2"/>
      <c r="B88" s="2"/>
      <c r="C88" s="2"/>
      <c r="D88" s="2"/>
      <c r="E88" s="2"/>
      <c r="F88" s="2"/>
      <c r="G88" s="2"/>
      <c r="H88" s="2"/>
      <c r="I88" s="182" t="s">
        <v>47</v>
      </c>
      <c r="J88" s="182" t="s">
        <v>1281</v>
      </c>
      <c r="K88" s="90">
        <v>10</v>
      </c>
      <c r="L88" s="90">
        <v>-2</v>
      </c>
      <c r="M88" s="90">
        <v>10</v>
      </c>
      <c r="N88" s="91"/>
      <c r="O88" s="91"/>
      <c r="P88" s="91"/>
      <c r="Q88" s="91"/>
      <c r="R88" s="91"/>
      <c r="S88" s="91"/>
      <c r="T88" s="98" t="s">
        <v>188</v>
      </c>
      <c r="U88" s="90" t="e">
        <f>IF(FLAG_Country&lt;&gt;"USA","설정 온도 22 degC, AUTO ON (SYNC ON) + OFF 선택 상태 설정","설정 온도 72 degF, AUTO ON (SYNC ON) + OFF 선택 상태 설정")</f>
        <v>#NAME?</v>
      </c>
      <c r="V88" s="89">
        <v>10</v>
      </c>
      <c r="W88" s="91"/>
      <c r="X88" s="91"/>
      <c r="Y88" s="91"/>
      <c r="Z88" s="91"/>
      <c r="AA88" s="91"/>
      <c r="AB88" s="91"/>
      <c r="AC88" s="91"/>
      <c r="AD88" s="91"/>
      <c r="AE88" s="91"/>
      <c r="AF88" s="91"/>
      <c r="AG88" s="91"/>
      <c r="AH88" s="91"/>
      <c r="AI88" s="91"/>
      <c r="AJ88" s="91"/>
      <c r="AK88" s="91"/>
      <c r="AL88" s="91"/>
      <c r="AM88" s="91"/>
      <c r="AN88" s="90" t="s">
        <v>88</v>
      </c>
      <c r="AO88" s="91"/>
      <c r="AP88" s="91"/>
      <c r="AQ88" s="91"/>
      <c r="AR88" s="91"/>
      <c r="AS88" s="91"/>
      <c r="AT88" s="91"/>
      <c r="AU88" s="91"/>
      <c r="AV88" s="91"/>
      <c r="AW88" s="91"/>
      <c r="AX88" s="91"/>
      <c r="AY88" s="91"/>
      <c r="AZ88" s="91"/>
      <c r="BA88" s="91"/>
      <c r="BB88" s="91"/>
      <c r="BC88" s="91"/>
      <c r="BD88" s="91"/>
      <c r="BE88" s="91"/>
      <c r="BF88" s="91"/>
      <c r="BG88" s="91"/>
      <c r="BH88" s="91"/>
      <c r="BI88" s="91"/>
      <c r="BJ88" s="91"/>
      <c r="BK88" s="91"/>
      <c r="BL88" s="91"/>
      <c r="BM88" s="91"/>
      <c r="BN88" s="91"/>
      <c r="BO88" s="91"/>
      <c r="BP88" s="91"/>
      <c r="BQ88" s="91"/>
      <c r="BR88" s="91"/>
      <c r="BS88" s="91"/>
      <c r="BT88" s="91"/>
      <c r="BU88" s="91"/>
      <c r="BV88" s="91"/>
      <c r="BW88" s="91"/>
      <c r="BX88" s="91"/>
      <c r="BY88" s="91"/>
      <c r="BZ88" s="91"/>
      <c r="CA88" s="91"/>
      <c r="CB88" s="90">
        <v>7</v>
      </c>
      <c r="CC88" s="91"/>
      <c r="CD88" s="90" t="s">
        <v>88</v>
      </c>
      <c r="CE88" s="91"/>
      <c r="CF88" s="91"/>
      <c r="CG88" s="90" t="s">
        <v>88</v>
      </c>
      <c r="CH88" s="91"/>
      <c r="CI88" s="91"/>
      <c r="CJ88" s="91"/>
      <c r="CK88" s="91"/>
      <c r="CL88" s="91"/>
      <c r="CM88" s="91"/>
      <c r="CN88" s="91"/>
      <c r="CO88" s="91"/>
      <c r="CP88" s="91"/>
      <c r="CQ88" s="91"/>
      <c r="CR88" s="91"/>
      <c r="CS88" s="91"/>
      <c r="CT88" s="91"/>
      <c r="CU88" s="91"/>
      <c r="CV88" s="91"/>
      <c r="CW88" s="91"/>
      <c r="CX88" s="91"/>
      <c r="CY88" s="91"/>
      <c r="CZ88" s="91"/>
      <c r="DA88" s="91"/>
      <c r="DB88" s="91"/>
      <c r="DC88" s="91"/>
      <c r="DD88" s="91"/>
      <c r="DE88" s="91"/>
      <c r="DF88" s="91"/>
      <c r="DG88" s="91"/>
      <c r="DH88" s="91"/>
      <c r="DI88" s="91"/>
      <c r="DJ88" s="91"/>
      <c r="DK88" s="91"/>
      <c r="DL88" s="91"/>
      <c r="DM88" s="91"/>
      <c r="DN88" s="91"/>
      <c r="DO88" s="91"/>
      <c r="DP88" s="2"/>
    </row>
    <row r="89" spans="1:120" ht="12.75" customHeight="1">
      <c r="A89" s="2"/>
      <c r="B89" s="2"/>
      <c r="C89" s="2"/>
      <c r="D89" s="2"/>
      <c r="E89" s="2"/>
      <c r="F89" s="2"/>
      <c r="G89" s="2"/>
      <c r="H89" s="2"/>
      <c r="I89" s="182" t="s">
        <v>537</v>
      </c>
      <c r="J89" s="182" t="s">
        <v>1282</v>
      </c>
      <c r="K89" s="183">
        <f>K88</f>
        <v>10</v>
      </c>
      <c r="L89" s="183">
        <f>L88</f>
        <v>-2</v>
      </c>
      <c r="M89" s="183">
        <f>M88</f>
        <v>10</v>
      </c>
      <c r="N89" s="91"/>
      <c r="O89" s="91"/>
      <c r="P89" s="91"/>
      <c r="Q89" s="91"/>
      <c r="R89" s="91"/>
      <c r="S89" s="91"/>
      <c r="T89" s="98" t="s">
        <v>217</v>
      </c>
      <c r="U89" s="89">
        <v>1</v>
      </c>
      <c r="V89" s="89">
        <v>2</v>
      </c>
      <c r="W89" s="91"/>
      <c r="X89" s="91"/>
      <c r="Y89" s="91"/>
      <c r="Z89" s="91"/>
      <c r="AA89" s="91"/>
      <c r="AB89" s="91"/>
      <c r="AC89" s="91"/>
      <c r="AD89" s="91"/>
      <c r="AE89" s="91"/>
      <c r="AF89" s="90">
        <v>1</v>
      </c>
      <c r="AG89" s="91"/>
      <c r="AH89" s="91"/>
      <c r="AI89" s="91"/>
      <c r="AJ89" s="91"/>
      <c r="AK89" s="91"/>
      <c r="AL89" s="91"/>
      <c r="AM89" s="91"/>
      <c r="AN89" s="90" t="s">
        <v>88</v>
      </c>
      <c r="AO89" s="91"/>
      <c r="AP89" s="91"/>
      <c r="AQ89" s="91"/>
      <c r="AR89" s="91"/>
      <c r="AS89" s="91"/>
      <c r="AT89" s="91"/>
      <c r="AU89" s="91"/>
      <c r="AV89" s="91"/>
      <c r="AW89" s="91"/>
      <c r="AX89" s="91"/>
      <c r="AY89" s="91"/>
      <c r="AZ89" s="91"/>
      <c r="BA89" s="91"/>
      <c r="BB89" s="91"/>
      <c r="BC89" s="91"/>
      <c r="BD89" s="91"/>
      <c r="BE89" s="91"/>
      <c r="BF89" s="91"/>
      <c r="BG89" s="91"/>
      <c r="BH89" s="91"/>
      <c r="BI89" s="91"/>
      <c r="BJ89" s="91"/>
      <c r="BK89" s="91"/>
      <c r="BL89" s="91"/>
      <c r="BM89" s="91"/>
      <c r="BN89" s="91"/>
      <c r="BO89" s="91"/>
      <c r="BP89" s="91"/>
      <c r="BQ89" s="91"/>
      <c r="BR89" s="91"/>
      <c r="BS89" s="91"/>
      <c r="BT89" s="91"/>
      <c r="BU89" s="91"/>
      <c r="BV89" s="91"/>
      <c r="BW89" s="91"/>
      <c r="BX89" s="91"/>
      <c r="BY89" s="91"/>
      <c r="BZ89" s="91"/>
      <c r="CA89" s="91"/>
      <c r="CB89" s="90">
        <v>4</v>
      </c>
      <c r="CC89" s="91"/>
      <c r="CD89" s="90">
        <v>4200</v>
      </c>
      <c r="CE89" s="91"/>
      <c r="CF89" s="91"/>
      <c r="CG89" s="90">
        <v>5400</v>
      </c>
      <c r="CH89" s="91"/>
      <c r="CI89" s="91"/>
      <c r="CJ89" s="91"/>
      <c r="CK89" s="91"/>
      <c r="CL89" s="91"/>
      <c r="CM89" s="91"/>
      <c r="CN89" s="91"/>
      <c r="CO89" s="91"/>
      <c r="CP89" s="91"/>
      <c r="CQ89" s="91"/>
      <c r="CR89" s="91"/>
      <c r="CS89" s="91"/>
      <c r="CT89" s="91"/>
      <c r="CU89" s="91"/>
      <c r="CV89" s="91"/>
      <c r="CW89" s="91"/>
      <c r="CX89" s="91"/>
      <c r="CY89" s="91"/>
      <c r="CZ89" s="91"/>
      <c r="DA89" s="91"/>
      <c r="DB89" s="91"/>
      <c r="DC89" s="91"/>
      <c r="DD89" s="91"/>
      <c r="DE89" s="91"/>
      <c r="DF89" s="91"/>
      <c r="DG89" s="91"/>
      <c r="DH89" s="91"/>
      <c r="DI89" s="91"/>
      <c r="DJ89" s="91"/>
      <c r="DK89" s="91"/>
      <c r="DL89" s="91"/>
      <c r="DM89" s="91"/>
      <c r="DN89" s="91"/>
      <c r="DO89" s="91"/>
      <c r="DP89" s="2"/>
    </row>
    <row r="90" spans="1:120" ht="12.75" customHeight="1">
      <c r="A90" s="2"/>
      <c r="B90" s="2"/>
      <c r="C90" s="2"/>
      <c r="D90" s="2"/>
      <c r="E90" s="2"/>
      <c r="F90" s="2"/>
      <c r="G90" s="2"/>
      <c r="H90" s="2"/>
      <c r="I90" s="182" t="s">
        <v>537</v>
      </c>
      <c r="J90" s="182" t="s">
        <v>1283</v>
      </c>
      <c r="K90" s="183">
        <f>K89</f>
        <v>10</v>
      </c>
      <c r="L90" s="183">
        <f>L89</f>
        <v>-2</v>
      </c>
      <c r="M90" s="183">
        <f>M89</f>
        <v>10</v>
      </c>
      <c r="N90" s="91"/>
      <c r="O90" s="91"/>
      <c r="P90" s="91"/>
      <c r="Q90" s="91"/>
      <c r="R90" s="91"/>
      <c r="S90" s="91"/>
      <c r="T90" s="98" t="e">
        <f>VS_VehSpd_Kmh</f>
        <v>#NAME?</v>
      </c>
      <c r="U90" s="90">
        <v>70</v>
      </c>
      <c r="V90" s="89">
        <v>5</v>
      </c>
      <c r="W90" s="91"/>
      <c r="X90" s="91"/>
      <c r="Y90" s="91"/>
      <c r="Z90" s="91"/>
      <c r="AA90" s="91"/>
      <c r="AB90" s="91"/>
      <c r="AC90" s="91"/>
      <c r="AD90" s="91"/>
      <c r="AE90" s="91"/>
      <c r="AF90" s="91"/>
      <c r="AG90" s="91"/>
      <c r="AH90" s="91"/>
      <c r="AI90" s="91"/>
      <c r="AJ90" s="91"/>
      <c r="AK90" s="91"/>
      <c r="AL90" s="91"/>
      <c r="AM90" s="91"/>
      <c r="AN90" s="91"/>
      <c r="AO90" s="91"/>
      <c r="AP90" s="91"/>
      <c r="AQ90" s="91"/>
      <c r="AR90" s="91"/>
      <c r="AS90" s="91"/>
      <c r="AT90" s="91"/>
      <c r="AU90" s="91"/>
      <c r="AV90" s="91"/>
      <c r="AW90" s="91"/>
      <c r="AX90" s="91"/>
      <c r="AY90" s="91"/>
      <c r="AZ90" s="91"/>
      <c r="BA90" s="91"/>
      <c r="BB90" s="91"/>
      <c r="BC90" s="91"/>
      <c r="BD90" s="91"/>
      <c r="BE90" s="91"/>
      <c r="BF90" s="91"/>
      <c r="BG90" s="91"/>
      <c r="BH90" s="91"/>
      <c r="BI90" s="91"/>
      <c r="BJ90" s="91"/>
      <c r="BK90" s="91"/>
      <c r="BL90" s="91"/>
      <c r="BM90" s="91"/>
      <c r="BN90" s="91"/>
      <c r="BO90" s="91"/>
      <c r="BP90" s="91"/>
      <c r="BQ90" s="91"/>
      <c r="BR90" s="91"/>
      <c r="BS90" s="91"/>
      <c r="BT90" s="91"/>
      <c r="BU90" s="91"/>
      <c r="BV90" s="91"/>
      <c r="BW90" s="91"/>
      <c r="BX90" s="91"/>
      <c r="BY90" s="91"/>
      <c r="BZ90" s="91"/>
      <c r="CA90" s="91"/>
      <c r="CB90" s="90">
        <v>0</v>
      </c>
      <c r="CC90" s="91"/>
      <c r="CD90" s="183">
        <f>CD89</f>
        <v>4200</v>
      </c>
      <c r="CE90" s="91"/>
      <c r="CF90" s="91"/>
      <c r="CG90" s="90">
        <v>4700</v>
      </c>
      <c r="CH90" s="91"/>
      <c r="CI90" s="91"/>
      <c r="CJ90" s="91"/>
      <c r="CK90" s="91"/>
      <c r="CL90" s="91"/>
      <c r="CM90" s="91"/>
      <c r="CN90" s="91"/>
      <c r="CO90" s="91"/>
      <c r="CP90" s="91"/>
      <c r="CQ90" s="91"/>
      <c r="CR90" s="91"/>
      <c r="CS90" s="91"/>
      <c r="CT90" s="91"/>
      <c r="CU90" s="91"/>
      <c r="CV90" s="91"/>
      <c r="CW90" s="91"/>
      <c r="CX90" s="91"/>
      <c r="CY90" s="91"/>
      <c r="CZ90" s="91"/>
      <c r="DA90" s="91"/>
      <c r="DB90" s="91"/>
      <c r="DC90" s="91"/>
      <c r="DD90" s="91"/>
      <c r="DE90" s="91"/>
      <c r="DF90" s="91"/>
      <c r="DG90" s="91"/>
      <c r="DH90" s="91"/>
      <c r="DI90" s="91"/>
      <c r="DJ90" s="91"/>
      <c r="DK90" s="91"/>
      <c r="DL90" s="91"/>
      <c r="DM90" s="91"/>
      <c r="DN90" s="91"/>
      <c r="DO90" s="91"/>
      <c r="DP90" s="2"/>
    </row>
    <row r="91" spans="1:120" ht="12.75" customHeight="1">
      <c r="A91" s="2"/>
      <c r="B91" s="2"/>
      <c r="C91" s="2"/>
      <c r="D91" s="2"/>
      <c r="E91" s="2"/>
      <c r="F91" s="2"/>
      <c r="G91" s="2"/>
      <c r="H91" s="2"/>
      <c r="I91" s="182" t="s">
        <v>537</v>
      </c>
      <c r="J91" s="182" t="s">
        <v>1284</v>
      </c>
      <c r="K91" s="183">
        <f>K90</f>
        <v>10</v>
      </c>
      <c r="L91" s="183">
        <f>L90</f>
        <v>-2</v>
      </c>
      <c r="M91" s="183">
        <f>M90</f>
        <v>10</v>
      </c>
      <c r="N91" s="91"/>
      <c r="O91" s="91"/>
      <c r="P91" s="91"/>
      <c r="Q91" s="91"/>
      <c r="R91" s="91"/>
      <c r="S91" s="91"/>
      <c r="T91" s="98" t="e">
        <f>VS_VehSpd_Kmh</f>
        <v>#NAME?</v>
      </c>
      <c r="U91" s="90">
        <v>50</v>
      </c>
      <c r="V91" s="89">
        <v>5</v>
      </c>
      <c r="W91" s="91"/>
      <c r="X91" s="91"/>
      <c r="Y91" s="91"/>
      <c r="Z91" s="91"/>
      <c r="AA91" s="91"/>
      <c r="AB91" s="91"/>
      <c r="AC91" s="91"/>
      <c r="AD91" s="91"/>
      <c r="AE91" s="91"/>
      <c r="AF91" s="91"/>
      <c r="AG91" s="91"/>
      <c r="AH91" s="91"/>
      <c r="AI91" s="91"/>
      <c r="AJ91" s="91"/>
      <c r="AK91" s="91"/>
      <c r="AL91" s="91"/>
      <c r="AM91" s="91"/>
      <c r="AN91" s="91"/>
      <c r="AO91" s="91"/>
      <c r="AP91" s="91"/>
      <c r="AQ91" s="91"/>
      <c r="AR91" s="91"/>
      <c r="AS91" s="91"/>
      <c r="AT91" s="91"/>
      <c r="AU91" s="91"/>
      <c r="AV91" s="91"/>
      <c r="AW91" s="91"/>
      <c r="AX91" s="91"/>
      <c r="AY91" s="91"/>
      <c r="AZ91" s="91"/>
      <c r="BA91" s="91"/>
      <c r="BB91" s="91"/>
      <c r="BC91" s="91"/>
      <c r="BD91" s="91"/>
      <c r="BE91" s="91"/>
      <c r="BF91" s="91"/>
      <c r="BG91" s="91"/>
      <c r="BH91" s="91"/>
      <c r="BI91" s="91"/>
      <c r="BJ91" s="91"/>
      <c r="BK91" s="91"/>
      <c r="BL91" s="91"/>
      <c r="BM91" s="91"/>
      <c r="BN91" s="91"/>
      <c r="BO91" s="91"/>
      <c r="BP91" s="91"/>
      <c r="BQ91" s="91"/>
      <c r="BR91" s="91"/>
      <c r="BS91" s="91"/>
      <c r="BT91" s="91"/>
      <c r="BU91" s="91"/>
      <c r="BV91" s="91"/>
      <c r="BW91" s="91"/>
      <c r="BX91" s="91"/>
      <c r="BY91" s="91"/>
      <c r="BZ91" s="91"/>
      <c r="CA91" s="91"/>
      <c r="CB91" s="90">
        <v>0</v>
      </c>
      <c r="CC91" s="91"/>
      <c r="CD91" s="183">
        <f>CD90</f>
        <v>4200</v>
      </c>
      <c r="CE91" s="91"/>
      <c r="CF91" s="91"/>
      <c r="CG91" s="90">
        <v>4300</v>
      </c>
      <c r="CH91" s="91"/>
      <c r="CI91" s="91"/>
      <c r="CJ91" s="91"/>
      <c r="CK91" s="91"/>
      <c r="CL91" s="91"/>
      <c r="CM91" s="91"/>
      <c r="CN91" s="91"/>
      <c r="CO91" s="91"/>
      <c r="CP91" s="91"/>
      <c r="CQ91" s="91"/>
      <c r="CR91" s="91"/>
      <c r="CS91" s="91"/>
      <c r="CT91" s="91"/>
      <c r="CU91" s="91"/>
      <c r="CV91" s="91"/>
      <c r="CW91" s="91"/>
      <c r="CX91" s="91"/>
      <c r="CY91" s="91"/>
      <c r="CZ91" s="91"/>
      <c r="DA91" s="91"/>
      <c r="DB91" s="91"/>
      <c r="DC91" s="91"/>
      <c r="DD91" s="91"/>
      <c r="DE91" s="91"/>
      <c r="DF91" s="91"/>
      <c r="DG91" s="91"/>
      <c r="DH91" s="91"/>
      <c r="DI91" s="91"/>
      <c r="DJ91" s="91"/>
      <c r="DK91" s="91"/>
      <c r="DL91" s="91"/>
      <c r="DM91" s="91"/>
      <c r="DN91" s="91"/>
      <c r="DO91" s="91"/>
      <c r="DP91" s="2"/>
    </row>
    <row r="92" spans="1:120" ht="12.75" customHeight="1">
      <c r="A92" s="2"/>
      <c r="B92" s="2"/>
      <c r="C92" s="2"/>
      <c r="D92" s="2"/>
      <c r="E92" s="2"/>
      <c r="F92" s="2"/>
      <c r="G92" s="2"/>
      <c r="H92" s="2"/>
      <c r="I92" s="182" t="s">
        <v>537</v>
      </c>
      <c r="J92" s="182" t="s">
        <v>1285</v>
      </c>
      <c r="K92" s="183">
        <f>K91</f>
        <v>10</v>
      </c>
      <c r="L92" s="183">
        <f>L91</f>
        <v>-2</v>
      </c>
      <c r="M92" s="183">
        <f>M91</f>
        <v>10</v>
      </c>
      <c r="N92" s="91"/>
      <c r="O92" s="91"/>
      <c r="P92" s="91"/>
      <c r="Q92" s="91"/>
      <c r="R92" s="91"/>
      <c r="S92" s="91"/>
      <c r="T92" s="98" t="e">
        <f>VS_VehSpd_Kmh</f>
        <v>#NAME?</v>
      </c>
      <c r="U92" s="90">
        <v>30</v>
      </c>
      <c r="V92" s="89">
        <v>5</v>
      </c>
      <c r="W92" s="91"/>
      <c r="X92" s="91"/>
      <c r="Y92" s="91"/>
      <c r="Z92" s="91"/>
      <c r="AA92" s="91"/>
      <c r="AB92" s="91"/>
      <c r="AC92" s="91"/>
      <c r="AD92" s="91"/>
      <c r="AE92" s="91"/>
      <c r="AF92" s="91"/>
      <c r="AG92" s="91"/>
      <c r="AH92" s="91"/>
      <c r="AI92" s="91"/>
      <c r="AJ92" s="91"/>
      <c r="AK92" s="91"/>
      <c r="AL92" s="91"/>
      <c r="AM92" s="91"/>
      <c r="AN92" s="91"/>
      <c r="AO92" s="91"/>
      <c r="AP92" s="91"/>
      <c r="AQ92" s="91"/>
      <c r="AR92" s="91"/>
      <c r="AS92" s="91"/>
      <c r="AT92" s="91"/>
      <c r="AU92" s="91"/>
      <c r="AV92" s="91"/>
      <c r="AW92" s="91"/>
      <c r="AX92" s="91"/>
      <c r="AY92" s="91"/>
      <c r="AZ92" s="91"/>
      <c r="BA92" s="91"/>
      <c r="BB92" s="91"/>
      <c r="BC92" s="91"/>
      <c r="BD92" s="91"/>
      <c r="BE92" s="91"/>
      <c r="BF92" s="91"/>
      <c r="BG92" s="91"/>
      <c r="BH92" s="91"/>
      <c r="BI92" s="91"/>
      <c r="BJ92" s="91"/>
      <c r="BK92" s="91"/>
      <c r="BL92" s="91"/>
      <c r="BM92" s="91"/>
      <c r="BN92" s="91"/>
      <c r="BO92" s="91"/>
      <c r="BP92" s="91"/>
      <c r="BQ92" s="91"/>
      <c r="BR92" s="91"/>
      <c r="BS92" s="91"/>
      <c r="BT92" s="91"/>
      <c r="BU92" s="91"/>
      <c r="BV92" s="91"/>
      <c r="BW92" s="91"/>
      <c r="BX92" s="91"/>
      <c r="BY92" s="91"/>
      <c r="BZ92" s="91"/>
      <c r="CA92" s="91"/>
      <c r="CB92" s="90">
        <v>0</v>
      </c>
      <c r="CC92" s="91"/>
      <c r="CD92" s="183">
        <f>CD91</f>
        <v>4200</v>
      </c>
      <c r="CE92" s="91"/>
      <c r="CF92" s="91"/>
      <c r="CG92" s="90">
        <v>4300</v>
      </c>
      <c r="CH92" s="91"/>
      <c r="CI92" s="91"/>
      <c r="CJ92" s="91"/>
      <c r="CK92" s="91"/>
      <c r="CL92" s="91"/>
      <c r="CM92" s="91"/>
      <c r="CN92" s="91"/>
      <c r="CO92" s="91"/>
      <c r="CP92" s="91"/>
      <c r="CQ92" s="91"/>
      <c r="CR92" s="91"/>
      <c r="CS92" s="91"/>
      <c r="CT92" s="91"/>
      <c r="CU92" s="91"/>
      <c r="CV92" s="91"/>
      <c r="CW92" s="91"/>
      <c r="CX92" s="91"/>
      <c r="CY92" s="91"/>
      <c r="CZ92" s="91"/>
      <c r="DA92" s="91"/>
      <c r="DB92" s="91"/>
      <c r="DC92" s="91"/>
      <c r="DD92" s="91"/>
      <c r="DE92" s="91"/>
      <c r="DF92" s="91"/>
      <c r="DG92" s="91"/>
      <c r="DH92" s="91"/>
      <c r="DI92" s="91"/>
      <c r="DJ92" s="91"/>
      <c r="DK92" s="91"/>
      <c r="DL92" s="91"/>
      <c r="DM92" s="91"/>
      <c r="DN92" s="91"/>
      <c r="DO92" s="91"/>
      <c r="DP92" s="2"/>
    </row>
    <row r="93" spans="1:120" ht="12.75" customHeight="1">
      <c r="A93" s="2"/>
      <c r="B93" s="2"/>
      <c r="C93" s="2"/>
      <c r="D93" s="2"/>
      <c r="E93" s="2"/>
      <c r="F93" s="2"/>
      <c r="G93" s="2"/>
      <c r="H93" s="2"/>
      <c r="I93" s="182" t="s">
        <v>537</v>
      </c>
      <c r="J93" s="182" t="s">
        <v>1286</v>
      </c>
      <c r="K93" s="183">
        <f>K92</f>
        <v>10</v>
      </c>
      <c r="L93" s="183">
        <f>L92</f>
        <v>-2</v>
      </c>
      <c r="M93" s="183">
        <f>M92</f>
        <v>10</v>
      </c>
      <c r="N93" s="91"/>
      <c r="O93" s="91"/>
      <c r="P93" s="91"/>
      <c r="Q93" s="91"/>
      <c r="R93" s="91"/>
      <c r="S93" s="91"/>
      <c r="T93" s="98" t="e">
        <f>VS_VehSpd_Kmh</f>
        <v>#NAME?</v>
      </c>
      <c r="U93" s="90">
        <v>15</v>
      </c>
      <c r="V93" s="89">
        <v>5</v>
      </c>
      <c r="W93" s="91"/>
      <c r="X93" s="91"/>
      <c r="Y93" s="91"/>
      <c r="Z93" s="91"/>
      <c r="AA93" s="91"/>
      <c r="AB93" s="91"/>
      <c r="AC93" s="91"/>
      <c r="AD93" s="91"/>
      <c r="AE93" s="91"/>
      <c r="AF93" s="91"/>
      <c r="AG93" s="91"/>
      <c r="AH93" s="91"/>
      <c r="AI93" s="91"/>
      <c r="AJ93" s="91"/>
      <c r="AK93" s="91"/>
      <c r="AL93" s="91"/>
      <c r="AM93" s="91"/>
      <c r="AN93" s="91"/>
      <c r="AO93" s="91"/>
      <c r="AP93" s="91"/>
      <c r="AQ93" s="91"/>
      <c r="AR93" s="91"/>
      <c r="AS93" s="91"/>
      <c r="AT93" s="91"/>
      <c r="AU93" s="91"/>
      <c r="AV93" s="91"/>
      <c r="AW93" s="91"/>
      <c r="AX93" s="91"/>
      <c r="AY93" s="91"/>
      <c r="AZ93" s="91"/>
      <c r="BA93" s="91"/>
      <c r="BB93" s="91"/>
      <c r="BC93" s="91"/>
      <c r="BD93" s="91"/>
      <c r="BE93" s="91"/>
      <c r="BF93" s="91"/>
      <c r="BG93" s="91"/>
      <c r="BH93" s="91"/>
      <c r="BI93" s="91"/>
      <c r="BJ93" s="91"/>
      <c r="BK93" s="91"/>
      <c r="BL93" s="91"/>
      <c r="BM93" s="91"/>
      <c r="BN93" s="91"/>
      <c r="BO93" s="91"/>
      <c r="BP93" s="91"/>
      <c r="BQ93" s="91"/>
      <c r="BR93" s="91"/>
      <c r="BS93" s="91"/>
      <c r="BT93" s="91"/>
      <c r="BU93" s="91"/>
      <c r="BV93" s="91"/>
      <c r="BW93" s="91"/>
      <c r="BX93" s="91"/>
      <c r="BY93" s="91"/>
      <c r="BZ93" s="91"/>
      <c r="CA93" s="91"/>
      <c r="CB93" s="90">
        <v>0</v>
      </c>
      <c r="CC93" s="91"/>
      <c r="CD93" s="183">
        <f>CD92</f>
        <v>4200</v>
      </c>
      <c r="CE93" s="91"/>
      <c r="CF93" s="91"/>
      <c r="CG93" s="90">
        <v>4300</v>
      </c>
      <c r="CH93" s="91"/>
      <c r="CI93" s="91"/>
      <c r="CJ93" s="91"/>
      <c r="CK93" s="91"/>
      <c r="CL93" s="91"/>
      <c r="CM93" s="91"/>
      <c r="CN93" s="91"/>
      <c r="CO93" s="91"/>
      <c r="CP93" s="91"/>
      <c r="CQ93" s="91"/>
      <c r="CR93" s="91"/>
      <c r="CS93" s="91"/>
      <c r="CT93" s="91"/>
      <c r="CU93" s="91"/>
      <c r="CV93" s="91"/>
      <c r="CW93" s="91"/>
      <c r="CX93" s="91"/>
      <c r="CY93" s="91"/>
      <c r="CZ93" s="91"/>
      <c r="DA93" s="91"/>
      <c r="DB93" s="91"/>
      <c r="DC93" s="91"/>
      <c r="DD93" s="91"/>
      <c r="DE93" s="91"/>
      <c r="DF93" s="91"/>
      <c r="DG93" s="91"/>
      <c r="DH93" s="91"/>
      <c r="DI93" s="91"/>
      <c r="DJ93" s="91"/>
      <c r="DK93" s="91"/>
      <c r="DL93" s="91"/>
      <c r="DM93" s="91"/>
      <c r="DN93" s="91"/>
      <c r="DO93" s="91"/>
      <c r="DP93" s="2"/>
    </row>
    <row r="94" spans="1:120" ht="12.75" customHeight="1">
      <c r="A94" s="2"/>
      <c r="B94" s="2"/>
      <c r="C94" s="2"/>
      <c r="D94" s="2"/>
      <c r="E94" s="2"/>
      <c r="F94" s="2"/>
      <c r="G94" s="2"/>
      <c r="H94" s="2"/>
      <c r="I94" s="182" t="s">
        <v>537</v>
      </c>
      <c r="J94" s="182" t="s">
        <v>1287</v>
      </c>
      <c r="K94" s="183">
        <f>K92</f>
        <v>10</v>
      </c>
      <c r="L94" s="183">
        <f>L92</f>
        <v>-2</v>
      </c>
      <c r="M94" s="183">
        <f>M92</f>
        <v>10</v>
      </c>
      <c r="N94" s="91"/>
      <c r="O94" s="91"/>
      <c r="P94" s="91"/>
      <c r="Q94" s="91"/>
      <c r="R94" s="91"/>
      <c r="S94" s="91"/>
      <c r="T94" s="98" t="e">
        <f>VS_VehSpd_Kmh</f>
        <v>#NAME?</v>
      </c>
      <c r="U94" s="90">
        <v>5</v>
      </c>
      <c r="V94" s="89">
        <v>5</v>
      </c>
      <c r="W94" s="91"/>
      <c r="X94" s="91"/>
      <c r="Y94" s="91"/>
      <c r="Z94" s="91"/>
      <c r="AA94" s="91"/>
      <c r="AB94" s="91"/>
      <c r="AC94" s="91"/>
      <c r="AD94" s="91"/>
      <c r="AE94" s="91"/>
      <c r="AF94" s="91"/>
      <c r="AG94" s="91"/>
      <c r="AH94" s="91"/>
      <c r="AI94" s="91"/>
      <c r="AJ94" s="91"/>
      <c r="AK94" s="91"/>
      <c r="AL94" s="91"/>
      <c r="AM94" s="91"/>
      <c r="AN94" s="91"/>
      <c r="AO94" s="91"/>
      <c r="AP94" s="91"/>
      <c r="AQ94" s="91"/>
      <c r="AR94" s="91"/>
      <c r="AS94" s="91"/>
      <c r="AT94" s="91"/>
      <c r="AU94" s="91"/>
      <c r="AV94" s="91"/>
      <c r="AW94" s="91"/>
      <c r="AX94" s="91"/>
      <c r="AY94" s="91"/>
      <c r="AZ94" s="91"/>
      <c r="BA94" s="91"/>
      <c r="BB94" s="91"/>
      <c r="BC94" s="91"/>
      <c r="BD94" s="91"/>
      <c r="BE94" s="91"/>
      <c r="BF94" s="91"/>
      <c r="BG94" s="91"/>
      <c r="BH94" s="91"/>
      <c r="BI94" s="91"/>
      <c r="BJ94" s="91"/>
      <c r="BK94" s="91"/>
      <c r="BL94" s="91"/>
      <c r="BM94" s="91"/>
      <c r="BN94" s="91"/>
      <c r="BO94" s="91"/>
      <c r="BP94" s="91"/>
      <c r="BQ94" s="91"/>
      <c r="BR94" s="91"/>
      <c r="BS94" s="91"/>
      <c r="BT94" s="91"/>
      <c r="BU94" s="91"/>
      <c r="BV94" s="91"/>
      <c r="BW94" s="91"/>
      <c r="BX94" s="91"/>
      <c r="BY94" s="91"/>
      <c r="BZ94" s="91"/>
      <c r="CA94" s="91"/>
      <c r="CB94" s="90">
        <v>0</v>
      </c>
      <c r="CC94" s="91"/>
      <c r="CD94" s="183">
        <f>CD92</f>
        <v>4200</v>
      </c>
      <c r="CE94" s="91"/>
      <c r="CF94" s="91"/>
      <c r="CG94" s="90">
        <v>2500</v>
      </c>
      <c r="CH94" s="91"/>
      <c r="CI94" s="91"/>
      <c r="CJ94" s="91"/>
      <c r="CK94" s="91"/>
      <c r="CL94" s="91"/>
      <c r="CM94" s="91"/>
      <c r="CN94" s="91"/>
      <c r="CO94" s="91"/>
      <c r="CP94" s="91"/>
      <c r="CQ94" s="91"/>
      <c r="CR94" s="91"/>
      <c r="CS94" s="91"/>
      <c r="CT94" s="91"/>
      <c r="CU94" s="91"/>
      <c r="CV94" s="91"/>
      <c r="CW94" s="91"/>
      <c r="CX94" s="91"/>
      <c r="CY94" s="91"/>
      <c r="CZ94" s="91"/>
      <c r="DA94" s="91"/>
      <c r="DB94" s="91"/>
      <c r="DC94" s="91"/>
      <c r="DD94" s="91"/>
      <c r="DE94" s="91"/>
      <c r="DF94" s="91"/>
      <c r="DG94" s="91"/>
      <c r="DH94" s="91"/>
      <c r="DI94" s="91"/>
      <c r="DJ94" s="91"/>
      <c r="DK94" s="91"/>
      <c r="DL94" s="91"/>
      <c r="DM94" s="91"/>
      <c r="DN94" s="91"/>
      <c r="DO94" s="91"/>
      <c r="DP94" s="2"/>
    </row>
    <row r="95" spans="1:120" ht="12.75" customHeight="1">
      <c r="A95" s="2"/>
      <c r="B95" s="2"/>
      <c r="C95" s="2"/>
      <c r="D95" s="2"/>
      <c r="E95" s="2"/>
      <c r="F95" s="2"/>
      <c r="G95" s="2"/>
      <c r="H95" s="2"/>
      <c r="I95" s="182" t="s">
        <v>537</v>
      </c>
      <c r="J95" s="182" t="s">
        <v>1288</v>
      </c>
      <c r="K95" s="183">
        <f>K93</f>
        <v>10</v>
      </c>
      <c r="L95" s="183">
        <f>L93</f>
        <v>-2</v>
      </c>
      <c r="M95" s="183">
        <f>M93</f>
        <v>10</v>
      </c>
      <c r="N95" s="91"/>
      <c r="O95" s="91"/>
      <c r="P95" s="91"/>
      <c r="Q95" s="91"/>
      <c r="R95" s="91"/>
      <c r="S95" s="91"/>
      <c r="T95" s="98" t="e">
        <f>VS_VehSpd_Kmh</f>
        <v>#NAME?</v>
      </c>
      <c r="U95" s="90">
        <v>15</v>
      </c>
      <c r="V95" s="89">
        <v>5</v>
      </c>
      <c r="W95" s="91"/>
      <c r="X95" s="91"/>
      <c r="Y95" s="91"/>
      <c r="Z95" s="91"/>
      <c r="AA95" s="91"/>
      <c r="AB95" s="91"/>
      <c r="AC95" s="91"/>
      <c r="AD95" s="91"/>
      <c r="AE95" s="91"/>
      <c r="AF95" s="91"/>
      <c r="AG95" s="91"/>
      <c r="AH95" s="91"/>
      <c r="AI95" s="91"/>
      <c r="AJ95" s="91"/>
      <c r="AK95" s="91"/>
      <c r="AL95" s="91"/>
      <c r="AM95" s="91"/>
      <c r="AN95" s="91"/>
      <c r="AO95" s="91"/>
      <c r="AP95" s="91"/>
      <c r="AQ95" s="91"/>
      <c r="AR95" s="91"/>
      <c r="AS95" s="91"/>
      <c r="AT95" s="91"/>
      <c r="AU95" s="91"/>
      <c r="AV95" s="91"/>
      <c r="AW95" s="91"/>
      <c r="AX95" s="91"/>
      <c r="AY95" s="91"/>
      <c r="AZ95" s="91"/>
      <c r="BA95" s="91"/>
      <c r="BB95" s="91"/>
      <c r="BC95" s="91"/>
      <c r="BD95" s="91"/>
      <c r="BE95" s="91"/>
      <c r="BF95" s="91"/>
      <c r="BG95" s="91"/>
      <c r="BH95" s="91"/>
      <c r="BI95" s="91"/>
      <c r="BJ95" s="91"/>
      <c r="BK95" s="91"/>
      <c r="BL95" s="91"/>
      <c r="BM95" s="91"/>
      <c r="BN95" s="91"/>
      <c r="BO95" s="91"/>
      <c r="BP95" s="91"/>
      <c r="BQ95" s="91"/>
      <c r="BR95" s="91"/>
      <c r="BS95" s="91"/>
      <c r="BT95" s="91"/>
      <c r="BU95" s="91"/>
      <c r="BV95" s="91"/>
      <c r="BW95" s="91"/>
      <c r="BX95" s="91"/>
      <c r="BY95" s="91"/>
      <c r="BZ95" s="91"/>
      <c r="CA95" s="91"/>
      <c r="CB95" s="90">
        <v>0</v>
      </c>
      <c r="CC95" s="91"/>
      <c r="CD95" s="183">
        <f>CD93</f>
        <v>4200</v>
      </c>
      <c r="CE95" s="91"/>
      <c r="CF95" s="91"/>
      <c r="CG95" s="183">
        <f>CG93</f>
        <v>4300</v>
      </c>
      <c r="CH95" s="91"/>
      <c r="CI95" s="91"/>
      <c r="CJ95" s="91"/>
      <c r="CK95" s="91"/>
      <c r="CL95" s="91"/>
      <c r="CM95" s="91"/>
      <c r="CN95" s="91"/>
      <c r="CO95" s="91"/>
      <c r="CP95" s="91"/>
      <c r="CQ95" s="91"/>
      <c r="CR95" s="91"/>
      <c r="CS95" s="91"/>
      <c r="CT95" s="91"/>
      <c r="CU95" s="91"/>
      <c r="CV95" s="91"/>
      <c r="CW95" s="91"/>
      <c r="CX95" s="91"/>
      <c r="CY95" s="91"/>
      <c r="CZ95" s="91"/>
      <c r="DA95" s="91"/>
      <c r="DB95" s="91"/>
      <c r="DC95" s="91"/>
      <c r="DD95" s="91"/>
      <c r="DE95" s="91"/>
      <c r="DF95" s="91"/>
      <c r="DG95" s="91"/>
      <c r="DH95" s="91"/>
      <c r="DI95" s="91"/>
      <c r="DJ95" s="91"/>
      <c r="DK95" s="91"/>
      <c r="DL95" s="91"/>
      <c r="DM95" s="91"/>
      <c r="DN95" s="91"/>
      <c r="DO95" s="91"/>
      <c r="DP95" s="2"/>
    </row>
    <row r="96" spans="1:120" ht="12.75" customHeight="1">
      <c r="A96" s="2"/>
      <c r="B96" s="2"/>
      <c r="C96" s="2"/>
      <c r="D96" s="2"/>
      <c r="E96" s="2"/>
      <c r="F96" s="2"/>
      <c r="G96" s="2"/>
      <c r="H96" s="2"/>
      <c r="I96" s="182" t="s">
        <v>537</v>
      </c>
      <c r="J96" s="182" t="s">
        <v>1289</v>
      </c>
      <c r="K96" s="183">
        <f>K94</f>
        <v>10</v>
      </c>
      <c r="L96" s="183">
        <f>L94</f>
        <v>-2</v>
      </c>
      <c r="M96" s="183">
        <f>M94</f>
        <v>10</v>
      </c>
      <c r="N96" s="91"/>
      <c r="O96" s="91"/>
      <c r="P96" s="91"/>
      <c r="Q96" s="91"/>
      <c r="R96" s="91"/>
      <c r="S96" s="91"/>
      <c r="T96" s="98" t="e">
        <f>VS_VehSpd_Kmh</f>
        <v>#NAME?</v>
      </c>
      <c r="U96" s="90">
        <v>25</v>
      </c>
      <c r="V96" s="89">
        <v>5</v>
      </c>
      <c r="W96" s="91"/>
      <c r="X96" s="91"/>
      <c r="Y96" s="91"/>
      <c r="Z96" s="91"/>
      <c r="AA96" s="91"/>
      <c r="AB96" s="91"/>
      <c r="AC96" s="91"/>
      <c r="AD96" s="91"/>
      <c r="AE96" s="91"/>
      <c r="AF96" s="91"/>
      <c r="AG96" s="91"/>
      <c r="AH96" s="91"/>
      <c r="AI96" s="91"/>
      <c r="AJ96" s="91"/>
      <c r="AK96" s="91"/>
      <c r="AL96" s="91"/>
      <c r="AM96" s="91"/>
      <c r="AN96" s="91"/>
      <c r="AO96" s="91"/>
      <c r="AP96" s="91"/>
      <c r="AQ96" s="91"/>
      <c r="AR96" s="91"/>
      <c r="AS96" s="91"/>
      <c r="AT96" s="91"/>
      <c r="AU96" s="91"/>
      <c r="AV96" s="91"/>
      <c r="AW96" s="91"/>
      <c r="AX96" s="91"/>
      <c r="AY96" s="91"/>
      <c r="AZ96" s="91"/>
      <c r="BA96" s="91"/>
      <c r="BB96" s="91"/>
      <c r="BC96" s="91"/>
      <c r="BD96" s="91"/>
      <c r="BE96" s="91"/>
      <c r="BF96" s="91"/>
      <c r="BG96" s="91"/>
      <c r="BH96" s="91"/>
      <c r="BI96" s="91"/>
      <c r="BJ96" s="91"/>
      <c r="BK96" s="91"/>
      <c r="BL96" s="91"/>
      <c r="BM96" s="91"/>
      <c r="BN96" s="91"/>
      <c r="BO96" s="91"/>
      <c r="BP96" s="91"/>
      <c r="BQ96" s="91"/>
      <c r="BR96" s="91"/>
      <c r="BS96" s="91"/>
      <c r="BT96" s="91"/>
      <c r="BU96" s="91"/>
      <c r="BV96" s="91"/>
      <c r="BW96" s="91"/>
      <c r="BX96" s="91"/>
      <c r="BY96" s="91"/>
      <c r="BZ96" s="91"/>
      <c r="CA96" s="91"/>
      <c r="CB96" s="90">
        <v>0</v>
      </c>
      <c r="CC96" s="91"/>
      <c r="CD96" s="183">
        <f>CD94</f>
        <v>4200</v>
      </c>
      <c r="CE96" s="91"/>
      <c r="CF96" s="91"/>
      <c r="CG96" s="183">
        <f>CG92</f>
        <v>4300</v>
      </c>
      <c r="CH96" s="91"/>
      <c r="CI96" s="91"/>
      <c r="CJ96" s="91"/>
      <c r="CK96" s="91"/>
      <c r="CL96" s="91"/>
      <c r="CM96" s="91"/>
      <c r="CN96" s="91"/>
      <c r="CO96" s="91"/>
      <c r="CP96" s="91"/>
      <c r="CQ96" s="91"/>
      <c r="CR96" s="91"/>
      <c r="CS96" s="91"/>
      <c r="CT96" s="91"/>
      <c r="CU96" s="91"/>
      <c r="CV96" s="91"/>
      <c r="CW96" s="91"/>
      <c r="CX96" s="91"/>
      <c r="CY96" s="91"/>
      <c r="CZ96" s="91"/>
      <c r="DA96" s="91"/>
      <c r="DB96" s="91"/>
      <c r="DC96" s="91"/>
      <c r="DD96" s="91"/>
      <c r="DE96" s="91"/>
      <c r="DF96" s="91"/>
      <c r="DG96" s="91"/>
      <c r="DH96" s="91"/>
      <c r="DI96" s="91"/>
      <c r="DJ96" s="91"/>
      <c r="DK96" s="91"/>
      <c r="DL96" s="91"/>
      <c r="DM96" s="91"/>
      <c r="DN96" s="91"/>
      <c r="DO96" s="91"/>
      <c r="DP96" s="2"/>
    </row>
    <row r="97" spans="1:120" ht="12.75" customHeight="1">
      <c r="A97" s="2"/>
      <c r="B97" s="2"/>
      <c r="C97" s="2"/>
      <c r="D97" s="2"/>
      <c r="E97" s="2"/>
      <c r="F97" s="2"/>
      <c r="G97" s="2"/>
      <c r="H97" s="2"/>
      <c r="I97" s="182" t="s">
        <v>537</v>
      </c>
      <c r="J97" s="182" t="s">
        <v>1290</v>
      </c>
      <c r="K97" s="183">
        <f>K96</f>
        <v>10</v>
      </c>
      <c r="L97" s="183">
        <f>L96</f>
        <v>-2</v>
      </c>
      <c r="M97" s="183">
        <f>M96</f>
        <v>10</v>
      </c>
      <c r="N97" s="91"/>
      <c r="O97" s="91"/>
      <c r="P97" s="91"/>
      <c r="Q97" s="91"/>
      <c r="R97" s="91"/>
      <c r="S97" s="91"/>
      <c r="T97" s="98" t="e">
        <f>VS_VehSpd_Kmh</f>
        <v>#NAME?</v>
      </c>
      <c r="U97" s="90">
        <v>40</v>
      </c>
      <c r="V97" s="89">
        <v>5</v>
      </c>
      <c r="W97" s="91"/>
      <c r="X97" s="91"/>
      <c r="Y97" s="91"/>
      <c r="Z97" s="91"/>
      <c r="AA97" s="91"/>
      <c r="AB97" s="91"/>
      <c r="AC97" s="91"/>
      <c r="AD97" s="91"/>
      <c r="AE97" s="91"/>
      <c r="AF97" s="91"/>
      <c r="AG97" s="91"/>
      <c r="AH97" s="91"/>
      <c r="AI97" s="91"/>
      <c r="AJ97" s="91"/>
      <c r="AK97" s="91"/>
      <c r="AL97" s="91"/>
      <c r="AM97" s="91"/>
      <c r="AN97" s="91"/>
      <c r="AO97" s="91"/>
      <c r="AP97" s="91"/>
      <c r="AQ97" s="91"/>
      <c r="AR97" s="91"/>
      <c r="AS97" s="91"/>
      <c r="AT97" s="91"/>
      <c r="AU97" s="91"/>
      <c r="AV97" s="91"/>
      <c r="AW97" s="91"/>
      <c r="AX97" s="91"/>
      <c r="AY97" s="91"/>
      <c r="AZ97" s="91"/>
      <c r="BA97" s="91"/>
      <c r="BB97" s="91"/>
      <c r="BC97" s="91"/>
      <c r="BD97" s="91"/>
      <c r="BE97" s="91"/>
      <c r="BF97" s="91"/>
      <c r="BG97" s="91"/>
      <c r="BH97" s="91"/>
      <c r="BI97" s="91"/>
      <c r="BJ97" s="91"/>
      <c r="BK97" s="91"/>
      <c r="BL97" s="91"/>
      <c r="BM97" s="91"/>
      <c r="BN97" s="91"/>
      <c r="BO97" s="91"/>
      <c r="BP97" s="91"/>
      <c r="BQ97" s="91"/>
      <c r="BR97" s="91"/>
      <c r="BS97" s="91"/>
      <c r="BT97" s="91"/>
      <c r="BU97" s="91"/>
      <c r="BV97" s="91"/>
      <c r="BW97" s="91"/>
      <c r="BX97" s="91"/>
      <c r="BY97" s="91"/>
      <c r="BZ97" s="91"/>
      <c r="CA97" s="91"/>
      <c r="CB97" s="90">
        <v>0</v>
      </c>
      <c r="CC97" s="91"/>
      <c r="CD97" s="183">
        <f>CD96</f>
        <v>4200</v>
      </c>
      <c r="CE97" s="91"/>
      <c r="CF97" s="91"/>
      <c r="CG97" s="183">
        <f>CG91</f>
        <v>4300</v>
      </c>
      <c r="CH97" s="91"/>
      <c r="CI97" s="91"/>
      <c r="CJ97" s="91"/>
      <c r="CK97" s="91"/>
      <c r="CL97" s="91"/>
      <c r="CM97" s="91"/>
      <c r="CN97" s="91"/>
      <c r="CO97" s="91"/>
      <c r="CP97" s="91"/>
      <c r="CQ97" s="91"/>
      <c r="CR97" s="91"/>
      <c r="CS97" s="91"/>
      <c r="CT97" s="91"/>
      <c r="CU97" s="91"/>
      <c r="CV97" s="91"/>
      <c r="CW97" s="91"/>
      <c r="CX97" s="91"/>
      <c r="CY97" s="91"/>
      <c r="CZ97" s="91"/>
      <c r="DA97" s="91"/>
      <c r="DB97" s="91"/>
      <c r="DC97" s="91"/>
      <c r="DD97" s="91"/>
      <c r="DE97" s="91"/>
      <c r="DF97" s="91"/>
      <c r="DG97" s="91"/>
      <c r="DH97" s="91"/>
      <c r="DI97" s="91"/>
      <c r="DJ97" s="91"/>
      <c r="DK97" s="91"/>
      <c r="DL97" s="91"/>
      <c r="DM97" s="91"/>
      <c r="DN97" s="91"/>
      <c r="DO97" s="91"/>
      <c r="DP97" s="2"/>
    </row>
    <row r="98" spans="1:120" ht="12.75" customHeight="1">
      <c r="A98" s="2"/>
      <c r="B98" s="2"/>
      <c r="C98" s="2"/>
      <c r="D98" s="2"/>
      <c r="E98" s="2"/>
      <c r="F98" s="2"/>
      <c r="G98" s="2"/>
      <c r="H98" s="2"/>
      <c r="I98" s="182" t="s">
        <v>537</v>
      </c>
      <c r="J98" s="182" t="s">
        <v>1291</v>
      </c>
      <c r="K98" s="183">
        <f>K97</f>
        <v>10</v>
      </c>
      <c r="L98" s="183">
        <f>L97</f>
        <v>-2</v>
      </c>
      <c r="M98" s="183">
        <f>M97</f>
        <v>10</v>
      </c>
      <c r="N98" s="91"/>
      <c r="O98" s="91"/>
      <c r="P98" s="91"/>
      <c r="Q98" s="91"/>
      <c r="R98" s="91"/>
      <c r="S98" s="91"/>
      <c r="T98" s="98" t="e">
        <f>VS_VehSpd_Kmh</f>
        <v>#NAME?</v>
      </c>
      <c r="U98" s="90">
        <v>60</v>
      </c>
      <c r="V98" s="89">
        <v>5</v>
      </c>
      <c r="W98" s="91"/>
      <c r="X98" s="91"/>
      <c r="Y98" s="91"/>
      <c r="Z98" s="91"/>
      <c r="AA98" s="91"/>
      <c r="AB98" s="91"/>
      <c r="AC98" s="91"/>
      <c r="AD98" s="91"/>
      <c r="AE98" s="91"/>
      <c r="AF98" s="91"/>
      <c r="AG98" s="91"/>
      <c r="AH98" s="91"/>
      <c r="AI98" s="91"/>
      <c r="AJ98" s="91"/>
      <c r="AK98" s="91"/>
      <c r="AL98" s="91"/>
      <c r="AM98" s="91"/>
      <c r="AN98" s="91"/>
      <c r="AO98" s="91"/>
      <c r="AP98" s="91"/>
      <c r="AQ98" s="91"/>
      <c r="AR98" s="91"/>
      <c r="AS98" s="91"/>
      <c r="AT98" s="91"/>
      <c r="AU98" s="91"/>
      <c r="AV98" s="91"/>
      <c r="AW98" s="91"/>
      <c r="AX98" s="91"/>
      <c r="AY98" s="91"/>
      <c r="AZ98" s="91"/>
      <c r="BA98" s="91"/>
      <c r="BB98" s="91"/>
      <c r="BC98" s="91"/>
      <c r="BD98" s="91"/>
      <c r="BE98" s="91"/>
      <c r="BF98" s="91"/>
      <c r="BG98" s="91"/>
      <c r="BH98" s="91"/>
      <c r="BI98" s="91"/>
      <c r="BJ98" s="91"/>
      <c r="BK98" s="91"/>
      <c r="BL98" s="91"/>
      <c r="BM98" s="91"/>
      <c r="BN98" s="91"/>
      <c r="BO98" s="91"/>
      <c r="BP98" s="91"/>
      <c r="BQ98" s="91"/>
      <c r="BR98" s="91"/>
      <c r="BS98" s="91"/>
      <c r="BT98" s="91"/>
      <c r="BU98" s="91"/>
      <c r="BV98" s="91"/>
      <c r="BW98" s="91"/>
      <c r="BX98" s="91"/>
      <c r="BY98" s="91"/>
      <c r="BZ98" s="91"/>
      <c r="CA98" s="91"/>
      <c r="CB98" s="90">
        <v>0</v>
      </c>
      <c r="CC98" s="91"/>
      <c r="CD98" s="183">
        <f>CD97</f>
        <v>4200</v>
      </c>
      <c r="CE98" s="91"/>
      <c r="CF98" s="91"/>
      <c r="CG98" s="183">
        <f>CG90</f>
        <v>4700</v>
      </c>
      <c r="CH98" s="91"/>
      <c r="CI98" s="91"/>
      <c r="CJ98" s="91"/>
      <c r="CK98" s="91"/>
      <c r="CL98" s="91"/>
      <c r="CM98" s="91"/>
      <c r="CN98" s="91"/>
      <c r="CO98" s="91"/>
      <c r="CP98" s="91"/>
      <c r="CQ98" s="91"/>
      <c r="CR98" s="91"/>
      <c r="CS98" s="91"/>
      <c r="CT98" s="91"/>
      <c r="CU98" s="91"/>
      <c r="CV98" s="91"/>
      <c r="CW98" s="91"/>
      <c r="CX98" s="91"/>
      <c r="CY98" s="91"/>
      <c r="CZ98" s="91"/>
      <c r="DA98" s="91"/>
      <c r="DB98" s="91"/>
      <c r="DC98" s="91"/>
      <c r="DD98" s="91"/>
      <c r="DE98" s="91"/>
      <c r="DF98" s="91"/>
      <c r="DG98" s="91"/>
      <c r="DH98" s="91"/>
      <c r="DI98" s="91"/>
      <c r="DJ98" s="91"/>
      <c r="DK98" s="91"/>
      <c r="DL98" s="91"/>
      <c r="DM98" s="91"/>
      <c r="DN98" s="91"/>
      <c r="DO98" s="91"/>
      <c r="DP98" s="2"/>
    </row>
    <row r="99" spans="1:120" ht="12.75" customHeight="1">
      <c r="A99" s="2"/>
      <c r="B99" s="2"/>
      <c r="C99" s="2"/>
      <c r="D99" s="2"/>
      <c r="E99" s="2"/>
      <c r="F99" s="2"/>
      <c r="G99" s="2"/>
      <c r="H99" s="2"/>
      <c r="I99" s="182" t="s">
        <v>537</v>
      </c>
      <c r="J99" s="182" t="s">
        <v>1292</v>
      </c>
      <c r="K99" s="183">
        <f>K98</f>
        <v>10</v>
      </c>
      <c r="L99" s="183">
        <f>L98</f>
        <v>-2</v>
      </c>
      <c r="M99" s="183">
        <f>M98</f>
        <v>10</v>
      </c>
      <c r="N99" s="91"/>
      <c r="O99" s="91"/>
      <c r="P99" s="91"/>
      <c r="Q99" s="91"/>
      <c r="R99" s="91"/>
      <c r="S99" s="91"/>
      <c r="T99" s="98" t="e">
        <f>VS_VehSpd_Kmh</f>
        <v>#NAME?</v>
      </c>
      <c r="U99" s="90">
        <v>80</v>
      </c>
      <c r="V99" s="89">
        <v>5</v>
      </c>
      <c r="W99" s="91"/>
      <c r="X99" s="91"/>
      <c r="Y99" s="91"/>
      <c r="Z99" s="91"/>
      <c r="AA99" s="91"/>
      <c r="AB99" s="91"/>
      <c r="AC99" s="91"/>
      <c r="AD99" s="91"/>
      <c r="AE99" s="91"/>
      <c r="AF99" s="91"/>
      <c r="AG99" s="91"/>
      <c r="AH99" s="91"/>
      <c r="AI99" s="91"/>
      <c r="AJ99" s="91"/>
      <c r="AK99" s="91"/>
      <c r="AL99" s="91"/>
      <c r="AM99" s="91"/>
      <c r="AN99" s="91"/>
      <c r="AO99" s="91"/>
      <c r="AP99" s="91"/>
      <c r="AQ99" s="91"/>
      <c r="AR99" s="91"/>
      <c r="AS99" s="91"/>
      <c r="AT99" s="91"/>
      <c r="AU99" s="91"/>
      <c r="AV99" s="91"/>
      <c r="AW99" s="91"/>
      <c r="AX99" s="91"/>
      <c r="AY99" s="91"/>
      <c r="AZ99" s="91"/>
      <c r="BA99" s="91"/>
      <c r="BB99" s="91"/>
      <c r="BC99" s="91"/>
      <c r="BD99" s="91"/>
      <c r="BE99" s="91"/>
      <c r="BF99" s="91"/>
      <c r="BG99" s="91"/>
      <c r="BH99" s="91"/>
      <c r="BI99" s="91"/>
      <c r="BJ99" s="91"/>
      <c r="BK99" s="91"/>
      <c r="BL99" s="91"/>
      <c r="BM99" s="91"/>
      <c r="BN99" s="91"/>
      <c r="BO99" s="91"/>
      <c r="BP99" s="91"/>
      <c r="BQ99" s="91"/>
      <c r="BR99" s="91"/>
      <c r="BS99" s="91"/>
      <c r="BT99" s="91"/>
      <c r="BU99" s="91"/>
      <c r="BV99" s="91"/>
      <c r="BW99" s="91"/>
      <c r="BX99" s="91"/>
      <c r="BY99" s="91"/>
      <c r="BZ99" s="91"/>
      <c r="CA99" s="91"/>
      <c r="CB99" s="90">
        <v>0</v>
      </c>
      <c r="CC99" s="91"/>
      <c r="CD99" s="183">
        <f>CD98</f>
        <v>4200</v>
      </c>
      <c r="CE99" s="91"/>
      <c r="CF99" s="91"/>
      <c r="CG99" s="183">
        <f>CG89</f>
        <v>5400</v>
      </c>
      <c r="CH99" s="91"/>
      <c r="CI99" s="91"/>
      <c r="CJ99" s="91"/>
      <c r="CK99" s="91"/>
      <c r="CL99" s="91"/>
      <c r="CM99" s="91"/>
      <c r="CN99" s="91"/>
      <c r="CO99" s="91"/>
      <c r="CP99" s="91"/>
      <c r="CQ99" s="91"/>
      <c r="CR99" s="91"/>
      <c r="CS99" s="91"/>
      <c r="CT99" s="91"/>
      <c r="CU99" s="91"/>
      <c r="CV99" s="91"/>
      <c r="CW99" s="91"/>
      <c r="CX99" s="91"/>
      <c r="CY99" s="91"/>
      <c r="CZ99" s="91"/>
      <c r="DA99" s="91"/>
      <c r="DB99" s="91"/>
      <c r="DC99" s="91"/>
      <c r="DD99" s="91"/>
      <c r="DE99" s="91"/>
      <c r="DF99" s="91"/>
      <c r="DG99" s="91"/>
      <c r="DH99" s="91"/>
      <c r="DI99" s="91"/>
      <c r="DJ99" s="91"/>
      <c r="DK99" s="91"/>
      <c r="DL99" s="91"/>
      <c r="DM99" s="91"/>
      <c r="DN99" s="91"/>
      <c r="DO99" s="91"/>
      <c r="DP99" s="2"/>
    </row>
    <row r="100" spans="1:120" ht="13.5" customHeight="1">
      <c r="A100" s="2"/>
      <c r="B100" s="2"/>
      <c r="C100" s="2"/>
      <c r="D100" s="2"/>
      <c r="E100" s="2"/>
      <c r="F100" s="2"/>
      <c r="G100" s="2"/>
      <c r="H100" s="2"/>
      <c r="I100" s="97" t="s">
        <v>7</v>
      </c>
      <c r="J100" s="97" t="s">
        <v>1312</v>
      </c>
      <c r="K100" s="233" t="s">
        <v>1316</v>
      </c>
      <c r="L100" s="97"/>
      <c r="M100" s="97"/>
      <c r="N100" s="97"/>
      <c r="O100" s="97"/>
      <c r="P100" s="97"/>
      <c r="Q100" s="97"/>
      <c r="R100" s="97"/>
      <c r="S100" s="97"/>
      <c r="T100" s="97"/>
      <c r="U100" s="234"/>
      <c r="V100" s="234"/>
      <c r="W100" s="97"/>
      <c r="X100" s="97"/>
      <c r="Y100" s="97"/>
      <c r="Z100" s="97"/>
      <c r="AA100" s="97"/>
      <c r="AB100" s="97"/>
      <c r="AC100" s="97"/>
      <c r="AD100" s="97"/>
      <c r="AE100" s="97"/>
      <c r="AF100" s="97"/>
      <c r="AG100" s="97"/>
      <c r="AH100" s="97"/>
      <c r="AI100" s="97"/>
      <c r="AJ100" s="97"/>
      <c r="AK100" s="97"/>
      <c r="AL100" s="97"/>
      <c r="AM100" s="97"/>
      <c r="AN100" s="97"/>
      <c r="AO100" s="97"/>
      <c r="AP100" s="97"/>
      <c r="AQ100" s="97"/>
      <c r="AR100" s="97"/>
      <c r="AS100" s="97"/>
      <c r="AT100" s="97"/>
      <c r="AU100" s="97"/>
      <c r="AV100" s="97"/>
      <c r="AW100" s="97"/>
      <c r="AX100" s="97"/>
      <c r="AY100" s="97"/>
      <c r="AZ100" s="97"/>
      <c r="BA100" s="97"/>
      <c r="BB100" s="97"/>
      <c r="BC100" s="97"/>
      <c r="BD100" s="97"/>
      <c r="BE100" s="97"/>
      <c r="BF100" s="97"/>
      <c r="BG100" s="97"/>
      <c r="BH100" s="97"/>
      <c r="BI100" s="97"/>
      <c r="BJ100" s="97"/>
      <c r="BK100" s="97"/>
      <c r="BL100" s="97"/>
      <c r="BM100" s="97"/>
      <c r="BN100" s="97"/>
      <c r="BO100" s="97"/>
      <c r="BP100" s="97"/>
      <c r="BQ100" s="97"/>
      <c r="BR100" s="97"/>
      <c r="BS100" s="97"/>
      <c r="BT100" s="97"/>
      <c r="BU100" s="97"/>
      <c r="BV100" s="97"/>
      <c r="BW100" s="97"/>
      <c r="BX100" s="97"/>
      <c r="BY100" s="97"/>
      <c r="BZ100" s="97"/>
      <c r="CA100" s="97"/>
      <c r="CB100" s="97"/>
      <c r="CC100" s="97"/>
      <c r="CD100" s="97"/>
      <c r="CE100" s="97"/>
      <c r="CF100" s="97"/>
      <c r="CG100" s="97"/>
      <c r="CH100" s="97"/>
      <c r="CI100" s="97"/>
      <c r="CJ100" s="97"/>
      <c r="CK100" s="97"/>
      <c r="CL100" s="97"/>
      <c r="CM100" s="97"/>
      <c r="CN100" s="97"/>
      <c r="CO100" s="97"/>
      <c r="CP100" s="97"/>
      <c r="CQ100" s="97"/>
      <c r="CR100" s="97"/>
      <c r="CS100" s="97"/>
      <c r="CT100" s="97"/>
      <c r="CU100" s="97"/>
      <c r="CV100" s="97"/>
      <c r="CW100" s="97"/>
      <c r="CX100" s="97"/>
      <c r="CY100" s="97"/>
      <c r="CZ100" s="97"/>
      <c r="DA100" s="97"/>
      <c r="DB100" s="97"/>
      <c r="DC100" s="97"/>
      <c r="DD100" s="97"/>
      <c r="DE100" s="97"/>
      <c r="DF100" s="97"/>
      <c r="DG100" s="97"/>
      <c r="DH100" s="97"/>
      <c r="DI100" s="97"/>
      <c r="DJ100" s="97"/>
      <c r="DK100" s="97"/>
      <c r="DL100" s="97"/>
      <c r="DM100" s="97"/>
      <c r="DN100" s="97"/>
      <c r="DO100" s="97"/>
      <c r="DP100" s="2"/>
    </row>
    <row r="101" spans="1:120" ht="13.5" customHeight="1">
      <c r="A101" s="2"/>
      <c r="B101" s="2"/>
      <c r="C101" s="2"/>
      <c r="D101" s="2"/>
      <c r="E101" s="2"/>
      <c r="F101" s="2"/>
      <c r="G101" s="2"/>
      <c r="H101" s="2"/>
      <c r="I101" s="49"/>
      <c r="J101" s="95" t="s">
        <v>472</v>
      </c>
      <c r="K101" s="95" t="s">
        <v>1304</v>
      </c>
      <c r="L101" s="95"/>
      <c r="M101" s="95"/>
      <c r="N101" s="95"/>
      <c r="O101" s="95"/>
      <c r="P101" s="95"/>
      <c r="Q101" s="95"/>
      <c r="R101" s="95"/>
      <c r="S101" s="95"/>
      <c r="T101" s="95"/>
      <c r="U101" s="96"/>
      <c r="V101" s="96"/>
      <c r="W101" s="95"/>
      <c r="X101" s="95"/>
      <c r="Y101" s="95"/>
      <c r="Z101" s="95"/>
      <c r="AA101" s="95"/>
      <c r="AB101" s="95"/>
      <c r="AC101" s="95"/>
      <c r="AD101" s="95"/>
      <c r="AE101" s="95"/>
      <c r="AF101" s="95"/>
      <c r="AG101" s="95"/>
      <c r="AH101" s="95"/>
      <c r="AI101" s="95"/>
      <c r="AJ101" s="95"/>
      <c r="AK101" s="95"/>
      <c r="AL101" s="95"/>
      <c r="AM101" s="95"/>
      <c r="AN101" s="95"/>
      <c r="AO101" s="95"/>
      <c r="AP101" s="95"/>
      <c r="AQ101" s="95"/>
      <c r="AR101" s="95"/>
      <c r="AS101" s="95"/>
      <c r="AT101" s="95"/>
      <c r="AU101" s="95"/>
      <c r="AV101" s="95"/>
      <c r="AW101" s="95"/>
      <c r="AX101" s="95"/>
      <c r="AY101" s="95"/>
      <c r="AZ101" s="95"/>
      <c r="BA101" s="95"/>
      <c r="BB101" s="95"/>
      <c r="BC101" s="95"/>
      <c r="BD101" s="95"/>
      <c r="BE101" s="95"/>
      <c r="BF101" s="95"/>
      <c r="BG101" s="95"/>
      <c r="BH101" s="95"/>
      <c r="BI101" s="95"/>
      <c r="BJ101" s="95"/>
      <c r="BK101" s="95"/>
      <c r="BL101" s="95"/>
      <c r="BM101" s="95"/>
      <c r="BN101" s="95"/>
      <c r="BO101" s="95"/>
      <c r="BP101" s="95"/>
      <c r="BQ101" s="95"/>
      <c r="BR101" s="95"/>
      <c r="BS101" s="95"/>
      <c r="BT101" s="95"/>
      <c r="BU101" s="95"/>
      <c r="BV101" s="95"/>
      <c r="BW101" s="95"/>
      <c r="BX101" s="95"/>
      <c r="BY101" s="95"/>
      <c r="BZ101" s="95"/>
      <c r="CA101" s="95"/>
      <c r="CB101" s="95"/>
      <c r="CC101" s="95"/>
      <c r="CD101" s="95"/>
      <c r="CE101" s="95"/>
      <c r="CF101" s="95"/>
      <c r="CG101" s="95"/>
      <c r="CH101" s="95"/>
      <c r="CI101" s="95"/>
      <c r="CJ101" s="95"/>
      <c r="CK101" s="95"/>
      <c r="CL101" s="95"/>
      <c r="CM101" s="95"/>
      <c r="CN101" s="95"/>
      <c r="CO101" s="95"/>
      <c r="CP101" s="95"/>
      <c r="CQ101" s="95"/>
      <c r="CR101" s="95"/>
      <c r="CS101" s="95"/>
      <c r="CT101" s="95"/>
      <c r="CU101" s="95"/>
      <c r="CV101" s="95"/>
      <c r="CW101" s="95"/>
      <c r="CX101" s="95"/>
      <c r="CY101" s="95"/>
      <c r="CZ101" s="95"/>
      <c r="DA101" s="95"/>
      <c r="DB101" s="95"/>
      <c r="DC101" s="95"/>
      <c r="DD101" s="95"/>
      <c r="DE101" s="95"/>
      <c r="DF101" s="95"/>
      <c r="DG101" s="95"/>
      <c r="DH101" s="95"/>
      <c r="DI101" s="95"/>
      <c r="DJ101" s="95"/>
      <c r="DK101" s="95"/>
      <c r="DL101" s="95"/>
      <c r="DM101" s="95"/>
      <c r="DN101" s="95"/>
      <c r="DO101" s="95"/>
      <c r="DP101" s="2"/>
    </row>
    <row r="102" spans="1:120" ht="12.75" customHeight="1">
      <c r="A102" s="2"/>
      <c r="B102" s="2"/>
      <c r="C102" s="2"/>
      <c r="D102" s="2"/>
      <c r="E102" s="2"/>
      <c r="F102" s="2"/>
      <c r="G102" s="2"/>
      <c r="H102" s="2"/>
      <c r="I102" s="97" t="s">
        <v>7</v>
      </c>
      <c r="J102" s="97" t="s">
        <v>535</v>
      </c>
      <c r="K102" s="97" t="s">
        <v>1317</v>
      </c>
      <c r="L102" s="97"/>
      <c r="M102" s="97"/>
      <c r="N102" s="97"/>
      <c r="O102" s="97"/>
      <c r="P102" s="97"/>
      <c r="Q102" s="97"/>
      <c r="R102" s="97"/>
      <c r="S102" s="97"/>
      <c r="T102" s="97"/>
      <c r="U102" s="234"/>
      <c r="V102" s="234"/>
      <c r="W102" s="97"/>
      <c r="X102" s="97"/>
      <c r="Y102" s="97"/>
      <c r="Z102" s="97"/>
      <c r="AA102" s="97"/>
      <c r="AB102" s="97"/>
      <c r="AC102" s="97"/>
      <c r="AD102" s="97"/>
      <c r="AE102" s="97"/>
      <c r="AF102" s="97"/>
      <c r="AG102" s="97"/>
      <c r="AH102" s="97"/>
      <c r="AI102" s="97"/>
      <c r="AJ102" s="97"/>
      <c r="AK102" s="97"/>
      <c r="AL102" s="97"/>
      <c r="AM102" s="97"/>
      <c r="AN102" s="97"/>
      <c r="AO102" s="97"/>
      <c r="AP102" s="97"/>
      <c r="AQ102" s="97"/>
      <c r="AR102" s="97"/>
      <c r="AS102" s="97"/>
      <c r="AT102" s="97"/>
      <c r="AU102" s="97"/>
      <c r="AV102" s="97"/>
      <c r="AW102" s="97"/>
      <c r="AX102" s="97"/>
      <c r="AY102" s="97"/>
      <c r="AZ102" s="97"/>
      <c r="BA102" s="97"/>
      <c r="BB102" s="97"/>
      <c r="BC102" s="97"/>
      <c r="BD102" s="97"/>
      <c r="BE102" s="97"/>
      <c r="BF102" s="97"/>
      <c r="BG102" s="97"/>
      <c r="BH102" s="97"/>
      <c r="BI102" s="97"/>
      <c r="BJ102" s="97"/>
      <c r="BK102" s="97"/>
      <c r="BL102" s="97"/>
      <c r="BM102" s="97"/>
      <c r="BN102" s="97"/>
      <c r="BO102" s="97"/>
      <c r="BP102" s="97"/>
      <c r="BQ102" s="97"/>
      <c r="BR102" s="97"/>
      <c r="BS102" s="97"/>
      <c r="BT102" s="97"/>
      <c r="BU102" s="97"/>
      <c r="BV102" s="97"/>
      <c r="BW102" s="97"/>
      <c r="BX102" s="97"/>
      <c r="BY102" s="97"/>
      <c r="BZ102" s="97"/>
      <c r="CA102" s="97"/>
      <c r="CB102" s="97"/>
      <c r="CC102" s="97"/>
      <c r="CD102" s="97"/>
      <c r="CE102" s="97"/>
      <c r="CF102" s="97"/>
      <c r="CG102" s="97"/>
      <c r="CH102" s="97"/>
      <c r="CI102" s="97"/>
      <c r="CJ102" s="97"/>
      <c r="CK102" s="97"/>
      <c r="CL102" s="97"/>
      <c r="CM102" s="97"/>
      <c r="CN102" s="97"/>
      <c r="CO102" s="97"/>
      <c r="CP102" s="97"/>
      <c r="CQ102" s="97"/>
      <c r="CR102" s="97"/>
      <c r="CS102" s="97"/>
      <c r="CT102" s="97"/>
      <c r="CU102" s="97"/>
      <c r="CV102" s="97"/>
      <c r="CW102" s="97"/>
      <c r="CX102" s="97"/>
      <c r="CY102" s="97"/>
      <c r="CZ102" s="97"/>
      <c r="DA102" s="97"/>
      <c r="DB102" s="97"/>
      <c r="DC102" s="97"/>
      <c r="DD102" s="97"/>
      <c r="DE102" s="97"/>
      <c r="DF102" s="97"/>
      <c r="DG102" s="97"/>
      <c r="DH102" s="97"/>
      <c r="DI102" s="97"/>
      <c r="DJ102" s="97"/>
      <c r="DK102" s="97"/>
      <c r="DL102" s="97"/>
      <c r="DM102" s="97"/>
      <c r="DN102" s="97"/>
      <c r="DO102" s="97"/>
      <c r="DP102" s="2"/>
    </row>
    <row r="103" spans="1:120" ht="12.75" customHeight="1">
      <c r="A103" s="2"/>
      <c r="B103" s="2"/>
      <c r="C103" s="2"/>
      <c r="D103" s="2"/>
      <c r="E103" s="2"/>
      <c r="F103" s="2"/>
      <c r="G103" s="2"/>
      <c r="H103" s="2"/>
      <c r="I103" s="182" t="s">
        <v>47</v>
      </c>
      <c r="J103" s="182" t="s">
        <v>536</v>
      </c>
      <c r="K103" s="90">
        <v>10</v>
      </c>
      <c r="L103" s="90">
        <v>15</v>
      </c>
      <c r="M103" s="90">
        <v>10</v>
      </c>
      <c r="N103" s="91"/>
      <c r="O103" s="91"/>
      <c r="P103" s="91"/>
      <c r="Q103" s="91"/>
      <c r="R103" s="91"/>
      <c r="S103" s="91"/>
      <c r="T103" s="98" t="s">
        <v>185</v>
      </c>
      <c r="U103" s="89" t="s">
        <v>371</v>
      </c>
      <c r="V103" s="89">
        <v>10</v>
      </c>
      <c r="W103" s="91"/>
      <c r="X103" s="91"/>
      <c r="Y103" s="91"/>
      <c r="Z103" s="91"/>
      <c r="AA103" s="91"/>
      <c r="AB103" s="91"/>
      <c r="AC103" s="91"/>
      <c r="AD103" s="91"/>
      <c r="AE103" s="91"/>
      <c r="AF103" s="91"/>
      <c r="AG103" s="91"/>
      <c r="AH103" s="91"/>
      <c r="AI103" s="91"/>
      <c r="AJ103" s="91"/>
      <c r="AK103" s="91"/>
      <c r="AL103" s="91"/>
      <c r="AM103" s="91"/>
      <c r="AN103" s="90" t="s">
        <v>88</v>
      </c>
      <c r="AO103" s="91"/>
      <c r="AP103" s="91"/>
      <c r="AQ103" s="91"/>
      <c r="AR103" s="91"/>
      <c r="AS103" s="91"/>
      <c r="AT103" s="91"/>
      <c r="AU103" s="91"/>
      <c r="AV103" s="91"/>
      <c r="AW103" s="91"/>
      <c r="AX103" s="91"/>
      <c r="AY103" s="91"/>
      <c r="AZ103" s="91"/>
      <c r="BA103" s="91"/>
      <c r="BB103" s="91"/>
      <c r="BC103" s="91"/>
      <c r="BD103" s="91"/>
      <c r="BE103" s="91"/>
      <c r="BF103" s="91"/>
      <c r="BG103" s="91"/>
      <c r="BH103" s="91"/>
      <c r="BI103" s="91"/>
      <c r="BJ103" s="91"/>
      <c r="BK103" s="91"/>
      <c r="BL103" s="91"/>
      <c r="BM103" s="91"/>
      <c r="BN103" s="91"/>
      <c r="BO103" s="91"/>
      <c r="BP103" s="91"/>
      <c r="BQ103" s="91"/>
      <c r="BR103" s="91"/>
      <c r="BS103" s="91"/>
      <c r="BT103" s="91"/>
      <c r="BU103" s="91"/>
      <c r="BV103" s="91"/>
      <c r="BW103" s="91"/>
      <c r="BX103" s="91"/>
      <c r="BY103" s="91"/>
      <c r="BZ103" s="91"/>
      <c r="CA103" s="91"/>
      <c r="CB103" s="90">
        <v>7</v>
      </c>
      <c r="CC103" s="91"/>
      <c r="CD103" s="90" t="s">
        <v>88</v>
      </c>
      <c r="CE103" s="91"/>
      <c r="CF103" s="91"/>
      <c r="CG103" s="90" t="s">
        <v>88</v>
      </c>
      <c r="CH103" s="91"/>
      <c r="CI103" s="91"/>
      <c r="CJ103" s="91"/>
      <c r="CK103" s="91"/>
      <c r="CL103" s="91"/>
      <c r="CM103" s="91"/>
      <c r="CN103" s="91"/>
      <c r="CO103" s="91"/>
      <c r="CP103" s="91"/>
      <c r="CQ103" s="91"/>
      <c r="CR103" s="91"/>
      <c r="CS103" s="91"/>
      <c r="CT103" s="91"/>
      <c r="CU103" s="91"/>
      <c r="CV103" s="91"/>
      <c r="CW103" s="91"/>
      <c r="CX103" s="91"/>
      <c r="CY103" s="91"/>
      <c r="CZ103" s="91"/>
      <c r="DA103" s="91"/>
      <c r="DB103" s="91"/>
      <c r="DC103" s="91"/>
      <c r="DD103" s="91"/>
      <c r="DE103" s="91"/>
      <c r="DF103" s="91"/>
      <c r="DG103" s="91"/>
      <c r="DH103" s="91"/>
      <c r="DI103" s="91"/>
      <c r="DJ103" s="91"/>
      <c r="DK103" s="91"/>
      <c r="DL103" s="91"/>
      <c r="DM103" s="91"/>
      <c r="DN103" s="91"/>
      <c r="DO103" s="91"/>
      <c r="DP103" s="2"/>
    </row>
    <row r="104" spans="1:120" ht="12.75" customHeight="1">
      <c r="A104" s="2"/>
      <c r="B104" s="2"/>
      <c r="C104" s="2"/>
      <c r="D104" s="2"/>
      <c r="E104" s="2"/>
      <c r="F104" s="2"/>
      <c r="G104" s="2"/>
      <c r="H104" s="2"/>
      <c r="I104" s="182" t="s">
        <v>537</v>
      </c>
      <c r="J104" s="182" t="s">
        <v>1318</v>
      </c>
      <c r="K104" s="183">
        <f>K103</f>
        <v>10</v>
      </c>
      <c r="L104" s="183">
        <f>L103</f>
        <v>15</v>
      </c>
      <c r="M104" s="183">
        <f>M103</f>
        <v>10</v>
      </c>
      <c r="N104" s="91"/>
      <c r="O104" s="91"/>
      <c r="P104" s="91"/>
      <c r="Q104" s="91"/>
      <c r="R104" s="91"/>
      <c r="S104" s="91"/>
      <c r="T104" s="98" t="s">
        <v>220</v>
      </c>
      <c r="U104" s="89">
        <v>1</v>
      </c>
      <c r="V104" s="89">
        <v>2</v>
      </c>
      <c r="W104" s="91"/>
      <c r="X104" s="91"/>
      <c r="Y104" s="91"/>
      <c r="Z104" s="91"/>
      <c r="AA104" s="91"/>
      <c r="AB104" s="91"/>
      <c r="AC104" s="91"/>
      <c r="AD104" s="91"/>
      <c r="AE104" s="91"/>
      <c r="AF104" s="91"/>
      <c r="AG104" s="91"/>
      <c r="AH104" s="91"/>
      <c r="AI104" s="91"/>
      <c r="AJ104" s="91"/>
      <c r="AK104" s="91"/>
      <c r="AL104" s="91"/>
      <c r="AM104" s="91"/>
      <c r="AN104" s="90" t="s">
        <v>48</v>
      </c>
      <c r="AO104" s="91"/>
      <c r="AP104" s="91"/>
      <c r="AQ104" s="91"/>
      <c r="AR104" s="91"/>
      <c r="AS104" s="91"/>
      <c r="AT104" s="91"/>
      <c r="AU104" s="91"/>
      <c r="AV104" s="91"/>
      <c r="AW104" s="91"/>
      <c r="AX104" s="91"/>
      <c r="AY104" s="91"/>
      <c r="AZ104" s="91"/>
      <c r="BA104" s="91"/>
      <c r="BB104" s="91"/>
      <c r="BC104" s="91"/>
      <c r="BD104" s="91"/>
      <c r="BE104" s="91"/>
      <c r="BF104" s="91"/>
      <c r="BG104" s="91"/>
      <c r="BH104" s="91"/>
      <c r="BI104" s="91"/>
      <c r="BJ104" s="91"/>
      <c r="BK104" s="91"/>
      <c r="BL104" s="91"/>
      <c r="BM104" s="91"/>
      <c r="BN104" s="91"/>
      <c r="BO104" s="91"/>
      <c r="BP104" s="91"/>
      <c r="BQ104" s="91"/>
      <c r="BR104" s="91"/>
      <c r="BS104" s="91"/>
      <c r="BT104" s="91"/>
      <c r="BU104" s="91"/>
      <c r="BV104" s="91"/>
      <c r="BW104" s="91"/>
      <c r="BX104" s="91"/>
      <c r="BY104" s="91"/>
      <c r="BZ104" s="91"/>
      <c r="CA104" s="91"/>
      <c r="CB104" s="90">
        <v>0</v>
      </c>
      <c r="CC104" s="91"/>
      <c r="CD104" s="90">
        <v>4200</v>
      </c>
      <c r="CE104" s="91"/>
      <c r="CF104" s="91"/>
      <c r="CG104" s="90">
        <v>5700</v>
      </c>
      <c r="CH104" s="91"/>
      <c r="CI104" s="91"/>
      <c r="CJ104" s="91"/>
      <c r="CK104" s="91"/>
      <c r="CL104" s="91"/>
      <c r="CM104" s="91"/>
      <c r="CN104" s="91"/>
      <c r="CO104" s="91"/>
      <c r="CP104" s="91"/>
      <c r="CQ104" s="91"/>
      <c r="CR104" s="91"/>
      <c r="CS104" s="91"/>
      <c r="CT104" s="91"/>
      <c r="CU104" s="91"/>
      <c r="CV104" s="91"/>
      <c r="CW104" s="91"/>
      <c r="CX104" s="91"/>
      <c r="CY104" s="91"/>
      <c r="CZ104" s="91"/>
      <c r="DA104" s="91"/>
      <c r="DB104" s="91"/>
      <c r="DC104" s="91"/>
      <c r="DD104" s="91"/>
      <c r="DE104" s="91"/>
      <c r="DF104" s="91"/>
      <c r="DG104" s="91"/>
      <c r="DH104" s="91"/>
      <c r="DI104" s="91"/>
      <c r="DJ104" s="91"/>
      <c r="DK104" s="91"/>
      <c r="DL104" s="91"/>
      <c r="DM104" s="91"/>
      <c r="DN104" s="91"/>
      <c r="DO104" s="91"/>
      <c r="DP104" s="2"/>
    </row>
    <row r="105" spans="1:120" ht="12.75" customHeight="1">
      <c r="A105" s="2"/>
      <c r="B105" s="2"/>
      <c r="C105" s="2"/>
      <c r="D105" s="2"/>
      <c r="E105" s="2"/>
      <c r="F105" s="2"/>
      <c r="G105" s="2"/>
      <c r="H105" s="2"/>
      <c r="I105" s="182" t="s">
        <v>537</v>
      </c>
      <c r="J105" s="182" t="s">
        <v>1319</v>
      </c>
      <c r="K105" s="183">
        <f>K104</f>
        <v>10</v>
      </c>
      <c r="L105" s="183">
        <f>L104</f>
        <v>15</v>
      </c>
      <c r="M105" s="183">
        <f>M104</f>
        <v>10</v>
      </c>
      <c r="N105" s="91"/>
      <c r="O105" s="91"/>
      <c r="P105" s="91"/>
      <c r="Q105" s="91"/>
      <c r="R105" s="91"/>
      <c r="S105" s="91"/>
      <c r="T105" s="98" t="str">
        <f>P_SIGNAL_COMP_OUT</f>
        <v>Snr_P SIGNAL_COMP OUT(PSI)_IN</v>
      </c>
      <c r="U105" s="90">
        <v>80</v>
      </c>
      <c r="V105" s="89">
        <v>5</v>
      </c>
      <c r="W105" s="91"/>
      <c r="X105" s="91"/>
      <c r="Y105" s="91"/>
      <c r="Z105" s="91"/>
      <c r="AA105" s="91"/>
      <c r="AB105" s="91"/>
      <c r="AC105" s="91"/>
      <c r="AD105" s="91"/>
      <c r="AE105" s="91"/>
      <c r="AF105" s="91"/>
      <c r="AG105" s="91"/>
      <c r="AH105" s="91"/>
      <c r="AI105" s="91"/>
      <c r="AJ105" s="91"/>
      <c r="AK105" s="91"/>
      <c r="AL105" s="91"/>
      <c r="AM105" s="91"/>
      <c r="AN105" s="91"/>
      <c r="AO105" s="91"/>
      <c r="AP105" s="91"/>
      <c r="AQ105" s="91"/>
      <c r="AR105" s="91"/>
      <c r="AS105" s="91"/>
      <c r="AT105" s="91"/>
      <c r="AU105" s="91"/>
      <c r="AV105" s="91"/>
      <c r="AW105" s="91"/>
      <c r="AX105" s="91"/>
      <c r="AY105" s="91"/>
      <c r="AZ105" s="91"/>
      <c r="BA105" s="91"/>
      <c r="BB105" s="91"/>
      <c r="BC105" s="91"/>
      <c r="BD105" s="91"/>
      <c r="BE105" s="91"/>
      <c r="BF105" s="91"/>
      <c r="BG105" s="91"/>
      <c r="BH105" s="91"/>
      <c r="BI105" s="91"/>
      <c r="BJ105" s="91"/>
      <c r="BK105" s="91"/>
      <c r="BL105" s="91"/>
      <c r="BM105" s="91"/>
      <c r="BN105" s="91"/>
      <c r="BO105" s="91"/>
      <c r="BP105" s="91"/>
      <c r="BQ105" s="91"/>
      <c r="BR105" s="91"/>
      <c r="BS105" s="91"/>
      <c r="BT105" s="91"/>
      <c r="BU105" s="91"/>
      <c r="BV105" s="91"/>
      <c r="BW105" s="91"/>
      <c r="BX105" s="91"/>
      <c r="BY105" s="91"/>
      <c r="BZ105" s="91"/>
      <c r="CA105" s="91"/>
      <c r="CB105" s="90">
        <v>0</v>
      </c>
      <c r="CC105" s="91"/>
      <c r="CD105" s="90">
        <v>1700</v>
      </c>
      <c r="CE105" s="91"/>
      <c r="CF105" s="91"/>
      <c r="CG105" s="90">
        <v>2000</v>
      </c>
      <c r="CH105" s="91"/>
      <c r="CI105" s="91"/>
      <c r="CJ105" s="91"/>
      <c r="CK105" s="91"/>
      <c r="CL105" s="91"/>
      <c r="CM105" s="91"/>
      <c r="CN105" s="91"/>
      <c r="CO105" s="91"/>
      <c r="CP105" s="91"/>
      <c r="CQ105" s="91"/>
      <c r="CR105" s="91"/>
      <c r="CS105" s="91"/>
      <c r="CT105" s="91"/>
      <c r="CU105" s="91"/>
      <c r="CV105" s="91"/>
      <c r="CW105" s="91"/>
      <c r="CX105" s="91"/>
      <c r="CY105" s="91"/>
      <c r="CZ105" s="91"/>
      <c r="DA105" s="91"/>
      <c r="DB105" s="91"/>
      <c r="DC105" s="91"/>
      <c r="DD105" s="91"/>
      <c r="DE105" s="91"/>
      <c r="DF105" s="91"/>
      <c r="DG105" s="91"/>
      <c r="DH105" s="91"/>
      <c r="DI105" s="91"/>
      <c r="DJ105" s="91"/>
      <c r="DK105" s="91"/>
      <c r="DL105" s="91"/>
      <c r="DM105" s="91"/>
      <c r="DN105" s="91"/>
      <c r="DO105" s="91"/>
      <c r="DP105" s="2"/>
    </row>
    <row r="106" spans="1:120" ht="12.75" customHeight="1">
      <c r="A106" s="2"/>
      <c r="B106" s="2"/>
      <c r="C106" s="2"/>
      <c r="D106" s="2"/>
      <c r="E106" s="2"/>
      <c r="F106" s="2"/>
      <c r="G106" s="2"/>
      <c r="H106" s="2"/>
      <c r="I106" s="182" t="s">
        <v>537</v>
      </c>
      <c r="J106" s="182" t="s">
        <v>1320</v>
      </c>
      <c r="K106" s="183">
        <f>K105</f>
        <v>10</v>
      </c>
      <c r="L106" s="183">
        <f>L105</f>
        <v>15</v>
      </c>
      <c r="M106" s="183">
        <f>M105</f>
        <v>10</v>
      </c>
      <c r="N106" s="91"/>
      <c r="O106" s="91"/>
      <c r="P106" s="91"/>
      <c r="Q106" s="91"/>
      <c r="R106" s="91"/>
      <c r="S106" s="91"/>
      <c r="T106" s="98" t="s">
        <v>192</v>
      </c>
      <c r="U106" s="89">
        <v>1</v>
      </c>
      <c r="V106" s="89">
        <v>5</v>
      </c>
      <c r="W106" s="91"/>
      <c r="X106" s="91"/>
      <c r="Y106" s="91"/>
      <c r="Z106" s="91"/>
      <c r="AA106" s="91"/>
      <c r="AB106" s="91"/>
      <c r="AC106" s="91"/>
      <c r="AD106" s="91"/>
      <c r="AE106" s="91"/>
      <c r="AF106" s="91"/>
      <c r="AG106" s="91"/>
      <c r="AH106" s="91"/>
      <c r="AI106" s="91"/>
      <c r="AJ106" s="91"/>
      <c r="AK106" s="91"/>
      <c r="AL106" s="91"/>
      <c r="AM106" s="91"/>
      <c r="AN106" s="91"/>
      <c r="AO106" s="91"/>
      <c r="AP106" s="91"/>
      <c r="AQ106" s="91"/>
      <c r="AR106" s="91"/>
      <c r="AS106" s="91"/>
      <c r="AT106" s="91"/>
      <c r="AU106" s="91"/>
      <c r="AV106" s="91"/>
      <c r="AW106" s="91"/>
      <c r="AX106" s="91"/>
      <c r="AY106" s="91"/>
      <c r="AZ106" s="91"/>
      <c r="BA106" s="91"/>
      <c r="BB106" s="91"/>
      <c r="BC106" s="91"/>
      <c r="BD106" s="91"/>
      <c r="BE106" s="91"/>
      <c r="BF106" s="91"/>
      <c r="BG106" s="91"/>
      <c r="BH106" s="91"/>
      <c r="BI106" s="91"/>
      <c r="BJ106" s="91"/>
      <c r="BK106" s="91"/>
      <c r="BL106" s="91"/>
      <c r="BM106" s="91"/>
      <c r="BN106" s="91"/>
      <c r="BO106" s="91"/>
      <c r="BP106" s="91"/>
      <c r="BQ106" s="91"/>
      <c r="BR106" s="91"/>
      <c r="BS106" s="91"/>
      <c r="BT106" s="91"/>
      <c r="BU106" s="91"/>
      <c r="BV106" s="91"/>
      <c r="BW106" s="91"/>
      <c r="BX106" s="91"/>
      <c r="BY106" s="91"/>
      <c r="BZ106" s="91"/>
      <c r="CA106" s="91"/>
      <c r="CB106" s="90">
        <v>7</v>
      </c>
      <c r="CC106" s="91"/>
      <c r="CD106" s="90" t="s">
        <v>88</v>
      </c>
      <c r="CE106" s="91"/>
      <c r="CF106" s="91"/>
      <c r="CG106" s="90" t="s">
        <v>88</v>
      </c>
      <c r="CH106" s="91"/>
      <c r="CI106" s="91"/>
      <c r="CJ106" s="91"/>
      <c r="CK106" s="91"/>
      <c r="CL106" s="91"/>
      <c r="CM106" s="91"/>
      <c r="CN106" s="91"/>
      <c r="CO106" s="91"/>
      <c r="CP106" s="91"/>
      <c r="CQ106" s="91"/>
      <c r="CR106" s="91"/>
      <c r="CS106" s="91"/>
      <c r="CT106" s="91"/>
      <c r="CU106" s="91"/>
      <c r="CV106" s="91"/>
      <c r="CW106" s="91"/>
      <c r="CX106" s="91"/>
      <c r="CY106" s="91"/>
      <c r="CZ106" s="91"/>
      <c r="DA106" s="91"/>
      <c r="DB106" s="91"/>
      <c r="DC106" s="91"/>
      <c r="DD106" s="91"/>
      <c r="DE106" s="91"/>
      <c r="DF106" s="91"/>
      <c r="DG106" s="91"/>
      <c r="DH106" s="91"/>
      <c r="DI106" s="91"/>
      <c r="DJ106" s="91"/>
      <c r="DK106" s="91"/>
      <c r="DL106" s="91"/>
      <c r="DM106" s="91"/>
      <c r="DN106" s="91"/>
      <c r="DO106" s="91"/>
      <c r="DP106" s="2"/>
    </row>
    <row r="107" spans="1:120" ht="12.75" customHeight="1">
      <c r="A107" s="2"/>
      <c r="B107" s="2"/>
      <c r="C107" s="2"/>
      <c r="D107" s="2"/>
      <c r="E107" s="2"/>
      <c r="F107" s="2"/>
      <c r="G107" s="2"/>
      <c r="H107" s="2"/>
      <c r="I107" s="97" t="s">
        <v>7</v>
      </c>
      <c r="J107" s="97" t="s">
        <v>1293</v>
      </c>
      <c r="K107" s="97" t="s">
        <v>1321</v>
      </c>
      <c r="L107" s="97"/>
      <c r="M107" s="97"/>
      <c r="N107" s="97"/>
      <c r="O107" s="97"/>
      <c r="P107" s="97"/>
      <c r="Q107" s="97"/>
      <c r="R107" s="97"/>
      <c r="S107" s="97"/>
      <c r="T107" s="97"/>
      <c r="U107" s="234"/>
      <c r="V107" s="234"/>
      <c r="W107" s="97"/>
      <c r="X107" s="97"/>
      <c r="Y107" s="97"/>
      <c r="Z107" s="97"/>
      <c r="AA107" s="97"/>
      <c r="AB107" s="97"/>
      <c r="AC107" s="97"/>
      <c r="AD107" s="97"/>
      <c r="AE107" s="97"/>
      <c r="AF107" s="97"/>
      <c r="AG107" s="97"/>
      <c r="AH107" s="97"/>
      <c r="AI107" s="97"/>
      <c r="AJ107" s="97"/>
      <c r="AK107" s="97"/>
      <c r="AL107" s="97"/>
      <c r="AM107" s="97"/>
      <c r="AN107" s="97"/>
      <c r="AO107" s="97"/>
      <c r="AP107" s="97"/>
      <c r="AQ107" s="97"/>
      <c r="AR107" s="97"/>
      <c r="AS107" s="97"/>
      <c r="AT107" s="97"/>
      <c r="AU107" s="97"/>
      <c r="AV107" s="97"/>
      <c r="AW107" s="97"/>
      <c r="AX107" s="97"/>
      <c r="AY107" s="97"/>
      <c r="AZ107" s="97"/>
      <c r="BA107" s="97"/>
      <c r="BB107" s="97"/>
      <c r="BC107" s="97"/>
      <c r="BD107" s="97"/>
      <c r="BE107" s="97"/>
      <c r="BF107" s="97"/>
      <c r="BG107" s="97"/>
      <c r="BH107" s="97"/>
      <c r="BI107" s="97"/>
      <c r="BJ107" s="97"/>
      <c r="BK107" s="97"/>
      <c r="BL107" s="97"/>
      <c r="BM107" s="97"/>
      <c r="BN107" s="97"/>
      <c r="BO107" s="97"/>
      <c r="BP107" s="97"/>
      <c r="BQ107" s="97"/>
      <c r="BR107" s="97"/>
      <c r="BS107" s="97"/>
      <c r="BT107" s="97"/>
      <c r="BU107" s="97"/>
      <c r="BV107" s="97"/>
      <c r="BW107" s="97"/>
      <c r="BX107" s="97"/>
      <c r="BY107" s="97"/>
      <c r="BZ107" s="97"/>
      <c r="CA107" s="97"/>
      <c r="CB107" s="97"/>
      <c r="CC107" s="97"/>
      <c r="CD107" s="97"/>
      <c r="CE107" s="97"/>
      <c r="CF107" s="97"/>
      <c r="CG107" s="97"/>
      <c r="CH107" s="97"/>
      <c r="CI107" s="97"/>
      <c r="CJ107" s="97"/>
      <c r="CK107" s="97"/>
      <c r="CL107" s="97"/>
      <c r="CM107" s="97"/>
      <c r="CN107" s="97"/>
      <c r="CO107" s="97"/>
      <c r="CP107" s="97"/>
      <c r="CQ107" s="97"/>
      <c r="CR107" s="97"/>
      <c r="CS107" s="97"/>
      <c r="CT107" s="97"/>
      <c r="CU107" s="97"/>
      <c r="CV107" s="97"/>
      <c r="CW107" s="97"/>
      <c r="CX107" s="97"/>
      <c r="CY107" s="97"/>
      <c r="CZ107" s="97"/>
      <c r="DA107" s="97"/>
      <c r="DB107" s="97"/>
      <c r="DC107" s="97"/>
      <c r="DD107" s="97"/>
      <c r="DE107" s="97"/>
      <c r="DF107" s="97"/>
      <c r="DG107" s="97"/>
      <c r="DH107" s="97"/>
      <c r="DI107" s="97"/>
      <c r="DJ107" s="97"/>
      <c r="DK107" s="97"/>
      <c r="DL107" s="97"/>
      <c r="DM107" s="97"/>
      <c r="DN107" s="97"/>
      <c r="DO107" s="97"/>
      <c r="DP107" s="2"/>
    </row>
    <row r="108" spans="1:120" ht="12.75" customHeight="1">
      <c r="A108" s="2"/>
      <c r="B108" s="2"/>
      <c r="C108" s="2"/>
      <c r="D108" s="2"/>
      <c r="E108" s="2"/>
      <c r="F108" s="2"/>
      <c r="G108" s="2"/>
      <c r="H108" s="2"/>
      <c r="I108" s="182" t="s">
        <v>47</v>
      </c>
      <c r="J108" s="182" t="s">
        <v>1294</v>
      </c>
      <c r="K108" s="90">
        <v>10</v>
      </c>
      <c r="L108" s="90">
        <v>-2</v>
      </c>
      <c r="M108" s="90">
        <v>10</v>
      </c>
      <c r="N108" s="91"/>
      <c r="O108" s="91"/>
      <c r="P108" s="91"/>
      <c r="Q108" s="91"/>
      <c r="R108" s="91"/>
      <c r="S108" s="91"/>
      <c r="T108" s="98" t="s">
        <v>185</v>
      </c>
      <c r="U108" s="89" t="s">
        <v>371</v>
      </c>
      <c r="V108" s="89">
        <v>10</v>
      </c>
      <c r="W108" s="91"/>
      <c r="X108" s="91"/>
      <c r="Y108" s="91"/>
      <c r="Z108" s="91"/>
      <c r="AA108" s="91"/>
      <c r="AB108" s="91"/>
      <c r="AC108" s="91"/>
      <c r="AD108" s="91"/>
      <c r="AE108" s="91"/>
      <c r="AF108" s="91"/>
      <c r="AG108" s="91"/>
      <c r="AH108" s="91"/>
      <c r="AI108" s="91"/>
      <c r="AJ108" s="91"/>
      <c r="AK108" s="91"/>
      <c r="AL108" s="91"/>
      <c r="AM108" s="91"/>
      <c r="AN108" s="91"/>
      <c r="AO108" s="91"/>
      <c r="AP108" s="91"/>
      <c r="AQ108" s="91"/>
      <c r="AR108" s="91"/>
      <c r="AS108" s="91"/>
      <c r="AT108" s="91"/>
      <c r="AU108" s="91"/>
      <c r="AV108" s="91"/>
      <c r="AW108" s="91"/>
      <c r="AX108" s="91"/>
      <c r="AY108" s="91"/>
      <c r="AZ108" s="91"/>
      <c r="BA108" s="91"/>
      <c r="BB108" s="91"/>
      <c r="BC108" s="91"/>
      <c r="BD108" s="91"/>
      <c r="BE108" s="91"/>
      <c r="BF108" s="91"/>
      <c r="BG108" s="91"/>
      <c r="BH108" s="91"/>
      <c r="BI108" s="91"/>
      <c r="BJ108" s="91"/>
      <c r="BK108" s="91"/>
      <c r="BL108" s="91"/>
      <c r="BM108" s="91"/>
      <c r="BN108" s="91"/>
      <c r="BO108" s="91"/>
      <c r="BP108" s="91"/>
      <c r="BQ108" s="91"/>
      <c r="BR108" s="91"/>
      <c r="BS108" s="91"/>
      <c r="BT108" s="91"/>
      <c r="BU108" s="91"/>
      <c r="BV108" s="91"/>
      <c r="BW108" s="91"/>
      <c r="BX108" s="91"/>
      <c r="BY108" s="91"/>
      <c r="BZ108" s="91"/>
      <c r="CA108" s="91"/>
      <c r="CB108" s="90">
        <v>7</v>
      </c>
      <c r="CC108" s="91"/>
      <c r="CD108" s="90" t="s">
        <v>88</v>
      </c>
      <c r="CE108" s="91"/>
      <c r="CF108" s="91"/>
      <c r="CG108" s="90" t="s">
        <v>88</v>
      </c>
      <c r="CH108" s="91"/>
      <c r="CI108" s="91"/>
      <c r="CJ108" s="91"/>
      <c r="CK108" s="91"/>
      <c r="CL108" s="91"/>
      <c r="CM108" s="91"/>
      <c r="CN108" s="91"/>
      <c r="CO108" s="91"/>
      <c r="CP108" s="91"/>
      <c r="CQ108" s="91"/>
      <c r="CR108" s="91"/>
      <c r="CS108" s="91"/>
      <c r="CT108" s="91"/>
      <c r="CU108" s="91"/>
      <c r="CV108" s="91"/>
      <c r="CW108" s="91"/>
      <c r="CX108" s="91"/>
      <c r="CY108" s="91"/>
      <c r="CZ108" s="91"/>
      <c r="DA108" s="91"/>
      <c r="DB108" s="91"/>
      <c r="DC108" s="91"/>
      <c r="DD108" s="91"/>
      <c r="DE108" s="91"/>
      <c r="DF108" s="91"/>
      <c r="DG108" s="91"/>
      <c r="DH108" s="91"/>
      <c r="DI108" s="91"/>
      <c r="DJ108" s="91"/>
      <c r="DK108" s="91"/>
      <c r="DL108" s="91"/>
      <c r="DM108" s="91"/>
      <c r="DN108" s="91"/>
      <c r="DO108" s="91"/>
      <c r="DP108" s="2"/>
    </row>
    <row r="109" spans="1:120" ht="12.75" customHeight="1">
      <c r="A109" s="2"/>
      <c r="B109" s="2"/>
      <c r="C109" s="2"/>
      <c r="D109" s="2"/>
      <c r="E109" s="2"/>
      <c r="F109" s="2"/>
      <c r="G109" s="2"/>
      <c r="H109" s="2"/>
      <c r="I109" s="182" t="s">
        <v>537</v>
      </c>
      <c r="J109" s="182" t="s">
        <v>1295</v>
      </c>
      <c r="K109" s="183">
        <f>K108</f>
        <v>10</v>
      </c>
      <c r="L109" s="183">
        <f>L108</f>
        <v>-2</v>
      </c>
      <c r="M109" s="183">
        <f>M108</f>
        <v>10</v>
      </c>
      <c r="N109" s="91"/>
      <c r="O109" s="91"/>
      <c r="P109" s="91"/>
      <c r="Q109" s="91"/>
      <c r="R109" s="91"/>
      <c r="S109" s="91"/>
      <c r="T109" s="98" t="s">
        <v>217</v>
      </c>
      <c r="U109" s="89">
        <v>1</v>
      </c>
      <c r="V109" s="89">
        <v>5</v>
      </c>
      <c r="W109" s="91"/>
      <c r="X109" s="91"/>
      <c r="Y109" s="91"/>
      <c r="Z109" s="91"/>
      <c r="AA109" s="91"/>
      <c r="AB109" s="91"/>
      <c r="AC109" s="91"/>
      <c r="AD109" s="91"/>
      <c r="AE109" s="91"/>
      <c r="AF109" s="90">
        <v>1</v>
      </c>
      <c r="AG109" s="91"/>
      <c r="AH109" s="91"/>
      <c r="AI109" s="91"/>
      <c r="AJ109" s="91"/>
      <c r="AK109" s="91"/>
      <c r="AL109" s="91"/>
      <c r="AM109" s="91"/>
      <c r="AN109" s="91"/>
      <c r="AO109" s="91"/>
      <c r="AP109" s="91"/>
      <c r="AQ109" s="91"/>
      <c r="AR109" s="91"/>
      <c r="AS109" s="91"/>
      <c r="AT109" s="91"/>
      <c r="AU109" s="91"/>
      <c r="AV109" s="91"/>
      <c r="AW109" s="91"/>
      <c r="AX109" s="91"/>
      <c r="AY109" s="91"/>
      <c r="AZ109" s="91"/>
      <c r="BA109" s="91"/>
      <c r="BB109" s="91"/>
      <c r="BC109" s="91"/>
      <c r="BD109" s="91"/>
      <c r="BE109" s="91"/>
      <c r="BF109" s="91"/>
      <c r="BG109" s="91"/>
      <c r="BH109" s="91"/>
      <c r="BI109" s="91"/>
      <c r="BJ109" s="91"/>
      <c r="BK109" s="91"/>
      <c r="BL109" s="91"/>
      <c r="BM109" s="91"/>
      <c r="BN109" s="91"/>
      <c r="BO109" s="91"/>
      <c r="BP109" s="91"/>
      <c r="BQ109" s="91"/>
      <c r="BR109" s="91"/>
      <c r="BS109" s="91"/>
      <c r="BT109" s="91"/>
      <c r="BU109" s="91"/>
      <c r="BV109" s="91"/>
      <c r="BW109" s="91"/>
      <c r="BX109" s="91"/>
      <c r="BY109" s="91"/>
      <c r="BZ109" s="91"/>
      <c r="CA109" s="91"/>
      <c r="CB109" s="90">
        <v>4</v>
      </c>
      <c r="CC109" s="91"/>
      <c r="CD109" s="90">
        <v>4200</v>
      </c>
      <c r="CE109" s="91"/>
      <c r="CF109" s="91"/>
      <c r="CG109" s="90">
        <v>4300</v>
      </c>
      <c r="CH109" s="91"/>
      <c r="CI109" s="91"/>
      <c r="CJ109" s="91"/>
      <c r="CK109" s="91"/>
      <c r="CL109" s="91"/>
      <c r="CM109" s="91"/>
      <c r="CN109" s="91"/>
      <c r="CO109" s="91"/>
      <c r="CP109" s="91"/>
      <c r="CQ109" s="91"/>
      <c r="CR109" s="91"/>
      <c r="CS109" s="91"/>
      <c r="CT109" s="91"/>
      <c r="CU109" s="91"/>
      <c r="CV109" s="91"/>
      <c r="CW109" s="91"/>
      <c r="CX109" s="91"/>
      <c r="CY109" s="91"/>
      <c r="CZ109" s="91"/>
      <c r="DA109" s="91"/>
      <c r="DB109" s="91"/>
      <c r="DC109" s="91"/>
      <c r="DD109" s="91"/>
      <c r="DE109" s="91"/>
      <c r="DF109" s="91"/>
      <c r="DG109" s="91"/>
      <c r="DH109" s="91"/>
      <c r="DI109" s="91"/>
      <c r="DJ109" s="91"/>
      <c r="DK109" s="91"/>
      <c r="DL109" s="91"/>
      <c r="DM109" s="91"/>
      <c r="DN109" s="91"/>
      <c r="DO109" s="91"/>
      <c r="DP109" s="2"/>
    </row>
    <row r="110" spans="1:120" ht="12.75" customHeight="1">
      <c r="A110" s="2"/>
      <c r="B110" s="2"/>
      <c r="C110" s="2"/>
      <c r="D110" s="2"/>
      <c r="E110" s="2"/>
      <c r="F110" s="2"/>
      <c r="G110" s="2"/>
      <c r="H110" s="2"/>
      <c r="I110" s="182" t="s">
        <v>537</v>
      </c>
      <c r="J110" s="182" t="s">
        <v>1322</v>
      </c>
      <c r="K110" s="183">
        <f>K108</f>
        <v>10</v>
      </c>
      <c r="L110" s="183">
        <f>L108</f>
        <v>-2</v>
      </c>
      <c r="M110" s="183">
        <f>M108</f>
        <v>10</v>
      </c>
      <c r="N110" s="91"/>
      <c r="O110" s="91"/>
      <c r="P110" s="91"/>
      <c r="Q110" s="91"/>
      <c r="R110" s="91"/>
      <c r="S110" s="91"/>
      <c r="T110" s="98" t="s">
        <v>192</v>
      </c>
      <c r="U110" s="89">
        <v>1</v>
      </c>
      <c r="V110" s="89">
        <v>5</v>
      </c>
      <c r="W110" s="91"/>
      <c r="X110" s="91"/>
      <c r="Y110" s="91"/>
      <c r="Z110" s="91"/>
      <c r="AA110" s="91"/>
      <c r="AB110" s="91"/>
      <c r="AC110" s="91"/>
      <c r="AD110" s="91"/>
      <c r="AE110" s="91"/>
      <c r="AF110" s="90" t="s">
        <v>88</v>
      </c>
      <c r="AG110" s="91"/>
      <c r="AH110" s="91"/>
      <c r="AI110" s="91"/>
      <c r="AJ110" s="91"/>
      <c r="AK110" s="91"/>
      <c r="AL110" s="91"/>
      <c r="AM110" s="91"/>
      <c r="AN110" s="91"/>
      <c r="AO110" s="91"/>
      <c r="AP110" s="91"/>
      <c r="AQ110" s="91"/>
      <c r="AR110" s="91"/>
      <c r="AS110" s="91"/>
      <c r="AT110" s="91"/>
      <c r="AU110" s="91"/>
      <c r="AV110" s="91"/>
      <c r="AW110" s="91"/>
      <c r="AX110" s="91"/>
      <c r="AY110" s="91"/>
      <c r="AZ110" s="91"/>
      <c r="BA110" s="91"/>
      <c r="BB110" s="91"/>
      <c r="BC110" s="91"/>
      <c r="BD110" s="91"/>
      <c r="BE110" s="91"/>
      <c r="BF110" s="91"/>
      <c r="BG110" s="91"/>
      <c r="BH110" s="91"/>
      <c r="BI110" s="91"/>
      <c r="BJ110" s="91"/>
      <c r="BK110" s="91"/>
      <c r="BL110" s="91"/>
      <c r="BM110" s="91"/>
      <c r="BN110" s="91"/>
      <c r="BO110" s="91"/>
      <c r="BP110" s="91"/>
      <c r="BQ110" s="91"/>
      <c r="BR110" s="91"/>
      <c r="BS110" s="91"/>
      <c r="BT110" s="91"/>
      <c r="BU110" s="91"/>
      <c r="BV110" s="91"/>
      <c r="BW110" s="91"/>
      <c r="BX110" s="91"/>
      <c r="BY110" s="91"/>
      <c r="BZ110" s="91"/>
      <c r="CA110" s="91"/>
      <c r="CB110" s="90">
        <v>7</v>
      </c>
      <c r="CC110" s="91"/>
      <c r="CD110" s="90" t="s">
        <v>88</v>
      </c>
      <c r="CE110" s="91"/>
      <c r="CF110" s="91"/>
      <c r="CG110" s="90" t="s">
        <v>88</v>
      </c>
      <c r="CH110" s="91"/>
      <c r="CI110" s="91"/>
      <c r="CJ110" s="91"/>
      <c r="CK110" s="91"/>
      <c r="CL110" s="91"/>
      <c r="CM110" s="91"/>
      <c r="CN110" s="91"/>
      <c r="CO110" s="91"/>
      <c r="CP110" s="91"/>
      <c r="CQ110" s="91"/>
      <c r="CR110" s="91"/>
      <c r="CS110" s="91"/>
      <c r="CT110" s="91"/>
      <c r="CU110" s="91"/>
      <c r="CV110" s="91"/>
      <c r="CW110" s="91"/>
      <c r="CX110" s="91"/>
      <c r="CY110" s="91"/>
      <c r="CZ110" s="91"/>
      <c r="DA110" s="91"/>
      <c r="DB110" s="91"/>
      <c r="DC110" s="91"/>
      <c r="DD110" s="91"/>
      <c r="DE110" s="91"/>
      <c r="DF110" s="91"/>
      <c r="DG110" s="91"/>
      <c r="DH110" s="91"/>
      <c r="DI110" s="91"/>
      <c r="DJ110" s="91"/>
      <c r="DK110" s="91"/>
      <c r="DL110" s="91"/>
      <c r="DM110" s="91"/>
      <c r="DN110" s="91"/>
      <c r="DO110" s="91"/>
      <c r="DP110" s="2"/>
    </row>
    <row r="111" spans="1:120" ht="12.75" customHeight="1">
      <c r="A111" s="2"/>
      <c r="B111" s="2"/>
      <c r="C111" s="2"/>
      <c r="D111" s="2"/>
      <c r="E111" s="2"/>
      <c r="F111" s="2"/>
      <c r="G111" s="2"/>
      <c r="H111" s="2"/>
      <c r="I111" s="49"/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6"/>
      <c r="V111" s="96"/>
      <c r="W111" s="95"/>
      <c r="X111" s="95"/>
      <c r="Y111" s="95"/>
      <c r="Z111" s="95"/>
      <c r="AA111" s="95"/>
      <c r="AB111" s="95"/>
      <c r="AC111" s="95"/>
      <c r="AD111" s="95"/>
      <c r="AE111" s="95"/>
      <c r="AF111" s="95"/>
      <c r="AG111" s="95"/>
      <c r="AH111" s="95"/>
      <c r="AI111" s="95"/>
      <c r="AJ111" s="95"/>
      <c r="AK111" s="95"/>
      <c r="AL111" s="95"/>
      <c r="AM111" s="95"/>
      <c r="AN111" s="95"/>
      <c r="AO111" s="95"/>
      <c r="AP111" s="95"/>
      <c r="AQ111" s="95"/>
      <c r="AR111" s="95"/>
      <c r="AS111" s="95"/>
      <c r="AT111" s="95"/>
      <c r="AU111" s="95"/>
      <c r="AV111" s="95"/>
      <c r="AW111" s="95"/>
      <c r="AX111" s="95"/>
      <c r="AY111" s="95"/>
      <c r="AZ111" s="95"/>
      <c r="BA111" s="95"/>
      <c r="BB111" s="95"/>
      <c r="BC111" s="95"/>
      <c r="BD111" s="95"/>
      <c r="BE111" s="95"/>
      <c r="BF111" s="95"/>
      <c r="BG111" s="95"/>
      <c r="BH111" s="95"/>
      <c r="BI111" s="95"/>
      <c r="BJ111" s="95"/>
      <c r="BK111" s="95"/>
      <c r="BL111" s="95"/>
      <c r="BM111" s="95"/>
      <c r="BN111" s="95"/>
      <c r="BO111" s="95"/>
      <c r="BP111" s="95"/>
      <c r="BQ111" s="95"/>
      <c r="BR111" s="95"/>
      <c r="BS111" s="95"/>
      <c r="BT111" s="95"/>
      <c r="BU111" s="95"/>
      <c r="BV111" s="95"/>
      <c r="BW111" s="95"/>
      <c r="BX111" s="95"/>
      <c r="BY111" s="95"/>
      <c r="BZ111" s="95"/>
      <c r="CA111" s="95"/>
      <c r="CB111" s="95"/>
      <c r="CC111" s="95"/>
      <c r="CD111" s="95"/>
      <c r="CE111" s="95"/>
      <c r="CF111" s="95"/>
      <c r="CG111" s="95"/>
      <c r="CH111" s="95"/>
      <c r="CI111" s="95"/>
      <c r="CJ111" s="95"/>
      <c r="CK111" s="95"/>
      <c r="CL111" s="95"/>
      <c r="CM111" s="95"/>
      <c r="CN111" s="95"/>
      <c r="CO111" s="95"/>
      <c r="CP111" s="95"/>
      <c r="CQ111" s="95"/>
      <c r="CR111" s="95"/>
      <c r="CS111" s="95"/>
      <c r="CT111" s="95"/>
      <c r="CU111" s="95"/>
      <c r="CV111" s="95"/>
      <c r="CW111" s="95"/>
      <c r="CX111" s="95"/>
      <c r="CY111" s="95"/>
      <c r="CZ111" s="95"/>
      <c r="DA111" s="95"/>
      <c r="DB111" s="95"/>
      <c r="DC111" s="95"/>
      <c r="DD111" s="95"/>
      <c r="DE111" s="95"/>
      <c r="DF111" s="95"/>
      <c r="DG111" s="95"/>
      <c r="DH111" s="95"/>
      <c r="DI111" s="95"/>
      <c r="DJ111" s="95"/>
      <c r="DK111" s="95"/>
      <c r="DL111" s="95"/>
      <c r="DM111" s="95"/>
      <c r="DN111" s="95"/>
      <c r="DO111" s="95"/>
      <c r="DP111" s="2"/>
    </row>
  </sheetData>
  <mergeCells count="6">
    <mergeCell ref="E5:G5"/>
    <mergeCell ref="D2:G2"/>
    <mergeCell ref="E3:G3"/>
    <mergeCell ref="E4:G4"/>
    <mergeCell ref="D5:D6"/>
    <mergeCell ref="E6:G6"/>
  </mergeCells>
  <phoneticPr fontId="9" type="noConversion"/>
  <pageMargins left="0.19685039370078741" right="0.19685039370078741" top="0.19685039370078741" bottom="0.19685039370078741" header="0.31496062992125984" footer="0.31496062992125984"/>
  <pageSetup paperSize="9" scale="1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rgb="FF00B050"/>
    <outlinePr summaryBelow="0" summaryRight="0"/>
  </sheetPr>
  <dimension ref="A1:L2694"/>
  <sheetViews>
    <sheetView zoomScale="85" zoomScaleNormal="85" workbookViewId="0">
      <pane xSplit="3" ySplit="1" topLeftCell="D1267" activePane="bottomRight" state="frozen"/>
      <selection pane="topRight" activeCell="D1" sqref="D1"/>
      <selection pane="bottomLeft" activeCell="A5" sqref="A5"/>
      <selection pane="bottomRight" sqref="A1:L576"/>
    </sheetView>
  </sheetViews>
  <sheetFormatPr defaultColWidth="9.28515625" defaultRowHeight="12.75" outlineLevelRow="2"/>
  <cols>
    <col min="1" max="1" width="7.7109375" customWidth="1"/>
    <col min="2" max="2" width="9.28515625" customWidth="1"/>
    <col min="3" max="3" width="9.7109375" customWidth="1"/>
    <col min="4" max="4" width="31.5703125" customWidth="1"/>
    <col min="5" max="5" width="40.7109375" customWidth="1"/>
    <col min="6" max="6" width="10.5703125" customWidth="1"/>
    <col min="7" max="7" width="40.7109375" customWidth="1"/>
    <col min="8" max="8" width="12.42578125" customWidth="1"/>
    <col min="9" max="9" width="10.5703125" customWidth="1"/>
    <col min="10" max="10" width="10.7109375" customWidth="1"/>
    <col min="11" max="11" width="7.7109375" customWidth="1"/>
    <col min="12" max="12" width="31" customWidth="1"/>
  </cols>
  <sheetData>
    <row r="1" spans="1:12" ht="42.75" customHeight="1">
      <c r="A1" s="225" t="s">
        <v>310</v>
      </c>
      <c r="B1" s="225" t="s">
        <v>23</v>
      </c>
      <c r="C1" s="225" t="s">
        <v>91</v>
      </c>
      <c r="D1" s="225" t="s">
        <v>24</v>
      </c>
      <c r="E1" s="225" t="s">
        <v>25</v>
      </c>
      <c r="F1" s="226" t="s">
        <v>26</v>
      </c>
      <c r="G1" s="225" t="s">
        <v>27</v>
      </c>
      <c r="H1" s="225" t="s">
        <v>92</v>
      </c>
      <c r="I1" s="225" t="s">
        <v>28</v>
      </c>
      <c r="J1" s="225" t="s">
        <v>29</v>
      </c>
      <c r="K1" s="225" t="s">
        <v>30</v>
      </c>
      <c r="L1" s="225" t="s">
        <v>90</v>
      </c>
    </row>
    <row r="2" spans="1:12" ht="15" customHeight="1">
      <c r="A2" s="64">
        <v>1</v>
      </c>
      <c r="B2" s="39" t="s">
        <v>784</v>
      </c>
      <c r="C2" s="39" t="s">
        <v>790</v>
      </c>
      <c r="D2" s="39" t="str">
        <f>VLOOKUP(B2,Tbl_Button_Display_ASSTS,2,FALSE)</f>
        <v>EWP 협조 에어 &lt;H/P 사양&gt;</v>
      </c>
      <c r="E2" s="39"/>
      <c r="F2" s="79"/>
      <c r="G2" s="39"/>
      <c r="H2" s="39"/>
      <c r="I2" s="39"/>
      <c r="J2" s="39"/>
      <c r="K2" s="39"/>
      <c r="L2" s="39"/>
    </row>
    <row r="3" spans="1:12" ht="14.25" customHeight="1" collapsed="1">
      <c r="A3" s="65">
        <v>1</v>
      </c>
      <c r="B3" s="36" t="s">
        <v>31</v>
      </c>
      <c r="C3" s="36" t="s">
        <v>32</v>
      </c>
      <c r="D3" s="36" t="s">
        <v>140</v>
      </c>
      <c r="E3" s="36"/>
      <c r="F3" s="80"/>
      <c r="G3" s="36"/>
      <c r="H3" s="36"/>
      <c r="I3" s="36"/>
      <c r="J3" s="36"/>
      <c r="K3" s="36"/>
      <c r="L3" s="36"/>
    </row>
    <row r="4" spans="1:12" ht="14.25" customHeight="1" outlineLevel="1">
      <c r="A4" s="66">
        <v>1</v>
      </c>
      <c r="B4" s="5" t="s">
        <v>31</v>
      </c>
      <c r="C4" s="6" t="s">
        <v>33</v>
      </c>
      <c r="D4" s="6" t="s">
        <v>121</v>
      </c>
      <c r="E4" s="5"/>
      <c r="F4" s="81"/>
      <c r="G4" s="5"/>
      <c r="H4" s="5"/>
      <c r="I4" s="5"/>
      <c r="J4" s="5"/>
      <c r="K4" s="5"/>
      <c r="L4" s="5"/>
    </row>
    <row r="5" spans="1:12" ht="14.25" hidden="1" outlineLevel="2">
      <c r="A5" s="67">
        <v>1</v>
      </c>
      <c r="B5" s="7"/>
      <c r="C5" s="7"/>
      <c r="D5" s="7" t="s">
        <v>98</v>
      </c>
      <c r="E5" s="7" t="s">
        <v>132</v>
      </c>
      <c r="F5" s="9">
        <v>14</v>
      </c>
      <c r="G5" s="168" t="s">
        <v>1238</v>
      </c>
      <c r="H5" s="7"/>
      <c r="I5" s="7"/>
      <c r="J5" s="7"/>
      <c r="K5" s="7"/>
      <c r="L5" s="7"/>
    </row>
    <row r="6" spans="1:12" ht="14.25" hidden="1" outlineLevel="2">
      <c r="A6" s="67">
        <v>1</v>
      </c>
      <c r="B6" s="7"/>
      <c r="C6" s="7"/>
      <c r="D6" s="7" t="s">
        <v>35</v>
      </c>
      <c r="E6" s="7" t="s">
        <v>93</v>
      </c>
      <c r="F6" s="9" t="s">
        <v>373</v>
      </c>
      <c r="G6" s="7"/>
      <c r="H6" s="7"/>
      <c r="I6" s="7"/>
      <c r="J6" s="7"/>
      <c r="K6" s="7"/>
      <c r="L6" s="7"/>
    </row>
    <row r="7" spans="1:12" ht="14.25" hidden="1" outlineLevel="2">
      <c r="A7" s="67">
        <v>1</v>
      </c>
      <c r="B7" s="7"/>
      <c r="C7" s="7"/>
      <c r="D7" s="7" t="s">
        <v>122</v>
      </c>
      <c r="E7" s="7"/>
      <c r="F7" s="7"/>
      <c r="G7" s="7"/>
      <c r="H7" s="7"/>
      <c r="I7" s="7"/>
      <c r="J7" s="7"/>
      <c r="K7" s="7"/>
      <c r="L7" s="7"/>
    </row>
    <row r="8" spans="1:12" ht="14.25" hidden="1" outlineLevel="2">
      <c r="A8" s="67">
        <v>1</v>
      </c>
      <c r="B8" s="7"/>
      <c r="C8" s="7"/>
      <c r="D8" s="7"/>
      <c r="E8" s="7" t="e">
        <f>AutoCutMode</f>
        <v>#NAME?</v>
      </c>
      <c r="F8" s="9">
        <v>0</v>
      </c>
      <c r="G8" s="7"/>
      <c r="H8" s="7"/>
      <c r="I8" s="7"/>
      <c r="J8" s="7"/>
      <c r="K8" s="7"/>
      <c r="L8" s="7"/>
    </row>
    <row r="9" spans="1:12" ht="14.25" hidden="1" outlineLevel="2">
      <c r="A9" s="68">
        <v>1</v>
      </c>
      <c r="B9" s="10"/>
      <c r="C9" s="10"/>
      <c r="D9" s="10"/>
      <c r="E9" s="99" t="e">
        <f>User_Profile</f>
        <v>#NAME?</v>
      </c>
      <c r="F9" s="82">
        <v>0</v>
      </c>
      <c r="G9" s="10"/>
      <c r="H9" s="10"/>
      <c r="I9" s="10"/>
      <c r="J9" s="14"/>
      <c r="K9" s="10"/>
      <c r="L9" s="10"/>
    </row>
    <row r="10" spans="1:12" ht="14.25" hidden="1" outlineLevel="2">
      <c r="A10" s="67">
        <v>1</v>
      </c>
      <c r="B10" s="7"/>
      <c r="C10" s="7"/>
      <c r="D10" s="28" t="s">
        <v>772</v>
      </c>
      <c r="E10" s="28" t="s">
        <v>1239</v>
      </c>
      <c r="F10" s="9">
        <v>2000</v>
      </c>
      <c r="G10" s="28" t="s">
        <v>773</v>
      </c>
      <c r="H10" s="7"/>
      <c r="I10" s="7"/>
      <c r="J10" s="7"/>
      <c r="K10" s="7"/>
      <c r="L10" s="7"/>
    </row>
    <row r="11" spans="1:12" ht="14.25" hidden="1" outlineLevel="2">
      <c r="A11" s="67">
        <v>1</v>
      </c>
      <c r="B11" s="7"/>
      <c r="C11" s="7"/>
      <c r="D11" s="7"/>
      <c r="E11" s="7" t="s">
        <v>99</v>
      </c>
      <c r="F11" s="9">
        <v>1</v>
      </c>
      <c r="G11" s="7"/>
      <c r="H11" s="7"/>
      <c r="I11" s="7"/>
      <c r="J11" s="7"/>
      <c r="K11" s="7"/>
      <c r="L11" s="7"/>
    </row>
    <row r="12" spans="1:12" ht="14.25" hidden="1" outlineLevel="2">
      <c r="A12" s="67">
        <v>1</v>
      </c>
      <c r="B12" s="7"/>
      <c r="C12" s="7"/>
      <c r="D12" s="7"/>
      <c r="E12" s="7" t="s">
        <v>100</v>
      </c>
      <c r="F12" s="9">
        <v>6000</v>
      </c>
      <c r="G12" s="7"/>
      <c r="H12" s="7"/>
      <c r="I12" s="7"/>
      <c r="J12" s="7"/>
      <c r="K12" s="7"/>
      <c r="L12" s="7"/>
    </row>
    <row r="13" spans="1:12" ht="14.25" hidden="1" outlineLevel="2">
      <c r="A13" s="67">
        <v>1</v>
      </c>
      <c r="B13" s="7"/>
      <c r="C13" s="7"/>
      <c r="D13" s="7"/>
      <c r="E13" s="7" t="str">
        <f>EV_Ready</f>
        <v>VCU_EvDrvRdySta</v>
      </c>
      <c r="F13" s="9">
        <v>1</v>
      </c>
      <c r="G13" s="7"/>
      <c r="H13" s="7"/>
      <c r="I13" s="7"/>
      <c r="J13" s="7"/>
      <c r="K13" s="7"/>
      <c r="L13" s="7"/>
    </row>
    <row r="14" spans="1:12" ht="14.25" hidden="1" outlineLevel="2">
      <c r="A14" s="67">
        <v>1</v>
      </c>
      <c r="B14" s="7"/>
      <c r="C14" s="7"/>
      <c r="D14" s="28" t="s">
        <v>1240</v>
      </c>
      <c r="E14" s="7" t="s">
        <v>106</v>
      </c>
      <c r="F14" s="9">
        <v>35</v>
      </c>
      <c r="G14" s="28"/>
      <c r="H14" s="7"/>
      <c r="I14" s="7"/>
      <c r="J14" s="7"/>
      <c r="K14" s="7"/>
      <c r="L14" s="7"/>
    </row>
    <row r="15" spans="1:12" ht="14.25" hidden="1" outlineLevel="2">
      <c r="A15" s="67">
        <v>1</v>
      </c>
      <c r="B15" s="7"/>
      <c r="C15" s="7"/>
      <c r="D15" s="28" t="s">
        <v>1241</v>
      </c>
      <c r="E15" s="28" t="s">
        <v>136</v>
      </c>
      <c r="F15" s="9">
        <v>35</v>
      </c>
      <c r="G15" s="7"/>
      <c r="H15" s="7"/>
      <c r="I15" s="7"/>
      <c r="J15" s="7"/>
      <c r="K15" s="7"/>
      <c r="L15" s="7"/>
    </row>
    <row r="16" spans="1:12" ht="14.25" hidden="1" outlineLevel="2">
      <c r="A16" s="67">
        <v>1</v>
      </c>
      <c r="B16" s="7"/>
      <c r="C16" s="7"/>
      <c r="D16" s="28"/>
      <c r="E16" s="28" t="s">
        <v>137</v>
      </c>
      <c r="F16" s="9">
        <v>35</v>
      </c>
      <c r="G16" s="7"/>
      <c r="H16" s="7"/>
      <c r="I16" s="7"/>
      <c r="J16" s="7"/>
      <c r="K16" s="7"/>
      <c r="L16" s="7"/>
    </row>
    <row r="17" spans="1:12" ht="14.25" hidden="1" outlineLevel="2">
      <c r="A17" s="67">
        <v>1</v>
      </c>
      <c r="B17" s="7"/>
      <c r="C17" s="7"/>
      <c r="D17" s="28"/>
      <c r="E17" s="28" t="s">
        <v>134</v>
      </c>
      <c r="F17" s="9">
        <v>35</v>
      </c>
      <c r="G17" s="7"/>
      <c r="H17" s="7"/>
      <c r="I17" s="7"/>
      <c r="J17" s="7"/>
      <c r="K17" s="7"/>
      <c r="L17" s="7"/>
    </row>
    <row r="18" spans="1:12" ht="14.25" hidden="1" outlineLevel="2">
      <c r="A18" s="67">
        <v>1</v>
      </c>
      <c r="B18" s="7"/>
      <c r="C18" s="7"/>
      <c r="D18" s="28"/>
      <c r="E18" s="28" t="s">
        <v>135</v>
      </c>
      <c r="F18" s="9">
        <v>35</v>
      </c>
      <c r="G18" s="7"/>
      <c r="H18" s="7"/>
      <c r="I18" s="7"/>
      <c r="J18" s="7"/>
      <c r="K18" s="7"/>
      <c r="L18" s="7"/>
    </row>
    <row r="19" spans="1:12" ht="14.25" hidden="1" outlineLevel="2">
      <c r="A19" s="67">
        <v>1</v>
      </c>
      <c r="B19" s="7"/>
      <c r="C19" s="7"/>
      <c r="D19" s="28" t="s">
        <v>1242</v>
      </c>
      <c r="E19" s="7" t="s">
        <v>107</v>
      </c>
      <c r="F19" s="9">
        <f>VLOOKUP(C4,Tbl_Button_Display_ASSTS,5,FALSE)</f>
        <v>80.25</v>
      </c>
      <c r="G19" s="28"/>
      <c r="H19" s="7"/>
      <c r="I19" s="7"/>
      <c r="J19" s="7"/>
      <c r="K19" s="7"/>
      <c r="L19" s="7"/>
    </row>
    <row r="20" spans="1:12" ht="14.25" hidden="1" outlineLevel="2">
      <c r="A20" s="67">
        <v>1</v>
      </c>
      <c r="B20" s="7"/>
      <c r="C20" s="7"/>
      <c r="D20" s="28" t="s">
        <v>124</v>
      </c>
      <c r="E20" s="28" t="s">
        <v>125</v>
      </c>
      <c r="F20" s="9">
        <v>1</v>
      </c>
      <c r="G20" s="28" t="s">
        <v>1243</v>
      </c>
      <c r="H20" s="7"/>
      <c r="I20" s="7"/>
      <c r="J20" s="7"/>
      <c r="K20" s="7"/>
      <c r="L20" s="7"/>
    </row>
    <row r="21" spans="1:12" ht="14.25" hidden="1" outlineLevel="2">
      <c r="A21" s="67">
        <v>1</v>
      </c>
      <c r="B21" s="7"/>
      <c r="C21" s="7"/>
      <c r="D21" s="7" t="s">
        <v>123</v>
      </c>
      <c r="E21" s="7"/>
      <c r="F21" s="7"/>
      <c r="G21" s="7"/>
      <c r="H21" s="7"/>
      <c r="I21" s="7"/>
      <c r="J21" s="7"/>
      <c r="K21" s="7"/>
      <c r="L21" s="7"/>
    </row>
    <row r="22" spans="1:12" ht="14.25" hidden="1" outlineLevel="2">
      <c r="A22" s="67">
        <v>1</v>
      </c>
      <c r="B22" s="7"/>
      <c r="C22" s="7"/>
      <c r="D22" s="28" t="s">
        <v>124</v>
      </c>
      <c r="E22" s="28" t="s">
        <v>133</v>
      </c>
      <c r="F22" s="9">
        <v>4</v>
      </c>
      <c r="G22" s="28"/>
      <c r="H22" s="7"/>
      <c r="I22" s="7"/>
      <c r="J22" s="7"/>
      <c r="K22" s="7"/>
      <c r="L22" s="7"/>
    </row>
    <row r="23" spans="1:12" ht="14.25" hidden="1" outlineLevel="2">
      <c r="A23" s="67">
        <v>1</v>
      </c>
      <c r="B23" s="7"/>
      <c r="C23" s="7"/>
      <c r="D23" s="7"/>
      <c r="E23" s="7" t="s">
        <v>103</v>
      </c>
      <c r="F23" s="9">
        <v>5000</v>
      </c>
      <c r="G23" s="7"/>
      <c r="H23" s="7"/>
      <c r="I23" s="7"/>
      <c r="J23" s="7"/>
      <c r="K23" s="7"/>
      <c r="L23" s="7"/>
    </row>
    <row r="24" spans="1:12" ht="14.25" hidden="1" outlineLevel="2">
      <c r="A24" s="67">
        <v>1</v>
      </c>
      <c r="B24" s="7"/>
      <c r="C24" s="7"/>
      <c r="D24" s="7"/>
      <c r="E24" s="7" t="s">
        <v>101</v>
      </c>
      <c r="F24" s="9">
        <v>2000</v>
      </c>
      <c r="G24" s="7"/>
      <c r="H24" s="7"/>
      <c r="I24" s="7"/>
      <c r="J24" s="7"/>
      <c r="K24" s="7"/>
      <c r="L24" s="7"/>
    </row>
    <row r="25" spans="1:12" ht="14.25" hidden="1" outlineLevel="2">
      <c r="A25" s="67">
        <v>1</v>
      </c>
      <c r="B25" s="7"/>
      <c r="C25" s="7"/>
      <c r="D25" s="7"/>
      <c r="E25" s="7" t="s">
        <v>102</v>
      </c>
      <c r="F25" s="9">
        <v>1</v>
      </c>
      <c r="G25" s="7"/>
      <c r="H25" s="7"/>
      <c r="I25" s="7"/>
      <c r="J25" s="7"/>
      <c r="K25" s="7"/>
      <c r="L25" s="7"/>
    </row>
    <row r="26" spans="1:12" ht="14.25" hidden="1" outlineLevel="2">
      <c r="A26" s="67">
        <v>1</v>
      </c>
      <c r="B26" s="7"/>
      <c r="C26" s="7"/>
      <c r="D26" s="7"/>
      <c r="E26" s="7" t="s">
        <v>103</v>
      </c>
      <c r="F26" s="9">
        <v>5000</v>
      </c>
      <c r="G26" s="7"/>
      <c r="H26" s="7"/>
      <c r="I26" s="7"/>
      <c r="J26" s="7"/>
      <c r="K26" s="7"/>
      <c r="L26" s="7"/>
    </row>
    <row r="27" spans="1:12" ht="14.25" hidden="1" outlineLevel="2">
      <c r="A27" s="68">
        <v>1</v>
      </c>
      <c r="B27" s="10"/>
      <c r="C27" s="10"/>
      <c r="D27" s="10"/>
      <c r="E27" s="28" t="str">
        <f>BatChllrTgtRpm</f>
        <v>VCU_BatChllrTgtRpm</v>
      </c>
      <c r="F27" s="9">
        <v>0</v>
      </c>
      <c r="G27" s="10"/>
      <c r="H27" s="10"/>
      <c r="I27" s="10"/>
      <c r="J27" s="14"/>
      <c r="K27" s="10"/>
      <c r="L27" s="10"/>
    </row>
    <row r="28" spans="1:12" ht="14.25" hidden="1" outlineLevel="2">
      <c r="A28" s="68">
        <v>1</v>
      </c>
      <c r="B28" s="10"/>
      <c r="C28" s="10"/>
      <c r="D28" s="10"/>
      <c r="E28" s="28" t="str">
        <f>BatEwpFltSta</f>
        <v>VCU_BatEwpFltSta</v>
      </c>
      <c r="F28" s="9">
        <v>0</v>
      </c>
      <c r="G28" s="10"/>
      <c r="H28" s="10"/>
      <c r="I28" s="10"/>
      <c r="J28" s="14"/>
      <c r="K28" s="10"/>
      <c r="L28" s="10"/>
    </row>
    <row r="29" spans="1:12" ht="14.25" hidden="1" outlineLevel="2">
      <c r="A29" s="68">
        <v>1</v>
      </c>
      <c r="B29" s="10"/>
      <c r="C29" s="10"/>
      <c r="D29" s="10"/>
      <c r="E29" s="28" t="str">
        <f>LtrEwpFltSt</f>
        <v>VCU_LtrEwpFltSt</v>
      </c>
      <c r="F29" s="9">
        <v>0</v>
      </c>
      <c r="G29" s="10"/>
      <c r="H29" s="10"/>
      <c r="I29" s="10"/>
      <c r="J29" s="14"/>
      <c r="K29" s="10"/>
      <c r="L29" s="10"/>
    </row>
    <row r="30" spans="1:12" ht="14.25" hidden="1" outlineLevel="2">
      <c r="A30" s="68">
        <v>1</v>
      </c>
      <c r="B30" s="10"/>
      <c r="C30" s="10"/>
      <c r="D30" s="10"/>
      <c r="E30" s="28" t="str">
        <f>PtcOprPrm</f>
        <v>CF_Fcu_PtcOprPrm</v>
      </c>
      <c r="F30" s="9">
        <v>1</v>
      </c>
      <c r="G30" s="10"/>
      <c r="H30" s="10"/>
      <c r="I30" s="10"/>
      <c r="J30" s="14"/>
      <c r="K30" s="10"/>
      <c r="L30" s="10"/>
    </row>
    <row r="31" spans="1:12" ht="14.25" hidden="1" outlineLevel="2">
      <c r="A31" s="68">
        <v>1</v>
      </c>
      <c r="B31" s="10"/>
      <c r="C31" s="10"/>
      <c r="D31" s="10"/>
      <c r="E31" s="28" t="str">
        <f>PtcPrmPwr_W</f>
        <v>CR_Fcu_PtcPrmPwr_W</v>
      </c>
      <c r="F31" s="9">
        <v>510</v>
      </c>
      <c r="G31" s="10"/>
      <c r="H31" s="10"/>
      <c r="I31" s="10"/>
      <c r="J31" s="14"/>
      <c r="K31" s="10"/>
      <c r="L31" s="10"/>
    </row>
    <row r="32" spans="1:12" ht="14.25" hidden="1" outlineLevel="2">
      <c r="A32" s="68">
        <v>1</v>
      </c>
      <c r="B32" s="10"/>
      <c r="C32" s="10"/>
      <c r="D32" s="10"/>
      <c r="E32" s="28" t="str">
        <f>HVPP_CstPwrDr_W</f>
        <v>HVPP_CstPwrDr_W</v>
      </c>
      <c r="F32" s="9">
        <v>250</v>
      </c>
      <c r="G32" s="10"/>
      <c r="H32" s="10"/>
      <c r="I32" s="10"/>
      <c r="J32" s="14"/>
      <c r="K32" s="10"/>
      <c r="L32" s="10"/>
    </row>
    <row r="33" spans="1:12" ht="14.25" hidden="1" outlineLevel="2">
      <c r="A33" s="68">
        <v>1</v>
      </c>
      <c r="B33" s="10"/>
      <c r="C33" s="10"/>
      <c r="D33" s="10"/>
      <c r="E33" s="28" t="str">
        <f>HVPP_CstPwrPs_W</f>
        <v>HVPP_CstPwrPs_W</v>
      </c>
      <c r="F33" s="9">
        <v>250</v>
      </c>
      <c r="G33" s="10"/>
      <c r="H33" s="10"/>
      <c r="I33" s="10"/>
      <c r="J33" s="14"/>
      <c r="K33" s="10"/>
      <c r="L33" s="10"/>
    </row>
    <row r="34" spans="1:12" ht="14.25" hidden="1" outlineLevel="2">
      <c r="A34" s="67">
        <v>1</v>
      </c>
      <c r="B34" s="7"/>
      <c r="C34" s="7"/>
      <c r="D34" s="7" t="s">
        <v>36</v>
      </c>
      <c r="E34" s="7"/>
      <c r="F34" s="7"/>
      <c r="G34" s="7"/>
      <c r="H34" s="7"/>
      <c r="I34" s="7"/>
      <c r="J34" s="7"/>
      <c r="K34" s="7"/>
      <c r="L34" s="7"/>
    </row>
    <row r="35" spans="1:12" ht="14.25" hidden="1" outlineLevel="2">
      <c r="A35" s="67">
        <v>1</v>
      </c>
      <c r="B35" s="7"/>
      <c r="C35" s="7"/>
      <c r="D35" s="7"/>
      <c r="E35" s="8" t="e">
        <f>Incar_IN</f>
        <v>#NAME?</v>
      </c>
      <c r="F35" s="63">
        <f>VINTERPOLATION(VLOOKUP(C4,Tbl_Button_Display_ASSTS,2,FALSE),Tbl_Incar_Sensor,3)</f>
        <v>3.3272756433630186</v>
      </c>
      <c r="G35" s="7"/>
      <c r="H35" s="7"/>
      <c r="I35" s="7"/>
      <c r="J35" s="7"/>
      <c r="K35" s="7"/>
      <c r="L35" s="7"/>
    </row>
    <row r="36" spans="1:12" ht="14.25" hidden="1" outlineLevel="2">
      <c r="A36" s="67">
        <v>1</v>
      </c>
      <c r="B36" s="7"/>
      <c r="C36" s="7"/>
      <c r="D36" s="7"/>
      <c r="E36" s="8" t="e">
        <f>Amb_IN</f>
        <v>#NAME?</v>
      </c>
      <c r="F36" s="63">
        <f>VINTERPOLATION(VLOOKUP(C4,Tbl_Button_Display_ASSTS,3,FALSE),Tbl_Amb_Sensor,3)</f>
        <v>3.0441755548022011</v>
      </c>
      <c r="G36" s="28" t="s">
        <v>1244</v>
      </c>
      <c r="H36" s="7"/>
      <c r="I36" s="7"/>
      <c r="J36" s="7"/>
      <c r="K36" s="7"/>
      <c r="L36" s="7"/>
    </row>
    <row r="37" spans="1:12" ht="14.25" hidden="1" outlineLevel="2">
      <c r="A37" s="67">
        <v>1</v>
      </c>
      <c r="B37" s="7"/>
      <c r="C37" s="7"/>
      <c r="D37" s="28" t="s">
        <v>1245</v>
      </c>
      <c r="E37" s="8" t="e">
        <f>EvaDr_IN</f>
        <v>#NAME?</v>
      </c>
      <c r="F37" s="63">
        <f>VINTERPOLATION(VLOOKUP(C4,Tbl_Button_Display_ASSTS,4,FALSE),Tbl_Eva_Sensor,3)</f>
        <v>1.8795506552943622</v>
      </c>
      <c r="G37" s="7"/>
      <c r="H37" s="7"/>
      <c r="I37" s="7"/>
      <c r="J37" s="7"/>
      <c r="K37" s="7"/>
      <c r="L37" s="7"/>
    </row>
    <row r="38" spans="1:12" ht="14.25" hidden="1" outlineLevel="2">
      <c r="A38" s="67">
        <v>1</v>
      </c>
      <c r="B38" s="7"/>
      <c r="C38" s="7"/>
      <c r="D38" s="7"/>
      <c r="E38" s="8" t="e">
        <f>CionDiag_V</f>
        <v>#NAME?</v>
      </c>
      <c r="F38" s="9">
        <v>2.7</v>
      </c>
      <c r="G38" s="7"/>
      <c r="H38" s="7"/>
      <c r="I38" s="7"/>
      <c r="J38" s="7"/>
      <c r="K38" s="7"/>
      <c r="L38" s="7"/>
    </row>
    <row r="39" spans="1:12" ht="14.25" hidden="1" outlineLevel="2">
      <c r="A39" s="67">
        <v>1</v>
      </c>
      <c r="B39" s="7"/>
      <c r="C39" s="7"/>
      <c r="D39" s="28" t="s">
        <v>1246</v>
      </c>
      <c r="E39" s="29" t="e">
        <f>Duct_ALL_V</f>
        <v>#NAME?</v>
      </c>
      <c r="F39" s="227">
        <f>VINTERPOLATION(VLOOKUP(C4,Tbl_Button_Display_ASSTS,9,FALSE),Tbl_Duct_Sensor,3)</f>
        <v>0.74548935050593534</v>
      </c>
      <c r="G39" s="7"/>
      <c r="H39" s="7"/>
      <c r="I39" s="7"/>
      <c r="J39" s="7"/>
      <c r="K39" s="7"/>
      <c r="L39" s="7"/>
    </row>
    <row r="40" spans="1:12" ht="14.25" hidden="1" outlineLevel="2">
      <c r="A40" s="67">
        <v>1</v>
      </c>
      <c r="B40" s="7"/>
      <c r="C40" s="7"/>
      <c r="D40" s="7"/>
      <c r="E40" s="8" t="e">
        <f>Photo_L_V</f>
        <v>#NAME?</v>
      </c>
      <c r="F40" s="9">
        <v>0</v>
      </c>
      <c r="G40" s="7"/>
      <c r="H40" s="7"/>
      <c r="I40" s="7"/>
      <c r="J40" s="7"/>
      <c r="K40" s="7"/>
      <c r="L40" s="7"/>
    </row>
    <row r="41" spans="1:12" ht="14.25" hidden="1" outlineLevel="2">
      <c r="A41" s="67">
        <v>1</v>
      </c>
      <c r="B41" s="7"/>
      <c r="C41" s="7"/>
      <c r="D41" s="7"/>
      <c r="E41" s="8" t="e">
        <f>Photo_R_V</f>
        <v>#NAME?</v>
      </c>
      <c r="F41" s="9">
        <v>0</v>
      </c>
      <c r="G41" s="7"/>
      <c r="H41" s="7"/>
      <c r="I41" s="7"/>
      <c r="J41" s="7"/>
      <c r="K41" s="7"/>
      <c r="L41" s="7"/>
    </row>
    <row r="42" spans="1:12" ht="14.25" hidden="1" outlineLevel="2">
      <c r="A42" s="67">
        <v>1</v>
      </c>
      <c r="B42" s="7"/>
      <c r="C42" s="7"/>
      <c r="D42" s="10"/>
      <c r="E42" s="13" t="e">
        <f>T_windshield</f>
        <v>#NAME?</v>
      </c>
      <c r="F42" s="11">
        <v>30</v>
      </c>
      <c r="G42" s="28" t="s">
        <v>344</v>
      </c>
      <c r="H42" s="7"/>
      <c r="I42" s="7"/>
      <c r="J42" s="7"/>
      <c r="K42" s="7"/>
      <c r="L42" s="7"/>
    </row>
    <row r="43" spans="1:12" ht="14.25" hidden="1" outlineLevel="2">
      <c r="A43" s="67">
        <v>1</v>
      </c>
      <c r="B43" s="7"/>
      <c r="C43" s="7"/>
      <c r="D43" s="28" t="s">
        <v>1247</v>
      </c>
      <c r="E43" s="28" t="s">
        <v>126</v>
      </c>
      <c r="F43" s="9">
        <v>35</v>
      </c>
      <c r="G43" s="28"/>
      <c r="H43" s="7"/>
      <c r="I43" s="7"/>
      <c r="J43" s="7"/>
      <c r="K43" s="7"/>
      <c r="L43" s="7"/>
    </row>
    <row r="44" spans="1:12" ht="14.25" hidden="1" outlineLevel="1">
      <c r="A44" s="67">
        <v>1</v>
      </c>
      <c r="B44" s="7"/>
      <c r="C44" s="7"/>
      <c r="D44" s="28" t="s">
        <v>1247</v>
      </c>
      <c r="E44" s="28" t="s">
        <v>105</v>
      </c>
      <c r="F44" s="9">
        <v>35</v>
      </c>
      <c r="G44" s="7"/>
      <c r="H44" s="7"/>
      <c r="I44" s="7"/>
      <c r="J44" s="7"/>
      <c r="K44" s="7"/>
      <c r="L44" s="7"/>
    </row>
    <row r="45" spans="1:12" ht="14.25" hidden="1" outlineLevel="2">
      <c r="A45" s="67">
        <v>1</v>
      </c>
      <c r="B45" s="7"/>
      <c r="C45" s="7"/>
      <c r="D45" s="28" t="s">
        <v>1248</v>
      </c>
      <c r="E45" s="29" t="str">
        <f>P_SIGNAL_COMP_OUT</f>
        <v>Snr_P SIGNAL_COMP OUT(PSI)_IN</v>
      </c>
      <c r="F45" s="9">
        <v>80</v>
      </c>
      <c r="G45" s="28" t="s">
        <v>1249</v>
      </c>
      <c r="H45" s="7"/>
      <c r="I45" s="7"/>
      <c r="J45" s="7"/>
      <c r="K45" s="7"/>
      <c r="L45" s="7"/>
    </row>
    <row r="46" spans="1:12" ht="14.25" hidden="1" outlineLevel="2">
      <c r="A46" s="67">
        <v>1</v>
      </c>
      <c r="B46" s="7"/>
      <c r="C46" s="7"/>
      <c r="D46" s="28"/>
      <c r="E46" s="29" t="str">
        <f>T_SIGNAL_COMP_OUT</f>
        <v>Snr_T SIGNAL_COMP OUT(degC)_IN</v>
      </c>
      <c r="F46" s="9">
        <v>40</v>
      </c>
      <c r="G46" s="28" t="s">
        <v>1250</v>
      </c>
      <c r="H46" s="7"/>
      <c r="I46" s="7"/>
      <c r="J46" s="7"/>
      <c r="K46" s="7"/>
      <c r="L46" s="7"/>
    </row>
    <row r="47" spans="1:12" ht="14.25" hidden="1" outlineLevel="2">
      <c r="A47" s="68">
        <v>1</v>
      </c>
      <c r="B47" s="10"/>
      <c r="C47" s="10"/>
      <c r="D47" s="28"/>
      <c r="E47" s="29" t="str">
        <f>P_SIGNAL_BCHILLER</f>
        <v>Snr_P SIGNAL_B/CHILLER(PSI)_IN</v>
      </c>
      <c r="F47" s="9">
        <v>40</v>
      </c>
      <c r="G47" s="7"/>
      <c r="H47" s="10"/>
      <c r="I47" s="10"/>
      <c r="J47" s="14"/>
      <c r="K47" s="10"/>
      <c r="L47" s="10"/>
    </row>
    <row r="48" spans="1:12" ht="14.25" hidden="1" outlineLevel="2">
      <c r="A48" s="67">
        <v>1</v>
      </c>
      <c r="B48" s="7"/>
      <c r="C48" s="7"/>
      <c r="D48" s="28"/>
      <c r="E48" s="29" t="str">
        <f>T_SIGNAL_BCHILLER</f>
        <v>Snr_T SIGNAL_B/CHILLER(degC)_IN</v>
      </c>
      <c r="F48" s="9">
        <v>40</v>
      </c>
      <c r="G48" s="7"/>
      <c r="H48" s="7"/>
      <c r="I48" s="7"/>
      <c r="J48" s="7"/>
      <c r="K48" s="7"/>
      <c r="L48" s="7"/>
    </row>
    <row r="49" spans="1:12" ht="15" customHeight="1" outlineLevel="2">
      <c r="A49" s="66">
        <v>1</v>
      </c>
      <c r="B49" s="5" t="s">
        <v>31</v>
      </c>
      <c r="C49" s="6" t="s">
        <v>34</v>
      </c>
      <c r="D49" s="6" t="s">
        <v>1251</v>
      </c>
      <c r="E49" s="5"/>
      <c r="F49" s="5"/>
      <c r="G49" s="5"/>
      <c r="H49" s="5"/>
      <c r="I49" s="5"/>
      <c r="J49" s="5"/>
      <c r="K49" s="5"/>
      <c r="L49" s="5"/>
    </row>
    <row r="50" spans="1:12" ht="14.25" hidden="1" outlineLevel="1">
      <c r="A50" s="68">
        <v>1</v>
      </c>
      <c r="B50" s="10"/>
      <c r="C50" s="10"/>
      <c r="D50" s="10" t="s">
        <v>384</v>
      </c>
      <c r="E50" s="10"/>
      <c r="F50" s="10"/>
      <c r="G50" s="10" t="s">
        <v>385</v>
      </c>
      <c r="H50" s="10"/>
      <c r="I50" s="7"/>
      <c r="J50" s="85"/>
      <c r="K50" s="10"/>
      <c r="L50" s="10"/>
    </row>
    <row r="51" spans="1:12" ht="14.25" hidden="1" outlineLevel="2">
      <c r="A51" s="68">
        <v>1</v>
      </c>
      <c r="B51" s="10"/>
      <c r="C51" s="10"/>
      <c r="D51" s="10" t="s">
        <v>384</v>
      </c>
      <c r="E51" s="10"/>
      <c r="F51" s="10"/>
      <c r="G51" s="10" t="s">
        <v>386</v>
      </c>
      <c r="H51" s="10"/>
      <c r="I51" s="7"/>
      <c r="J51" s="85"/>
      <c r="K51" s="10"/>
      <c r="L51" s="10"/>
    </row>
    <row r="52" spans="1:12" ht="14.25" hidden="1" outlineLevel="2">
      <c r="A52" s="68">
        <v>1</v>
      </c>
      <c r="B52" s="10"/>
      <c r="C52" s="10"/>
      <c r="D52" s="10" t="s">
        <v>384</v>
      </c>
      <c r="E52" s="10"/>
      <c r="F52" s="10"/>
      <c r="G52" s="10" t="s">
        <v>387</v>
      </c>
      <c r="H52" s="10"/>
      <c r="I52" s="7"/>
      <c r="J52" s="85"/>
      <c r="K52" s="10"/>
      <c r="L52" s="10"/>
    </row>
    <row r="53" spans="1:12" ht="14.25" hidden="1" outlineLevel="2">
      <c r="A53" s="68">
        <v>1</v>
      </c>
      <c r="B53" s="10"/>
      <c r="C53" s="10"/>
      <c r="D53" s="10" t="s">
        <v>384</v>
      </c>
      <c r="E53" s="10"/>
      <c r="F53" s="10"/>
      <c r="G53" s="10" t="s">
        <v>388</v>
      </c>
      <c r="H53" s="10"/>
      <c r="I53" s="7"/>
      <c r="J53" s="85"/>
      <c r="K53" s="10"/>
      <c r="L53" s="10"/>
    </row>
    <row r="54" spans="1:12" ht="14.25" hidden="1" outlineLevel="2">
      <c r="A54" s="68">
        <v>1</v>
      </c>
      <c r="B54" s="10"/>
      <c r="C54" s="10"/>
      <c r="D54" s="10" t="s">
        <v>384</v>
      </c>
      <c r="E54" s="10"/>
      <c r="F54" s="10"/>
      <c r="G54" s="10" t="s">
        <v>389</v>
      </c>
      <c r="H54" s="10"/>
      <c r="I54" s="7"/>
      <c r="J54" s="85"/>
      <c r="K54" s="10"/>
      <c r="L54" s="10"/>
    </row>
    <row r="55" spans="1:12" ht="14.25" customHeight="1" outlineLevel="1">
      <c r="A55" s="66">
        <v>1</v>
      </c>
      <c r="B55" s="5" t="s">
        <v>31</v>
      </c>
      <c r="C55" s="6" t="s">
        <v>37</v>
      </c>
      <c r="D55" s="6" t="s">
        <v>164</v>
      </c>
      <c r="E55" s="5"/>
      <c r="F55" s="81"/>
      <c r="G55" s="5"/>
      <c r="H55" s="5"/>
      <c r="I55" s="5"/>
      <c r="J55" s="5"/>
      <c r="K55" s="5"/>
      <c r="L55" s="5"/>
    </row>
    <row r="56" spans="1:12" ht="14.25" hidden="1" outlineLevel="2">
      <c r="A56" s="68">
        <v>1</v>
      </c>
      <c r="B56" s="10"/>
      <c r="C56" s="10"/>
      <c r="D56" s="10"/>
      <c r="E56" s="10" t="s">
        <v>130</v>
      </c>
      <c r="F56" s="82" t="s">
        <v>131</v>
      </c>
      <c r="G56" s="10"/>
      <c r="H56" s="10"/>
      <c r="I56" s="30"/>
      <c r="J56" s="30"/>
      <c r="K56" s="10"/>
      <c r="L56" s="10"/>
    </row>
    <row r="57" spans="1:12" ht="14.25" hidden="1" outlineLevel="2">
      <c r="A57" s="68">
        <v>1</v>
      </c>
      <c r="B57" s="10"/>
      <c r="C57" s="10"/>
      <c r="D57" s="10"/>
      <c r="E57" s="10"/>
      <c r="F57" s="83"/>
      <c r="G57" s="10" t="s">
        <v>127</v>
      </c>
      <c r="H57" s="10"/>
      <c r="I57" s="31" t="s">
        <v>129</v>
      </c>
      <c r="J57" s="10"/>
      <c r="K57" s="10"/>
      <c r="L57" s="10"/>
    </row>
    <row r="58" spans="1:12" ht="14.25" hidden="1" outlineLevel="2">
      <c r="A58" s="68">
        <v>1</v>
      </c>
      <c r="B58" s="10"/>
      <c r="C58" s="10"/>
      <c r="D58" s="44" t="s">
        <v>1252</v>
      </c>
      <c r="E58" s="10" t="s">
        <v>89</v>
      </c>
      <c r="F58" s="9" t="e">
        <f>CONCATENATE("자가진단 진입 : ",SelfDiagCode)</f>
        <v>#NAME?</v>
      </c>
      <c r="G58" s="10"/>
      <c r="H58" s="10"/>
      <c r="I58" s="10"/>
      <c r="J58" s="30"/>
      <c r="K58" s="10"/>
      <c r="L58" s="10"/>
    </row>
    <row r="59" spans="1:12" ht="14.25" hidden="1" collapsed="1">
      <c r="A59" s="68">
        <v>1</v>
      </c>
      <c r="B59" s="10"/>
      <c r="C59" s="10"/>
      <c r="D59" s="10"/>
      <c r="E59" s="10"/>
      <c r="F59" s="83"/>
      <c r="G59" s="10" t="s">
        <v>128</v>
      </c>
      <c r="H59" s="10"/>
      <c r="I59" s="12">
        <v>0</v>
      </c>
      <c r="J59" s="30"/>
      <c r="K59" s="10"/>
      <c r="L59" s="10"/>
    </row>
    <row r="60" spans="1:12" ht="14.25" customHeight="1" outlineLevel="1">
      <c r="A60" s="66">
        <v>1</v>
      </c>
      <c r="B60" s="5" t="s">
        <v>31</v>
      </c>
      <c r="C60" s="6" t="s">
        <v>97</v>
      </c>
      <c r="D60" s="6" t="s">
        <v>112</v>
      </c>
      <c r="E60" s="5"/>
      <c r="F60" s="81"/>
      <c r="G60" s="5"/>
      <c r="H60" s="5"/>
      <c r="I60" s="5"/>
      <c r="J60" s="5"/>
      <c r="K60" s="5"/>
      <c r="L60" s="5"/>
    </row>
    <row r="61" spans="1:12" ht="14.25" hidden="1" outlineLevel="2">
      <c r="A61" s="67">
        <v>1</v>
      </c>
      <c r="B61" s="7"/>
      <c r="C61" s="7"/>
      <c r="D61" s="7" t="s">
        <v>138</v>
      </c>
      <c r="E61" s="7" t="s">
        <v>93</v>
      </c>
      <c r="F61" s="82" t="s">
        <v>373</v>
      </c>
      <c r="G61" s="7"/>
      <c r="H61" s="7"/>
      <c r="I61" s="7"/>
      <c r="J61" s="7"/>
      <c r="K61" s="7"/>
      <c r="L61" s="7"/>
    </row>
    <row r="62" spans="1:12" ht="14.25" hidden="1" outlineLevel="2">
      <c r="A62" s="68">
        <v>1</v>
      </c>
      <c r="B62" s="10"/>
      <c r="C62" s="10"/>
      <c r="D62" s="10"/>
      <c r="E62" s="7" t="s">
        <v>5</v>
      </c>
      <c r="F62" s="82">
        <v>2</v>
      </c>
      <c r="G62" s="10"/>
      <c r="H62" s="10"/>
      <c r="I62" s="10"/>
      <c r="J62" s="10"/>
      <c r="K62" s="10"/>
      <c r="L62" s="10"/>
    </row>
    <row r="63" spans="1:12" ht="14.25" hidden="1" outlineLevel="2">
      <c r="A63" s="68">
        <v>1</v>
      </c>
      <c r="B63" s="10"/>
      <c r="C63" s="10"/>
      <c r="D63" s="44"/>
      <c r="E63" s="10" t="s">
        <v>89</v>
      </c>
      <c r="F63" s="84" t="s">
        <v>1253</v>
      </c>
      <c r="G63" s="41"/>
      <c r="H63" s="41"/>
      <c r="I63" s="41"/>
      <c r="J63" s="30"/>
      <c r="K63" s="10"/>
      <c r="L63" s="10"/>
    </row>
    <row r="64" spans="1:12" ht="14.25" customHeight="1" outlineLevel="2">
      <c r="A64" s="69">
        <v>1</v>
      </c>
      <c r="B64" s="37" t="s">
        <v>143</v>
      </c>
      <c r="C64" s="37" t="s">
        <v>785</v>
      </c>
      <c r="D64" s="37" t="str">
        <f>VLOOKUP(C64,Tbl_Button_Display_ASSTS, 2,FALSE)</f>
        <v>A/C 모드 or 배터리 쿨링 요청시 작동 사양 - ①, ③ 냉매압 조건에 따른 전장용 요청 EWP RPM(DATC_PeEwpRPMReq / DATC_BattEwpOpReq) 을 CAN으로 송부</v>
      </c>
      <c r="E64" s="37"/>
      <c r="F64" s="37"/>
      <c r="G64" s="37"/>
      <c r="H64" s="37"/>
      <c r="I64" s="37"/>
      <c r="J64" s="37"/>
      <c r="K64" s="37"/>
      <c r="L64" s="37"/>
    </row>
    <row r="65" spans="1:12" ht="16.5" customHeight="1" outlineLevel="2">
      <c r="A65" s="103">
        <v>1</v>
      </c>
      <c r="B65" s="104" t="s">
        <v>38</v>
      </c>
      <c r="C65" s="104" t="s">
        <v>786</v>
      </c>
      <c r="D65" s="104" t="s">
        <v>1254</v>
      </c>
      <c r="E65" s="104"/>
      <c r="F65" s="104"/>
      <c r="G65" s="104"/>
      <c r="H65" s="104"/>
      <c r="I65" s="104"/>
      <c r="J65" s="104"/>
      <c r="K65" s="104"/>
      <c r="L65" s="104"/>
    </row>
    <row r="66" spans="1:12" ht="16.5" hidden="1" outlineLevel="2">
      <c r="A66" s="68">
        <v>1</v>
      </c>
      <c r="B66" s="10"/>
      <c r="C66" s="10"/>
      <c r="D66" s="10"/>
      <c r="E66" s="99" t="str">
        <f>P_SIGNAL_COMP_OUT</f>
        <v>Snr_P SIGNAL_COMP OUT(PSI)_IN</v>
      </c>
      <c r="F66" s="105">
        <v>235</v>
      </c>
      <c r="G66" s="185"/>
      <c r="H66" s="10"/>
      <c r="I66" s="10"/>
      <c r="J66" s="10"/>
      <c r="K66" s="10"/>
      <c r="L66" s="10"/>
    </row>
    <row r="67" spans="1:12" ht="16.5" hidden="1" outlineLevel="2">
      <c r="A67" s="68">
        <v>1</v>
      </c>
      <c r="B67" s="10"/>
      <c r="C67" s="10"/>
      <c r="D67" s="10"/>
      <c r="E67" s="99" t="str">
        <f>Main_Relay_Sta</f>
        <v>xEV_MainRlyOnSta</v>
      </c>
      <c r="F67" s="105">
        <v>1</v>
      </c>
      <c r="G67" s="185"/>
      <c r="H67" s="10"/>
      <c r="I67" s="10"/>
      <c r="J67" s="10"/>
      <c r="K67" s="10"/>
      <c r="L67" s="10"/>
    </row>
    <row r="68" spans="1:12" ht="14.25" hidden="1" outlineLevel="2">
      <c r="A68" s="68">
        <v>1</v>
      </c>
      <c r="B68" s="10"/>
      <c r="C68" s="10"/>
      <c r="D68" s="10"/>
      <c r="E68" s="99" t="str">
        <f>VLOOKUP(C65,Tbl_Button_Display_ASSTS,11,FALSE)</f>
        <v>MsgBox</v>
      </c>
      <c r="F68" s="11" t="e">
        <f>VLOOKUP(C65,Tbl_Button_Display_ASSTS,12,FALSE)</f>
        <v>#NAME?</v>
      </c>
      <c r="G68" s="10"/>
      <c r="H68" s="10"/>
      <c r="I68" s="10"/>
      <c r="J68" s="10"/>
      <c r="K68" s="10"/>
      <c r="L68" s="10"/>
    </row>
    <row r="69" spans="1:12" ht="14.25" hidden="1" outlineLevel="2">
      <c r="A69" s="68">
        <v>1</v>
      </c>
      <c r="B69" s="10"/>
      <c r="C69" s="10"/>
      <c r="D69" s="10"/>
      <c r="E69" s="14" t="s">
        <v>5</v>
      </c>
      <c r="F69" s="11">
        <f>VLOOKUP(C65,Tbl_Button_Display_ASSTS,13,FALSE)</f>
        <v>10</v>
      </c>
      <c r="G69" s="10"/>
      <c r="H69" s="10"/>
      <c r="I69" s="10"/>
      <c r="J69" s="10"/>
      <c r="K69" s="10"/>
      <c r="L69" s="10"/>
    </row>
    <row r="70" spans="1:12" ht="14.25" hidden="1" outlineLevel="2">
      <c r="A70" s="68">
        <v>1</v>
      </c>
      <c r="B70" s="10"/>
      <c r="C70" s="10"/>
      <c r="D70" s="10"/>
      <c r="E70" s="10"/>
      <c r="F70" s="83"/>
      <c r="G70" s="10" t="e">
        <f>Incar_OUT</f>
        <v>#NAME?</v>
      </c>
      <c r="H70" s="10"/>
      <c r="I70" s="12">
        <f>VLOOKUP(C65,Tbl_Button_Display_ASSTS,2,FALSE)</f>
        <v>10</v>
      </c>
      <c r="J70" s="10"/>
      <c r="K70" s="10"/>
      <c r="L70" s="10"/>
    </row>
    <row r="71" spans="1:12" ht="14.25" hidden="1" outlineLevel="2">
      <c r="A71" s="68">
        <v>1</v>
      </c>
      <c r="B71" s="10"/>
      <c r="C71" s="10"/>
      <c r="D71" s="10"/>
      <c r="E71" s="10"/>
      <c r="F71" s="83"/>
      <c r="G71" s="10" t="e">
        <f>Amb_OUT</f>
        <v>#NAME?</v>
      </c>
      <c r="H71" s="10"/>
      <c r="I71" s="12">
        <f>VLOOKUP(C65,Tbl_Button_Display_ASSTS,3,FALSE)</f>
        <v>15</v>
      </c>
      <c r="J71" s="10"/>
      <c r="K71" s="10"/>
      <c r="L71" s="10"/>
    </row>
    <row r="72" spans="1:12" ht="14.25" hidden="1" outlineLevel="2">
      <c r="A72" s="68">
        <v>1</v>
      </c>
      <c r="B72" s="10"/>
      <c r="C72" s="10"/>
      <c r="D72" s="10"/>
      <c r="E72" s="10"/>
      <c r="F72" s="10"/>
      <c r="G72" s="10" t="e">
        <f>AcDisp</f>
        <v>#NAME?</v>
      </c>
      <c r="H72" s="10"/>
      <c r="I72" s="12" t="str">
        <f>VLOOKUP(C65,Tbl_Button_Display_ASSTS,31,FALSE)</f>
        <v>Off</v>
      </c>
      <c r="J72" s="10"/>
      <c r="K72" s="10"/>
      <c r="L72" s="10"/>
    </row>
    <row r="73" spans="1:12" ht="14.25" hidden="1" outlineLevel="2">
      <c r="A73" s="68">
        <v>1</v>
      </c>
      <c r="B73" s="10"/>
      <c r="C73" s="10"/>
      <c r="D73" s="10"/>
      <c r="E73" s="10"/>
      <c r="F73" s="83"/>
      <c r="G73" s="10" t="str">
        <f>HP_ModSta</f>
        <v>DATC_HtrPmpModSta</v>
      </c>
      <c r="H73" s="47" t="e">
        <f>VLOOKUP(C65,Tbl_Button_Display_ASSTS,71,FALSE)</f>
        <v>#REF!</v>
      </c>
      <c r="I73" s="45" t="e">
        <f>(IF(H73="","",VLOOKUP(H73,Tbl_HP_Cycle,2,FALSE)))</f>
        <v>#REF!</v>
      </c>
      <c r="J73" s="10"/>
      <c r="K73" s="10"/>
      <c r="L73" s="10"/>
    </row>
    <row r="74" spans="1:12" ht="14.25" hidden="1" outlineLevel="2">
      <c r="A74" s="68">
        <v>1</v>
      </c>
      <c r="B74" s="10"/>
      <c r="C74" s="10"/>
      <c r="D74" s="10"/>
      <c r="E74" s="10"/>
      <c r="F74" s="10"/>
      <c r="G74" s="10" t="str">
        <f>PeEwpRPMReq</f>
        <v>DATC_PeEwpRPMReq</v>
      </c>
      <c r="H74" s="10"/>
      <c r="I74" s="12" t="e">
        <f>VLOOKUP(C65,Tbl_Button_Display_ASSTS,76,FALSE)</f>
        <v>#REF!</v>
      </c>
      <c r="J74" s="10"/>
      <c r="K74" s="10"/>
      <c r="L74" s="10"/>
    </row>
    <row r="75" spans="1:12" ht="14.25" hidden="1" outlineLevel="1">
      <c r="A75" s="68">
        <v>1</v>
      </c>
      <c r="B75" s="10"/>
      <c r="C75" s="10"/>
      <c r="D75" s="10"/>
      <c r="E75" s="10"/>
      <c r="F75" s="10"/>
      <c r="G75" s="10" t="str">
        <f>BatteryEWPOper</f>
        <v>DATC_BattEwpOpReq</v>
      </c>
      <c r="H75" s="10"/>
      <c r="I75" s="12" t="e">
        <f>VLOOKUP(C65,Tbl_Button_Display_ASSTS,73,FALSE)</f>
        <v>#REF!</v>
      </c>
      <c r="J75" s="10"/>
      <c r="K75" s="10"/>
      <c r="L75" s="10"/>
    </row>
    <row r="76" spans="1:12" ht="14.25" customHeight="1" outlineLevel="2">
      <c r="A76" s="70">
        <v>1</v>
      </c>
      <c r="B76" s="38" t="s">
        <v>142</v>
      </c>
      <c r="C76" s="38" t="s">
        <v>787</v>
      </c>
      <c r="D76" s="38" t="e">
        <f>CONCATENATE(I80," 모드 일 때, ",G81," = ",I81,"rpm, ",G82," = ",I82,"rpm 출력 확인")</f>
        <v>#REF!</v>
      </c>
      <c r="E76" s="38"/>
      <c r="F76" s="38"/>
      <c r="G76" s="38"/>
      <c r="H76" s="38"/>
      <c r="I76" s="38"/>
      <c r="J76" s="38"/>
      <c r="K76" s="38"/>
      <c r="L76" s="38"/>
    </row>
    <row r="77" spans="1:12" ht="14.25" hidden="1" outlineLevel="2">
      <c r="A77" s="68">
        <v>1</v>
      </c>
      <c r="B77" s="10"/>
      <c r="C77" s="10"/>
      <c r="D77" s="10"/>
      <c r="E77" s="99" t="str">
        <f>VLOOKUP(C76,Tbl_Button_Display_ASSTS,11,FALSE)</f>
        <v>Sw_AC</v>
      </c>
      <c r="F77" s="11">
        <f>VLOOKUP(C76,Tbl_Button_Display_ASSTS,12,FALSE)</f>
        <v>1</v>
      </c>
      <c r="G77" s="10"/>
      <c r="H77" s="10"/>
      <c r="I77" s="10"/>
      <c r="J77" s="14"/>
      <c r="K77" s="10"/>
      <c r="L77" s="10"/>
    </row>
    <row r="78" spans="1:12" ht="14.25" hidden="1" outlineLevel="2">
      <c r="A78" s="68">
        <v>1</v>
      </c>
      <c r="B78" s="10"/>
      <c r="C78" s="10"/>
      <c r="D78" s="10"/>
      <c r="E78" s="14" t="s">
        <v>5</v>
      </c>
      <c r="F78" s="11">
        <f>VLOOKUP(C76,Tbl_Button_Display_ASSTS,13,FALSE)</f>
        <v>2</v>
      </c>
      <c r="G78" s="10"/>
      <c r="H78" s="10"/>
      <c r="I78" s="10"/>
      <c r="J78" s="10"/>
      <c r="K78" s="10"/>
      <c r="L78" s="10"/>
    </row>
    <row r="79" spans="1:12" ht="14.25" hidden="1" outlineLevel="2">
      <c r="A79" s="68">
        <v>1</v>
      </c>
      <c r="B79" s="10"/>
      <c r="C79" s="10"/>
      <c r="D79" s="10"/>
      <c r="E79" s="10"/>
      <c r="F79" s="10"/>
      <c r="G79" s="10" t="e">
        <f>AcDisp</f>
        <v>#NAME?</v>
      </c>
      <c r="H79" s="10"/>
      <c r="I79" s="12" t="str">
        <f>VLOOKUP(C76,Tbl_Button_Display_ASSTS,31,FALSE)</f>
        <v>On</v>
      </c>
      <c r="J79" s="10"/>
      <c r="K79" s="10"/>
      <c r="L79" s="10"/>
    </row>
    <row r="80" spans="1:12" ht="14.25" hidden="1" outlineLevel="2">
      <c r="A80" s="68">
        <v>1</v>
      </c>
      <c r="B80" s="10"/>
      <c r="C80" s="10"/>
      <c r="D80" s="10"/>
      <c r="E80" s="10"/>
      <c r="F80" s="83"/>
      <c r="G80" s="10" t="str">
        <f>HP_ModSta</f>
        <v>DATC_HtrPmpModSta</v>
      </c>
      <c r="H80" s="47" t="e">
        <f>VLOOKUP(C76,Tbl_Button_Display_ASSTS,71,FALSE)</f>
        <v>#REF!</v>
      </c>
      <c r="I80" s="45" t="e">
        <f>(IF(H80="","",VLOOKUP(H80,Tbl_HP_Cycle,2,FALSE)))</f>
        <v>#REF!</v>
      </c>
      <c r="J80" s="10"/>
      <c r="K80" s="10"/>
      <c r="L80" s="10"/>
    </row>
    <row r="81" spans="1:12" ht="14.25" hidden="1" outlineLevel="2">
      <c r="A81" s="68">
        <v>1</v>
      </c>
      <c r="B81" s="10"/>
      <c r="C81" s="10"/>
      <c r="D81" s="10"/>
      <c r="E81" s="10"/>
      <c r="F81" s="10"/>
      <c r="G81" s="10" t="str">
        <f>PeEwpRPMReq</f>
        <v>DATC_PeEwpRPMReq</v>
      </c>
      <c r="H81" s="10"/>
      <c r="I81" s="46" t="e">
        <f>VLOOKUP(C76,Tbl_Button_Display_ASSTS,76,FALSE)</f>
        <v>#REF!</v>
      </c>
      <c r="J81" s="10"/>
      <c r="K81" s="10"/>
      <c r="L81" s="10"/>
    </row>
    <row r="82" spans="1:12" ht="14.25" hidden="1" outlineLevel="2">
      <c r="A82" s="68">
        <v>1</v>
      </c>
      <c r="B82" s="10"/>
      <c r="C82" s="10"/>
      <c r="D82" s="10"/>
      <c r="E82" s="10"/>
      <c r="F82" s="10"/>
      <c r="G82" s="10" t="str">
        <f>BatteryEWPOper</f>
        <v>DATC_BattEwpOpReq</v>
      </c>
      <c r="H82" s="10"/>
      <c r="I82" s="46" t="e">
        <f>VLOOKUP(C76,Tbl_Button_Display_ASSTS,73,FALSE)</f>
        <v>#REF!</v>
      </c>
      <c r="J82" s="10"/>
      <c r="K82" s="10"/>
      <c r="L82" s="10"/>
    </row>
    <row r="83" spans="1:12" ht="13.35" customHeight="1" outlineLevel="2">
      <c r="A83" s="70">
        <v>1</v>
      </c>
      <c r="B83" s="38" t="s">
        <v>142</v>
      </c>
      <c r="C83" s="38" t="s">
        <v>788</v>
      </c>
      <c r="D83" s="38" t="e">
        <f>CONCATENATE(E84," = ",F84," 설정 시, ",G86," = ",I86,"rpm, ",G87," = ",I87,"rpm 출력 확인")</f>
        <v>#REF!</v>
      </c>
      <c r="E83" s="38"/>
      <c r="F83" s="38"/>
      <c r="G83" s="38"/>
      <c r="H83" s="38"/>
      <c r="I83" s="38"/>
      <c r="J83" s="38"/>
      <c r="K83" s="38"/>
      <c r="L83" s="38"/>
    </row>
    <row r="84" spans="1:12" ht="14.25" hidden="1" outlineLevel="2">
      <c r="A84" s="68">
        <v>1</v>
      </c>
      <c r="B84" s="10"/>
      <c r="C84" s="10"/>
      <c r="D84" s="10"/>
      <c r="E84" s="99" t="str">
        <f>VLOOKUP(C83,Tbl_Button_Display_ASSTS,11,FALSE)</f>
        <v>Snr_P SIGNAL_COMP OUT(PSI)_IN</v>
      </c>
      <c r="F84" s="11">
        <f>VLOOKUP(C83,Tbl_Button_Display_ASSTS,12,FALSE)</f>
        <v>213</v>
      </c>
      <c r="G84" s="10"/>
      <c r="H84" s="10"/>
      <c r="I84" s="10"/>
      <c r="J84" s="14"/>
      <c r="K84" s="10"/>
      <c r="L84" s="10"/>
    </row>
    <row r="85" spans="1:12" ht="14.25" hidden="1" outlineLevel="2">
      <c r="A85" s="68">
        <v>1</v>
      </c>
      <c r="B85" s="10"/>
      <c r="C85" s="10"/>
      <c r="D85" s="10"/>
      <c r="E85" s="14" t="s">
        <v>5</v>
      </c>
      <c r="F85" s="11">
        <f>VLOOKUP(C83,Tbl_Button_Display_ASSTS,13,FALSE)</f>
        <v>5</v>
      </c>
      <c r="G85" s="10"/>
      <c r="H85" s="10"/>
      <c r="I85" s="10"/>
      <c r="J85" s="14"/>
      <c r="K85" s="10"/>
      <c r="L85" s="10"/>
    </row>
    <row r="86" spans="1:12" ht="14.25" hidden="1" outlineLevel="1">
      <c r="A86" s="68">
        <v>1</v>
      </c>
      <c r="B86" s="10"/>
      <c r="C86" s="10"/>
      <c r="D86" s="10"/>
      <c r="E86" s="10"/>
      <c r="F86" s="10"/>
      <c r="G86" s="10" t="str">
        <f>PeEwpRPMReq</f>
        <v>DATC_PeEwpRPMReq</v>
      </c>
      <c r="H86" s="10"/>
      <c r="I86" s="46" t="e">
        <f>VLOOKUP(C83,Tbl_Button_Display_ASSTS,76,FALSE)</f>
        <v>#REF!</v>
      </c>
      <c r="J86" s="10"/>
      <c r="K86" s="10"/>
      <c r="L86" s="10"/>
    </row>
    <row r="87" spans="1:12" ht="14.25" hidden="1" outlineLevel="2">
      <c r="A87" s="68">
        <v>1</v>
      </c>
      <c r="B87" s="10"/>
      <c r="C87" s="10"/>
      <c r="D87" s="10"/>
      <c r="E87" s="10"/>
      <c r="F87" s="10"/>
      <c r="G87" s="10" t="str">
        <f>BatteryEWPOper</f>
        <v>DATC_BattEwpOpReq</v>
      </c>
      <c r="H87" s="10"/>
      <c r="I87" s="46" t="e">
        <f>VLOOKUP(C83,Tbl_Button_Display_ASSTS,73,FALSE)</f>
        <v>#REF!</v>
      </c>
      <c r="J87" s="10"/>
      <c r="K87" s="10"/>
      <c r="L87" s="10"/>
    </row>
    <row r="88" spans="1:12" ht="14.25" customHeight="1" outlineLevel="2">
      <c r="A88" s="70">
        <v>1</v>
      </c>
      <c r="B88" s="38" t="s">
        <v>142</v>
      </c>
      <c r="C88" s="38" t="s">
        <v>1255</v>
      </c>
      <c r="D88" s="38" t="e">
        <f>CONCATENATE(E89," = ",F89," 설정 시, ",G91," = ",I91,"rpm, ",G92," = ",I92,"rpm 출력 확인")</f>
        <v>#REF!</v>
      </c>
      <c r="E88" s="38"/>
      <c r="F88" s="38"/>
      <c r="G88" s="38"/>
      <c r="H88" s="38"/>
      <c r="I88" s="38"/>
      <c r="J88" s="38"/>
      <c r="K88" s="38"/>
      <c r="L88" s="38"/>
    </row>
    <row r="89" spans="1:12" ht="14.25" hidden="1" outlineLevel="2">
      <c r="A89" s="68">
        <v>1</v>
      </c>
      <c r="B89" s="10"/>
      <c r="C89" s="10"/>
      <c r="D89" s="10"/>
      <c r="E89" s="99" t="str">
        <f>VLOOKUP(C88,Tbl_Button_Display_ASSTS,11,FALSE)</f>
        <v>Snr_P SIGNAL_COMP OUT(PSI)_IN</v>
      </c>
      <c r="F89" s="11">
        <f>VLOOKUP(C88,Tbl_Button_Display_ASSTS,12,FALSE)</f>
        <v>155</v>
      </c>
      <c r="G89" s="10"/>
      <c r="H89" s="10"/>
      <c r="I89" s="10"/>
      <c r="J89" s="14"/>
      <c r="K89" s="10"/>
      <c r="L89" s="10"/>
    </row>
    <row r="90" spans="1:12" ht="14.25" hidden="1" outlineLevel="2">
      <c r="A90" s="68">
        <v>1</v>
      </c>
      <c r="B90" s="10"/>
      <c r="C90" s="10"/>
      <c r="D90" s="10"/>
      <c r="E90" s="14" t="s">
        <v>5</v>
      </c>
      <c r="F90" s="11">
        <f>VLOOKUP(C88,Tbl_Button_Display_ASSTS,13,FALSE)</f>
        <v>5</v>
      </c>
      <c r="G90" s="10"/>
      <c r="H90" s="10"/>
      <c r="I90" s="10"/>
      <c r="J90" s="14"/>
      <c r="K90" s="10"/>
      <c r="L90" s="10"/>
    </row>
    <row r="91" spans="1:12" ht="14.25" hidden="1" outlineLevel="2">
      <c r="A91" s="68">
        <v>1</v>
      </c>
      <c r="B91" s="10"/>
      <c r="C91" s="10"/>
      <c r="D91" s="10"/>
      <c r="E91" s="10"/>
      <c r="F91" s="10"/>
      <c r="G91" s="10" t="str">
        <f>PeEwpRPMReq</f>
        <v>DATC_PeEwpRPMReq</v>
      </c>
      <c r="H91" s="10"/>
      <c r="I91" s="46" t="e">
        <f>VLOOKUP(C88,Tbl_Button_Display_ASSTS,76,FALSE)</f>
        <v>#REF!</v>
      </c>
      <c r="J91" s="10"/>
      <c r="K91" s="10"/>
      <c r="L91" s="10"/>
    </row>
    <row r="92" spans="1:12" ht="14.25" hidden="1" outlineLevel="2">
      <c r="A92" s="68">
        <v>1</v>
      </c>
      <c r="B92" s="10"/>
      <c r="C92" s="10"/>
      <c r="D92" s="10"/>
      <c r="E92" s="10"/>
      <c r="F92" s="10"/>
      <c r="G92" s="10" t="str">
        <f>BatteryEWPOper</f>
        <v>DATC_BattEwpOpReq</v>
      </c>
      <c r="H92" s="10"/>
      <c r="I92" s="46" t="e">
        <f>VLOOKUP(C88,Tbl_Button_Display_ASSTS,73,FALSE)</f>
        <v>#REF!</v>
      </c>
      <c r="J92" s="10"/>
      <c r="K92" s="10"/>
      <c r="L92" s="10"/>
    </row>
    <row r="93" spans="1:12" ht="14.25" customHeight="1" outlineLevel="2">
      <c r="A93" s="70">
        <v>1</v>
      </c>
      <c r="B93" s="38" t="s">
        <v>142</v>
      </c>
      <c r="C93" s="38" t="s">
        <v>1256</v>
      </c>
      <c r="D93" s="38" t="e">
        <f>CONCATENATE(E94," = ",F94," 설정 시, ",G96," = ",I96,"rpm, ",G97," = ",I97,"rpm 출력 확인")</f>
        <v>#REF!</v>
      </c>
      <c r="E93" s="38"/>
      <c r="F93" s="38"/>
      <c r="G93" s="38"/>
      <c r="H93" s="38"/>
      <c r="I93" s="38"/>
      <c r="J93" s="38"/>
      <c r="K93" s="38"/>
      <c r="L93" s="38"/>
    </row>
    <row r="94" spans="1:12" ht="14.25" hidden="1" outlineLevel="2">
      <c r="A94" s="68">
        <v>1</v>
      </c>
      <c r="B94" s="10"/>
      <c r="C94" s="10"/>
      <c r="D94" s="10"/>
      <c r="E94" s="99" t="str">
        <f>VLOOKUP(C93,Tbl_Button_Display_ASSTS,11,FALSE)</f>
        <v>Snr_P SIGNAL_COMP OUT(PSI)_IN</v>
      </c>
      <c r="F94" s="11">
        <f>VLOOKUP(C93,Tbl_Button_Display_ASSTS,12,FALSE)</f>
        <v>109</v>
      </c>
      <c r="G94" s="10"/>
      <c r="H94" s="10"/>
      <c r="I94" s="10"/>
      <c r="J94" s="14"/>
      <c r="K94" s="10"/>
      <c r="L94" s="10"/>
    </row>
    <row r="95" spans="1:12" ht="14.25" hidden="1" outlineLevel="2">
      <c r="A95" s="68">
        <v>1</v>
      </c>
      <c r="B95" s="10"/>
      <c r="C95" s="10"/>
      <c r="D95" s="10"/>
      <c r="E95" s="14" t="s">
        <v>5</v>
      </c>
      <c r="F95" s="11">
        <f>VLOOKUP(C93,Tbl_Button_Display_ASSTS,13,FALSE)</f>
        <v>5</v>
      </c>
      <c r="G95" s="10"/>
      <c r="H95" s="10"/>
      <c r="I95" s="10"/>
      <c r="J95" s="14"/>
      <c r="K95" s="10"/>
      <c r="L95" s="10"/>
    </row>
    <row r="96" spans="1:12" ht="14.25" hidden="1" outlineLevel="2">
      <c r="A96" s="68">
        <v>1</v>
      </c>
      <c r="B96" s="10"/>
      <c r="C96" s="10"/>
      <c r="D96" s="10"/>
      <c r="E96" s="10"/>
      <c r="F96" s="10"/>
      <c r="G96" s="10" t="str">
        <f>PeEwpRPMReq</f>
        <v>DATC_PeEwpRPMReq</v>
      </c>
      <c r="H96" s="10"/>
      <c r="I96" s="46" t="e">
        <f>VLOOKUP(C93,Tbl_Button_Display_ASSTS,76,FALSE)</f>
        <v>#REF!</v>
      </c>
      <c r="J96" s="10"/>
      <c r="K96" s="10"/>
      <c r="L96" s="10"/>
    </row>
    <row r="97" spans="1:12" ht="14.25" hidden="1" outlineLevel="1">
      <c r="A97" s="68">
        <v>1</v>
      </c>
      <c r="B97" s="10"/>
      <c r="C97" s="10"/>
      <c r="D97" s="10"/>
      <c r="E97" s="10"/>
      <c r="F97" s="10"/>
      <c r="G97" s="10" t="str">
        <f>BatteryEWPOper</f>
        <v>DATC_BattEwpOpReq</v>
      </c>
      <c r="H97" s="10"/>
      <c r="I97" s="46" t="e">
        <f>VLOOKUP(C93,Tbl_Button_Display_ASSTS,73,FALSE)</f>
        <v>#REF!</v>
      </c>
      <c r="J97" s="10"/>
      <c r="K97" s="10"/>
      <c r="L97" s="10"/>
    </row>
    <row r="98" spans="1:12" ht="14.25" customHeight="1" outlineLevel="2">
      <c r="A98" s="70">
        <v>1</v>
      </c>
      <c r="B98" s="38" t="s">
        <v>142</v>
      </c>
      <c r="C98" s="38" t="s">
        <v>1257</v>
      </c>
      <c r="D98" s="38" t="e">
        <f>CONCATENATE(E99," = ",F99," 설정 시, ",G101," = ",I101,"rpm, ",G102," = ",I102,"rpm 출력 확인")</f>
        <v>#REF!</v>
      </c>
      <c r="E98" s="38"/>
      <c r="F98" s="38"/>
      <c r="G98" s="38"/>
      <c r="H98" s="38"/>
      <c r="I98" s="38"/>
      <c r="J98" s="38"/>
      <c r="K98" s="38"/>
      <c r="L98" s="38"/>
    </row>
    <row r="99" spans="1:12" ht="14.25" hidden="1" outlineLevel="2">
      <c r="A99" s="68">
        <v>1</v>
      </c>
      <c r="B99" s="10"/>
      <c r="C99" s="10"/>
      <c r="D99" s="10"/>
      <c r="E99" s="99" t="str">
        <f>VLOOKUP(C98,Tbl_Button_Display_ASSTS,11,FALSE)</f>
        <v>Snr_P SIGNAL_COMP OUT(PSI)_IN</v>
      </c>
      <c r="F99" s="11">
        <f>VLOOKUP(C98,Tbl_Button_Display_ASSTS,12,FALSE)</f>
        <v>56</v>
      </c>
      <c r="G99" s="10"/>
      <c r="H99" s="10"/>
      <c r="I99" s="10"/>
      <c r="J99" s="14"/>
      <c r="K99" s="10"/>
      <c r="L99" s="10"/>
    </row>
    <row r="100" spans="1:12" ht="14.25" hidden="1" outlineLevel="2">
      <c r="A100" s="68">
        <v>1</v>
      </c>
      <c r="B100" s="10"/>
      <c r="C100" s="10"/>
      <c r="D100" s="10"/>
      <c r="E100" s="14" t="s">
        <v>5</v>
      </c>
      <c r="F100" s="11">
        <f>VLOOKUP(C98,Tbl_Button_Display_ASSTS,13,FALSE)</f>
        <v>5</v>
      </c>
      <c r="G100" s="10"/>
      <c r="H100" s="10"/>
      <c r="I100" s="10"/>
      <c r="J100" s="14"/>
      <c r="K100" s="10"/>
      <c r="L100" s="10"/>
    </row>
    <row r="101" spans="1:12" ht="14.25" hidden="1" outlineLevel="2">
      <c r="A101" s="68">
        <v>1</v>
      </c>
      <c r="B101" s="10"/>
      <c r="C101" s="10"/>
      <c r="D101" s="10"/>
      <c r="E101" s="10"/>
      <c r="F101" s="10"/>
      <c r="G101" s="10" t="str">
        <f>PeEwpRPMReq</f>
        <v>DATC_PeEwpRPMReq</v>
      </c>
      <c r="H101" s="10"/>
      <c r="I101" s="46" t="e">
        <f>VLOOKUP(C98,Tbl_Button_Display_ASSTS,76,FALSE)</f>
        <v>#REF!</v>
      </c>
      <c r="J101" s="10"/>
      <c r="K101" s="10"/>
      <c r="L101" s="10"/>
    </row>
    <row r="102" spans="1:12" ht="14.25" hidden="1" outlineLevel="2">
      <c r="A102" s="68">
        <v>1</v>
      </c>
      <c r="B102" s="10"/>
      <c r="C102" s="10"/>
      <c r="D102" s="10"/>
      <c r="E102" s="10"/>
      <c r="F102" s="10"/>
      <c r="G102" s="10" t="str">
        <f>BatteryEWPOper</f>
        <v>DATC_BattEwpOpReq</v>
      </c>
      <c r="H102" s="10"/>
      <c r="I102" s="46" t="e">
        <f>VLOOKUP(C98,Tbl_Button_Display_ASSTS,73,FALSE)</f>
        <v>#REF!</v>
      </c>
      <c r="J102" s="10"/>
      <c r="K102" s="10"/>
      <c r="L102" s="10"/>
    </row>
    <row r="103" spans="1:12" ht="14.25" customHeight="1" outlineLevel="2">
      <c r="A103" s="70">
        <v>1</v>
      </c>
      <c r="B103" s="38" t="s">
        <v>142</v>
      </c>
      <c r="C103" s="38" t="s">
        <v>1258</v>
      </c>
      <c r="D103" s="38" t="e">
        <f>CONCATENATE(E104," ",F104,"회 선택 시, ",G106," = ",I106,", ",G107," = ",I107," 확인")</f>
        <v>#REF!</v>
      </c>
      <c r="E103" s="38"/>
      <c r="F103" s="38"/>
      <c r="G103" s="38"/>
      <c r="H103" s="38"/>
      <c r="I103" s="38"/>
      <c r="J103" s="38"/>
      <c r="K103" s="38"/>
      <c r="L103" s="38"/>
    </row>
    <row r="104" spans="1:12" ht="14.25" hidden="1" outlineLevel="2">
      <c r="A104" s="68">
        <v>1</v>
      </c>
      <c r="B104" s="10"/>
      <c r="C104" s="10"/>
      <c r="D104" s="10"/>
      <c r="E104" s="99" t="str">
        <f>VLOOKUP(C103,Tbl_Button_Display_ASSTS,11,FALSE)</f>
        <v>Snr_P SIGNAL_COMP OUT(PSI)_IN</v>
      </c>
      <c r="F104" s="11">
        <f>VLOOKUP(C103,Tbl_Button_Display_ASSTS,12,FALSE)</f>
        <v>71</v>
      </c>
      <c r="G104" s="10"/>
      <c r="H104" s="10"/>
      <c r="I104" s="10"/>
      <c r="J104" s="14"/>
      <c r="K104" s="10"/>
      <c r="L104" s="10"/>
    </row>
    <row r="105" spans="1:12" ht="14.25" hidden="1" outlineLevel="2">
      <c r="A105" s="68">
        <v>1</v>
      </c>
      <c r="B105" s="10"/>
      <c r="C105" s="10"/>
      <c r="D105" s="10"/>
      <c r="E105" s="14" t="s">
        <v>5</v>
      </c>
      <c r="F105" s="11">
        <f>VLOOKUP(C103,Tbl_Button_Display_ASSTS,13,FALSE)</f>
        <v>5</v>
      </c>
      <c r="G105" s="10"/>
      <c r="H105" s="10"/>
      <c r="I105" s="10"/>
      <c r="J105" s="10"/>
      <c r="K105" s="10"/>
      <c r="L105" s="10"/>
    </row>
    <row r="106" spans="1:12" ht="14.25" hidden="1" outlineLevel="2">
      <c r="A106" s="68">
        <v>1</v>
      </c>
      <c r="B106" s="10"/>
      <c r="C106" s="10"/>
      <c r="D106" s="10"/>
      <c r="E106" s="10"/>
      <c r="F106" s="10"/>
      <c r="G106" s="10" t="str">
        <f>PeEwpRPMReq</f>
        <v>DATC_PeEwpRPMReq</v>
      </c>
      <c r="H106" s="10"/>
      <c r="I106" s="46" t="e">
        <f>VLOOKUP(C103,Tbl_Button_Display_ASSTS,76,FALSE)</f>
        <v>#REF!</v>
      </c>
      <c r="J106" s="10"/>
      <c r="K106" s="10"/>
      <c r="L106" s="10"/>
    </row>
    <row r="107" spans="1:12" ht="14.25" hidden="1" outlineLevel="2">
      <c r="A107" s="68">
        <v>1</v>
      </c>
      <c r="B107" s="10"/>
      <c r="C107" s="10"/>
      <c r="D107" s="10"/>
      <c r="E107" s="10"/>
      <c r="F107" s="10"/>
      <c r="G107" s="10" t="str">
        <f>BatteryEWPOper</f>
        <v>DATC_BattEwpOpReq</v>
      </c>
      <c r="H107" s="10"/>
      <c r="I107" s="46" t="e">
        <f>VLOOKUP(C103,Tbl_Button_Display_ASSTS,73,FALSE)</f>
        <v>#REF!</v>
      </c>
      <c r="J107" s="10"/>
      <c r="K107" s="10"/>
      <c r="L107" s="10"/>
    </row>
    <row r="108" spans="1:12" ht="13.35" customHeight="1">
      <c r="A108" s="70">
        <v>1</v>
      </c>
      <c r="B108" s="38" t="s">
        <v>142</v>
      </c>
      <c r="C108" s="38" t="s">
        <v>1259</v>
      </c>
      <c r="D108" s="38" t="e">
        <f>CONCATENATE(E109," = ",F109," 설정 시, ",G111," = ",I111,"rpm, ",G112," = ",I112,"rpm 출력 확인")</f>
        <v>#REF!</v>
      </c>
      <c r="E108" s="38"/>
      <c r="F108" s="38"/>
      <c r="G108" s="38"/>
      <c r="H108" s="38"/>
      <c r="I108" s="38"/>
      <c r="J108" s="38"/>
      <c r="K108" s="38"/>
      <c r="L108" s="38"/>
    </row>
    <row r="109" spans="1:12" ht="14.25" hidden="1" collapsed="1">
      <c r="A109" s="68">
        <v>1</v>
      </c>
      <c r="B109" s="10"/>
      <c r="C109" s="10"/>
      <c r="D109" s="10"/>
      <c r="E109" s="99" t="str">
        <f>VLOOKUP(C108,Tbl_Button_Display_ASSTS,11,FALSE)</f>
        <v>Snr_P SIGNAL_COMP OUT(PSI)_IN</v>
      </c>
      <c r="F109" s="11">
        <f>VLOOKUP(C108,Tbl_Button_Display_ASSTS,12,FALSE)</f>
        <v>130</v>
      </c>
      <c r="G109" s="10"/>
      <c r="H109" s="10"/>
      <c r="I109" s="10"/>
      <c r="J109" s="14"/>
      <c r="K109" s="10"/>
      <c r="L109" s="10"/>
    </row>
    <row r="110" spans="1:12" ht="14.25" hidden="1" outlineLevel="1">
      <c r="A110" s="68">
        <v>1</v>
      </c>
      <c r="B110" s="10"/>
      <c r="C110" s="10"/>
      <c r="D110" s="10"/>
      <c r="E110" s="14" t="s">
        <v>5</v>
      </c>
      <c r="F110" s="11">
        <f>VLOOKUP(C108,Tbl_Button_Display_ASSTS,13,FALSE)</f>
        <v>5</v>
      </c>
      <c r="G110" s="10"/>
      <c r="H110" s="10"/>
      <c r="I110" s="10"/>
      <c r="J110" s="14"/>
      <c r="K110" s="10"/>
      <c r="L110" s="10"/>
    </row>
    <row r="111" spans="1:12" ht="14.25" hidden="1" outlineLevel="2">
      <c r="A111" s="68">
        <v>1</v>
      </c>
      <c r="B111" s="10"/>
      <c r="C111" s="10"/>
      <c r="D111" s="10"/>
      <c r="E111" s="10"/>
      <c r="F111" s="10"/>
      <c r="G111" s="10" t="str">
        <f>PeEwpRPMReq</f>
        <v>DATC_PeEwpRPMReq</v>
      </c>
      <c r="H111" s="10"/>
      <c r="I111" s="46" t="e">
        <f>VLOOKUP(C108,Tbl_Button_Display_ASSTS,76,FALSE)</f>
        <v>#REF!</v>
      </c>
      <c r="J111" s="10"/>
      <c r="K111" s="10"/>
      <c r="L111" s="10"/>
    </row>
    <row r="112" spans="1:12" ht="14.25" hidden="1" outlineLevel="2">
      <c r="A112" s="68">
        <v>1</v>
      </c>
      <c r="B112" s="10"/>
      <c r="C112" s="10"/>
      <c r="D112" s="10"/>
      <c r="E112" s="10"/>
      <c r="F112" s="10"/>
      <c r="G112" s="10" t="str">
        <f>BatteryEWPOper</f>
        <v>DATC_BattEwpOpReq</v>
      </c>
      <c r="H112" s="10"/>
      <c r="I112" s="46" t="e">
        <f>VLOOKUP(C108,Tbl_Button_Display_ASSTS,73,FALSE)</f>
        <v>#REF!</v>
      </c>
      <c r="J112" s="10"/>
      <c r="K112" s="10"/>
      <c r="L112" s="10"/>
    </row>
    <row r="113" spans="1:12" ht="14.25" customHeight="1" outlineLevel="2">
      <c r="A113" s="70">
        <v>1</v>
      </c>
      <c r="B113" s="38" t="s">
        <v>142</v>
      </c>
      <c r="C113" s="38" t="s">
        <v>1260</v>
      </c>
      <c r="D113" s="38" t="e">
        <f>CONCATENATE(E114," = ",F114," 설정 시, ",G116," = ",I116,"rpm, ",G117," = ",I117,"rpm 출력 확인")</f>
        <v>#REF!</v>
      </c>
      <c r="E113" s="38"/>
      <c r="F113" s="38"/>
      <c r="G113" s="38"/>
      <c r="H113" s="38"/>
      <c r="I113" s="38"/>
      <c r="J113" s="38"/>
      <c r="K113" s="38"/>
      <c r="L113" s="38"/>
    </row>
    <row r="114" spans="1:12" ht="14.25" hidden="1" outlineLevel="2">
      <c r="A114" s="68">
        <v>1</v>
      </c>
      <c r="B114" s="10"/>
      <c r="C114" s="10"/>
      <c r="D114" s="10"/>
      <c r="E114" s="99" t="str">
        <f>VLOOKUP(C113,Tbl_Button_Display_ASSTS,11,FALSE)</f>
        <v>Snr_P SIGNAL_COMP OUT(PSI)_IN</v>
      </c>
      <c r="F114" s="11">
        <f>VLOOKUP(C113,Tbl_Button_Display_ASSTS,12,FALSE)</f>
        <v>174</v>
      </c>
      <c r="G114" s="10"/>
      <c r="H114" s="10"/>
      <c r="I114" s="10"/>
      <c r="J114" s="14"/>
      <c r="K114" s="10"/>
      <c r="L114" s="10"/>
    </row>
    <row r="115" spans="1:12" ht="14.25" hidden="1" outlineLevel="2">
      <c r="A115" s="68">
        <v>1</v>
      </c>
      <c r="B115" s="10"/>
      <c r="C115" s="10"/>
      <c r="D115" s="10"/>
      <c r="E115" s="14" t="s">
        <v>5</v>
      </c>
      <c r="F115" s="11">
        <f>VLOOKUP(C113,Tbl_Button_Display_ASSTS,13,FALSE)</f>
        <v>5</v>
      </c>
      <c r="G115" s="10"/>
      <c r="H115" s="10"/>
      <c r="I115" s="10"/>
      <c r="J115" s="14"/>
      <c r="K115" s="10"/>
      <c r="L115" s="10"/>
    </row>
    <row r="116" spans="1:12" ht="14.25" hidden="1" outlineLevel="2">
      <c r="A116" s="68">
        <v>1</v>
      </c>
      <c r="B116" s="10"/>
      <c r="C116" s="10"/>
      <c r="D116" s="10"/>
      <c r="E116" s="10"/>
      <c r="F116" s="10"/>
      <c r="G116" s="10" t="str">
        <f>PeEwpRPMReq</f>
        <v>DATC_PeEwpRPMReq</v>
      </c>
      <c r="H116" s="10"/>
      <c r="I116" s="46" t="e">
        <f>VLOOKUP(C113,Tbl_Button_Display_ASSTS,76,FALSE)</f>
        <v>#REF!</v>
      </c>
      <c r="J116" s="10"/>
      <c r="K116" s="10"/>
      <c r="L116" s="10"/>
    </row>
    <row r="117" spans="1:12" ht="14.25" hidden="1" outlineLevel="2">
      <c r="A117" s="68">
        <v>1</v>
      </c>
      <c r="B117" s="10"/>
      <c r="C117" s="10"/>
      <c r="D117" s="10"/>
      <c r="E117" s="10"/>
      <c r="F117" s="10"/>
      <c r="G117" s="10" t="str">
        <f>BatteryEWPOper</f>
        <v>DATC_BattEwpOpReq</v>
      </c>
      <c r="H117" s="10"/>
      <c r="I117" s="46" t="e">
        <f>VLOOKUP(C113,Tbl_Button_Display_ASSTS,73,FALSE)</f>
        <v>#REF!</v>
      </c>
      <c r="J117" s="10"/>
      <c r="K117" s="10"/>
      <c r="L117" s="10"/>
    </row>
    <row r="118" spans="1:12" ht="14.25" customHeight="1" outlineLevel="2">
      <c r="A118" s="70">
        <v>1</v>
      </c>
      <c r="B118" s="38" t="s">
        <v>142</v>
      </c>
      <c r="C118" s="38" t="s">
        <v>1261</v>
      </c>
      <c r="D118" s="38" t="e">
        <f>CONCATENATE(E119," = ",F119," 설정 시, ",G121," = ",I121,"rpm, ",G122," = ",I122,"rpm 출력 확인")</f>
        <v>#REF!</v>
      </c>
      <c r="E118" s="38"/>
      <c r="F118" s="38"/>
      <c r="G118" s="38"/>
      <c r="H118" s="38"/>
      <c r="I118" s="38"/>
      <c r="J118" s="38"/>
      <c r="K118" s="38"/>
      <c r="L118" s="38"/>
    </row>
    <row r="119" spans="1:12" ht="14.25" hidden="1" outlineLevel="2">
      <c r="A119" s="68">
        <v>1</v>
      </c>
      <c r="B119" s="10"/>
      <c r="C119" s="10"/>
      <c r="D119" s="10"/>
      <c r="E119" s="99" t="str">
        <f>VLOOKUP(C118,Tbl_Button_Display_ASSTS,11,FALSE)</f>
        <v>Snr_P SIGNAL_COMP OUT(PSI)_IN</v>
      </c>
      <c r="F119" s="11">
        <f>VLOOKUP(C118,Tbl_Button_Display_ASSTS,12,FALSE)</f>
        <v>232</v>
      </c>
      <c r="G119" s="10"/>
      <c r="H119" s="10"/>
      <c r="I119" s="10"/>
      <c r="J119" s="14"/>
      <c r="K119" s="10"/>
      <c r="L119" s="10"/>
    </row>
    <row r="120" spans="1:12" ht="14.25" hidden="1" outlineLevel="2">
      <c r="A120" s="68">
        <v>1</v>
      </c>
      <c r="B120" s="10"/>
      <c r="C120" s="10"/>
      <c r="D120" s="10"/>
      <c r="E120" s="14" t="s">
        <v>5</v>
      </c>
      <c r="F120" s="11">
        <f>VLOOKUP(C118,Tbl_Button_Display_ASSTS,13,FALSE)</f>
        <v>5</v>
      </c>
      <c r="G120" s="10"/>
      <c r="H120" s="10"/>
      <c r="I120" s="10"/>
      <c r="J120" s="14"/>
      <c r="K120" s="10"/>
      <c r="L120" s="10"/>
    </row>
    <row r="121" spans="1:12" ht="14.25" hidden="1" outlineLevel="1">
      <c r="A121" s="68">
        <v>1</v>
      </c>
      <c r="B121" s="10"/>
      <c r="C121" s="10"/>
      <c r="D121" s="10"/>
      <c r="E121" s="10"/>
      <c r="F121" s="10"/>
      <c r="G121" s="10" t="str">
        <f>PeEwpRPMReq</f>
        <v>DATC_PeEwpRPMReq</v>
      </c>
      <c r="H121" s="10"/>
      <c r="I121" s="46" t="e">
        <f>VLOOKUP(C118,Tbl_Button_Display_ASSTS,76,FALSE)</f>
        <v>#REF!</v>
      </c>
      <c r="J121" s="10"/>
      <c r="K121" s="10"/>
      <c r="L121" s="10"/>
    </row>
    <row r="122" spans="1:12" ht="14.25" hidden="1" outlineLevel="2">
      <c r="A122" s="68">
        <v>1</v>
      </c>
      <c r="B122" s="10"/>
      <c r="C122" s="10"/>
      <c r="D122" s="10"/>
      <c r="E122" s="10"/>
      <c r="F122" s="10"/>
      <c r="G122" s="10" t="str">
        <f>BatteryEWPOper</f>
        <v>DATC_BattEwpOpReq</v>
      </c>
      <c r="H122" s="10"/>
      <c r="I122" s="46" t="e">
        <f>VLOOKUP(C118,Tbl_Button_Display_ASSTS,73,FALSE)</f>
        <v>#REF!</v>
      </c>
      <c r="J122" s="10"/>
      <c r="K122" s="10"/>
      <c r="L122" s="10"/>
    </row>
    <row r="123" spans="1:12" ht="14.25" customHeight="1" outlineLevel="2">
      <c r="A123" s="70">
        <v>1</v>
      </c>
      <c r="B123" s="38" t="s">
        <v>142</v>
      </c>
      <c r="C123" s="38" t="s">
        <v>1262</v>
      </c>
      <c r="D123" s="38" t="str">
        <f>CONCATENATE(E124," = ",F124," Hysterisis 설정")</f>
        <v>Snr_P SIGNAL_COMP OUT(PSI)_IN = 220 Hysterisis 설정</v>
      </c>
      <c r="E123" s="38"/>
      <c r="F123" s="38"/>
      <c r="G123" s="38"/>
      <c r="H123" s="38"/>
      <c r="I123" s="38"/>
      <c r="J123" s="38"/>
      <c r="K123" s="38"/>
      <c r="L123" s="38"/>
    </row>
    <row r="124" spans="1:12" ht="14.25" hidden="1" outlineLevel="2">
      <c r="A124" s="68">
        <v>1</v>
      </c>
      <c r="B124" s="10"/>
      <c r="C124" s="10"/>
      <c r="D124" s="10"/>
      <c r="E124" s="99" t="str">
        <f>VLOOKUP(C123,Tbl_Button_Display_ASSTS,11,FALSE)</f>
        <v>Snr_P SIGNAL_COMP OUT(PSI)_IN</v>
      </c>
      <c r="F124" s="11">
        <f>VLOOKUP(C123,Tbl_Button_Display_ASSTS,12,FALSE)</f>
        <v>220</v>
      </c>
      <c r="G124" s="10"/>
      <c r="H124" s="10"/>
      <c r="I124" s="10"/>
      <c r="J124" s="14"/>
      <c r="K124" s="10"/>
      <c r="L124" s="10"/>
    </row>
    <row r="125" spans="1:12" ht="14.25" hidden="1" outlineLevel="2">
      <c r="A125" s="68">
        <v>1</v>
      </c>
      <c r="B125" s="10"/>
      <c r="C125" s="10"/>
      <c r="D125" s="10"/>
      <c r="E125" s="14" t="s">
        <v>5</v>
      </c>
      <c r="F125" s="11">
        <f>VLOOKUP(C123,Tbl_Button_Display_ASSTS,13,FALSE)</f>
        <v>5</v>
      </c>
      <c r="G125" s="10"/>
      <c r="H125" s="10"/>
      <c r="I125" s="10"/>
      <c r="J125" s="14"/>
      <c r="K125" s="10"/>
      <c r="L125" s="10"/>
    </row>
    <row r="126" spans="1:12" ht="14.25" hidden="1" outlineLevel="2">
      <c r="A126" s="68">
        <v>1</v>
      </c>
      <c r="B126" s="10"/>
      <c r="C126" s="10"/>
      <c r="D126" s="10"/>
      <c r="E126" s="10"/>
      <c r="F126" s="10"/>
      <c r="G126" s="10" t="str">
        <f>PeEwpRPMReq</f>
        <v>DATC_PeEwpRPMReq</v>
      </c>
      <c r="H126" s="10"/>
      <c r="I126" s="46" t="e">
        <f>VLOOKUP(C123,Tbl_Button_Display_ASSTS,76,FALSE)</f>
        <v>#REF!</v>
      </c>
      <c r="J126" s="10"/>
      <c r="K126" s="10"/>
      <c r="L126" s="10"/>
    </row>
    <row r="127" spans="1:12" ht="14.25" hidden="1" outlineLevel="2">
      <c r="A127" s="68">
        <v>1</v>
      </c>
      <c r="B127" s="10"/>
      <c r="C127" s="10"/>
      <c r="D127" s="10"/>
      <c r="E127" s="10"/>
      <c r="F127" s="10"/>
      <c r="G127" s="10" t="str">
        <f>BatteryEWPOper</f>
        <v>DATC_BattEwpOpReq</v>
      </c>
      <c r="H127" s="10"/>
      <c r="I127" s="46" t="e">
        <f>VLOOKUP(C123,Tbl_Button_Display_ASSTS,73,FALSE)</f>
        <v>#REF!</v>
      </c>
      <c r="J127" s="10"/>
      <c r="K127" s="10"/>
      <c r="L127" s="10"/>
    </row>
    <row r="128" spans="1:12" ht="14.25" customHeight="1" outlineLevel="2">
      <c r="A128" s="70">
        <v>1</v>
      </c>
      <c r="B128" s="38" t="s">
        <v>142</v>
      </c>
      <c r="C128" s="38" t="s">
        <v>1263</v>
      </c>
      <c r="D128" s="38" t="e">
        <f>CONCATENATE(E129," ",F129,"시, ",G131," = ",I131,", ",G132," = ",I132," 유지 확인")</f>
        <v>#REF!</v>
      </c>
      <c r="E128" s="38"/>
      <c r="F128" s="38"/>
      <c r="G128" s="38"/>
      <c r="H128" s="38"/>
      <c r="I128" s="38"/>
      <c r="J128" s="38"/>
      <c r="K128" s="38"/>
      <c r="L128" s="38"/>
    </row>
    <row r="129" spans="1:12" ht="14.25" hidden="1" outlineLevel="2">
      <c r="A129" s="68">
        <v>1</v>
      </c>
      <c r="B129" s="10"/>
      <c r="C129" s="10"/>
      <c r="D129" s="10"/>
      <c r="E129" s="99" t="str">
        <f>VLOOKUP(C128,Tbl_Button_Display_ASSTS,11,FALSE)</f>
        <v>System_Off_to_On</v>
      </c>
      <c r="F129" s="11" t="str">
        <f>VLOOKUP(C128,Tbl_Button_Display_ASSTS,12,FALSE)</f>
        <v xml:space="preserve"> </v>
      </c>
      <c r="G129" s="10"/>
      <c r="H129" s="10"/>
      <c r="I129" s="10"/>
      <c r="J129" s="14"/>
      <c r="K129" s="10"/>
      <c r="L129" s="10"/>
    </row>
    <row r="130" spans="1:12" ht="14.25" hidden="1" outlineLevel="2">
      <c r="A130" s="68">
        <v>1</v>
      </c>
      <c r="B130" s="10"/>
      <c r="C130" s="10"/>
      <c r="D130" s="10"/>
      <c r="E130" s="14" t="s">
        <v>5</v>
      </c>
      <c r="F130" s="11">
        <f>VLOOKUP(C128,Tbl_Button_Display_ASSTS,13,FALSE)</f>
        <v>5</v>
      </c>
      <c r="G130" s="10"/>
      <c r="H130" s="10"/>
      <c r="I130" s="10"/>
      <c r="J130" s="10"/>
      <c r="K130" s="10"/>
      <c r="L130" s="10"/>
    </row>
    <row r="131" spans="1:12" ht="14.25" hidden="1" outlineLevel="2">
      <c r="A131" s="68">
        <v>1</v>
      </c>
      <c r="B131" s="10"/>
      <c r="C131" s="10"/>
      <c r="D131" s="10"/>
      <c r="E131" s="10"/>
      <c r="F131" s="10"/>
      <c r="G131" s="10" t="str">
        <f>PeEwpRPMReq</f>
        <v>DATC_PeEwpRPMReq</v>
      </c>
      <c r="H131" s="10"/>
      <c r="I131" s="46" t="e">
        <f>VLOOKUP(C128,Tbl_Button_Display_ASSTS,76,FALSE)</f>
        <v>#REF!</v>
      </c>
      <c r="J131" s="10"/>
      <c r="K131" s="10"/>
      <c r="L131" s="10"/>
    </row>
    <row r="132" spans="1:12" ht="14.25" hidden="1" outlineLevel="1">
      <c r="A132" s="68">
        <v>1</v>
      </c>
      <c r="B132" s="10"/>
      <c r="C132" s="10"/>
      <c r="D132" s="10"/>
      <c r="E132" s="10"/>
      <c r="F132" s="10"/>
      <c r="G132" s="10" t="str">
        <f>BatteryEWPOper</f>
        <v>DATC_BattEwpOpReq</v>
      </c>
      <c r="H132" s="10"/>
      <c r="I132" s="46" t="e">
        <f>VLOOKUP(C128,Tbl_Button_Display_ASSTS,73,FALSE)</f>
        <v>#REF!</v>
      </c>
      <c r="J132" s="10"/>
      <c r="K132" s="10"/>
      <c r="L132" s="10"/>
    </row>
    <row r="133" spans="1:12" ht="13.35" customHeight="1" outlineLevel="2">
      <c r="A133" s="70">
        <v>1</v>
      </c>
      <c r="B133" s="38" t="s">
        <v>142</v>
      </c>
      <c r="C133" s="38" t="s">
        <v>1264</v>
      </c>
      <c r="D133" s="38" t="e">
        <f>CONCATENATE(E134," ",F134,"시, ",G136," = ",I136,", ",G137," = ",I137," 출력 확인")</f>
        <v>#REF!</v>
      </c>
      <c r="E133" s="38"/>
      <c r="F133" s="38"/>
      <c r="G133" s="38"/>
      <c r="H133" s="38"/>
      <c r="I133" s="38"/>
      <c r="J133" s="38"/>
      <c r="K133" s="38"/>
      <c r="L133" s="38"/>
    </row>
    <row r="134" spans="1:12" ht="14.25" hidden="1" outlineLevel="2">
      <c r="A134" s="68">
        <v>1</v>
      </c>
      <c r="B134" s="10"/>
      <c r="C134" s="10"/>
      <c r="D134" s="10"/>
      <c r="E134" s="99" t="str">
        <f>VLOOKUP(C133,Tbl_Button_Display_ASSTS,11,FALSE)</f>
        <v>IGN2,3_Off_to_On</v>
      </c>
      <c r="F134" s="11" t="str">
        <f>VLOOKUP(C133,Tbl_Button_Display_ASSTS,12,FALSE)</f>
        <v xml:space="preserve"> </v>
      </c>
      <c r="G134" s="10"/>
      <c r="H134" s="10"/>
      <c r="I134" s="10"/>
      <c r="J134" s="14"/>
      <c r="K134" s="10"/>
      <c r="L134" s="10"/>
    </row>
    <row r="135" spans="1:12" ht="14.25" hidden="1" outlineLevel="2">
      <c r="A135" s="68">
        <v>1</v>
      </c>
      <c r="B135" s="10"/>
      <c r="C135" s="10"/>
      <c r="D135" s="10"/>
      <c r="E135" s="14" t="s">
        <v>5</v>
      </c>
      <c r="F135" s="11">
        <f>VLOOKUP(C133,Tbl_Button_Display_ASSTS,13,FALSE)</f>
        <v>5</v>
      </c>
      <c r="G135" s="10"/>
      <c r="H135" s="10"/>
      <c r="I135" s="10"/>
      <c r="J135" s="14"/>
      <c r="K135" s="10"/>
      <c r="L135" s="10"/>
    </row>
    <row r="136" spans="1:12" ht="14.25" hidden="1" outlineLevel="2">
      <c r="A136" s="68">
        <v>1</v>
      </c>
      <c r="B136" s="10"/>
      <c r="C136" s="10"/>
      <c r="D136" s="10"/>
      <c r="E136" s="10"/>
      <c r="F136" s="10"/>
      <c r="G136" s="10" t="str">
        <f>PeEwpRPMReq</f>
        <v>DATC_PeEwpRPMReq</v>
      </c>
      <c r="H136" s="10"/>
      <c r="I136" s="46" t="e">
        <f>VLOOKUP(C133,Tbl_Button_Display_ASSTS,76,FALSE)</f>
        <v>#REF!</v>
      </c>
      <c r="J136" s="10"/>
      <c r="K136" s="10"/>
      <c r="L136" s="10"/>
    </row>
    <row r="137" spans="1:12" ht="14.25" hidden="1" outlineLevel="2">
      <c r="A137" s="68">
        <v>1</v>
      </c>
      <c r="B137" s="10"/>
      <c r="C137" s="10"/>
      <c r="D137" s="10"/>
      <c r="E137" s="10"/>
      <c r="F137" s="10"/>
      <c r="G137" s="10" t="str">
        <f>BatteryEWPOper</f>
        <v>DATC_BattEwpOpReq</v>
      </c>
      <c r="H137" s="10"/>
      <c r="I137" s="46" t="e">
        <f>VLOOKUP(C133,Tbl_Button_Display_ASSTS,73,FALSE)</f>
        <v>#REF!</v>
      </c>
      <c r="J137" s="10"/>
      <c r="K137" s="10"/>
      <c r="L137" s="10"/>
    </row>
    <row r="138" spans="1:12" ht="14.25" customHeight="1" outlineLevel="2">
      <c r="A138" s="70">
        <v>1</v>
      </c>
      <c r="B138" s="38" t="s">
        <v>142</v>
      </c>
      <c r="C138" s="38" t="s">
        <v>1265</v>
      </c>
      <c r="D138" s="38" t="str">
        <f>CONCATENATE(E139," = ",F139," Hysterisis 설정")</f>
        <v>Snr_P SIGNAL_COMP OUT(PSI)_IN = 165 Hysterisis 설정</v>
      </c>
      <c r="E138" s="38"/>
      <c r="F138" s="38"/>
      <c r="G138" s="38"/>
      <c r="H138" s="38"/>
      <c r="I138" s="38"/>
      <c r="J138" s="38"/>
      <c r="K138" s="38"/>
      <c r="L138" s="38"/>
    </row>
    <row r="139" spans="1:12" ht="14.25" hidden="1" outlineLevel="2">
      <c r="A139" s="68">
        <v>1</v>
      </c>
      <c r="B139" s="10"/>
      <c r="C139" s="10"/>
      <c r="D139" s="10"/>
      <c r="E139" s="99" t="str">
        <f>VLOOKUP(C138,Tbl_Button_Display_ASSTS,11,FALSE)</f>
        <v>Snr_P SIGNAL_COMP OUT(PSI)_IN</v>
      </c>
      <c r="F139" s="11">
        <f>VLOOKUP(C138,Tbl_Button_Display_ASSTS,12,FALSE)</f>
        <v>165</v>
      </c>
      <c r="G139" s="10"/>
      <c r="H139" s="10"/>
      <c r="I139" s="10"/>
      <c r="J139" s="14"/>
      <c r="K139" s="10"/>
      <c r="L139" s="10"/>
    </row>
    <row r="140" spans="1:12" ht="14.25" hidden="1" outlineLevel="2">
      <c r="A140" s="68">
        <v>1</v>
      </c>
      <c r="B140" s="10"/>
      <c r="C140" s="10"/>
      <c r="D140" s="10"/>
      <c r="E140" s="14" t="s">
        <v>5</v>
      </c>
      <c r="F140" s="11">
        <f>VLOOKUP(C138,Tbl_Button_Display_ASSTS,13,FALSE)</f>
        <v>5</v>
      </c>
      <c r="G140" s="10"/>
      <c r="H140" s="10"/>
      <c r="I140" s="10"/>
      <c r="J140" s="14"/>
      <c r="K140" s="10"/>
      <c r="L140" s="10"/>
    </row>
    <row r="141" spans="1:12" ht="14.25" hidden="1" outlineLevel="2">
      <c r="A141" s="68">
        <v>1</v>
      </c>
      <c r="B141" s="10"/>
      <c r="C141" s="10"/>
      <c r="D141" s="10"/>
      <c r="E141" s="10"/>
      <c r="F141" s="10"/>
      <c r="G141" s="10" t="str">
        <f>PeEwpRPMReq</f>
        <v>DATC_PeEwpRPMReq</v>
      </c>
      <c r="H141" s="10"/>
      <c r="I141" s="46" t="e">
        <f>VLOOKUP(C138,Tbl_Button_Display_ASSTS,76,FALSE)</f>
        <v>#REF!</v>
      </c>
      <c r="J141" s="10"/>
      <c r="K141" s="10"/>
      <c r="L141" s="10"/>
    </row>
    <row r="142" spans="1:12" ht="14.25" hidden="1" outlineLevel="2">
      <c r="A142" s="68">
        <v>1</v>
      </c>
      <c r="B142" s="10"/>
      <c r="C142" s="10"/>
      <c r="D142" s="10"/>
      <c r="E142" s="10"/>
      <c r="F142" s="10"/>
      <c r="G142" s="10" t="str">
        <f>BatteryEWPOper</f>
        <v>DATC_BattEwpOpReq</v>
      </c>
      <c r="H142" s="10"/>
      <c r="I142" s="46" t="e">
        <f>VLOOKUP(C138,Tbl_Button_Display_ASSTS,73,FALSE)</f>
        <v>#REF!</v>
      </c>
      <c r="J142" s="10"/>
      <c r="K142" s="10"/>
      <c r="L142" s="10"/>
    </row>
    <row r="143" spans="1:12" ht="14.25" customHeight="1" outlineLevel="1">
      <c r="A143" s="70">
        <v>1</v>
      </c>
      <c r="B143" s="38" t="s">
        <v>142</v>
      </c>
      <c r="C143" s="38" t="s">
        <v>1266</v>
      </c>
      <c r="D143" s="38" t="e">
        <f>CONCATENATE(E144," ",F144,"시, ",G146," = ",I146,", ",G147," = ",I147," 유지 확인")</f>
        <v>#REF!</v>
      </c>
      <c r="E143" s="38"/>
      <c r="F143" s="38"/>
      <c r="G143" s="38"/>
      <c r="H143" s="38"/>
      <c r="I143" s="38"/>
      <c r="J143" s="38"/>
      <c r="K143" s="38"/>
      <c r="L143" s="38"/>
    </row>
    <row r="144" spans="1:12" ht="14.25" hidden="1" outlineLevel="2">
      <c r="A144" s="68">
        <v>1</v>
      </c>
      <c r="B144" s="10"/>
      <c r="C144" s="10"/>
      <c r="D144" s="10"/>
      <c r="E144" s="99" t="str">
        <f>VLOOKUP(C143,Tbl_Button_Display_ASSTS,11,FALSE)</f>
        <v>System_Off_to_On</v>
      </c>
      <c r="F144" s="11" t="str">
        <f>VLOOKUP(C143,Tbl_Button_Display_ASSTS,12,FALSE)</f>
        <v xml:space="preserve"> </v>
      </c>
      <c r="G144" s="10"/>
      <c r="H144" s="10"/>
      <c r="I144" s="10"/>
      <c r="J144" s="14"/>
      <c r="K144" s="10"/>
      <c r="L144" s="10"/>
    </row>
    <row r="145" spans="1:12" ht="14.25" hidden="1" outlineLevel="2">
      <c r="A145" s="68">
        <v>1</v>
      </c>
      <c r="B145" s="10"/>
      <c r="C145" s="10"/>
      <c r="D145" s="10"/>
      <c r="E145" s="14" t="s">
        <v>5</v>
      </c>
      <c r="F145" s="11">
        <f>VLOOKUP(C143,Tbl_Button_Display_ASSTS,13,FALSE)</f>
        <v>5</v>
      </c>
      <c r="G145" s="10"/>
      <c r="H145" s="10"/>
      <c r="I145" s="10"/>
      <c r="J145" s="14"/>
      <c r="K145" s="10"/>
      <c r="L145" s="10"/>
    </row>
    <row r="146" spans="1:12" ht="14.25" hidden="1" outlineLevel="2">
      <c r="A146" s="68">
        <v>1</v>
      </c>
      <c r="B146" s="10"/>
      <c r="C146" s="10"/>
      <c r="D146" s="10"/>
      <c r="E146" s="10"/>
      <c r="F146" s="10"/>
      <c r="G146" s="10" t="str">
        <f>PeEwpRPMReq</f>
        <v>DATC_PeEwpRPMReq</v>
      </c>
      <c r="H146" s="10"/>
      <c r="I146" s="46" t="e">
        <f>VLOOKUP(C143,Tbl_Button_Display_ASSTS,76,FALSE)</f>
        <v>#REF!</v>
      </c>
      <c r="J146" s="10"/>
      <c r="K146" s="10"/>
      <c r="L146" s="10"/>
    </row>
    <row r="147" spans="1:12" ht="14.25" hidden="1" outlineLevel="2">
      <c r="A147" s="68">
        <v>1</v>
      </c>
      <c r="B147" s="10"/>
      <c r="C147" s="10"/>
      <c r="D147" s="10"/>
      <c r="E147" s="10"/>
      <c r="F147" s="10"/>
      <c r="G147" s="10" t="str">
        <f>BatteryEWPOper</f>
        <v>DATC_BattEwpOpReq</v>
      </c>
      <c r="H147" s="10"/>
      <c r="I147" s="46" t="e">
        <f>VLOOKUP(C143,Tbl_Button_Display_ASSTS,73,FALSE)</f>
        <v>#REF!</v>
      </c>
      <c r="J147" s="10"/>
      <c r="K147" s="10"/>
      <c r="L147" s="10"/>
    </row>
    <row r="148" spans="1:12" ht="14.25" customHeight="1" outlineLevel="2">
      <c r="A148" s="70">
        <v>1</v>
      </c>
      <c r="B148" s="38" t="s">
        <v>142</v>
      </c>
      <c r="C148" s="38" t="s">
        <v>1267</v>
      </c>
      <c r="D148" s="38" t="e">
        <f>CONCATENATE(E149," ",F149,"시, ",G151," = ",I151,", ",G152," = ",I152," 출력 확인")</f>
        <v>#REF!</v>
      </c>
      <c r="E148" s="38"/>
      <c r="F148" s="38"/>
      <c r="G148" s="38"/>
      <c r="H148" s="38"/>
      <c r="I148" s="38"/>
      <c r="J148" s="38"/>
      <c r="K148" s="38"/>
      <c r="L148" s="38"/>
    </row>
    <row r="149" spans="1:12" ht="14.25" hidden="1" outlineLevel="2">
      <c r="A149" s="68">
        <v>1</v>
      </c>
      <c r="B149" s="10"/>
      <c r="C149" s="10"/>
      <c r="D149" s="10"/>
      <c r="E149" s="99" t="str">
        <f>VLOOKUP(C148,Tbl_Button_Display_ASSTS,11,FALSE)</f>
        <v>IGN2,3_Off_to_On</v>
      </c>
      <c r="F149" s="11" t="str">
        <f>VLOOKUP(C148,Tbl_Button_Display_ASSTS,12,FALSE)</f>
        <v xml:space="preserve"> </v>
      </c>
      <c r="G149" s="10"/>
      <c r="H149" s="10"/>
      <c r="I149" s="10"/>
      <c r="J149" s="14"/>
      <c r="K149" s="10"/>
      <c r="L149" s="10"/>
    </row>
    <row r="150" spans="1:12" ht="14.25" hidden="1" outlineLevel="2">
      <c r="A150" s="68">
        <v>1</v>
      </c>
      <c r="B150" s="10"/>
      <c r="C150" s="10"/>
      <c r="D150" s="10"/>
      <c r="E150" s="14" t="s">
        <v>5</v>
      </c>
      <c r="F150" s="11">
        <f>VLOOKUP(C148,Tbl_Button_Display_ASSTS,13,FALSE)</f>
        <v>5</v>
      </c>
      <c r="G150" s="10"/>
      <c r="H150" s="10"/>
      <c r="I150" s="10"/>
      <c r="J150" s="14"/>
      <c r="K150" s="10"/>
      <c r="L150" s="10"/>
    </row>
    <row r="151" spans="1:12" ht="14.25" hidden="1" outlineLevel="2">
      <c r="A151" s="68">
        <v>1</v>
      </c>
      <c r="B151" s="10"/>
      <c r="C151" s="10"/>
      <c r="D151" s="10"/>
      <c r="E151" s="10"/>
      <c r="F151" s="10"/>
      <c r="G151" s="10" t="str">
        <f>PeEwpRPMReq</f>
        <v>DATC_PeEwpRPMReq</v>
      </c>
      <c r="H151" s="10"/>
      <c r="I151" s="46" t="e">
        <f>VLOOKUP(C148,Tbl_Button_Display_ASSTS,76,FALSE)</f>
        <v>#REF!</v>
      </c>
      <c r="J151" s="10"/>
      <c r="K151" s="10"/>
      <c r="L151" s="10"/>
    </row>
    <row r="152" spans="1:12" ht="14.25" hidden="1" outlineLevel="2">
      <c r="A152" s="68">
        <v>1</v>
      </c>
      <c r="B152" s="10"/>
      <c r="C152" s="10"/>
      <c r="D152" s="10"/>
      <c r="E152" s="10"/>
      <c r="F152" s="10"/>
      <c r="G152" s="10" t="str">
        <f>BatteryEWPOper</f>
        <v>DATC_BattEwpOpReq</v>
      </c>
      <c r="H152" s="10"/>
      <c r="I152" s="46" t="e">
        <f>VLOOKUP(C148,Tbl_Button_Display_ASSTS,73,FALSE)</f>
        <v>#REF!</v>
      </c>
      <c r="J152" s="10"/>
      <c r="K152" s="10"/>
      <c r="L152" s="10"/>
    </row>
    <row r="153" spans="1:12" ht="14.25" customHeight="1" outlineLevel="2">
      <c r="A153" s="70">
        <v>1</v>
      </c>
      <c r="B153" s="38" t="s">
        <v>142</v>
      </c>
      <c r="C153" s="38" t="s">
        <v>1268</v>
      </c>
      <c r="D153" s="38" t="str">
        <f>CONCATENATE(E154," = ",F154," Hysterisis 설정")</f>
        <v>Snr_P SIGNAL_COMP OUT(PSI)_IN = 120 Hysterisis 설정</v>
      </c>
      <c r="E153" s="38"/>
      <c r="F153" s="38"/>
      <c r="G153" s="38"/>
      <c r="H153" s="38"/>
      <c r="I153" s="38"/>
      <c r="J153" s="38"/>
      <c r="K153" s="38"/>
      <c r="L153" s="38"/>
    </row>
    <row r="154" spans="1:12" ht="14.25" hidden="1" outlineLevel="1">
      <c r="A154" s="68">
        <v>1</v>
      </c>
      <c r="B154" s="10"/>
      <c r="C154" s="10"/>
      <c r="D154" s="10"/>
      <c r="E154" s="99" t="str">
        <f>VLOOKUP(C153,Tbl_Button_Display_ASSTS,11,FALSE)</f>
        <v>Snr_P SIGNAL_COMP OUT(PSI)_IN</v>
      </c>
      <c r="F154" s="11">
        <f>VLOOKUP(C153,Tbl_Button_Display_ASSTS,12,FALSE)</f>
        <v>120</v>
      </c>
      <c r="G154" s="10"/>
      <c r="H154" s="10"/>
      <c r="I154" s="10"/>
      <c r="J154" s="14"/>
      <c r="K154" s="10"/>
      <c r="L154" s="10"/>
    </row>
    <row r="155" spans="1:12" ht="14.25" hidden="1" outlineLevel="2">
      <c r="A155" s="68">
        <v>1</v>
      </c>
      <c r="B155" s="10"/>
      <c r="C155" s="10"/>
      <c r="D155" s="10"/>
      <c r="E155" s="14" t="s">
        <v>5</v>
      </c>
      <c r="F155" s="11">
        <f>VLOOKUP(C153,Tbl_Button_Display_ASSTS,13,FALSE)</f>
        <v>5</v>
      </c>
      <c r="G155" s="10"/>
      <c r="H155" s="10"/>
      <c r="I155" s="10"/>
      <c r="J155" s="10"/>
      <c r="K155" s="10"/>
      <c r="L155" s="10"/>
    </row>
    <row r="156" spans="1:12" ht="14.25" hidden="1" outlineLevel="2">
      <c r="A156" s="68">
        <v>1</v>
      </c>
      <c r="B156" s="10"/>
      <c r="C156" s="10"/>
      <c r="D156" s="10"/>
      <c r="E156" s="10"/>
      <c r="F156" s="10"/>
      <c r="G156" s="10" t="str">
        <f>PeEwpRPMReq</f>
        <v>DATC_PeEwpRPMReq</v>
      </c>
      <c r="H156" s="10"/>
      <c r="I156" s="46" t="e">
        <f>VLOOKUP(C153,Tbl_Button_Display_ASSTS,76,FALSE)</f>
        <v>#REF!</v>
      </c>
      <c r="J156" s="10"/>
      <c r="K156" s="10"/>
      <c r="L156" s="10"/>
    </row>
    <row r="157" spans="1:12" ht="14.25" hidden="1" outlineLevel="2">
      <c r="A157" s="68">
        <v>1</v>
      </c>
      <c r="B157" s="10"/>
      <c r="C157" s="10"/>
      <c r="D157" s="10"/>
      <c r="E157" s="10"/>
      <c r="F157" s="10"/>
      <c r="G157" s="10" t="str">
        <f>BatteryEWPOper</f>
        <v>DATC_BattEwpOpReq</v>
      </c>
      <c r="H157" s="10"/>
      <c r="I157" s="46" t="e">
        <f>VLOOKUP(C153,Tbl_Button_Display_ASSTS,73,FALSE)</f>
        <v>#REF!</v>
      </c>
      <c r="J157" s="10"/>
      <c r="K157" s="10"/>
      <c r="L157" s="10"/>
    </row>
    <row r="158" spans="1:12" ht="13.35" customHeight="1" outlineLevel="2">
      <c r="A158" s="70">
        <v>1</v>
      </c>
      <c r="B158" s="38" t="s">
        <v>142</v>
      </c>
      <c r="C158" s="38" t="s">
        <v>1269</v>
      </c>
      <c r="D158" s="38" t="e">
        <f>CONCATENATE(E159," ",F159,"시, ",G161," = ",I161,", ",G162," = ",I162," 유지 확인")</f>
        <v>#REF!</v>
      </c>
      <c r="E158" s="38"/>
      <c r="F158" s="38"/>
      <c r="G158" s="38"/>
      <c r="H158" s="38"/>
      <c r="I158" s="38"/>
      <c r="J158" s="38"/>
      <c r="K158" s="38"/>
      <c r="L158" s="38"/>
    </row>
    <row r="159" spans="1:12" ht="14.25" hidden="1" outlineLevel="2">
      <c r="A159" s="68">
        <v>1</v>
      </c>
      <c r="B159" s="10"/>
      <c r="C159" s="10"/>
      <c r="D159" s="10"/>
      <c r="E159" s="99" t="str">
        <f>VLOOKUP(C158,Tbl_Button_Display_ASSTS,11,FALSE)</f>
        <v>System_Off_to_On</v>
      </c>
      <c r="F159" s="11" t="str">
        <f>VLOOKUP(C158,Tbl_Button_Display_ASSTS,12,FALSE)</f>
        <v xml:space="preserve"> </v>
      </c>
      <c r="G159" s="10"/>
      <c r="H159" s="10"/>
      <c r="I159" s="10"/>
      <c r="J159" s="14"/>
      <c r="K159" s="10"/>
      <c r="L159" s="10"/>
    </row>
    <row r="160" spans="1:12" ht="14.25" hidden="1" outlineLevel="2">
      <c r="A160" s="68">
        <v>1</v>
      </c>
      <c r="B160" s="10"/>
      <c r="C160" s="10"/>
      <c r="D160" s="10"/>
      <c r="E160" s="14" t="s">
        <v>5</v>
      </c>
      <c r="F160" s="11">
        <f>VLOOKUP(C158,Tbl_Button_Display_ASSTS,13,FALSE)</f>
        <v>5</v>
      </c>
      <c r="G160" s="10"/>
      <c r="H160" s="10"/>
      <c r="I160" s="10"/>
      <c r="J160" s="14"/>
      <c r="K160" s="10"/>
      <c r="L160" s="10"/>
    </row>
    <row r="161" spans="1:12" ht="14.25" hidden="1" outlineLevel="2">
      <c r="A161" s="68">
        <v>1</v>
      </c>
      <c r="B161" s="10"/>
      <c r="C161" s="10"/>
      <c r="D161" s="10"/>
      <c r="E161" s="10"/>
      <c r="F161" s="10"/>
      <c r="G161" s="10" t="str">
        <f>PeEwpRPMReq</f>
        <v>DATC_PeEwpRPMReq</v>
      </c>
      <c r="H161" s="10"/>
      <c r="I161" s="46" t="e">
        <f>VLOOKUP(C158,Tbl_Button_Display_ASSTS,76,FALSE)</f>
        <v>#REF!</v>
      </c>
      <c r="J161" s="10"/>
      <c r="K161" s="10"/>
      <c r="L161" s="10"/>
    </row>
    <row r="162" spans="1:12" ht="14.25" hidden="1" outlineLevel="2">
      <c r="A162" s="68">
        <v>1</v>
      </c>
      <c r="B162" s="10"/>
      <c r="C162" s="10"/>
      <c r="D162" s="10"/>
      <c r="E162" s="10"/>
      <c r="F162" s="10"/>
      <c r="G162" s="10" t="str">
        <f>BatteryEWPOper</f>
        <v>DATC_BattEwpOpReq</v>
      </c>
      <c r="H162" s="10"/>
      <c r="I162" s="46" t="e">
        <f>VLOOKUP(C158,Tbl_Button_Display_ASSTS,73,FALSE)</f>
        <v>#REF!</v>
      </c>
      <c r="J162" s="10"/>
      <c r="K162" s="10"/>
      <c r="L162" s="10"/>
    </row>
    <row r="163" spans="1:12" ht="14.25" customHeight="1" outlineLevel="2">
      <c r="A163" s="70">
        <v>1</v>
      </c>
      <c r="B163" s="38" t="s">
        <v>142</v>
      </c>
      <c r="C163" s="38" t="s">
        <v>1270</v>
      </c>
      <c r="D163" s="38" t="e">
        <f>CONCATENATE(E164," ",F164,"시, ",G166," = ",I166,", ",G167," = ",I167," 출력 확인")</f>
        <v>#REF!</v>
      </c>
      <c r="E163" s="38"/>
      <c r="F163" s="38"/>
      <c r="G163" s="38"/>
      <c r="H163" s="38"/>
      <c r="I163" s="38"/>
      <c r="J163" s="38"/>
      <c r="K163" s="38"/>
      <c r="L163" s="38"/>
    </row>
    <row r="164" spans="1:12" ht="14.25" hidden="1" outlineLevel="2">
      <c r="A164" s="68">
        <v>1</v>
      </c>
      <c r="B164" s="10"/>
      <c r="C164" s="10"/>
      <c r="D164" s="10"/>
      <c r="E164" s="99" t="str">
        <f>VLOOKUP(C163,Tbl_Button_Display_ASSTS,11,FALSE)</f>
        <v>IGN2,3_Off_to_On</v>
      </c>
      <c r="F164" s="11" t="str">
        <f>VLOOKUP(C163,Tbl_Button_Display_ASSTS,12,FALSE)</f>
        <v xml:space="preserve"> </v>
      </c>
      <c r="G164" s="10"/>
      <c r="H164" s="10"/>
      <c r="I164" s="10"/>
      <c r="J164" s="14"/>
      <c r="K164" s="10"/>
      <c r="L164" s="10"/>
    </row>
    <row r="165" spans="1:12" ht="14.25" hidden="1" outlineLevel="2">
      <c r="A165" s="68">
        <v>1</v>
      </c>
      <c r="B165" s="10"/>
      <c r="C165" s="10"/>
      <c r="D165" s="10"/>
      <c r="E165" s="14" t="s">
        <v>5</v>
      </c>
      <c r="F165" s="11">
        <f>VLOOKUP(C163,Tbl_Button_Display_ASSTS,13,FALSE)</f>
        <v>5</v>
      </c>
      <c r="G165" s="10"/>
      <c r="H165" s="10"/>
      <c r="I165" s="10"/>
      <c r="J165" s="14"/>
      <c r="K165" s="10"/>
      <c r="L165" s="10"/>
    </row>
    <row r="166" spans="1:12" ht="14.25" hidden="1" outlineLevel="1">
      <c r="A166" s="68">
        <v>1</v>
      </c>
      <c r="B166" s="10"/>
      <c r="C166" s="10"/>
      <c r="D166" s="10"/>
      <c r="E166" s="10"/>
      <c r="F166" s="10"/>
      <c r="G166" s="10" t="str">
        <f>PeEwpRPMReq</f>
        <v>DATC_PeEwpRPMReq</v>
      </c>
      <c r="H166" s="10"/>
      <c r="I166" s="46" t="e">
        <f>VLOOKUP(C163,Tbl_Button_Display_ASSTS,76,FALSE)</f>
        <v>#REF!</v>
      </c>
      <c r="J166" s="10"/>
      <c r="K166" s="10"/>
      <c r="L166" s="10"/>
    </row>
    <row r="167" spans="1:12" ht="14.25" hidden="1" outlineLevel="2">
      <c r="A167" s="68">
        <v>1</v>
      </c>
      <c r="B167" s="10"/>
      <c r="C167" s="10"/>
      <c r="D167" s="10"/>
      <c r="E167" s="10"/>
      <c r="F167" s="10"/>
      <c r="G167" s="10" t="str">
        <f>BatteryEWPOper</f>
        <v>DATC_BattEwpOpReq</v>
      </c>
      <c r="H167" s="10"/>
      <c r="I167" s="46" t="e">
        <f>VLOOKUP(C163,Tbl_Button_Display_ASSTS,73,FALSE)</f>
        <v>#REF!</v>
      </c>
      <c r="J167" s="10"/>
      <c r="K167" s="10"/>
      <c r="L167" s="10"/>
    </row>
    <row r="168" spans="1:12" ht="14.25" customHeight="1" outlineLevel="2">
      <c r="A168" s="70">
        <v>1</v>
      </c>
      <c r="B168" s="38" t="s">
        <v>142</v>
      </c>
      <c r="C168" s="38" t="s">
        <v>1271</v>
      </c>
      <c r="D168" s="38" t="str">
        <f>CONCATENATE(E169," = ",F169," Hysterisis 설정")</f>
        <v>Snr_P SIGNAL_COMP OUT(PSI)_IN = 65 Hysterisis 설정</v>
      </c>
      <c r="E168" s="38"/>
      <c r="F168" s="38"/>
      <c r="G168" s="38"/>
      <c r="H168" s="38"/>
      <c r="I168" s="38"/>
      <c r="J168" s="38"/>
      <c r="K168" s="38"/>
      <c r="L168" s="38"/>
    </row>
    <row r="169" spans="1:12" ht="14.25" hidden="1" outlineLevel="2">
      <c r="A169" s="68">
        <v>1</v>
      </c>
      <c r="B169" s="10"/>
      <c r="C169" s="10"/>
      <c r="D169" s="10"/>
      <c r="E169" s="99" t="str">
        <f>VLOOKUP(C168,Tbl_Button_Display_ASSTS,11,FALSE)</f>
        <v>Snr_P SIGNAL_COMP OUT(PSI)_IN</v>
      </c>
      <c r="F169" s="11">
        <f>VLOOKUP(C168,Tbl_Button_Display_ASSTS,12,FALSE)</f>
        <v>65</v>
      </c>
      <c r="G169" s="10"/>
      <c r="H169" s="10"/>
      <c r="I169" s="10"/>
      <c r="J169" s="14"/>
      <c r="K169" s="10"/>
      <c r="L169" s="10"/>
    </row>
    <row r="170" spans="1:12" ht="14.25" hidden="1" outlineLevel="2">
      <c r="A170" s="68">
        <v>1</v>
      </c>
      <c r="B170" s="10"/>
      <c r="C170" s="10"/>
      <c r="D170" s="10"/>
      <c r="E170" s="14" t="s">
        <v>5</v>
      </c>
      <c r="F170" s="11">
        <f>VLOOKUP(C168,Tbl_Button_Display_ASSTS,13,FALSE)</f>
        <v>5</v>
      </c>
      <c r="G170" s="10"/>
      <c r="H170" s="10"/>
      <c r="I170" s="10"/>
      <c r="J170" s="14"/>
      <c r="K170" s="10"/>
      <c r="L170" s="10"/>
    </row>
    <row r="171" spans="1:12" ht="14.25" hidden="1">
      <c r="A171" s="68">
        <v>1</v>
      </c>
      <c r="B171" s="10"/>
      <c r="C171" s="10"/>
      <c r="D171" s="10"/>
      <c r="E171" s="10"/>
      <c r="F171" s="10"/>
      <c r="G171" s="10" t="str">
        <f>PeEwpRPMReq</f>
        <v>DATC_PeEwpRPMReq</v>
      </c>
      <c r="H171" s="10"/>
      <c r="I171" s="46" t="e">
        <f>VLOOKUP(C168,Tbl_Button_Display_ASSTS,76,FALSE)</f>
        <v>#REF!</v>
      </c>
      <c r="J171" s="10"/>
      <c r="K171" s="10"/>
      <c r="L171" s="10"/>
    </row>
    <row r="172" spans="1:12" ht="14.25" hidden="1" collapsed="1">
      <c r="A172" s="68">
        <v>1</v>
      </c>
      <c r="B172" s="10"/>
      <c r="C172" s="10"/>
      <c r="D172" s="10"/>
      <c r="E172" s="10"/>
      <c r="F172" s="10"/>
      <c r="G172" s="10" t="str">
        <f>BatteryEWPOper</f>
        <v>DATC_BattEwpOpReq</v>
      </c>
      <c r="H172" s="10"/>
      <c r="I172" s="46" t="e">
        <f>VLOOKUP(C168,Tbl_Button_Display_ASSTS,73,FALSE)</f>
        <v>#REF!</v>
      </c>
      <c r="J172" s="10"/>
      <c r="K172" s="10"/>
      <c r="L172" s="10"/>
    </row>
    <row r="173" spans="1:12" ht="14.25" customHeight="1" outlineLevel="1">
      <c r="A173" s="70">
        <v>1</v>
      </c>
      <c r="B173" s="38" t="s">
        <v>142</v>
      </c>
      <c r="C173" s="38" t="s">
        <v>1272</v>
      </c>
      <c r="D173" s="38" t="e">
        <f>CONCATENATE(E174," ",F174,"시, ",G176," = ",I176,", ",G177," = ",I177," 유지 확인")</f>
        <v>#REF!</v>
      </c>
      <c r="E173" s="38"/>
      <c r="F173" s="38"/>
      <c r="G173" s="38"/>
      <c r="H173" s="38"/>
      <c r="I173" s="38"/>
      <c r="J173" s="38"/>
      <c r="K173" s="38"/>
      <c r="L173" s="38"/>
    </row>
    <row r="174" spans="1:12" ht="14.25" hidden="1" outlineLevel="2">
      <c r="A174" s="68">
        <v>1</v>
      </c>
      <c r="B174" s="10"/>
      <c r="C174" s="10"/>
      <c r="D174" s="10"/>
      <c r="E174" s="99" t="str">
        <f>VLOOKUP(C173,Tbl_Button_Display_ASSTS,11,FALSE)</f>
        <v>System_Off_to_On</v>
      </c>
      <c r="F174" s="11" t="str">
        <f>VLOOKUP(C173,Tbl_Button_Display_ASSTS,12,FALSE)</f>
        <v xml:space="preserve"> </v>
      </c>
      <c r="G174" s="10"/>
      <c r="H174" s="10"/>
      <c r="I174" s="10"/>
      <c r="J174" s="14"/>
      <c r="K174" s="10"/>
      <c r="L174" s="10"/>
    </row>
    <row r="175" spans="1:12" ht="14.25" hidden="1" outlineLevel="2">
      <c r="A175" s="68">
        <v>1</v>
      </c>
      <c r="B175" s="10"/>
      <c r="C175" s="10"/>
      <c r="D175" s="10"/>
      <c r="E175" s="14" t="s">
        <v>5</v>
      </c>
      <c r="F175" s="11">
        <f>VLOOKUP(C173,Tbl_Button_Display_ASSTS,13,FALSE)</f>
        <v>5</v>
      </c>
      <c r="G175" s="10"/>
      <c r="H175" s="10"/>
      <c r="I175" s="10"/>
      <c r="J175" s="14"/>
      <c r="K175" s="10"/>
      <c r="L175" s="10"/>
    </row>
    <row r="176" spans="1:12" ht="14.25" hidden="1" outlineLevel="2">
      <c r="A176" s="68">
        <v>1</v>
      </c>
      <c r="B176" s="10"/>
      <c r="C176" s="10"/>
      <c r="D176" s="10"/>
      <c r="E176" s="10"/>
      <c r="F176" s="10"/>
      <c r="G176" s="10" t="str">
        <f>PeEwpRPMReq</f>
        <v>DATC_PeEwpRPMReq</v>
      </c>
      <c r="H176" s="10"/>
      <c r="I176" s="46" t="e">
        <f>VLOOKUP(C173,Tbl_Button_Display_ASSTS,76,FALSE)</f>
        <v>#REF!</v>
      </c>
      <c r="J176" s="10"/>
      <c r="K176" s="10"/>
      <c r="L176" s="10"/>
    </row>
    <row r="177" spans="1:12" ht="14.25" hidden="1" outlineLevel="2">
      <c r="A177" s="68">
        <v>1</v>
      </c>
      <c r="B177" s="10"/>
      <c r="C177" s="10"/>
      <c r="D177" s="10"/>
      <c r="E177" s="10"/>
      <c r="F177" s="10"/>
      <c r="G177" s="10" t="str">
        <f>BatteryEWPOper</f>
        <v>DATC_BattEwpOpReq</v>
      </c>
      <c r="H177" s="10"/>
      <c r="I177" s="46" t="e">
        <f>VLOOKUP(C173,Tbl_Button_Display_ASSTS,73,FALSE)</f>
        <v>#REF!</v>
      </c>
      <c r="J177" s="10"/>
      <c r="K177" s="10"/>
      <c r="L177" s="10"/>
    </row>
    <row r="178" spans="1:12" ht="14.25" customHeight="1" outlineLevel="2">
      <c r="A178" s="70">
        <v>1</v>
      </c>
      <c r="B178" s="38" t="s">
        <v>142</v>
      </c>
      <c r="C178" s="38" t="s">
        <v>1273</v>
      </c>
      <c r="D178" s="38" t="e">
        <f>CONCATENATE(E179," ",F179,"시, ",G181," = ",I181,", ",G182," = ",I182," 출력 확인")</f>
        <v>#REF!</v>
      </c>
      <c r="E178" s="38"/>
      <c r="F178" s="38"/>
      <c r="G178" s="38"/>
      <c r="H178" s="38"/>
      <c r="I178" s="38"/>
      <c r="J178" s="38"/>
      <c r="K178" s="38"/>
      <c r="L178" s="38"/>
    </row>
    <row r="179" spans="1:12" ht="14.25" hidden="1" outlineLevel="2">
      <c r="A179" s="68">
        <v>1</v>
      </c>
      <c r="B179" s="10"/>
      <c r="C179" s="10"/>
      <c r="D179" s="10"/>
      <c r="E179" s="99" t="str">
        <f>VLOOKUP(C178,Tbl_Button_Display_ASSTS,11,FALSE)</f>
        <v>IGN2,3_Off_to_On</v>
      </c>
      <c r="F179" s="11" t="str">
        <f>VLOOKUP(C178,Tbl_Button_Display_ASSTS,12,FALSE)</f>
        <v xml:space="preserve"> </v>
      </c>
      <c r="G179" s="10"/>
      <c r="H179" s="10"/>
      <c r="I179" s="10"/>
      <c r="J179" s="14"/>
      <c r="K179" s="10"/>
      <c r="L179" s="10"/>
    </row>
    <row r="180" spans="1:12" ht="14.25" hidden="1" outlineLevel="2">
      <c r="A180" s="68">
        <v>1</v>
      </c>
      <c r="B180" s="10"/>
      <c r="C180" s="10"/>
      <c r="D180" s="10"/>
      <c r="E180" s="14" t="s">
        <v>5</v>
      </c>
      <c r="F180" s="11">
        <f>VLOOKUP(C178,Tbl_Button_Display_ASSTS,13,FALSE)</f>
        <v>5</v>
      </c>
      <c r="G180" s="10"/>
      <c r="H180" s="10"/>
      <c r="I180" s="10"/>
      <c r="J180" s="10"/>
      <c r="K180" s="10"/>
      <c r="L180" s="10"/>
    </row>
    <row r="181" spans="1:12" ht="14.25" hidden="1" outlineLevel="2">
      <c r="A181" s="68">
        <v>1</v>
      </c>
      <c r="B181" s="10"/>
      <c r="C181" s="10"/>
      <c r="D181" s="10"/>
      <c r="E181" s="10"/>
      <c r="F181" s="10"/>
      <c r="G181" s="10" t="str">
        <f>PeEwpRPMReq</f>
        <v>DATC_PeEwpRPMReq</v>
      </c>
      <c r="H181" s="10"/>
      <c r="I181" s="46" t="e">
        <f>VLOOKUP(C178,Tbl_Button_Display_ASSTS,76,FALSE)</f>
        <v>#REF!</v>
      </c>
      <c r="J181" s="10"/>
      <c r="K181" s="10"/>
      <c r="L181" s="10"/>
    </row>
    <row r="182" spans="1:12" ht="14.25" hidden="1" outlineLevel="2">
      <c r="A182" s="68">
        <v>1</v>
      </c>
      <c r="B182" s="10"/>
      <c r="C182" s="10"/>
      <c r="D182" s="10"/>
      <c r="E182" s="10"/>
      <c r="F182" s="10"/>
      <c r="G182" s="10" t="str">
        <f>BatteryEWPOper</f>
        <v>DATC_BattEwpOpReq</v>
      </c>
      <c r="H182" s="10"/>
      <c r="I182" s="46" t="e">
        <f>VLOOKUP(C178,Tbl_Button_Display_ASSTS,73,FALSE)</f>
        <v>#REF!</v>
      </c>
      <c r="J182" s="10"/>
      <c r="K182" s="10"/>
      <c r="L182" s="10"/>
    </row>
    <row r="183" spans="1:12" ht="14.25" customHeight="1" outlineLevel="2">
      <c r="A183" s="69">
        <v>1</v>
      </c>
      <c r="B183" s="37" t="s">
        <v>143</v>
      </c>
      <c r="C183" s="37" t="s">
        <v>1183</v>
      </c>
      <c r="D183" s="37" t="str">
        <f>VLOOKUP(C183,Tbl_Button_Display_ASSTS, 2,FALSE)</f>
        <v>진입 / 해제 조건 - A/C 모드 or 배터리 쿨링 요청시 / A/C 모드외 and 배터리 쿨링 미요청시</v>
      </c>
      <c r="E183" s="37"/>
      <c r="F183" s="37"/>
      <c r="G183" s="37"/>
      <c r="H183" s="37"/>
      <c r="I183" s="37"/>
      <c r="J183" s="37"/>
      <c r="K183" s="37"/>
      <c r="L183" s="37"/>
    </row>
    <row r="184" spans="1:12" ht="16.5" customHeight="1" outlineLevel="2">
      <c r="A184" s="103">
        <v>1</v>
      </c>
      <c r="B184" s="104" t="s">
        <v>38</v>
      </c>
      <c r="C184" s="104" t="s">
        <v>1184</v>
      </c>
      <c r="D184" s="104" t="s">
        <v>1254</v>
      </c>
      <c r="E184" s="104"/>
      <c r="F184" s="104"/>
      <c r="G184" s="104"/>
      <c r="H184" s="104"/>
      <c r="I184" s="104"/>
      <c r="J184" s="104"/>
      <c r="K184" s="104"/>
      <c r="L184" s="104"/>
    </row>
    <row r="185" spans="1:12" ht="14.25" hidden="1" outlineLevel="2">
      <c r="A185" s="68">
        <v>1</v>
      </c>
      <c r="B185" s="10"/>
      <c r="C185" s="10"/>
      <c r="D185" s="10"/>
      <c r="E185" s="99" t="str">
        <f>VLOOKUP(C184,Tbl_Button_Display_ASSTS,11,FALSE)</f>
        <v>Snr_P SIGNAL_COMP OUT(PSI)_IN</v>
      </c>
      <c r="F185" s="11">
        <f>VLOOKUP(C184,Tbl_Button_Display_ASSTS,12,FALSE)</f>
        <v>235</v>
      </c>
      <c r="G185" s="10"/>
      <c r="H185" s="10"/>
      <c r="I185" s="10"/>
      <c r="J185" s="10"/>
      <c r="K185" s="10"/>
      <c r="L185" s="10"/>
    </row>
    <row r="186" spans="1:12" ht="14.25" hidden="1" outlineLevel="1">
      <c r="A186" s="68">
        <v>1</v>
      </c>
      <c r="B186" s="10"/>
      <c r="C186" s="10"/>
      <c r="D186" s="10"/>
      <c r="E186" s="14" t="s">
        <v>5</v>
      </c>
      <c r="F186" s="11">
        <f>VLOOKUP(C184,Tbl_Button_Display_ASSTS,13,FALSE)</f>
        <v>10</v>
      </c>
      <c r="G186" s="10"/>
      <c r="H186" s="10"/>
      <c r="I186" s="10"/>
      <c r="J186" s="10"/>
      <c r="K186" s="10"/>
      <c r="L186" s="10"/>
    </row>
    <row r="187" spans="1:12" ht="14.25" hidden="1" outlineLevel="2">
      <c r="A187" s="68">
        <v>1</v>
      </c>
      <c r="B187" s="10"/>
      <c r="C187" s="10"/>
      <c r="D187" s="10"/>
      <c r="E187" s="10"/>
      <c r="F187" s="10"/>
      <c r="G187" s="10" t="e">
        <f>AcDisp</f>
        <v>#NAME?</v>
      </c>
      <c r="H187" s="10"/>
      <c r="I187" s="12" t="str">
        <f>VLOOKUP(C184,Tbl_Button_Display_ASSTS,31,FALSE)</f>
        <v>On</v>
      </c>
      <c r="J187" s="10"/>
      <c r="K187" s="10"/>
      <c r="L187" s="10"/>
    </row>
    <row r="188" spans="1:12" ht="14.25" hidden="1" outlineLevel="2">
      <c r="A188" s="68">
        <v>1</v>
      </c>
      <c r="B188" s="10"/>
      <c r="C188" s="10"/>
      <c r="D188" s="10"/>
      <c r="E188" s="10"/>
      <c r="F188" s="83"/>
      <c r="G188" s="10" t="str">
        <f>HP_ModSta</f>
        <v>DATC_HtrPmpModSta</v>
      </c>
      <c r="H188" s="47" t="e">
        <f>VLOOKUP(C184,Tbl_Button_Display_ASSTS,71,FALSE)</f>
        <v>#REF!</v>
      </c>
      <c r="I188" s="45" t="e">
        <f>(IF(H188="","",VLOOKUP(H188,Tbl_HP_Cycle,2,FALSE)))</f>
        <v>#REF!</v>
      </c>
      <c r="J188" s="10"/>
      <c r="K188" s="10"/>
      <c r="L188" s="10"/>
    </row>
    <row r="189" spans="1:12" ht="14.25" hidden="1" outlineLevel="2">
      <c r="A189" s="68">
        <v>1</v>
      </c>
      <c r="B189" s="10"/>
      <c r="C189" s="10"/>
      <c r="D189" s="10"/>
      <c r="E189" s="10"/>
      <c r="F189" s="10"/>
      <c r="G189" s="10" t="str">
        <f>PeEwpRPMReq</f>
        <v>DATC_PeEwpRPMReq</v>
      </c>
      <c r="H189" s="10"/>
      <c r="I189" s="12" t="e">
        <f>VLOOKUP(C184,Tbl_Button_Display_ASSTS,76,FALSE)</f>
        <v>#REF!</v>
      </c>
      <c r="J189" s="10"/>
      <c r="K189" s="10"/>
      <c r="L189" s="10"/>
    </row>
    <row r="190" spans="1:12" ht="14.25" hidden="1" outlineLevel="2">
      <c r="A190" s="68">
        <v>1</v>
      </c>
      <c r="B190" s="10"/>
      <c r="C190" s="10"/>
      <c r="D190" s="10"/>
      <c r="E190" s="10"/>
      <c r="F190" s="10"/>
      <c r="G190" s="10" t="str">
        <f>BatteryEWPOper</f>
        <v>DATC_BattEwpOpReq</v>
      </c>
      <c r="H190" s="10"/>
      <c r="I190" s="12" t="e">
        <f>VLOOKUP(C184,Tbl_Button_Display_ASSTS,73,FALSE)</f>
        <v>#REF!</v>
      </c>
      <c r="J190" s="10"/>
      <c r="K190" s="10"/>
      <c r="L190" s="10"/>
    </row>
    <row r="191" spans="1:12" ht="14.25" customHeight="1" outlineLevel="2">
      <c r="A191" s="70">
        <v>1</v>
      </c>
      <c r="B191" s="38" t="s">
        <v>142</v>
      </c>
      <c r="C191" s="38" t="s">
        <v>1185</v>
      </c>
      <c r="D191" s="38" t="e">
        <f>CONCATENATE(I195," 모드 일 때, ",G196," = ",I196,"rpm, ",G197," = ",I197,"rpm 출력 확인")</f>
        <v>#REF!</v>
      </c>
      <c r="E191" s="38"/>
      <c r="F191" s="38"/>
      <c r="G191" s="38"/>
      <c r="H191" s="38"/>
      <c r="I191" s="38"/>
      <c r="J191" s="38"/>
      <c r="K191" s="38"/>
      <c r="L191" s="38"/>
    </row>
    <row r="192" spans="1:12" ht="14.25" hidden="1" outlineLevel="2">
      <c r="A192" s="68">
        <v>1</v>
      </c>
      <c r="B192" s="10"/>
      <c r="C192" s="10"/>
      <c r="D192" s="10"/>
      <c r="E192" s="99" t="str">
        <f>VLOOKUP(C191,Tbl_Button_Display_ASSTS,11,FALSE)</f>
        <v>Sw_AC</v>
      </c>
      <c r="F192" s="11">
        <f>VLOOKUP(C191,Tbl_Button_Display_ASSTS,12,FALSE)</f>
        <v>1</v>
      </c>
      <c r="G192" s="10"/>
      <c r="H192" s="10"/>
      <c r="I192" s="10"/>
      <c r="J192" s="14"/>
      <c r="K192" s="10"/>
      <c r="L192" s="10"/>
    </row>
    <row r="193" spans="1:12" ht="14.25" hidden="1" outlineLevel="1">
      <c r="A193" s="68">
        <v>1</v>
      </c>
      <c r="B193" s="10"/>
      <c r="C193" s="10"/>
      <c r="D193" s="10"/>
      <c r="E193" s="14" t="s">
        <v>5</v>
      </c>
      <c r="F193" s="11">
        <f>VLOOKUP(C191,Tbl_Button_Display_ASSTS,13,FALSE)</f>
        <v>2</v>
      </c>
      <c r="G193" s="10"/>
      <c r="H193" s="10"/>
      <c r="I193" s="10"/>
      <c r="J193" s="10"/>
      <c r="K193" s="10"/>
      <c r="L193" s="10"/>
    </row>
    <row r="194" spans="1:12" ht="14.25" hidden="1" outlineLevel="2">
      <c r="A194" s="68">
        <v>1</v>
      </c>
      <c r="B194" s="10"/>
      <c r="C194" s="10"/>
      <c r="D194" s="10"/>
      <c r="E194" s="10"/>
      <c r="F194" s="10"/>
      <c r="G194" s="10" t="e">
        <f>AcDisp</f>
        <v>#NAME?</v>
      </c>
      <c r="H194" s="10"/>
      <c r="I194" s="12" t="str">
        <f>VLOOKUP(C191,Tbl_Button_Display_ASSTS,31,FALSE)</f>
        <v>Off</v>
      </c>
      <c r="J194" s="10"/>
      <c r="K194" s="10"/>
      <c r="L194" s="10"/>
    </row>
    <row r="195" spans="1:12" ht="14.25" hidden="1" outlineLevel="2">
      <c r="A195" s="68">
        <v>1</v>
      </c>
      <c r="B195" s="10"/>
      <c r="C195" s="10"/>
      <c r="D195" s="10"/>
      <c r="E195" s="10"/>
      <c r="F195" s="83"/>
      <c r="G195" s="10" t="str">
        <f>HP_ModSta</f>
        <v>DATC_HtrPmpModSta</v>
      </c>
      <c r="H195" s="47" t="e">
        <f>VLOOKUP(C191,Tbl_Button_Display_ASSTS,71,FALSE)</f>
        <v>#REF!</v>
      </c>
      <c r="I195" s="45" t="e">
        <f>(IF(H195="","",VLOOKUP(H195,Tbl_HP_Cycle,2,FALSE)))</f>
        <v>#REF!</v>
      </c>
      <c r="J195" s="10"/>
      <c r="K195" s="10"/>
      <c r="L195" s="10"/>
    </row>
    <row r="196" spans="1:12" ht="14.25" hidden="1" outlineLevel="2">
      <c r="A196" s="68">
        <v>1</v>
      </c>
      <c r="B196" s="10"/>
      <c r="C196" s="10"/>
      <c r="D196" s="10"/>
      <c r="E196" s="10"/>
      <c r="F196" s="10"/>
      <c r="G196" s="10" t="str">
        <f>PeEwpRPMReq</f>
        <v>DATC_PeEwpRPMReq</v>
      </c>
      <c r="H196" s="10"/>
      <c r="I196" s="46" t="e">
        <f>VLOOKUP(C191,Tbl_Button_Display_ASSTS,76,FALSE)</f>
        <v>#REF!</v>
      </c>
      <c r="J196" s="10"/>
      <c r="K196" s="10"/>
      <c r="L196" s="10"/>
    </row>
    <row r="197" spans="1:12" ht="14.25" hidden="1" outlineLevel="2">
      <c r="A197" s="68">
        <v>1</v>
      </c>
      <c r="B197" s="10"/>
      <c r="C197" s="10"/>
      <c r="D197" s="10"/>
      <c r="E197" s="10"/>
      <c r="F197" s="10"/>
      <c r="G197" s="10" t="str">
        <f>BatteryEWPOper</f>
        <v>DATC_BattEwpOpReq</v>
      </c>
      <c r="H197" s="10"/>
      <c r="I197" s="46" t="e">
        <f>VLOOKUP(C191,Tbl_Button_Display_ASSTS,73,FALSE)</f>
        <v>#REF!</v>
      </c>
      <c r="J197" s="10"/>
      <c r="K197" s="10"/>
      <c r="L197" s="10"/>
    </row>
    <row r="198" spans="1:12" ht="13.35" customHeight="1" outlineLevel="2">
      <c r="A198" s="70">
        <v>1</v>
      </c>
      <c r="B198" s="38" t="s">
        <v>142</v>
      </c>
      <c r="C198" s="38" t="s">
        <v>1186</v>
      </c>
      <c r="D198" s="38" t="e">
        <f>CONCATENATE(E199," = ",F199," 설정 시, ",G202," = ",I202,"rpm, ",G203," = ",I203,"rpm 출력 확인")</f>
        <v>#REF!</v>
      </c>
      <c r="E198" s="38"/>
      <c r="F198" s="38"/>
      <c r="G198" s="38"/>
      <c r="H198" s="38"/>
      <c r="I198" s="38"/>
      <c r="J198" s="38"/>
      <c r="K198" s="38"/>
      <c r="L198" s="38"/>
    </row>
    <row r="199" spans="1:12" ht="14.25" hidden="1" outlineLevel="2">
      <c r="A199" s="68">
        <v>1</v>
      </c>
      <c r="B199" s="10"/>
      <c r="C199" s="10"/>
      <c r="D199" s="10"/>
      <c r="E199" s="99" t="str">
        <f>VLOOKUP(C198,Tbl_Button_Display_ASSTS,11,FALSE)</f>
        <v>VCU_BatChllrTgtRpm</v>
      </c>
      <c r="F199" s="11">
        <f>VLOOKUP(C198,Tbl_Button_Display_ASSTS,12,FALSE)</f>
        <v>1000</v>
      </c>
      <c r="G199" s="10"/>
      <c r="H199" s="10"/>
      <c r="I199" s="10"/>
      <c r="J199" s="14"/>
      <c r="K199" s="10"/>
      <c r="L199" s="10"/>
    </row>
    <row r="200" spans="1:12" ht="14.25" hidden="1">
      <c r="A200" s="68">
        <v>1</v>
      </c>
      <c r="B200" s="10"/>
      <c r="C200" s="10"/>
      <c r="D200" s="10"/>
      <c r="E200" s="14" t="s">
        <v>5</v>
      </c>
      <c r="F200" s="11">
        <f>VLOOKUP(C198,Tbl_Button_Display_ASSTS,13,FALSE)</f>
        <v>5</v>
      </c>
      <c r="G200" s="10"/>
      <c r="H200" s="10"/>
      <c r="I200" s="10"/>
      <c r="J200" s="14"/>
      <c r="K200" s="10"/>
      <c r="L200" s="10"/>
    </row>
    <row r="201" spans="1:12" ht="14.25" hidden="1" collapsed="1">
      <c r="A201" s="68">
        <v>1</v>
      </c>
      <c r="B201" s="10"/>
      <c r="C201" s="10"/>
      <c r="D201" s="10"/>
      <c r="E201" s="10"/>
      <c r="F201" s="83"/>
      <c r="G201" s="10" t="str">
        <f>HP_ModSta</f>
        <v>DATC_HtrPmpModSta</v>
      </c>
      <c r="H201" s="47" t="e">
        <f>VLOOKUP(C198,Tbl_Button_Display_ASSTS,71,FALSE)</f>
        <v>#REF!</v>
      </c>
      <c r="I201" s="45" t="e">
        <f>(IF(H201="","",VLOOKUP(H201,Tbl_HP_Cycle,2,FALSE)))</f>
        <v>#REF!</v>
      </c>
      <c r="J201" s="10"/>
      <c r="K201" s="10"/>
      <c r="L201" s="10"/>
    </row>
    <row r="202" spans="1:12" ht="14.25" hidden="1" outlineLevel="1">
      <c r="A202" s="68">
        <v>1</v>
      </c>
      <c r="B202" s="10"/>
      <c r="C202" s="10"/>
      <c r="D202" s="10"/>
      <c r="E202" s="10"/>
      <c r="F202" s="10"/>
      <c r="G202" s="10" t="str">
        <f>PeEwpRPMReq</f>
        <v>DATC_PeEwpRPMReq</v>
      </c>
      <c r="H202" s="10"/>
      <c r="I202" s="46" t="e">
        <f>VLOOKUP(C198,Tbl_Button_Display_ASSTS,76,FALSE)</f>
        <v>#REF!</v>
      </c>
      <c r="J202" s="10"/>
      <c r="K202" s="10"/>
      <c r="L202" s="10"/>
    </row>
    <row r="203" spans="1:12" ht="14.25" hidden="1" outlineLevel="2">
      <c r="A203" s="68">
        <v>1</v>
      </c>
      <c r="B203" s="10"/>
      <c r="C203" s="10"/>
      <c r="D203" s="10"/>
      <c r="E203" s="10"/>
      <c r="F203" s="10"/>
      <c r="G203" s="10" t="str">
        <f>BatteryEWPOper</f>
        <v>DATC_BattEwpOpReq</v>
      </c>
      <c r="H203" s="10"/>
      <c r="I203" s="46" t="e">
        <f>VLOOKUP(C198,Tbl_Button_Display_ASSTS,73,FALSE)</f>
        <v>#REF!</v>
      </c>
      <c r="J203" s="10"/>
      <c r="K203" s="10"/>
      <c r="L203" s="10"/>
    </row>
    <row r="204" spans="1:12" ht="14.25" customHeight="1" outlineLevel="2">
      <c r="A204" s="70">
        <v>1</v>
      </c>
      <c r="B204" s="38" t="s">
        <v>142</v>
      </c>
      <c r="C204" s="38" t="s">
        <v>1187</v>
      </c>
      <c r="D204" s="38" t="e">
        <f>CONCATENATE(E205," = ",F205," 설정 시, ",G208," = ",I208,"rpm, ",G209," = ",I209,"rpm 출력 확인")</f>
        <v>#REF!</v>
      </c>
      <c r="E204" s="38"/>
      <c r="F204" s="38"/>
      <c r="G204" s="38"/>
      <c r="H204" s="38"/>
      <c r="I204" s="38"/>
      <c r="J204" s="38"/>
      <c r="K204" s="38"/>
      <c r="L204" s="38"/>
    </row>
    <row r="205" spans="1:12" ht="14.25" hidden="1" outlineLevel="2">
      <c r="A205" s="68">
        <v>1</v>
      </c>
      <c r="B205" s="10"/>
      <c r="C205" s="10"/>
      <c r="D205" s="10"/>
      <c r="E205" s="99" t="str">
        <f>VLOOKUP(C204,Tbl_Button_Display_ASSTS,11,FALSE)</f>
        <v>VCU_BatChllrTgtRpm</v>
      </c>
      <c r="F205" s="11">
        <f>VLOOKUP(C204,Tbl_Button_Display_ASSTS,12,FALSE)</f>
        <v>0</v>
      </c>
      <c r="G205" s="10"/>
      <c r="H205" s="10"/>
      <c r="I205" s="10"/>
      <c r="J205" s="14"/>
      <c r="K205" s="10"/>
      <c r="L205" s="10"/>
    </row>
    <row r="206" spans="1:12" ht="14.25" hidden="1" outlineLevel="2">
      <c r="A206" s="68">
        <v>1</v>
      </c>
      <c r="B206" s="10"/>
      <c r="C206" s="10"/>
      <c r="D206" s="10"/>
      <c r="E206" s="14" t="s">
        <v>5</v>
      </c>
      <c r="F206" s="11">
        <f>VLOOKUP(C204,Tbl_Button_Display_ASSTS,13,FALSE)</f>
        <v>5</v>
      </c>
      <c r="G206" s="10"/>
      <c r="H206" s="10"/>
      <c r="I206" s="10"/>
      <c r="J206" s="14"/>
      <c r="K206" s="10"/>
      <c r="L206" s="10"/>
    </row>
    <row r="207" spans="1:12" ht="14.25" hidden="1" outlineLevel="2">
      <c r="A207" s="68">
        <v>1</v>
      </c>
      <c r="B207" s="10"/>
      <c r="C207" s="10"/>
      <c r="D207" s="10"/>
      <c r="E207" s="10"/>
      <c r="F207" s="83"/>
      <c r="G207" s="10" t="str">
        <f>HP_ModSta</f>
        <v>DATC_HtrPmpModSta</v>
      </c>
      <c r="H207" s="47" t="e">
        <f>VLOOKUP(C204,Tbl_Button_Display_ASSTS,71,FALSE)</f>
        <v>#REF!</v>
      </c>
      <c r="I207" s="45" t="e">
        <f>(IF(H207="","",VLOOKUP(H207,Tbl_HP_Cycle,2,FALSE)))</f>
        <v>#REF!</v>
      </c>
      <c r="J207" s="10"/>
      <c r="K207" s="10"/>
      <c r="L207" s="10"/>
    </row>
    <row r="208" spans="1:12" ht="14.25" hidden="1" outlineLevel="2">
      <c r="A208" s="68">
        <v>1</v>
      </c>
      <c r="B208" s="10"/>
      <c r="C208" s="10"/>
      <c r="D208" s="10"/>
      <c r="E208" s="10"/>
      <c r="F208" s="10"/>
      <c r="G208" s="10" t="str">
        <f>PeEwpRPMReq</f>
        <v>DATC_PeEwpRPMReq</v>
      </c>
      <c r="H208" s="10"/>
      <c r="I208" s="46" t="e">
        <f>VLOOKUP(C204,Tbl_Button_Display_ASSTS,76,FALSE)</f>
        <v>#REF!</v>
      </c>
      <c r="J208" s="10"/>
      <c r="K208" s="10"/>
      <c r="L208" s="10"/>
    </row>
    <row r="209" spans="1:12" ht="14.25" hidden="1" outlineLevel="1">
      <c r="A209" s="68">
        <v>1</v>
      </c>
      <c r="B209" s="10"/>
      <c r="C209" s="10"/>
      <c r="D209" s="10"/>
      <c r="E209" s="10"/>
      <c r="F209" s="10"/>
      <c r="G209" s="10" t="str">
        <f>BatteryEWPOper</f>
        <v>DATC_BattEwpOpReq</v>
      </c>
      <c r="H209" s="10"/>
      <c r="I209" s="46" t="e">
        <f>VLOOKUP(C204,Tbl_Button_Display_ASSTS,73,FALSE)</f>
        <v>#REF!</v>
      </c>
      <c r="J209" s="10"/>
      <c r="K209" s="10"/>
      <c r="L209" s="10"/>
    </row>
    <row r="210" spans="1:12" ht="14.25" customHeight="1" outlineLevel="2">
      <c r="A210" s="70">
        <v>1</v>
      </c>
      <c r="B210" s="38" t="s">
        <v>142</v>
      </c>
      <c r="C210" s="38" t="s">
        <v>1188</v>
      </c>
      <c r="D210" s="38" t="e">
        <f>CONCATENATE(I213," 모드 일 때, ",G214," = ",I214,"rpm, ",G215," = ",I215,"rpm 출력 확인")</f>
        <v>#REF!</v>
      </c>
      <c r="E210" s="38"/>
      <c r="F210" s="38"/>
      <c r="G210" s="38"/>
      <c r="H210" s="38"/>
      <c r="I210" s="38"/>
      <c r="J210" s="38"/>
      <c r="K210" s="38"/>
      <c r="L210" s="38"/>
    </row>
    <row r="211" spans="1:12" ht="14.25" hidden="1" outlineLevel="2">
      <c r="A211" s="68">
        <v>1</v>
      </c>
      <c r="B211" s="10"/>
      <c r="C211" s="10"/>
      <c r="D211" s="10"/>
      <c r="E211" s="99" t="str">
        <f>VLOOKUP(C210,Tbl_Button_Display_ASSTS,11,FALSE)</f>
        <v>Sw_AC</v>
      </c>
      <c r="F211" s="11">
        <f>VLOOKUP(C210,Tbl_Button_Display_ASSTS,12,FALSE)</f>
        <v>1</v>
      </c>
      <c r="G211" s="10"/>
      <c r="H211" s="10"/>
      <c r="I211" s="10"/>
      <c r="J211" s="14"/>
      <c r="K211" s="10"/>
      <c r="L211" s="10"/>
    </row>
    <row r="212" spans="1:12" ht="14.25" hidden="1" outlineLevel="2">
      <c r="A212" s="68">
        <v>1</v>
      </c>
      <c r="B212" s="10"/>
      <c r="C212" s="10"/>
      <c r="D212" s="10"/>
      <c r="E212" s="14" t="s">
        <v>5</v>
      </c>
      <c r="F212" s="11">
        <f>VLOOKUP(C210,Tbl_Button_Display_ASSTS,13,FALSE)</f>
        <v>2</v>
      </c>
      <c r="G212" s="10"/>
      <c r="H212" s="10"/>
      <c r="I212" s="10"/>
      <c r="J212" s="14"/>
      <c r="K212" s="10"/>
      <c r="L212" s="10"/>
    </row>
    <row r="213" spans="1:12" ht="14.25" hidden="1" outlineLevel="2">
      <c r="A213" s="68">
        <v>1</v>
      </c>
      <c r="B213" s="10"/>
      <c r="C213" s="10"/>
      <c r="D213" s="10"/>
      <c r="E213" s="10"/>
      <c r="F213" s="83"/>
      <c r="G213" s="10" t="str">
        <f>HP_ModSta</f>
        <v>DATC_HtrPmpModSta</v>
      </c>
      <c r="H213" s="47" t="e">
        <f>VLOOKUP(C210,Tbl_Button_Display_ASSTS,71,FALSE)</f>
        <v>#REF!</v>
      </c>
      <c r="I213" s="45" t="e">
        <f>(IF(H213="","",VLOOKUP(H213,Tbl_HP_Cycle,2,FALSE)))</f>
        <v>#REF!</v>
      </c>
      <c r="J213" s="10"/>
      <c r="K213" s="10"/>
      <c r="L213" s="10"/>
    </row>
    <row r="214" spans="1:12" ht="14.25" hidden="1" outlineLevel="2">
      <c r="A214" s="68">
        <v>1</v>
      </c>
      <c r="B214" s="10"/>
      <c r="C214" s="10"/>
      <c r="D214" s="10"/>
      <c r="E214" s="10"/>
      <c r="F214" s="10"/>
      <c r="G214" s="10" t="str">
        <f>PeEwpRPMReq</f>
        <v>DATC_PeEwpRPMReq</v>
      </c>
      <c r="H214" s="10"/>
      <c r="I214" s="46" t="e">
        <f>VLOOKUP(C210,Tbl_Button_Display_ASSTS,76,FALSE)</f>
        <v>#REF!</v>
      </c>
      <c r="J214" s="10"/>
      <c r="K214" s="10"/>
      <c r="L214" s="10"/>
    </row>
    <row r="215" spans="1:12" ht="14.25" hidden="1" outlineLevel="2">
      <c r="A215" s="68">
        <v>1</v>
      </c>
      <c r="B215" s="10"/>
      <c r="C215" s="10"/>
      <c r="D215" s="10"/>
      <c r="E215" s="10"/>
      <c r="F215" s="10"/>
      <c r="G215" s="10" t="str">
        <f>BatteryEWPOper</f>
        <v>DATC_BattEwpOpReq</v>
      </c>
      <c r="H215" s="10"/>
      <c r="I215" s="46" t="e">
        <f>VLOOKUP(C210,Tbl_Button_Display_ASSTS,73,FALSE)</f>
        <v>#REF!</v>
      </c>
      <c r="J215" s="10"/>
      <c r="K215" s="10"/>
      <c r="L215" s="10"/>
    </row>
    <row r="216" spans="1:12" ht="14.25" customHeight="1" outlineLevel="1">
      <c r="A216" s="70">
        <v>1</v>
      </c>
      <c r="B216" s="38" t="s">
        <v>142</v>
      </c>
      <c r="C216" s="38" t="s">
        <v>1189</v>
      </c>
      <c r="D216" s="38" t="e">
        <f>CONCATENATE(E217," = ",F217," 설정 시, ",G220," = ",I220,"rpm, ",G221," = ",I221,"rpm 출력 확인")</f>
        <v>#REF!</v>
      </c>
      <c r="E216" s="38"/>
      <c r="F216" s="38"/>
      <c r="G216" s="38"/>
      <c r="H216" s="38"/>
      <c r="I216" s="38"/>
      <c r="J216" s="38"/>
      <c r="K216" s="38"/>
      <c r="L216" s="38"/>
    </row>
    <row r="217" spans="1:12" ht="14.25" hidden="1" outlineLevel="2">
      <c r="A217" s="68">
        <v>1</v>
      </c>
      <c r="B217" s="10"/>
      <c r="C217" s="10"/>
      <c r="D217" s="10"/>
      <c r="E217" s="99" t="str">
        <f>VLOOKUP(C216,Tbl_Button_Display_ASSTS,11,FALSE)</f>
        <v>VCU_BatChllrTgtRpm</v>
      </c>
      <c r="F217" s="11">
        <f>VLOOKUP(C216,Tbl_Button_Display_ASSTS,12,FALSE)</f>
        <v>1000</v>
      </c>
      <c r="G217" s="10"/>
      <c r="H217" s="10"/>
      <c r="I217" s="10"/>
      <c r="J217" s="14"/>
      <c r="K217" s="10"/>
      <c r="L217" s="10"/>
    </row>
    <row r="218" spans="1:12" ht="14.25" hidden="1" outlineLevel="2">
      <c r="A218" s="68">
        <v>1</v>
      </c>
      <c r="B218" s="10"/>
      <c r="C218" s="10"/>
      <c r="D218" s="10"/>
      <c r="E218" s="14" t="s">
        <v>5</v>
      </c>
      <c r="F218" s="11">
        <f>VLOOKUP(C216,Tbl_Button_Display_ASSTS,13,FALSE)</f>
        <v>5</v>
      </c>
      <c r="G218" s="10"/>
      <c r="H218" s="10"/>
      <c r="I218" s="10"/>
      <c r="J218" s="14"/>
      <c r="K218" s="10"/>
      <c r="L218" s="10"/>
    </row>
    <row r="219" spans="1:12" ht="14.25" hidden="1" outlineLevel="2">
      <c r="A219" s="68">
        <v>1</v>
      </c>
      <c r="B219" s="10"/>
      <c r="C219" s="10"/>
      <c r="D219" s="10"/>
      <c r="E219" s="10"/>
      <c r="F219" s="83"/>
      <c r="G219" s="10" t="str">
        <f>HP_ModSta</f>
        <v>DATC_HtrPmpModSta</v>
      </c>
      <c r="H219" s="47" t="e">
        <f>VLOOKUP(C216,Tbl_Button_Display_ASSTS,71,FALSE)</f>
        <v>#REF!</v>
      </c>
      <c r="I219" s="45" t="e">
        <f>(IF(H219="","",VLOOKUP(H219,Tbl_HP_Cycle,2,FALSE)))</f>
        <v>#REF!</v>
      </c>
      <c r="J219" s="10"/>
      <c r="K219" s="10"/>
      <c r="L219" s="10"/>
    </row>
    <row r="220" spans="1:12" ht="14.25" hidden="1" outlineLevel="2">
      <c r="A220" s="68">
        <v>1</v>
      </c>
      <c r="B220" s="10"/>
      <c r="C220" s="10"/>
      <c r="D220" s="10"/>
      <c r="E220" s="10"/>
      <c r="F220" s="10"/>
      <c r="G220" s="10" t="str">
        <f>PeEwpRPMReq</f>
        <v>DATC_PeEwpRPMReq</v>
      </c>
      <c r="H220" s="10"/>
      <c r="I220" s="46" t="e">
        <f>VLOOKUP(C216,Tbl_Button_Display_ASSTS,76,FALSE)</f>
        <v>#REF!</v>
      </c>
      <c r="J220" s="10"/>
      <c r="K220" s="10"/>
      <c r="L220" s="10"/>
    </row>
    <row r="221" spans="1:12" ht="14.25" hidden="1" outlineLevel="2">
      <c r="A221" s="68">
        <v>1</v>
      </c>
      <c r="B221" s="10"/>
      <c r="C221" s="10"/>
      <c r="D221" s="10"/>
      <c r="E221" s="10"/>
      <c r="F221" s="10"/>
      <c r="G221" s="10" t="str">
        <f>BatteryEWPOper</f>
        <v>DATC_BattEwpOpReq</v>
      </c>
      <c r="H221" s="10"/>
      <c r="I221" s="46" t="e">
        <f>VLOOKUP(C216,Tbl_Button_Display_ASSTS,73,FALSE)</f>
        <v>#REF!</v>
      </c>
      <c r="J221" s="10"/>
      <c r="K221" s="10"/>
      <c r="L221" s="10"/>
    </row>
    <row r="222" spans="1:12" ht="14.25" customHeight="1" outlineLevel="2">
      <c r="A222" s="70">
        <v>1</v>
      </c>
      <c r="B222" s="38" t="s">
        <v>142</v>
      </c>
      <c r="C222" s="38" t="s">
        <v>1190</v>
      </c>
      <c r="D222" s="38" t="e">
        <f>CONCATENATE(E223," ",F223,"회 선택 시, ",G226," = ",I226,", ",G227," = ",I227," 확인")</f>
        <v>#REF!</v>
      </c>
      <c r="E222" s="38"/>
      <c r="F222" s="38"/>
      <c r="G222" s="38"/>
      <c r="H222" s="38"/>
      <c r="I222" s="38"/>
      <c r="J222" s="38"/>
      <c r="K222" s="38"/>
      <c r="L222" s="38"/>
    </row>
    <row r="223" spans="1:12" ht="14.25" hidden="1" outlineLevel="1">
      <c r="A223" s="68">
        <v>1</v>
      </c>
      <c r="B223" s="10"/>
      <c r="C223" s="10"/>
      <c r="D223" s="10"/>
      <c r="E223" s="99" t="str">
        <f>VLOOKUP(C222,Tbl_Button_Display_ASSTS,11,FALSE)</f>
        <v>VCU_BatChllrTgtRpm</v>
      </c>
      <c r="F223" s="11">
        <f>VLOOKUP(C222,Tbl_Button_Display_ASSTS,12,FALSE)</f>
        <v>0</v>
      </c>
      <c r="G223" s="10"/>
      <c r="H223" s="10"/>
      <c r="I223" s="10"/>
      <c r="J223" s="14"/>
      <c r="K223" s="10"/>
      <c r="L223" s="10"/>
    </row>
    <row r="224" spans="1:12" ht="14.25" hidden="1" outlineLevel="2">
      <c r="A224" s="68">
        <v>1</v>
      </c>
      <c r="B224" s="10"/>
      <c r="C224" s="10"/>
      <c r="D224" s="10"/>
      <c r="E224" s="14" t="s">
        <v>5</v>
      </c>
      <c r="F224" s="11">
        <f>VLOOKUP(C222,Tbl_Button_Display_ASSTS,13,FALSE)</f>
        <v>5</v>
      </c>
      <c r="G224" s="10"/>
      <c r="H224" s="10"/>
      <c r="I224" s="10"/>
      <c r="J224" s="10"/>
      <c r="K224" s="10"/>
      <c r="L224" s="10"/>
    </row>
    <row r="225" spans="1:12" ht="14.25" hidden="1" outlineLevel="2">
      <c r="A225" s="68">
        <v>1</v>
      </c>
      <c r="B225" s="10"/>
      <c r="C225" s="10"/>
      <c r="D225" s="10"/>
      <c r="E225" s="10"/>
      <c r="F225" s="83"/>
      <c r="G225" s="10" t="str">
        <f>HP_ModSta</f>
        <v>DATC_HtrPmpModSta</v>
      </c>
      <c r="H225" s="47" t="e">
        <f>VLOOKUP(C222,Tbl_Button_Display_ASSTS,71,FALSE)</f>
        <v>#REF!</v>
      </c>
      <c r="I225" s="45" t="e">
        <f>(IF(H225="","",VLOOKUP(H225,Tbl_HP_Cycle,2,FALSE)))</f>
        <v>#REF!</v>
      </c>
      <c r="J225" s="10"/>
      <c r="K225" s="10"/>
      <c r="L225" s="10"/>
    </row>
    <row r="226" spans="1:12" ht="14.25" hidden="1" outlineLevel="2">
      <c r="A226" s="68">
        <v>1</v>
      </c>
      <c r="B226" s="10"/>
      <c r="C226" s="10"/>
      <c r="D226" s="10"/>
      <c r="E226" s="10"/>
      <c r="F226" s="10"/>
      <c r="G226" s="10" t="str">
        <f>PeEwpRPMReq</f>
        <v>DATC_PeEwpRPMReq</v>
      </c>
      <c r="H226" s="10"/>
      <c r="I226" s="46" t="e">
        <f>VLOOKUP(C222,Tbl_Button_Display_ASSTS,76,FALSE)</f>
        <v>#REF!</v>
      </c>
      <c r="J226" s="10"/>
      <c r="K226" s="10"/>
      <c r="L226" s="10"/>
    </row>
    <row r="227" spans="1:12" ht="14.25" hidden="1" outlineLevel="2">
      <c r="A227" s="68">
        <v>1</v>
      </c>
      <c r="B227" s="10"/>
      <c r="C227" s="10"/>
      <c r="D227" s="10"/>
      <c r="E227" s="10"/>
      <c r="F227" s="10"/>
      <c r="G227" s="10" t="str">
        <f>BatteryEWPOper</f>
        <v>DATC_BattEwpOpReq</v>
      </c>
      <c r="H227" s="10"/>
      <c r="I227" s="46" t="e">
        <f>VLOOKUP(C222,Tbl_Button_Display_ASSTS,73,FALSE)</f>
        <v>#REF!</v>
      </c>
      <c r="J227" s="10"/>
      <c r="K227" s="10"/>
      <c r="L227" s="10"/>
    </row>
    <row r="228" spans="1:12" ht="13.35" customHeight="1" outlineLevel="2">
      <c r="A228" s="70">
        <v>1</v>
      </c>
      <c r="B228" s="38" t="s">
        <v>142</v>
      </c>
      <c r="C228" s="38" t="s">
        <v>1191</v>
      </c>
      <c r="D228" s="38" t="e">
        <f>CONCATENATE(I231," 모드 일 때, ",G232," = ",I232,"rpm, ",G233," = ",I233,"rpm 출력 확인")</f>
        <v>#REF!</v>
      </c>
      <c r="E228" s="38"/>
      <c r="F228" s="38"/>
      <c r="G228" s="38"/>
      <c r="H228" s="38"/>
      <c r="I228" s="38"/>
      <c r="J228" s="38"/>
      <c r="K228" s="38"/>
      <c r="L228" s="38"/>
    </row>
    <row r="229" spans="1:12" ht="14.25" hidden="1" outlineLevel="2">
      <c r="A229" s="68">
        <v>1</v>
      </c>
      <c r="B229" s="10"/>
      <c r="C229" s="10"/>
      <c r="D229" s="10"/>
      <c r="E229" s="99" t="str">
        <f>VLOOKUP(C228,Tbl_Button_Display_ASSTS,11,FALSE)</f>
        <v>SW_OFF</v>
      </c>
      <c r="F229" s="11">
        <f>VLOOKUP(C228,Tbl_Button_Display_ASSTS,12,FALSE)</f>
        <v>1</v>
      </c>
      <c r="G229" s="10"/>
      <c r="H229" s="10"/>
      <c r="I229" s="10"/>
      <c r="J229" s="14"/>
      <c r="K229" s="10"/>
      <c r="L229" s="10"/>
    </row>
    <row r="230" spans="1:12" ht="14.25" hidden="1" outlineLevel="1">
      <c r="A230" s="68">
        <v>1</v>
      </c>
      <c r="B230" s="10"/>
      <c r="C230" s="10"/>
      <c r="D230" s="10"/>
      <c r="E230" s="14" t="s">
        <v>5</v>
      </c>
      <c r="F230" s="11">
        <f>VLOOKUP(C228,Tbl_Button_Display_ASSTS,13,FALSE)</f>
        <v>5</v>
      </c>
      <c r="G230" s="10"/>
      <c r="H230" s="10"/>
      <c r="I230" s="10"/>
      <c r="J230" s="14"/>
      <c r="K230" s="10"/>
      <c r="L230" s="10"/>
    </row>
    <row r="231" spans="1:12" ht="14.25" hidden="1" outlineLevel="2">
      <c r="A231" s="68">
        <v>1</v>
      </c>
      <c r="B231" s="10"/>
      <c r="C231" s="10"/>
      <c r="D231" s="10"/>
      <c r="E231" s="10"/>
      <c r="F231" s="83"/>
      <c r="G231" s="10" t="str">
        <f>HP_ModSta</f>
        <v>DATC_HtrPmpModSta</v>
      </c>
      <c r="H231" s="47" t="e">
        <f>VLOOKUP(C228,Tbl_Button_Display_ASSTS,71,FALSE)</f>
        <v>#REF!</v>
      </c>
      <c r="I231" s="45" t="e">
        <f>(IF(H231="","",VLOOKUP(H231,Tbl_HP_Cycle,2,FALSE)))</f>
        <v>#REF!</v>
      </c>
      <c r="J231" s="10"/>
      <c r="K231" s="10"/>
      <c r="L231" s="10"/>
    </row>
    <row r="232" spans="1:12" ht="14.25" hidden="1" outlineLevel="2">
      <c r="A232" s="68">
        <v>1</v>
      </c>
      <c r="B232" s="10"/>
      <c r="C232" s="10"/>
      <c r="D232" s="10"/>
      <c r="E232" s="10"/>
      <c r="F232" s="10"/>
      <c r="G232" s="10" t="str">
        <f>PeEwpRPMReq</f>
        <v>DATC_PeEwpRPMReq</v>
      </c>
      <c r="H232" s="10"/>
      <c r="I232" s="46" t="e">
        <f>VLOOKUP(C228,Tbl_Button_Display_ASSTS,76,FALSE)</f>
        <v>#REF!</v>
      </c>
      <c r="J232" s="10"/>
      <c r="K232" s="10"/>
      <c r="L232" s="10"/>
    </row>
    <row r="233" spans="1:12" ht="14.25" hidden="1" outlineLevel="2">
      <c r="A233" s="68">
        <v>1</v>
      </c>
      <c r="B233" s="10"/>
      <c r="C233" s="10"/>
      <c r="D233" s="10"/>
      <c r="E233" s="10"/>
      <c r="F233" s="10"/>
      <c r="G233" s="10" t="str">
        <f>BatteryEWPOper</f>
        <v>DATC_BattEwpOpReq</v>
      </c>
      <c r="H233" s="10"/>
      <c r="I233" s="46" t="e">
        <f>VLOOKUP(C228,Tbl_Button_Display_ASSTS,73,FALSE)</f>
        <v>#REF!</v>
      </c>
      <c r="J233" s="10"/>
      <c r="K233" s="10"/>
      <c r="L233" s="10"/>
    </row>
    <row r="234" spans="1:12" ht="14.25" customHeight="1" outlineLevel="2">
      <c r="A234" s="101">
        <v>1</v>
      </c>
      <c r="B234" s="102" t="s">
        <v>7</v>
      </c>
      <c r="C234" s="102" t="s">
        <v>1192</v>
      </c>
      <c r="D234" s="102" t="str">
        <f>VLOOKUP(C234,Tbl_Button_Display_ASSTS, 2,FALSE)</f>
        <v>진입 / 해제 조건 - H/P B, H/P B-1 모드 / 배터리 쿨링 요청시 또는 A/C, H/P 이외 모드</v>
      </c>
      <c r="E234" s="102"/>
      <c r="F234" s="102"/>
      <c r="G234" s="102"/>
      <c r="H234" s="102"/>
      <c r="I234" s="102"/>
      <c r="J234" s="102"/>
      <c r="K234" s="102"/>
      <c r="L234" s="102"/>
    </row>
    <row r="235" spans="1:12" ht="16.5" customHeight="1" outlineLevel="1">
      <c r="A235" s="103">
        <v>1</v>
      </c>
      <c r="B235" s="104" t="s">
        <v>38</v>
      </c>
      <c r="C235" s="104" t="s">
        <v>1193</v>
      </c>
      <c r="D235" s="104" t="s">
        <v>1254</v>
      </c>
      <c r="E235" s="104"/>
      <c r="F235" s="104"/>
      <c r="G235" s="104"/>
      <c r="H235" s="104"/>
      <c r="I235" s="104"/>
      <c r="J235" s="104"/>
      <c r="K235" s="104"/>
      <c r="L235" s="104"/>
    </row>
    <row r="236" spans="1:12" ht="16.5" hidden="1" outlineLevel="2">
      <c r="A236" s="68">
        <v>1</v>
      </c>
      <c r="B236" s="10"/>
      <c r="C236" s="10"/>
      <c r="D236" s="10"/>
      <c r="E236" s="99" t="e">
        <f>Amb_IN</f>
        <v>#NAME?</v>
      </c>
      <c r="F236" s="63">
        <f>VINTERPOLATION(VLOOKUP(C235,Tbl_Button_Display_ASSTS,3,FALSE),Tbl_Amb_Sensor,3)</f>
        <v>3.8892180094786726</v>
      </c>
      <c r="G236" s="185"/>
      <c r="H236" s="10"/>
      <c r="I236" s="10"/>
      <c r="J236" s="10"/>
      <c r="K236" s="10"/>
      <c r="L236" s="10"/>
    </row>
    <row r="237" spans="1:12" ht="14.25" hidden="1" outlineLevel="2">
      <c r="A237" s="68">
        <v>1</v>
      </c>
      <c r="B237" s="10"/>
      <c r="C237" s="10"/>
      <c r="D237" s="10"/>
      <c r="E237" s="228" t="str">
        <f>Main_Relay_Sta</f>
        <v>xEV_MainRlyOnSta</v>
      </c>
      <c r="F237" s="11">
        <v>1</v>
      </c>
      <c r="G237" s="229"/>
      <c r="H237" s="10"/>
      <c r="I237" s="10"/>
      <c r="J237" s="14"/>
      <c r="K237" s="10"/>
      <c r="L237" s="10"/>
    </row>
    <row r="238" spans="1:12" ht="14.25" hidden="1" outlineLevel="2">
      <c r="A238" s="68">
        <v>1</v>
      </c>
      <c r="B238" s="10"/>
      <c r="C238" s="10"/>
      <c r="D238" s="10"/>
      <c r="E238" s="228" t="str">
        <f>WaterCooling_ROTV</f>
        <v>xEV_RadOutTempVal</v>
      </c>
      <c r="F238" s="11">
        <v>10</v>
      </c>
      <c r="G238" s="229"/>
      <c r="H238" s="10"/>
      <c r="I238" s="10"/>
      <c r="J238" s="14"/>
      <c r="K238" s="10"/>
      <c r="L238" s="10"/>
    </row>
    <row r="239" spans="1:12" ht="14.25" hidden="1" outlineLevel="2">
      <c r="A239" s="68">
        <v>1</v>
      </c>
      <c r="B239" s="10"/>
      <c r="C239" s="10"/>
      <c r="D239" s="10"/>
      <c r="E239" s="228" t="str">
        <f>P_SIGNAL_COMP_OUT</f>
        <v>Snr_P SIGNAL_COMP OUT(PSI)_IN</v>
      </c>
      <c r="F239" s="11">
        <v>80</v>
      </c>
      <c r="G239" s="10"/>
      <c r="H239" s="10"/>
      <c r="I239" s="10"/>
      <c r="J239" s="10"/>
      <c r="K239" s="10"/>
      <c r="L239" s="10"/>
    </row>
    <row r="240" spans="1:12" ht="14.25" hidden="1" outlineLevel="1">
      <c r="A240" s="68">
        <v>1</v>
      </c>
      <c r="B240" s="10"/>
      <c r="C240" s="10"/>
      <c r="D240" s="10"/>
      <c r="E240" s="99" t="str">
        <f>VLOOKUP(C235,Tbl_Button_Display_ASSTS,11,FALSE)</f>
        <v>MsgBox</v>
      </c>
      <c r="F240" s="11" t="e">
        <f>VLOOKUP(C235,Tbl_Button_Display_ASSTS,12,FALSE)</f>
        <v>#NAME?</v>
      </c>
      <c r="G240" s="10"/>
      <c r="H240" s="10"/>
      <c r="I240" s="10"/>
      <c r="J240" s="10"/>
      <c r="K240" s="10"/>
      <c r="L240" s="10"/>
    </row>
    <row r="241" spans="1:12" ht="14.25" hidden="1" outlineLevel="2">
      <c r="A241" s="68">
        <v>1</v>
      </c>
      <c r="B241" s="10"/>
      <c r="C241" s="10"/>
      <c r="D241" s="10"/>
      <c r="E241" s="14" t="s">
        <v>1274</v>
      </c>
      <c r="F241" s="11" t="s">
        <v>1275</v>
      </c>
      <c r="G241" s="10"/>
      <c r="H241" s="10"/>
      <c r="I241" s="10"/>
      <c r="J241" s="10"/>
      <c r="K241" s="10"/>
      <c r="L241" s="10"/>
    </row>
    <row r="242" spans="1:12" ht="14.25" hidden="1" outlineLevel="2">
      <c r="A242" s="68">
        <v>1</v>
      </c>
      <c r="B242" s="10"/>
      <c r="C242" s="10"/>
      <c r="D242" s="10"/>
      <c r="E242" s="14" t="s">
        <v>5</v>
      </c>
      <c r="F242" s="11">
        <f>VLOOKUP(C235,Tbl_Button_Display_ASSTS,13,FALSE)</f>
        <v>10</v>
      </c>
      <c r="G242" s="10"/>
      <c r="H242" s="10"/>
      <c r="I242" s="10"/>
      <c r="J242" s="10"/>
      <c r="K242" s="10"/>
      <c r="L242" s="10"/>
    </row>
    <row r="243" spans="1:12" ht="14.25" hidden="1" outlineLevel="2">
      <c r="A243" s="68">
        <v>1</v>
      </c>
      <c r="B243" s="10"/>
      <c r="C243" s="10"/>
      <c r="D243" s="10"/>
      <c r="E243" s="10"/>
      <c r="F243" s="83"/>
      <c r="G243" s="10" t="e">
        <f>Amb_OUT</f>
        <v>#NAME?</v>
      </c>
      <c r="H243" s="10"/>
      <c r="I243" s="12">
        <f>VLOOKUP(C235,Tbl_Button_Display_ASSTS,3,FALSE)</f>
        <v>-2</v>
      </c>
      <c r="J243" s="10"/>
      <c r="K243" s="10"/>
      <c r="L243" s="10"/>
    </row>
    <row r="244" spans="1:12" ht="14.25" hidden="1" outlineLevel="2">
      <c r="A244" s="68">
        <v>1</v>
      </c>
      <c r="B244" s="10"/>
      <c r="C244" s="10"/>
      <c r="D244" s="10"/>
      <c r="E244" s="10"/>
      <c r="F244" s="83"/>
      <c r="G244" s="10" t="str">
        <f>HP_ModSta</f>
        <v>DATC_HtrPmpModSta</v>
      </c>
      <c r="H244" s="47" t="e">
        <f>VLOOKUP(C235,Tbl_Button_Display_ASSTS,71,FALSE)</f>
        <v>#REF!</v>
      </c>
      <c r="I244" s="45" t="e">
        <f>(IF(H244="","",VLOOKUP(H244,Tbl_HP_Cycle,2,FALSE)))</f>
        <v>#REF!</v>
      </c>
      <c r="J244" s="10"/>
      <c r="K244" s="10"/>
      <c r="L244" s="10"/>
    </row>
    <row r="245" spans="1:12" ht="14.25" hidden="1" outlineLevel="1">
      <c r="A245" s="68">
        <v>1</v>
      </c>
      <c r="B245" s="10"/>
      <c r="C245" s="10"/>
      <c r="D245" s="10"/>
      <c r="E245" s="10"/>
      <c r="F245" s="10"/>
      <c r="G245" s="10" t="str">
        <f>PeEwpRPMReq</f>
        <v>DATC_PeEwpRPMReq</v>
      </c>
      <c r="H245" s="10"/>
      <c r="I245" s="12" t="e">
        <f>VLOOKUP(C235,Tbl_Button_Display_ASSTS,76,FALSE)</f>
        <v>#REF!</v>
      </c>
      <c r="J245" s="10"/>
      <c r="K245" s="10"/>
      <c r="L245" s="10"/>
    </row>
    <row r="246" spans="1:12" ht="14.25" hidden="1" outlineLevel="2">
      <c r="A246" s="68">
        <v>1</v>
      </c>
      <c r="B246" s="10"/>
      <c r="C246" s="10"/>
      <c r="D246" s="10"/>
      <c r="E246" s="10"/>
      <c r="F246" s="10"/>
      <c r="G246" s="10" t="str">
        <f>BatteryEWPOper</f>
        <v>DATC_BattEwpOpReq</v>
      </c>
      <c r="H246" s="10"/>
      <c r="I246" s="12" t="e">
        <f>VLOOKUP(C235,Tbl_Button_Display_ASSTS,73,FALSE)</f>
        <v>#REF!</v>
      </c>
      <c r="J246" s="10"/>
      <c r="K246" s="10"/>
      <c r="L246" s="10"/>
    </row>
    <row r="247" spans="1:12" ht="14.25" customHeight="1" outlineLevel="2">
      <c r="A247" s="70">
        <v>1</v>
      </c>
      <c r="B247" s="38" t="s">
        <v>142</v>
      </c>
      <c r="C247" s="38" t="s">
        <v>1194</v>
      </c>
      <c r="D247" s="38" t="e">
        <f>CONCATENATE(E248," ",F248,"회 선택 시, ",G252," = ",I252,"rpm, ",G253," = ",I253,"rpm 출력 확인")</f>
        <v>#REF!</v>
      </c>
      <c r="E247" s="38"/>
      <c r="F247" s="38"/>
      <c r="G247" s="38"/>
      <c r="H247" s="38"/>
      <c r="I247" s="38"/>
      <c r="J247" s="38"/>
      <c r="K247" s="38"/>
      <c r="L247" s="38"/>
    </row>
    <row r="248" spans="1:12" ht="14.25" hidden="1" outlineLevel="2">
      <c r="A248" s="68">
        <v>1</v>
      </c>
      <c r="B248" s="10"/>
      <c r="C248" s="10"/>
      <c r="D248" s="10"/>
      <c r="E248" s="99" t="str">
        <f>VLOOKUP(C247,Tbl_Button_Display_ASSTS,11,FALSE)</f>
        <v>Sw_Blower_Up</v>
      </c>
      <c r="F248" s="11">
        <f>VLOOKUP(C247,Tbl_Button_Display_ASSTS,12,FALSE)</f>
        <v>1</v>
      </c>
      <c r="G248" s="10"/>
      <c r="H248" s="10"/>
      <c r="I248" s="10"/>
      <c r="J248" s="14"/>
      <c r="K248" s="10"/>
      <c r="L248" s="10"/>
    </row>
    <row r="249" spans="1:12" ht="14.25" hidden="1" outlineLevel="2">
      <c r="A249" s="68">
        <v>1</v>
      </c>
      <c r="B249" s="10"/>
      <c r="C249" s="10"/>
      <c r="D249" s="10"/>
      <c r="E249" s="14" t="s">
        <v>5</v>
      </c>
      <c r="F249" s="11">
        <f>VLOOKUP(C247,Tbl_Button_Display_ASSTS,13,FALSE)</f>
        <v>2</v>
      </c>
      <c r="G249" s="10"/>
      <c r="H249" s="10"/>
      <c r="I249" s="10"/>
      <c r="J249" s="10"/>
      <c r="K249" s="10"/>
      <c r="L249" s="10"/>
    </row>
    <row r="250" spans="1:12" ht="14.25" hidden="1" outlineLevel="1">
      <c r="A250" s="68">
        <v>1</v>
      </c>
      <c r="B250" s="10"/>
      <c r="C250" s="10"/>
      <c r="D250" s="10"/>
      <c r="E250" s="10"/>
      <c r="F250" s="83"/>
      <c r="G250" s="10" t="e">
        <f>FrontBlwDisp</f>
        <v>#NAME?</v>
      </c>
      <c r="H250" s="10"/>
      <c r="I250" s="46">
        <f>VLOOKUP(C247,Tbl_Button_Display_ASSTS,23,FALSE)</f>
        <v>1</v>
      </c>
      <c r="J250" s="10"/>
      <c r="K250" s="10"/>
      <c r="L250" s="10"/>
    </row>
    <row r="251" spans="1:12" ht="14.25" hidden="1" outlineLevel="2">
      <c r="A251" s="68">
        <v>1</v>
      </c>
      <c r="B251" s="10"/>
      <c r="C251" s="10"/>
      <c r="D251" s="10"/>
      <c r="E251" s="10"/>
      <c r="F251" s="83"/>
      <c r="G251" s="10" t="str">
        <f>HP_ModSta</f>
        <v>DATC_HtrPmpModSta</v>
      </c>
      <c r="H251" s="47" t="e">
        <f>VLOOKUP(C247,Tbl_Button_Display_ASSTS,71,FALSE)</f>
        <v>#REF!</v>
      </c>
      <c r="I251" s="45" t="e">
        <f>(IF(H251="","",VLOOKUP(H251,Tbl_HP_Cycle,2,FALSE)))</f>
        <v>#REF!</v>
      </c>
      <c r="J251" s="10"/>
      <c r="K251" s="10"/>
      <c r="L251" s="10"/>
    </row>
    <row r="252" spans="1:12" ht="14.25" hidden="1" outlineLevel="2">
      <c r="A252" s="68">
        <v>1</v>
      </c>
      <c r="B252" s="10"/>
      <c r="C252" s="10"/>
      <c r="D252" s="10"/>
      <c r="E252" s="10"/>
      <c r="F252" s="10"/>
      <c r="G252" s="10" t="str">
        <f>PeEwpRPMReq</f>
        <v>DATC_PeEwpRPMReq</v>
      </c>
      <c r="H252" s="10"/>
      <c r="I252" s="12" t="e">
        <f>VLOOKUP(C247,Tbl_Button_Display_ASSTS,76,FALSE)</f>
        <v>#REF!</v>
      </c>
      <c r="J252" s="10"/>
      <c r="K252" s="10"/>
      <c r="L252" s="10"/>
    </row>
    <row r="253" spans="1:12" ht="14.25" hidden="1" outlineLevel="2">
      <c r="A253" s="68">
        <v>1</v>
      </c>
      <c r="B253" s="10"/>
      <c r="C253" s="10"/>
      <c r="D253" s="10"/>
      <c r="E253" s="10"/>
      <c r="F253" s="10"/>
      <c r="G253" s="10" t="str">
        <f>BatteryEWPOper</f>
        <v>DATC_BattEwpOpReq</v>
      </c>
      <c r="H253" s="10"/>
      <c r="I253" s="12" t="e">
        <f>VLOOKUP(C247,Tbl_Button_Display_ASSTS,73,FALSE)</f>
        <v>#REF!</v>
      </c>
      <c r="J253" s="10"/>
      <c r="K253" s="10"/>
      <c r="L253" s="10"/>
    </row>
    <row r="254" spans="1:12" ht="14.25" customHeight="1" outlineLevel="2">
      <c r="A254" s="70">
        <v>1</v>
      </c>
      <c r="B254" s="38" t="s">
        <v>142</v>
      </c>
      <c r="C254" s="38" t="s">
        <v>1195</v>
      </c>
      <c r="D254" s="38" t="e">
        <f>CONCATENATE(E255," = ",F255," 설정 시, ",G259," = ",I259,"rpm, ",G260," = ",I260,"rpm 출력 확인")</f>
        <v>#REF!</v>
      </c>
      <c r="E254" s="38"/>
      <c r="F254" s="38"/>
      <c r="G254" s="38"/>
      <c r="H254" s="38"/>
      <c r="I254" s="38"/>
      <c r="J254" s="38"/>
      <c r="K254" s="38"/>
      <c r="L254" s="38"/>
    </row>
    <row r="255" spans="1:12" ht="14.25" hidden="1" outlineLevel="1">
      <c r="A255" s="68">
        <v>1</v>
      </c>
      <c r="B255" s="10"/>
      <c r="C255" s="10"/>
      <c r="D255" s="10"/>
      <c r="E255" s="99" t="str">
        <f>VLOOKUP(C254,Tbl_Button_Display_ASSTS,11,FALSE)</f>
        <v>VCU_BatChllrTgtRpm</v>
      </c>
      <c r="F255" s="11">
        <f>VLOOKUP(C254,Tbl_Button_Display_ASSTS,12,FALSE)</f>
        <v>1000</v>
      </c>
      <c r="G255" s="10"/>
      <c r="H255" s="10"/>
      <c r="I255" s="10"/>
      <c r="J255" s="14"/>
      <c r="K255" s="10"/>
      <c r="L255" s="10"/>
    </row>
    <row r="256" spans="1:12" ht="14.25" hidden="1" outlineLevel="2">
      <c r="A256" s="68">
        <v>1</v>
      </c>
      <c r="B256" s="10"/>
      <c r="C256" s="10"/>
      <c r="D256" s="10"/>
      <c r="E256" s="14" t="s">
        <v>5</v>
      </c>
      <c r="F256" s="11">
        <f>VLOOKUP(C254,Tbl_Button_Display_ASSTS,13,FALSE)</f>
        <v>5</v>
      </c>
      <c r="G256" s="10"/>
      <c r="H256" s="10"/>
      <c r="I256" s="10"/>
      <c r="J256" s="10"/>
      <c r="K256" s="10"/>
      <c r="L256" s="10"/>
    </row>
    <row r="257" spans="1:12" ht="14.25" hidden="1" outlineLevel="2">
      <c r="A257" s="68">
        <v>1</v>
      </c>
      <c r="B257" s="10"/>
      <c r="C257" s="10"/>
      <c r="D257" s="10"/>
      <c r="E257" s="10"/>
      <c r="F257" s="83"/>
      <c r="G257" s="10" t="e">
        <f>FrontBlwDisp</f>
        <v>#NAME?</v>
      </c>
      <c r="H257" s="10"/>
      <c r="I257" s="46">
        <f>VLOOKUP(C254,Tbl_Button_Display_ASSTS,23,FALSE)</f>
        <v>1</v>
      </c>
      <c r="J257" s="10"/>
      <c r="K257" s="10"/>
      <c r="L257" s="10"/>
    </row>
    <row r="258" spans="1:12" ht="14.25" hidden="1" outlineLevel="2">
      <c r="A258" s="68">
        <v>1</v>
      </c>
      <c r="B258" s="10"/>
      <c r="C258" s="10"/>
      <c r="D258" s="10"/>
      <c r="E258" s="10"/>
      <c r="F258" s="83"/>
      <c r="G258" s="10" t="str">
        <f>HP_ModSta</f>
        <v>DATC_HtrPmpModSta</v>
      </c>
      <c r="H258" s="47" t="e">
        <f>VLOOKUP(C254,Tbl_Button_Display_ASSTS,71,FALSE)</f>
        <v>#REF!</v>
      </c>
      <c r="I258" s="45" t="e">
        <f>(IF(H258="","",VLOOKUP(H258,Tbl_HP_Cycle,2,FALSE)))</f>
        <v>#REF!</v>
      </c>
      <c r="J258" s="10"/>
      <c r="K258" s="10"/>
      <c r="L258" s="10"/>
    </row>
    <row r="259" spans="1:12" ht="14.25" hidden="1" outlineLevel="2">
      <c r="A259" s="68">
        <v>1</v>
      </c>
      <c r="B259" s="10"/>
      <c r="C259" s="10"/>
      <c r="D259" s="10"/>
      <c r="E259" s="10"/>
      <c r="F259" s="10"/>
      <c r="G259" s="10" t="str">
        <f>PeEwpRPMReq</f>
        <v>DATC_PeEwpRPMReq</v>
      </c>
      <c r="H259" s="10"/>
      <c r="I259" s="12" t="e">
        <f>VLOOKUP(C254,Tbl_Button_Display_ASSTS,76,FALSE)</f>
        <v>#REF!</v>
      </c>
      <c r="J259" s="10"/>
      <c r="K259" s="10"/>
      <c r="L259" s="10"/>
    </row>
    <row r="260" spans="1:12" ht="14.25" hidden="1" outlineLevel="1">
      <c r="A260" s="68">
        <v>1</v>
      </c>
      <c r="B260" s="10"/>
      <c r="C260" s="10"/>
      <c r="D260" s="10"/>
      <c r="E260" s="10"/>
      <c r="F260" s="10"/>
      <c r="G260" s="10" t="str">
        <f>BatteryEWPOper</f>
        <v>DATC_BattEwpOpReq</v>
      </c>
      <c r="H260" s="10"/>
      <c r="I260" s="12" t="e">
        <f>VLOOKUP(C254,Tbl_Button_Display_ASSTS,73,FALSE)</f>
        <v>#REF!</v>
      </c>
      <c r="J260" s="10"/>
      <c r="K260" s="10"/>
      <c r="L260" s="10"/>
    </row>
    <row r="261" spans="1:12" ht="14.25" customHeight="1" outlineLevel="2">
      <c r="A261" s="70">
        <v>1</v>
      </c>
      <c r="B261" s="38" t="s">
        <v>142</v>
      </c>
      <c r="C261" s="38" t="s">
        <v>1196</v>
      </c>
      <c r="D261" s="38" t="e">
        <f>CONCATENATE(E262," = ",F262," 설정 시, ",G266," = ",I266,"rpm, ",G267," = ",I267,"rpm 출력 확인")</f>
        <v>#REF!</v>
      </c>
      <c r="E261" s="38"/>
      <c r="F261" s="38"/>
      <c r="G261" s="38"/>
      <c r="H261" s="38"/>
      <c r="I261" s="38"/>
      <c r="J261" s="38"/>
      <c r="K261" s="38"/>
      <c r="L261" s="38"/>
    </row>
    <row r="262" spans="1:12" ht="14.25" hidden="1" outlineLevel="2">
      <c r="A262" s="68">
        <v>1</v>
      </c>
      <c r="B262" s="10"/>
      <c r="C262" s="10"/>
      <c r="D262" s="10"/>
      <c r="E262" s="99" t="str">
        <f>VLOOKUP(C261,Tbl_Button_Display_ASSTS,11,FALSE)</f>
        <v>VCU_BatChllrTgtRpm</v>
      </c>
      <c r="F262" s="11">
        <f>VLOOKUP(C261,Tbl_Button_Display_ASSTS,12,FALSE)</f>
        <v>0</v>
      </c>
      <c r="G262" s="10"/>
      <c r="H262" s="10"/>
      <c r="I262" s="10"/>
      <c r="J262" s="14"/>
      <c r="K262" s="10"/>
      <c r="L262" s="10"/>
    </row>
    <row r="263" spans="1:12" ht="14.25" hidden="1" outlineLevel="2">
      <c r="A263" s="68">
        <v>1</v>
      </c>
      <c r="B263" s="10"/>
      <c r="C263" s="10"/>
      <c r="D263" s="10"/>
      <c r="E263" s="14" t="s">
        <v>5</v>
      </c>
      <c r="F263" s="11">
        <f>VLOOKUP(C261,Tbl_Button_Display_ASSTS,13,FALSE)</f>
        <v>2</v>
      </c>
      <c r="G263" s="10"/>
      <c r="H263" s="10"/>
      <c r="I263" s="10"/>
      <c r="J263" s="10"/>
      <c r="K263" s="10"/>
      <c r="L263" s="10"/>
    </row>
    <row r="264" spans="1:12" ht="14.25" hidden="1" outlineLevel="2">
      <c r="A264" s="68">
        <v>1</v>
      </c>
      <c r="B264" s="10"/>
      <c r="C264" s="10"/>
      <c r="D264" s="10"/>
      <c r="E264" s="10"/>
      <c r="F264" s="83"/>
      <c r="G264" s="10" t="e">
        <f>FrontBlwDisp</f>
        <v>#NAME?</v>
      </c>
      <c r="H264" s="10"/>
      <c r="I264" s="46">
        <f>VLOOKUP(C261,Tbl_Button_Display_ASSTS,23,FALSE)</f>
        <v>1</v>
      </c>
      <c r="J264" s="10"/>
      <c r="K264" s="10"/>
      <c r="L264" s="10"/>
    </row>
    <row r="265" spans="1:12" ht="14.25" hidden="1" collapsed="1">
      <c r="A265" s="68">
        <v>1</v>
      </c>
      <c r="B265" s="10"/>
      <c r="C265" s="10"/>
      <c r="D265" s="10"/>
      <c r="E265" s="10"/>
      <c r="F265" s="83"/>
      <c r="G265" s="10" t="str">
        <f>HP_ModSta</f>
        <v>DATC_HtrPmpModSta</v>
      </c>
      <c r="H265" s="47" t="e">
        <f>VLOOKUP(C261,Tbl_Button_Display_ASSTS,71,FALSE)</f>
        <v>#REF!</v>
      </c>
      <c r="I265" s="45" t="e">
        <f>(IF(H265="","",VLOOKUP(H265,Tbl_HP_Cycle,2,FALSE)))</f>
        <v>#REF!</v>
      </c>
      <c r="J265" s="10"/>
      <c r="K265" s="10"/>
      <c r="L265" s="10"/>
    </row>
    <row r="266" spans="1:12" ht="14.25" hidden="1" outlineLevel="1">
      <c r="A266" s="68">
        <v>1</v>
      </c>
      <c r="B266" s="10"/>
      <c r="C266" s="10"/>
      <c r="D266" s="10"/>
      <c r="E266" s="10"/>
      <c r="F266" s="10"/>
      <c r="G266" s="10" t="str">
        <f>PeEwpRPMReq</f>
        <v>DATC_PeEwpRPMReq</v>
      </c>
      <c r="H266" s="10"/>
      <c r="I266" s="12" t="e">
        <f>VLOOKUP(C261,Tbl_Button_Display_ASSTS,76,FALSE)</f>
        <v>#REF!</v>
      </c>
      <c r="J266" s="10"/>
      <c r="K266" s="10"/>
      <c r="L266" s="10"/>
    </row>
    <row r="267" spans="1:12" ht="14.25" hidden="1" outlineLevel="2">
      <c r="A267" s="68">
        <v>1</v>
      </c>
      <c r="B267" s="10"/>
      <c r="C267" s="10"/>
      <c r="D267" s="10"/>
      <c r="E267" s="10"/>
      <c r="F267" s="10"/>
      <c r="G267" s="10" t="str">
        <f>BatteryEWPOper</f>
        <v>DATC_BattEwpOpReq</v>
      </c>
      <c r="H267" s="10"/>
      <c r="I267" s="12" t="e">
        <f>VLOOKUP(C261,Tbl_Button_Display_ASSTS,73,FALSE)</f>
        <v>#REF!</v>
      </c>
      <c r="J267" s="10"/>
      <c r="K267" s="10"/>
      <c r="L267" s="10"/>
    </row>
    <row r="268" spans="1:12" ht="14.25" customHeight="1" outlineLevel="2">
      <c r="A268" s="70">
        <v>1</v>
      </c>
      <c r="B268" s="38" t="s">
        <v>142</v>
      </c>
      <c r="C268" s="38" t="s">
        <v>1197</v>
      </c>
      <c r="D268" s="38" t="e">
        <f>CONCATENATE(E269," = ",F269," 설정 시, ",G273," = ",I273,"rpm, ",G274," = ",I274,"rpm 출력 확인")</f>
        <v>#REF!</v>
      </c>
      <c r="E268" s="38"/>
      <c r="F268" s="38"/>
      <c r="G268" s="38"/>
      <c r="H268" s="38"/>
      <c r="I268" s="38"/>
      <c r="J268" s="38"/>
      <c r="K268" s="38"/>
      <c r="L268" s="38"/>
    </row>
    <row r="269" spans="1:12" ht="14.25" hidden="1" outlineLevel="2">
      <c r="A269" s="68">
        <v>1</v>
      </c>
      <c r="B269" s="10"/>
      <c r="C269" s="10"/>
      <c r="D269" s="10"/>
      <c r="E269" s="99" t="str">
        <f>VLOOKUP(C268,Tbl_Button_Display_ASSTS,11,FALSE)</f>
        <v>xEV_MainRlyOnSta</v>
      </c>
      <c r="F269" s="11">
        <f>VLOOKUP(C268,Tbl_Button_Display_ASSTS,12,FALSE)</f>
        <v>0</v>
      </c>
      <c r="G269" s="10"/>
      <c r="H269" s="10"/>
      <c r="I269" s="10"/>
      <c r="J269" s="14"/>
      <c r="K269" s="10"/>
      <c r="L269" s="10"/>
    </row>
    <row r="270" spans="1:12" ht="14.25" hidden="1" outlineLevel="2">
      <c r="A270" s="68">
        <v>1</v>
      </c>
      <c r="B270" s="10"/>
      <c r="C270" s="10"/>
      <c r="D270" s="10"/>
      <c r="E270" s="14" t="s">
        <v>5</v>
      </c>
      <c r="F270" s="11">
        <f>VLOOKUP(C268,Tbl_Button_Display_ASSTS,13,FALSE)</f>
        <v>5</v>
      </c>
      <c r="G270" s="10"/>
      <c r="H270" s="10"/>
      <c r="I270" s="10"/>
      <c r="J270" s="10"/>
      <c r="K270" s="10"/>
      <c r="L270" s="10"/>
    </row>
    <row r="271" spans="1:12" ht="14.25" hidden="1" outlineLevel="2">
      <c r="A271" s="68">
        <v>1</v>
      </c>
      <c r="B271" s="10"/>
      <c r="C271" s="10"/>
      <c r="D271" s="10"/>
      <c r="E271" s="10"/>
      <c r="F271" s="83"/>
      <c r="G271" s="10" t="e">
        <f>FrontBlwDisp</f>
        <v>#NAME?</v>
      </c>
      <c r="H271" s="10"/>
      <c r="I271" s="46">
        <f>VLOOKUP(C268,Tbl_Button_Display_ASSTS,23,FALSE)</f>
        <v>1</v>
      </c>
      <c r="J271" s="10"/>
      <c r="K271" s="10"/>
      <c r="L271" s="10"/>
    </row>
    <row r="272" spans="1:12" ht="14.25" hidden="1" outlineLevel="1">
      <c r="A272" s="68">
        <v>1</v>
      </c>
      <c r="B272" s="10"/>
      <c r="C272" s="10"/>
      <c r="D272" s="10"/>
      <c r="E272" s="10"/>
      <c r="F272" s="83"/>
      <c r="G272" s="10" t="str">
        <f>HP_ModSta</f>
        <v>DATC_HtrPmpModSta</v>
      </c>
      <c r="H272" s="47" t="e">
        <f>VLOOKUP(C268,Tbl_Button_Display_ASSTS,71,FALSE)</f>
        <v>#REF!</v>
      </c>
      <c r="I272" s="45" t="e">
        <f>(IF(H272="","",VLOOKUP(H272,Tbl_HP_Cycle,2,FALSE)))</f>
        <v>#REF!</v>
      </c>
      <c r="J272" s="10"/>
      <c r="K272" s="10"/>
      <c r="L272" s="10"/>
    </row>
    <row r="273" spans="1:12" ht="14.25" hidden="1" outlineLevel="2">
      <c r="A273" s="68">
        <v>1</v>
      </c>
      <c r="B273" s="10"/>
      <c r="C273" s="10"/>
      <c r="D273" s="10"/>
      <c r="E273" s="10"/>
      <c r="F273" s="10"/>
      <c r="G273" s="10" t="str">
        <f>PeEwpRPMReq</f>
        <v>DATC_PeEwpRPMReq</v>
      </c>
      <c r="H273" s="10"/>
      <c r="I273" s="12" t="e">
        <f>VLOOKUP(C268,Tbl_Button_Display_ASSTS,76,FALSE)</f>
        <v>#REF!</v>
      </c>
      <c r="J273" s="10"/>
      <c r="K273" s="10"/>
      <c r="L273" s="10"/>
    </row>
    <row r="274" spans="1:12" ht="14.25" hidden="1" outlineLevel="2">
      <c r="A274" s="68">
        <v>1</v>
      </c>
      <c r="B274" s="10"/>
      <c r="C274" s="10"/>
      <c r="D274" s="10"/>
      <c r="E274" s="10"/>
      <c r="F274" s="10"/>
      <c r="G274" s="10" t="str">
        <f>BatteryEWPOper</f>
        <v>DATC_BattEwpOpReq</v>
      </c>
      <c r="H274" s="10"/>
      <c r="I274" s="12" t="e">
        <f>VLOOKUP(C268,Tbl_Button_Display_ASSTS,73,FALSE)</f>
        <v>#REF!</v>
      </c>
      <c r="J274" s="10"/>
      <c r="K274" s="10"/>
      <c r="L274" s="10"/>
    </row>
    <row r="275" spans="1:12" ht="14.25" customHeight="1" outlineLevel="2">
      <c r="A275" s="70">
        <v>1</v>
      </c>
      <c r="B275" s="38" t="s">
        <v>142</v>
      </c>
      <c r="C275" s="38" t="s">
        <v>1276</v>
      </c>
      <c r="D275" s="38" t="e">
        <f>CONCATENATE(E276," = ",F276," 설정 시, ",G280," = ",I280,"rpm, ",G281," = ",I281,"rpm 출력 확인")</f>
        <v>#REF!</v>
      </c>
      <c r="E275" s="38"/>
      <c r="F275" s="38"/>
      <c r="G275" s="38"/>
      <c r="H275" s="38"/>
      <c r="I275" s="38"/>
      <c r="J275" s="38"/>
      <c r="K275" s="38"/>
      <c r="L275" s="38"/>
    </row>
    <row r="276" spans="1:12" ht="14.25" hidden="1" outlineLevel="2">
      <c r="A276" s="68">
        <v>1</v>
      </c>
      <c r="B276" s="10"/>
      <c r="C276" s="10"/>
      <c r="D276" s="10"/>
      <c r="E276" s="99" t="str">
        <f>VLOOKUP(C275,Tbl_Button_Display_ASSTS,11,FALSE)</f>
        <v>xEV_MainRlyOnSta</v>
      </c>
      <c r="F276" s="11">
        <f>VLOOKUP(C275,Tbl_Button_Display_ASSTS,12,FALSE)</f>
        <v>1</v>
      </c>
      <c r="G276" s="10"/>
      <c r="H276" s="10"/>
      <c r="I276" s="10"/>
      <c r="J276" s="14"/>
      <c r="K276" s="10"/>
      <c r="L276" s="10"/>
    </row>
    <row r="277" spans="1:12" ht="14.25" hidden="1" outlineLevel="2">
      <c r="A277" s="68">
        <v>1</v>
      </c>
      <c r="B277" s="10"/>
      <c r="C277" s="10"/>
      <c r="D277" s="10"/>
      <c r="E277" s="14" t="s">
        <v>5</v>
      </c>
      <c r="F277" s="11">
        <f>VLOOKUP(C275,Tbl_Button_Display_ASSTS,13,FALSE)</f>
        <v>2</v>
      </c>
      <c r="G277" s="10"/>
      <c r="H277" s="10"/>
      <c r="I277" s="10"/>
      <c r="J277" s="10"/>
      <c r="K277" s="10"/>
      <c r="L277" s="10"/>
    </row>
    <row r="278" spans="1:12" ht="14.25" hidden="1" outlineLevel="2">
      <c r="A278" s="68">
        <v>1</v>
      </c>
      <c r="B278" s="10"/>
      <c r="C278" s="10"/>
      <c r="D278" s="10"/>
      <c r="E278" s="10"/>
      <c r="F278" s="83"/>
      <c r="G278" s="10" t="e">
        <f>FrontBlwDisp</f>
        <v>#NAME?</v>
      </c>
      <c r="H278" s="10"/>
      <c r="I278" s="46">
        <f>VLOOKUP(C275,Tbl_Button_Display_ASSTS,23,FALSE)</f>
        <v>1</v>
      </c>
      <c r="J278" s="10"/>
      <c r="K278" s="10"/>
      <c r="L278" s="10"/>
    </row>
    <row r="279" spans="1:12" ht="14.25" hidden="1" outlineLevel="2">
      <c r="A279" s="68">
        <v>1</v>
      </c>
      <c r="B279" s="10"/>
      <c r="C279" s="10"/>
      <c r="D279" s="10"/>
      <c r="E279" s="10"/>
      <c r="F279" s="83"/>
      <c r="G279" s="10" t="str">
        <f>HP_ModSta</f>
        <v>DATC_HtrPmpModSta</v>
      </c>
      <c r="H279" s="47" t="e">
        <f>VLOOKUP(C275,Tbl_Button_Display_ASSTS,71,FALSE)</f>
        <v>#REF!</v>
      </c>
      <c r="I279" s="45" t="e">
        <f>(IF(H279="","",VLOOKUP(H279,Tbl_HP_Cycle,2,FALSE)))</f>
        <v>#REF!</v>
      </c>
      <c r="J279" s="10"/>
      <c r="K279" s="10"/>
      <c r="L279" s="10"/>
    </row>
    <row r="280" spans="1:12" ht="14.25" hidden="1" outlineLevel="2">
      <c r="A280" s="68">
        <v>1</v>
      </c>
      <c r="B280" s="10"/>
      <c r="C280" s="10"/>
      <c r="D280" s="10"/>
      <c r="E280" s="10"/>
      <c r="F280" s="10"/>
      <c r="G280" s="10" t="str">
        <f>PeEwpRPMReq</f>
        <v>DATC_PeEwpRPMReq</v>
      </c>
      <c r="H280" s="10"/>
      <c r="I280" s="12" t="e">
        <f>VLOOKUP(C275,Tbl_Button_Display_ASSTS,76,FALSE)</f>
        <v>#REF!</v>
      </c>
      <c r="J280" s="10"/>
      <c r="K280" s="10"/>
      <c r="L280" s="10"/>
    </row>
    <row r="281" spans="1:12" ht="14.25" hidden="1" outlineLevel="2">
      <c r="A281" s="68">
        <v>1</v>
      </c>
      <c r="B281" s="10"/>
      <c r="C281" s="10"/>
      <c r="D281" s="10"/>
      <c r="E281" s="10"/>
      <c r="F281" s="10"/>
      <c r="G281" s="10" t="str">
        <f>BatteryEWPOper</f>
        <v>DATC_BattEwpOpReq</v>
      </c>
      <c r="H281" s="10"/>
      <c r="I281" s="12" t="e">
        <f>VLOOKUP(C275,Tbl_Button_Display_ASSTS,73,FALSE)</f>
        <v>#REF!</v>
      </c>
      <c r="J281" s="10"/>
      <c r="K281" s="10"/>
      <c r="L281" s="10"/>
    </row>
    <row r="282" spans="1:12" ht="14.25" customHeight="1" outlineLevel="2">
      <c r="A282" s="70">
        <v>1</v>
      </c>
      <c r="B282" s="38" t="s">
        <v>142</v>
      </c>
      <c r="C282" s="38" t="s">
        <v>1277</v>
      </c>
      <c r="D282" s="38" t="e">
        <f>CONCATENATE(I286," 모드 일 때, ",G287," = ",I287,"rpm, ",G288," = ",I288,"rpm 출력 확인")</f>
        <v>#REF!</v>
      </c>
      <c r="E282" s="38"/>
      <c r="F282" s="38"/>
      <c r="G282" s="38"/>
      <c r="H282" s="38"/>
      <c r="I282" s="38"/>
      <c r="J282" s="38"/>
      <c r="K282" s="38"/>
      <c r="L282" s="38"/>
    </row>
    <row r="283" spans="1:12" ht="14.25" customHeight="1" outlineLevel="2">
      <c r="A283" s="68">
        <v>1</v>
      </c>
      <c r="B283" s="10"/>
      <c r="C283" s="10"/>
      <c r="D283" s="10"/>
      <c r="E283" s="99" t="str">
        <f>VLOOKUP(C282,Tbl_Button_Display_ASSTS,11,FALSE)</f>
        <v>Sw_OFF</v>
      </c>
      <c r="F283" s="11">
        <f>VLOOKUP(C282,Tbl_Button_Display_ASSTS,12,FALSE)</f>
        <v>1</v>
      </c>
      <c r="G283" s="10"/>
      <c r="H283" s="10"/>
      <c r="I283" s="10"/>
      <c r="J283" s="14"/>
      <c r="K283" s="10"/>
      <c r="L283" s="10"/>
    </row>
    <row r="284" spans="1:12" ht="14.25" customHeight="1" outlineLevel="2">
      <c r="A284" s="68">
        <v>1</v>
      </c>
      <c r="B284" s="10"/>
      <c r="C284" s="10"/>
      <c r="D284" s="10"/>
      <c r="E284" s="14" t="s">
        <v>5</v>
      </c>
      <c r="F284" s="11">
        <f>VLOOKUP(C282,Tbl_Button_Display_ASSTS,13,FALSE)</f>
        <v>5</v>
      </c>
      <c r="G284" s="10"/>
      <c r="H284" s="10"/>
      <c r="I284" s="10"/>
      <c r="J284" s="10"/>
      <c r="K284" s="10"/>
      <c r="L284" s="10"/>
    </row>
    <row r="285" spans="1:12" ht="14.25" customHeight="1" outlineLevel="2">
      <c r="A285" s="68">
        <v>1</v>
      </c>
      <c r="B285" s="10"/>
      <c r="C285" s="10"/>
      <c r="D285" s="10"/>
      <c r="E285" s="10"/>
      <c r="F285" s="83"/>
      <c r="G285" s="10" t="e">
        <f>FrontBlwDisp</f>
        <v>#NAME?</v>
      </c>
      <c r="H285" s="10"/>
      <c r="I285" s="46" t="str">
        <f>VLOOKUP(C282,Tbl_Button_Display_ASSTS,23,FALSE)</f>
        <v>Off</v>
      </c>
      <c r="J285" s="10"/>
      <c r="K285" s="10"/>
      <c r="L285" s="10"/>
    </row>
    <row r="286" spans="1:12" ht="14.25" customHeight="1" outlineLevel="2">
      <c r="A286" s="68">
        <v>1</v>
      </c>
      <c r="B286" s="10"/>
      <c r="C286" s="10"/>
      <c r="D286" s="10"/>
      <c r="E286" s="10"/>
      <c r="F286" s="83"/>
      <c r="G286" s="10" t="str">
        <f>HP_ModSta</f>
        <v>DATC_HtrPmpModSta</v>
      </c>
      <c r="H286" s="47" t="e">
        <f>VLOOKUP(C282,Tbl_Button_Display_ASSTS,71,FALSE)</f>
        <v>#REF!</v>
      </c>
      <c r="I286" s="45" t="e">
        <f>(IF(H286="","",VLOOKUP(H286,Tbl_HP_Cycle,2,FALSE)))</f>
        <v>#REF!</v>
      </c>
      <c r="J286" s="10"/>
      <c r="K286" s="10"/>
      <c r="L286" s="10"/>
    </row>
    <row r="287" spans="1:12" ht="14.25" customHeight="1" outlineLevel="2">
      <c r="A287" s="68">
        <v>1</v>
      </c>
      <c r="B287" s="10"/>
      <c r="C287" s="10"/>
      <c r="D287" s="10"/>
      <c r="E287" s="10"/>
      <c r="F287" s="10"/>
      <c r="G287" s="10" t="str">
        <f>PeEwpRPMReq</f>
        <v>DATC_PeEwpRPMReq</v>
      </c>
      <c r="H287" s="10"/>
      <c r="I287" s="12" t="e">
        <f>VLOOKUP(C282,Tbl_Button_Display_ASSTS,76,FALSE)</f>
        <v>#REF!</v>
      </c>
      <c r="J287" s="10"/>
      <c r="K287" s="10"/>
      <c r="L287" s="10"/>
    </row>
    <row r="288" spans="1:12" ht="14.25" customHeight="1" outlineLevel="2">
      <c r="A288" s="68">
        <v>1</v>
      </c>
      <c r="B288" s="10"/>
      <c r="C288" s="10"/>
      <c r="D288" s="10"/>
      <c r="E288" s="10"/>
      <c r="F288" s="10"/>
      <c r="G288" s="10" t="str">
        <f>BatteryEWPOper</f>
        <v>DATC_BattEwpOpReq</v>
      </c>
      <c r="H288" s="10"/>
      <c r="I288" s="12" t="e">
        <f>VLOOKUP(C282,Tbl_Button_Display_ASSTS,73,FALSE)</f>
        <v>#REF!</v>
      </c>
      <c r="J288" s="10"/>
      <c r="K288" s="10"/>
      <c r="L288" s="10"/>
    </row>
    <row r="289" spans="1:12" ht="15" customHeight="1" outlineLevel="2">
      <c r="A289" s="64">
        <v>1</v>
      </c>
      <c r="B289" s="39" t="s">
        <v>1278</v>
      </c>
      <c r="C289" s="39" t="s">
        <v>1279</v>
      </c>
      <c r="D289" s="39" t="e">
        <f>VLOOKUP(B289,Tbl_Button_Display_ASSTS,2,FALSE)</f>
        <v>#N/A</v>
      </c>
      <c r="E289" s="39"/>
      <c r="F289" s="79"/>
      <c r="G289" s="39"/>
      <c r="H289" s="39"/>
      <c r="I289" s="39"/>
      <c r="J289" s="39"/>
      <c r="K289" s="39"/>
      <c r="L289" s="39"/>
    </row>
    <row r="290" spans="1:12" ht="14.25" customHeight="1" outlineLevel="2">
      <c r="A290" s="65">
        <v>1</v>
      </c>
      <c r="B290" s="36" t="s">
        <v>31</v>
      </c>
      <c r="C290" s="36" t="s">
        <v>1280</v>
      </c>
      <c r="D290" s="36" t="s">
        <v>140</v>
      </c>
      <c r="E290" s="36"/>
      <c r="F290" s="80"/>
      <c r="G290" s="36"/>
      <c r="H290" s="36"/>
      <c r="I290" s="36"/>
      <c r="J290" s="36"/>
      <c r="K290" s="36"/>
      <c r="L290" s="36"/>
    </row>
    <row r="291" spans="1:12" ht="14.25" customHeight="1" outlineLevel="2">
      <c r="A291" s="66">
        <v>1</v>
      </c>
      <c r="B291" s="5" t="s">
        <v>31</v>
      </c>
      <c r="C291" s="6" t="s">
        <v>1200</v>
      </c>
      <c r="D291" s="6" t="s">
        <v>121</v>
      </c>
      <c r="E291" s="5"/>
      <c r="F291" s="81"/>
      <c r="G291" s="5"/>
      <c r="H291" s="5"/>
      <c r="I291" s="5"/>
      <c r="J291" s="5"/>
      <c r="K291" s="5"/>
      <c r="L291" s="5"/>
    </row>
    <row r="292" spans="1:12" ht="14.25" hidden="1" outlineLevel="2">
      <c r="A292" s="67">
        <v>1</v>
      </c>
      <c r="B292" s="7"/>
      <c r="C292" s="7"/>
      <c r="D292" s="7" t="s">
        <v>98</v>
      </c>
      <c r="E292" s="7" t="s">
        <v>132</v>
      </c>
      <c r="F292" s="9">
        <v>14</v>
      </c>
      <c r="G292" s="168" t="s">
        <v>1238</v>
      </c>
      <c r="H292" s="7"/>
      <c r="I292" s="7"/>
      <c r="J292" s="7"/>
      <c r="K292" s="7"/>
      <c r="L292" s="7"/>
    </row>
    <row r="293" spans="1:12" ht="14.25" hidden="1" outlineLevel="2">
      <c r="A293" s="67">
        <v>1</v>
      </c>
      <c r="B293" s="7"/>
      <c r="C293" s="7"/>
      <c r="D293" s="7" t="s">
        <v>35</v>
      </c>
      <c r="E293" s="7" t="s">
        <v>93</v>
      </c>
      <c r="F293" s="9" t="s">
        <v>373</v>
      </c>
      <c r="G293" s="7"/>
      <c r="H293" s="7"/>
      <c r="I293" s="7"/>
      <c r="J293" s="7"/>
      <c r="K293" s="7"/>
      <c r="L293" s="7"/>
    </row>
    <row r="294" spans="1:12" ht="14.25" hidden="1" outlineLevel="1">
      <c r="A294" s="67">
        <v>1</v>
      </c>
      <c r="B294" s="7"/>
      <c r="C294" s="7"/>
      <c r="D294" s="7" t="s">
        <v>122</v>
      </c>
      <c r="E294" s="7"/>
      <c r="F294" s="7"/>
      <c r="G294" s="7"/>
      <c r="H294" s="7"/>
      <c r="I294" s="7"/>
      <c r="J294" s="7"/>
      <c r="K294" s="7"/>
      <c r="L294" s="7"/>
    </row>
    <row r="295" spans="1:12" ht="14.25" hidden="1" outlineLevel="2">
      <c r="A295" s="67">
        <v>1</v>
      </c>
      <c r="B295" s="7"/>
      <c r="C295" s="7"/>
      <c r="D295" s="7"/>
      <c r="E295" s="7" t="e">
        <f>AutoCutMode</f>
        <v>#NAME?</v>
      </c>
      <c r="F295" s="9">
        <v>0</v>
      </c>
      <c r="G295" s="7"/>
      <c r="H295" s="7"/>
      <c r="I295" s="7"/>
      <c r="J295" s="7"/>
      <c r="K295" s="7"/>
      <c r="L295" s="7"/>
    </row>
    <row r="296" spans="1:12" ht="14.25" hidden="1" outlineLevel="2">
      <c r="A296" s="68">
        <v>1</v>
      </c>
      <c r="B296" s="10"/>
      <c r="C296" s="10"/>
      <c r="D296" s="10"/>
      <c r="E296" s="99" t="e">
        <f>User_Profile</f>
        <v>#NAME?</v>
      </c>
      <c r="F296" s="82">
        <v>0</v>
      </c>
      <c r="G296" s="10"/>
      <c r="H296" s="10"/>
      <c r="I296" s="10"/>
      <c r="J296" s="14"/>
      <c r="K296" s="10"/>
      <c r="L296" s="10"/>
    </row>
    <row r="297" spans="1:12" ht="14.25" hidden="1" outlineLevel="2">
      <c r="A297" s="67">
        <v>1</v>
      </c>
      <c r="B297" s="7"/>
      <c r="C297" s="7"/>
      <c r="D297" s="28" t="s">
        <v>772</v>
      </c>
      <c r="E297" s="28" t="s">
        <v>1239</v>
      </c>
      <c r="F297" s="9">
        <v>2000</v>
      </c>
      <c r="G297" s="28" t="s">
        <v>773</v>
      </c>
      <c r="H297" s="7"/>
      <c r="I297" s="7"/>
      <c r="J297" s="7"/>
      <c r="K297" s="7"/>
      <c r="L297" s="7"/>
    </row>
    <row r="298" spans="1:12" ht="14.25" hidden="1" outlineLevel="2">
      <c r="A298" s="67">
        <v>1</v>
      </c>
      <c r="B298" s="7"/>
      <c r="C298" s="7"/>
      <c r="D298" s="7"/>
      <c r="E298" s="7" t="s">
        <v>99</v>
      </c>
      <c r="F298" s="9">
        <v>1</v>
      </c>
      <c r="G298" s="7"/>
      <c r="H298" s="7"/>
      <c r="I298" s="7"/>
      <c r="J298" s="7"/>
      <c r="K298" s="7"/>
      <c r="L298" s="7"/>
    </row>
    <row r="299" spans="1:12" ht="14.25" hidden="1" outlineLevel="2">
      <c r="A299" s="67">
        <v>1</v>
      </c>
      <c r="B299" s="7"/>
      <c r="C299" s="7"/>
      <c r="D299" s="7"/>
      <c r="E299" s="7" t="s">
        <v>100</v>
      </c>
      <c r="F299" s="9">
        <v>6000</v>
      </c>
      <c r="G299" s="7"/>
      <c r="H299" s="7"/>
      <c r="I299" s="7"/>
      <c r="J299" s="7"/>
      <c r="K299" s="7"/>
      <c r="L299" s="7"/>
    </row>
    <row r="300" spans="1:12" ht="14.25" hidden="1" outlineLevel="2">
      <c r="A300" s="67">
        <v>1</v>
      </c>
      <c r="B300" s="7"/>
      <c r="C300" s="7"/>
      <c r="D300" s="7"/>
      <c r="E300" s="7" t="str">
        <f>EV_Ready</f>
        <v>VCU_EvDrvRdySta</v>
      </c>
      <c r="F300" s="9">
        <v>1</v>
      </c>
      <c r="G300" s="7"/>
      <c r="H300" s="7"/>
      <c r="I300" s="7"/>
      <c r="J300" s="7"/>
      <c r="K300" s="7"/>
      <c r="L300" s="7"/>
    </row>
    <row r="301" spans="1:12" ht="14.25" hidden="1" outlineLevel="2">
      <c r="A301" s="67">
        <v>1</v>
      </c>
      <c r="B301" s="7"/>
      <c r="C301" s="7"/>
      <c r="D301" s="28" t="s">
        <v>1240</v>
      </c>
      <c r="E301" s="7" t="s">
        <v>106</v>
      </c>
      <c r="F301" s="9">
        <v>35</v>
      </c>
      <c r="G301" s="28"/>
      <c r="H301" s="7"/>
      <c r="I301" s="7"/>
      <c r="J301" s="7"/>
      <c r="K301" s="7"/>
      <c r="L301" s="7"/>
    </row>
    <row r="302" spans="1:12" ht="14.25" hidden="1" outlineLevel="2">
      <c r="A302" s="67">
        <v>1</v>
      </c>
      <c r="B302" s="7"/>
      <c r="C302" s="7"/>
      <c r="D302" s="28" t="s">
        <v>1241</v>
      </c>
      <c r="E302" s="28" t="s">
        <v>136</v>
      </c>
      <c r="F302" s="9">
        <v>35</v>
      </c>
      <c r="G302" s="7"/>
      <c r="H302" s="7"/>
      <c r="I302" s="7"/>
      <c r="J302" s="7"/>
      <c r="K302" s="7"/>
      <c r="L302" s="7"/>
    </row>
    <row r="303" spans="1:12" ht="14.25" hidden="1" outlineLevel="2">
      <c r="A303" s="67">
        <v>1</v>
      </c>
      <c r="B303" s="7"/>
      <c r="C303" s="7"/>
      <c r="D303" s="28"/>
      <c r="E303" s="28" t="s">
        <v>137</v>
      </c>
      <c r="F303" s="9">
        <v>35</v>
      </c>
      <c r="G303" s="7"/>
      <c r="H303" s="7"/>
      <c r="I303" s="7"/>
      <c r="J303" s="7"/>
      <c r="K303" s="7"/>
      <c r="L303" s="7"/>
    </row>
    <row r="304" spans="1:12" ht="14.25" hidden="1" outlineLevel="2">
      <c r="A304" s="67">
        <v>1</v>
      </c>
      <c r="B304" s="7"/>
      <c r="C304" s="7"/>
      <c r="D304" s="28"/>
      <c r="E304" s="28" t="s">
        <v>134</v>
      </c>
      <c r="F304" s="9">
        <v>35</v>
      </c>
      <c r="G304" s="7"/>
      <c r="H304" s="7"/>
      <c r="I304" s="7"/>
      <c r="J304" s="7"/>
      <c r="K304" s="7"/>
      <c r="L304" s="7"/>
    </row>
    <row r="305" spans="1:12" ht="14.25" hidden="1" outlineLevel="2">
      <c r="A305" s="67">
        <v>1</v>
      </c>
      <c r="B305" s="7"/>
      <c r="C305" s="7"/>
      <c r="D305" s="28"/>
      <c r="E305" s="28" t="s">
        <v>135</v>
      </c>
      <c r="F305" s="9">
        <v>35</v>
      </c>
      <c r="G305" s="7"/>
      <c r="H305" s="7"/>
      <c r="I305" s="7"/>
      <c r="J305" s="7"/>
      <c r="K305" s="7"/>
      <c r="L305" s="7"/>
    </row>
    <row r="306" spans="1:12" ht="14.25" hidden="1" outlineLevel="2">
      <c r="A306" s="67">
        <v>1</v>
      </c>
      <c r="B306" s="7"/>
      <c r="C306" s="7"/>
      <c r="D306" s="28" t="s">
        <v>1242</v>
      </c>
      <c r="E306" s="7" t="s">
        <v>107</v>
      </c>
      <c r="F306" s="9" t="e">
        <f>VLOOKUP(C291,Tbl_Button_Display_ASSTS,5,FALSE)</f>
        <v>#N/A</v>
      </c>
      <c r="G306" s="28"/>
      <c r="H306" s="7"/>
      <c r="I306" s="7"/>
      <c r="J306" s="7"/>
      <c r="K306" s="7"/>
      <c r="L306" s="7"/>
    </row>
    <row r="307" spans="1:12" ht="14.25" hidden="1" outlineLevel="2">
      <c r="A307" s="67">
        <v>1</v>
      </c>
      <c r="B307" s="7"/>
      <c r="C307" s="7"/>
      <c r="D307" s="28" t="s">
        <v>124</v>
      </c>
      <c r="E307" s="28" t="s">
        <v>125</v>
      </c>
      <c r="F307" s="9">
        <v>1</v>
      </c>
      <c r="G307" s="28" t="s">
        <v>1243</v>
      </c>
      <c r="H307" s="7"/>
      <c r="I307" s="7"/>
      <c r="J307" s="7"/>
      <c r="K307" s="7"/>
      <c r="L307" s="7"/>
    </row>
    <row r="308" spans="1:12" ht="14.25" hidden="1" outlineLevel="2">
      <c r="A308" s="67">
        <v>1</v>
      </c>
      <c r="B308" s="7"/>
      <c r="C308" s="7"/>
      <c r="D308" s="7" t="s">
        <v>123</v>
      </c>
      <c r="E308" s="7"/>
      <c r="F308" s="7"/>
      <c r="G308" s="7"/>
      <c r="H308" s="7"/>
      <c r="I308" s="7"/>
      <c r="J308" s="7"/>
      <c r="K308" s="7"/>
      <c r="L308" s="7"/>
    </row>
    <row r="309" spans="1:12" ht="14.25" hidden="1" outlineLevel="2">
      <c r="A309" s="67">
        <v>1</v>
      </c>
      <c r="B309" s="7"/>
      <c r="C309" s="7"/>
      <c r="D309" s="28" t="s">
        <v>124</v>
      </c>
      <c r="E309" s="28" t="s">
        <v>133</v>
      </c>
      <c r="F309" s="9">
        <v>4</v>
      </c>
      <c r="G309" s="28"/>
      <c r="H309" s="7"/>
      <c r="I309" s="7"/>
      <c r="J309" s="7"/>
      <c r="K309" s="7"/>
      <c r="L309" s="7"/>
    </row>
    <row r="310" spans="1:12" ht="14.25" hidden="1" outlineLevel="2">
      <c r="A310" s="67">
        <v>1</v>
      </c>
      <c r="B310" s="7"/>
      <c r="C310" s="7"/>
      <c r="D310" s="7"/>
      <c r="E310" s="7" t="s">
        <v>103</v>
      </c>
      <c r="F310" s="9">
        <v>5000</v>
      </c>
      <c r="G310" s="7"/>
      <c r="H310" s="7"/>
      <c r="I310" s="7"/>
      <c r="J310" s="7"/>
      <c r="K310" s="7"/>
      <c r="L310" s="7"/>
    </row>
    <row r="311" spans="1:12" ht="14.25" hidden="1" outlineLevel="2">
      <c r="A311" s="67">
        <v>1</v>
      </c>
      <c r="B311" s="7"/>
      <c r="C311" s="7"/>
      <c r="D311" s="7"/>
      <c r="E311" s="7" t="s">
        <v>101</v>
      </c>
      <c r="F311" s="9">
        <v>2000</v>
      </c>
      <c r="G311" s="7"/>
      <c r="H311" s="7"/>
      <c r="I311" s="7"/>
      <c r="J311" s="7"/>
      <c r="K311" s="7"/>
      <c r="L311" s="7"/>
    </row>
    <row r="312" spans="1:12" ht="14.25" hidden="1" outlineLevel="2">
      <c r="A312" s="67">
        <v>1</v>
      </c>
      <c r="B312" s="7"/>
      <c r="C312" s="7"/>
      <c r="D312" s="7"/>
      <c r="E312" s="7" t="s">
        <v>102</v>
      </c>
      <c r="F312" s="9">
        <v>1</v>
      </c>
      <c r="G312" s="7"/>
      <c r="H312" s="7"/>
      <c r="I312" s="7"/>
      <c r="J312" s="7"/>
      <c r="K312" s="7"/>
      <c r="L312" s="7"/>
    </row>
    <row r="313" spans="1:12" ht="14.25" hidden="1" outlineLevel="2">
      <c r="A313" s="67">
        <v>1</v>
      </c>
      <c r="B313" s="7"/>
      <c r="C313" s="7"/>
      <c r="D313" s="7"/>
      <c r="E313" s="7" t="s">
        <v>103</v>
      </c>
      <c r="F313" s="9">
        <v>5000</v>
      </c>
      <c r="G313" s="7"/>
      <c r="H313" s="7"/>
      <c r="I313" s="7"/>
      <c r="J313" s="7"/>
      <c r="K313" s="7"/>
      <c r="L313" s="7"/>
    </row>
    <row r="314" spans="1:12" ht="14.25" hidden="1" outlineLevel="2">
      <c r="A314" s="68">
        <v>1</v>
      </c>
      <c r="B314" s="10"/>
      <c r="C314" s="10"/>
      <c r="D314" s="10"/>
      <c r="E314" s="28" t="str">
        <f>BatChllrTgtRpm</f>
        <v>VCU_BatChllrTgtRpm</v>
      </c>
      <c r="F314" s="9">
        <v>0</v>
      </c>
      <c r="G314" s="10"/>
      <c r="H314" s="10"/>
      <c r="I314" s="10"/>
      <c r="J314" s="14"/>
      <c r="K314" s="10"/>
      <c r="L314" s="10"/>
    </row>
    <row r="315" spans="1:12" ht="14.25" hidden="1" outlineLevel="2">
      <c r="A315" s="68">
        <v>1</v>
      </c>
      <c r="B315" s="10"/>
      <c r="C315" s="10"/>
      <c r="D315" s="10"/>
      <c r="E315" s="28" t="str">
        <f>BatEwpFltSta</f>
        <v>VCU_BatEwpFltSta</v>
      </c>
      <c r="F315" s="9">
        <v>0</v>
      </c>
      <c r="G315" s="10"/>
      <c r="H315" s="10"/>
      <c r="I315" s="10"/>
      <c r="J315" s="14"/>
      <c r="K315" s="10"/>
      <c r="L315" s="10"/>
    </row>
    <row r="316" spans="1:12" ht="14.25" hidden="1">
      <c r="A316" s="68">
        <v>1</v>
      </c>
      <c r="B316" s="10"/>
      <c r="C316" s="10"/>
      <c r="D316" s="10"/>
      <c r="E316" s="28" t="str">
        <f>LtrEwpFltSt</f>
        <v>VCU_LtrEwpFltSt</v>
      </c>
      <c r="F316" s="9">
        <v>0</v>
      </c>
      <c r="G316" s="10"/>
      <c r="H316" s="10"/>
      <c r="I316" s="10"/>
      <c r="J316" s="14"/>
      <c r="K316" s="10"/>
      <c r="L316" s="10"/>
    </row>
    <row r="317" spans="1:12" ht="14.25" hidden="1" collapsed="1">
      <c r="A317" s="68">
        <v>1</v>
      </c>
      <c r="B317" s="10"/>
      <c r="C317" s="10"/>
      <c r="D317" s="10"/>
      <c r="E317" s="28" t="str">
        <f>PtcOprPrm</f>
        <v>CF_Fcu_PtcOprPrm</v>
      </c>
      <c r="F317" s="9">
        <v>1</v>
      </c>
      <c r="G317" s="10"/>
      <c r="H317" s="10"/>
      <c r="I317" s="10"/>
      <c r="J317" s="14"/>
      <c r="K317" s="10"/>
      <c r="L317" s="10"/>
    </row>
    <row r="318" spans="1:12" ht="14.25" hidden="1" outlineLevel="1">
      <c r="A318" s="68">
        <v>1</v>
      </c>
      <c r="B318" s="10"/>
      <c r="C318" s="10"/>
      <c r="D318" s="10"/>
      <c r="E318" s="28" t="str">
        <f>PtcPrmPwr_W</f>
        <v>CR_Fcu_PtcPrmPwr_W</v>
      </c>
      <c r="F318" s="9">
        <v>510</v>
      </c>
      <c r="G318" s="10"/>
      <c r="H318" s="10"/>
      <c r="I318" s="10"/>
      <c r="J318" s="14"/>
      <c r="K318" s="10"/>
      <c r="L318" s="10"/>
    </row>
    <row r="319" spans="1:12" ht="14.25" hidden="1" outlineLevel="2">
      <c r="A319" s="68">
        <v>1</v>
      </c>
      <c r="B319" s="10"/>
      <c r="C319" s="10"/>
      <c r="D319" s="10"/>
      <c r="E319" s="28" t="str">
        <f>HVPP_CstPwrDr_W</f>
        <v>HVPP_CstPwrDr_W</v>
      </c>
      <c r="F319" s="9">
        <v>250</v>
      </c>
      <c r="G319" s="10"/>
      <c r="H319" s="10"/>
      <c r="I319" s="10"/>
      <c r="J319" s="14"/>
      <c r="K319" s="10"/>
      <c r="L319" s="10"/>
    </row>
    <row r="320" spans="1:12" ht="14.25" hidden="1" outlineLevel="2">
      <c r="A320" s="68">
        <v>1</v>
      </c>
      <c r="B320" s="10"/>
      <c r="C320" s="10"/>
      <c r="D320" s="10"/>
      <c r="E320" s="28" t="str">
        <f>HVPP_CstPwrPs_W</f>
        <v>HVPP_CstPwrPs_W</v>
      </c>
      <c r="F320" s="9">
        <v>250</v>
      </c>
      <c r="G320" s="10"/>
      <c r="H320" s="10"/>
      <c r="I320" s="10"/>
      <c r="J320" s="14"/>
      <c r="K320" s="10"/>
      <c r="L320" s="10"/>
    </row>
    <row r="321" spans="1:12" ht="14.25" hidden="1" outlineLevel="2">
      <c r="A321" s="67">
        <v>1</v>
      </c>
      <c r="B321" s="7"/>
      <c r="C321" s="7"/>
      <c r="D321" s="7" t="s">
        <v>36</v>
      </c>
      <c r="E321" s="7"/>
      <c r="F321" s="7"/>
      <c r="G321" s="7"/>
      <c r="H321" s="7"/>
      <c r="I321" s="7"/>
      <c r="J321" s="7"/>
      <c r="K321" s="7"/>
      <c r="L321" s="7"/>
    </row>
    <row r="322" spans="1:12" ht="14.25" hidden="1" outlineLevel="2">
      <c r="A322" s="67">
        <v>1</v>
      </c>
      <c r="B322" s="7"/>
      <c r="C322" s="7"/>
      <c r="D322" s="7"/>
      <c r="E322" s="8" t="e">
        <f>Incar_IN</f>
        <v>#NAME?</v>
      </c>
      <c r="F322" s="63" t="e">
        <f>VINTERPOLATION(VLOOKUP(C291,Tbl_Button_Display_ASSTS,2,FALSE),Tbl_Incar_Sensor,3)</f>
        <v>#VALUE!</v>
      </c>
      <c r="G322" s="7"/>
      <c r="H322" s="7"/>
      <c r="I322" s="7"/>
      <c r="J322" s="7"/>
      <c r="K322" s="7"/>
      <c r="L322" s="7"/>
    </row>
    <row r="323" spans="1:12" ht="14.25" hidden="1" outlineLevel="2">
      <c r="A323" s="67">
        <v>1</v>
      </c>
      <c r="B323" s="7"/>
      <c r="C323" s="7"/>
      <c r="D323" s="7"/>
      <c r="E323" s="8" t="e">
        <f>Amb_IN</f>
        <v>#NAME?</v>
      </c>
      <c r="F323" s="63" t="e">
        <f>VINTERPOLATION(VLOOKUP(C291,Tbl_Button_Display_ASSTS,3,FALSE),Tbl_Amb_Sensor,3)</f>
        <v>#VALUE!</v>
      </c>
      <c r="G323" s="28" t="s">
        <v>1244</v>
      </c>
      <c r="H323" s="7"/>
      <c r="I323" s="7"/>
      <c r="J323" s="7"/>
      <c r="K323" s="7"/>
      <c r="L323" s="7"/>
    </row>
    <row r="324" spans="1:12" ht="14.25" hidden="1" outlineLevel="2">
      <c r="A324" s="67">
        <v>1</v>
      </c>
      <c r="B324" s="7"/>
      <c r="C324" s="7"/>
      <c r="D324" s="28" t="s">
        <v>1245</v>
      </c>
      <c r="E324" s="8" t="e">
        <f>EvaDr_IN</f>
        <v>#NAME?</v>
      </c>
      <c r="F324" s="63" t="e">
        <f>VINTERPOLATION(VLOOKUP(C291,Tbl_Button_Display_ASSTS,4,FALSE),Tbl_Eva_Sensor,3)</f>
        <v>#VALUE!</v>
      </c>
      <c r="G324" s="7"/>
      <c r="H324" s="7"/>
      <c r="I324" s="7"/>
      <c r="J324" s="7"/>
      <c r="K324" s="7"/>
      <c r="L324" s="7"/>
    </row>
    <row r="325" spans="1:12" ht="14.25" hidden="1" outlineLevel="2">
      <c r="A325" s="67">
        <v>1</v>
      </c>
      <c r="B325" s="7"/>
      <c r="C325" s="7"/>
      <c r="D325" s="7"/>
      <c r="E325" s="8" t="e">
        <f>CionDiag_V</f>
        <v>#NAME?</v>
      </c>
      <c r="F325" s="9">
        <v>2.7</v>
      </c>
      <c r="G325" s="7"/>
      <c r="H325" s="7"/>
      <c r="I325" s="7"/>
      <c r="J325" s="7"/>
      <c r="K325" s="7"/>
      <c r="L325" s="7"/>
    </row>
    <row r="326" spans="1:12" ht="14.25" hidden="1" outlineLevel="2">
      <c r="A326" s="67">
        <v>1</v>
      </c>
      <c r="B326" s="7"/>
      <c r="C326" s="7"/>
      <c r="D326" s="28" t="s">
        <v>1246</v>
      </c>
      <c r="E326" s="29" t="e">
        <f>Duct_ALL_V</f>
        <v>#NAME?</v>
      </c>
      <c r="F326" s="227" t="e">
        <f>VINTERPOLATION(VLOOKUP(C291,Tbl_Button_Display_ASSTS,9,FALSE),Tbl_Duct_Sensor,3)</f>
        <v>#VALUE!</v>
      </c>
      <c r="G326" s="7"/>
      <c r="H326" s="7"/>
      <c r="I326" s="7"/>
      <c r="J326" s="7"/>
      <c r="K326" s="7"/>
      <c r="L326" s="7"/>
    </row>
    <row r="327" spans="1:12" ht="14.25" hidden="1" outlineLevel="2">
      <c r="A327" s="67">
        <v>1</v>
      </c>
      <c r="B327" s="7"/>
      <c r="C327" s="7"/>
      <c r="D327" s="7"/>
      <c r="E327" s="8" t="e">
        <f>Photo_L_V</f>
        <v>#NAME?</v>
      </c>
      <c r="F327" s="9">
        <v>0</v>
      </c>
      <c r="G327" s="7"/>
      <c r="H327" s="7"/>
      <c r="I327" s="7"/>
      <c r="J327" s="7"/>
      <c r="K327" s="7"/>
      <c r="L327" s="7"/>
    </row>
    <row r="328" spans="1:12" ht="14.25" hidden="1" outlineLevel="1">
      <c r="A328" s="67">
        <v>1</v>
      </c>
      <c r="B328" s="7"/>
      <c r="C328" s="7"/>
      <c r="D328" s="7"/>
      <c r="E328" s="8" t="e">
        <f>Photo_R_V</f>
        <v>#NAME?</v>
      </c>
      <c r="F328" s="9">
        <v>0</v>
      </c>
      <c r="G328" s="7"/>
      <c r="H328" s="7"/>
      <c r="I328" s="7"/>
      <c r="J328" s="7"/>
      <c r="K328" s="7"/>
      <c r="L328" s="7"/>
    </row>
    <row r="329" spans="1:12" ht="14.25" hidden="1" outlineLevel="2">
      <c r="A329" s="67">
        <v>1</v>
      </c>
      <c r="B329" s="7"/>
      <c r="C329" s="7"/>
      <c r="D329" s="10"/>
      <c r="E329" s="13" t="e">
        <f>T_windshield</f>
        <v>#NAME?</v>
      </c>
      <c r="F329" s="11">
        <v>30</v>
      </c>
      <c r="G329" s="28" t="s">
        <v>344</v>
      </c>
      <c r="H329" s="7"/>
      <c r="I329" s="7"/>
      <c r="J329" s="7"/>
      <c r="K329" s="7"/>
      <c r="L329" s="7"/>
    </row>
    <row r="330" spans="1:12" ht="14.25" hidden="1" outlineLevel="2">
      <c r="A330" s="67">
        <v>1</v>
      </c>
      <c r="B330" s="7"/>
      <c r="C330" s="7"/>
      <c r="D330" s="28" t="s">
        <v>1247</v>
      </c>
      <c r="E330" s="28" t="s">
        <v>126</v>
      </c>
      <c r="F330" s="9">
        <v>35</v>
      </c>
      <c r="G330" s="28"/>
      <c r="H330" s="7"/>
      <c r="I330" s="7"/>
      <c r="J330" s="7"/>
      <c r="K330" s="7"/>
      <c r="L330" s="7"/>
    </row>
    <row r="331" spans="1:12" ht="14.25" hidden="1" outlineLevel="2">
      <c r="A331" s="67">
        <v>1</v>
      </c>
      <c r="B331" s="7"/>
      <c r="C331" s="7"/>
      <c r="D331" s="28" t="s">
        <v>1247</v>
      </c>
      <c r="E331" s="28" t="s">
        <v>105</v>
      </c>
      <c r="F331" s="9">
        <v>35</v>
      </c>
      <c r="G331" s="7"/>
      <c r="H331" s="7"/>
      <c r="I331" s="7"/>
      <c r="J331" s="7"/>
      <c r="K331" s="7"/>
      <c r="L331" s="7"/>
    </row>
    <row r="332" spans="1:12" ht="14.25" hidden="1" outlineLevel="2">
      <c r="A332" s="67">
        <v>1</v>
      </c>
      <c r="B332" s="7"/>
      <c r="C332" s="7"/>
      <c r="D332" s="28" t="s">
        <v>1248</v>
      </c>
      <c r="E332" s="29" t="str">
        <f>P_SIGNAL_COMP_OUT</f>
        <v>Snr_P SIGNAL_COMP OUT(PSI)_IN</v>
      </c>
      <c r="F332" s="9">
        <v>80</v>
      </c>
      <c r="G332" s="28" t="s">
        <v>1249</v>
      </c>
      <c r="H332" s="7"/>
      <c r="I332" s="7"/>
      <c r="J332" s="7"/>
      <c r="K332" s="7"/>
      <c r="L332" s="7"/>
    </row>
    <row r="333" spans="1:12" ht="14.25" hidden="1" outlineLevel="1">
      <c r="A333" s="67">
        <v>1</v>
      </c>
      <c r="B333" s="7"/>
      <c r="C333" s="7"/>
      <c r="D333" s="28"/>
      <c r="E333" s="29" t="str">
        <f>T_SIGNAL_COMP_OUT</f>
        <v>Snr_T SIGNAL_COMP OUT(degC)_IN</v>
      </c>
      <c r="F333" s="9">
        <v>40</v>
      </c>
      <c r="G333" s="28" t="s">
        <v>1250</v>
      </c>
      <c r="H333" s="7"/>
      <c r="I333" s="7"/>
      <c r="J333" s="7"/>
      <c r="K333" s="7"/>
      <c r="L333" s="7"/>
    </row>
    <row r="334" spans="1:12" ht="14.25" hidden="1" outlineLevel="2">
      <c r="A334" s="68">
        <v>1</v>
      </c>
      <c r="B334" s="10"/>
      <c r="C334" s="10"/>
      <c r="D334" s="28"/>
      <c r="E334" s="29" t="str">
        <f>P_SIGNAL_BCHILLER</f>
        <v>Snr_P SIGNAL_B/CHILLER(PSI)_IN</v>
      </c>
      <c r="F334" s="9">
        <v>40</v>
      </c>
      <c r="G334" s="7"/>
      <c r="H334" s="10"/>
      <c r="I334" s="10"/>
      <c r="J334" s="14"/>
      <c r="K334" s="10"/>
      <c r="L334" s="10"/>
    </row>
    <row r="335" spans="1:12" ht="14.25" hidden="1" outlineLevel="2">
      <c r="A335" s="67">
        <v>1</v>
      </c>
      <c r="B335" s="7"/>
      <c r="C335" s="7"/>
      <c r="D335" s="28"/>
      <c r="E335" s="29" t="str">
        <f>T_SIGNAL_BCHILLER</f>
        <v>Snr_T SIGNAL_B/CHILLER(degC)_IN</v>
      </c>
      <c r="F335" s="9">
        <v>40</v>
      </c>
      <c r="G335" s="7"/>
      <c r="H335" s="7"/>
      <c r="I335" s="7"/>
      <c r="J335" s="7"/>
      <c r="K335" s="7"/>
      <c r="L335" s="7"/>
    </row>
    <row r="336" spans="1:12" ht="15" customHeight="1" outlineLevel="2">
      <c r="A336" s="66">
        <v>1</v>
      </c>
      <c r="B336" s="5" t="s">
        <v>31</v>
      </c>
      <c r="C336" s="6" t="s">
        <v>1201</v>
      </c>
      <c r="D336" s="6" t="s">
        <v>1251</v>
      </c>
      <c r="E336" s="5"/>
      <c r="F336" s="5"/>
      <c r="G336" s="5"/>
      <c r="H336" s="5"/>
      <c r="I336" s="5"/>
      <c r="J336" s="5"/>
      <c r="K336" s="5"/>
      <c r="L336" s="5"/>
    </row>
    <row r="337" spans="1:12" ht="14.25" hidden="1" outlineLevel="2">
      <c r="A337" s="68">
        <v>1</v>
      </c>
      <c r="B337" s="10"/>
      <c r="C337" s="10"/>
      <c r="D337" s="10" t="s">
        <v>384</v>
      </c>
      <c r="E337" s="10"/>
      <c r="F337" s="10"/>
      <c r="G337" s="10" t="s">
        <v>385</v>
      </c>
      <c r="H337" s="10"/>
      <c r="I337" s="7"/>
      <c r="J337" s="85"/>
      <c r="K337" s="10"/>
      <c r="L337" s="10"/>
    </row>
    <row r="338" spans="1:12" ht="14.25" hidden="1">
      <c r="A338" s="68">
        <v>1</v>
      </c>
      <c r="B338" s="10"/>
      <c r="C338" s="10"/>
      <c r="D338" s="10" t="s">
        <v>384</v>
      </c>
      <c r="E338" s="10"/>
      <c r="F338" s="10"/>
      <c r="G338" s="10" t="s">
        <v>386</v>
      </c>
      <c r="H338" s="10"/>
      <c r="I338" s="7"/>
      <c r="J338" s="85"/>
      <c r="K338" s="10"/>
      <c r="L338" s="10"/>
    </row>
    <row r="339" spans="1:12" ht="14.25" hidden="1" collapsed="1">
      <c r="A339" s="68">
        <v>1</v>
      </c>
      <c r="B339" s="10"/>
      <c r="C339" s="10"/>
      <c r="D339" s="10" t="s">
        <v>384</v>
      </c>
      <c r="E339" s="10"/>
      <c r="F339" s="10"/>
      <c r="G339" s="10" t="s">
        <v>387</v>
      </c>
      <c r="H339" s="10"/>
      <c r="I339" s="7"/>
      <c r="J339" s="85"/>
      <c r="K339" s="10"/>
      <c r="L339" s="10"/>
    </row>
    <row r="340" spans="1:12" ht="14.25" hidden="1" outlineLevel="1">
      <c r="A340" s="68">
        <v>1</v>
      </c>
      <c r="B340" s="10"/>
      <c r="C340" s="10"/>
      <c r="D340" s="10" t="s">
        <v>384</v>
      </c>
      <c r="E340" s="10"/>
      <c r="F340" s="10"/>
      <c r="G340" s="10" t="s">
        <v>388</v>
      </c>
      <c r="H340" s="10"/>
      <c r="I340" s="7"/>
      <c r="J340" s="85"/>
      <c r="K340" s="10"/>
      <c r="L340" s="10"/>
    </row>
    <row r="341" spans="1:12" ht="14.25" hidden="1" outlineLevel="2">
      <c r="A341" s="68">
        <v>1</v>
      </c>
      <c r="B341" s="10"/>
      <c r="C341" s="10"/>
      <c r="D341" s="10" t="s">
        <v>384</v>
      </c>
      <c r="E341" s="10"/>
      <c r="F341" s="10"/>
      <c r="G341" s="10" t="s">
        <v>389</v>
      </c>
      <c r="H341" s="10"/>
      <c r="I341" s="7"/>
      <c r="J341" s="85"/>
      <c r="K341" s="10"/>
      <c r="L341" s="10"/>
    </row>
    <row r="342" spans="1:12" ht="14.25" customHeight="1" outlineLevel="2">
      <c r="A342" s="66">
        <v>1</v>
      </c>
      <c r="B342" s="5" t="s">
        <v>31</v>
      </c>
      <c r="C342" s="6" t="s">
        <v>1202</v>
      </c>
      <c r="D342" s="6" t="s">
        <v>164</v>
      </c>
      <c r="E342" s="5"/>
      <c r="F342" s="81"/>
      <c r="G342" s="5"/>
      <c r="H342" s="5"/>
      <c r="I342" s="5"/>
      <c r="J342" s="5"/>
      <c r="K342" s="5"/>
      <c r="L342" s="5"/>
    </row>
    <row r="343" spans="1:12" ht="14.25" hidden="1" outlineLevel="2">
      <c r="A343" s="68">
        <v>1</v>
      </c>
      <c r="B343" s="10"/>
      <c r="C343" s="10"/>
      <c r="D343" s="10"/>
      <c r="E343" s="10" t="s">
        <v>130</v>
      </c>
      <c r="F343" s="82" t="s">
        <v>131</v>
      </c>
      <c r="G343" s="10"/>
      <c r="H343" s="10"/>
      <c r="I343" s="30"/>
      <c r="J343" s="30"/>
      <c r="K343" s="10"/>
      <c r="L343" s="10"/>
    </row>
    <row r="344" spans="1:12" ht="14.25" hidden="1" outlineLevel="2">
      <c r="A344" s="68">
        <v>1</v>
      </c>
      <c r="B344" s="10"/>
      <c r="C344" s="10"/>
      <c r="D344" s="10"/>
      <c r="E344" s="10"/>
      <c r="F344" s="83"/>
      <c r="G344" s="10" t="s">
        <v>127</v>
      </c>
      <c r="H344" s="10"/>
      <c r="I344" s="31" t="s">
        <v>129</v>
      </c>
      <c r="J344" s="10"/>
      <c r="K344" s="10"/>
      <c r="L344" s="10"/>
    </row>
    <row r="345" spans="1:12" ht="14.25" hidden="1" outlineLevel="2">
      <c r="A345" s="68">
        <v>1</v>
      </c>
      <c r="B345" s="10"/>
      <c r="C345" s="10"/>
      <c r="D345" s="44" t="s">
        <v>1252</v>
      </c>
      <c r="E345" s="10" t="s">
        <v>89</v>
      </c>
      <c r="F345" s="9" t="e">
        <f>CONCATENATE("자가진단 진입 : ",SelfDiagCode)</f>
        <v>#NAME?</v>
      </c>
      <c r="G345" s="10"/>
      <c r="H345" s="10"/>
      <c r="I345" s="10"/>
      <c r="J345" s="30"/>
      <c r="K345" s="10"/>
      <c r="L345" s="10"/>
    </row>
    <row r="346" spans="1:12" ht="14.25" hidden="1" outlineLevel="2">
      <c r="A346" s="68">
        <v>1</v>
      </c>
      <c r="B346" s="10"/>
      <c r="C346" s="10"/>
      <c r="D346" s="10"/>
      <c r="E346" s="10"/>
      <c r="F346" s="83"/>
      <c r="G346" s="10" t="s">
        <v>128</v>
      </c>
      <c r="H346" s="10"/>
      <c r="I346" s="12">
        <v>0</v>
      </c>
      <c r="J346" s="30"/>
      <c r="K346" s="10"/>
      <c r="L346" s="10"/>
    </row>
    <row r="347" spans="1:12" ht="14.25" customHeight="1" outlineLevel="1">
      <c r="A347" s="66">
        <v>1</v>
      </c>
      <c r="B347" s="5" t="s">
        <v>31</v>
      </c>
      <c r="C347" s="6" t="s">
        <v>1203</v>
      </c>
      <c r="D347" s="6" t="s">
        <v>112</v>
      </c>
      <c r="E347" s="5"/>
      <c r="F347" s="81"/>
      <c r="G347" s="5"/>
      <c r="H347" s="5"/>
      <c r="I347" s="5"/>
      <c r="J347" s="5"/>
      <c r="K347" s="5"/>
      <c r="L347" s="5"/>
    </row>
    <row r="348" spans="1:12" ht="14.25" hidden="1" outlineLevel="2">
      <c r="A348" s="67">
        <v>1</v>
      </c>
      <c r="B348" s="7"/>
      <c r="C348" s="7"/>
      <c r="D348" s="7" t="s">
        <v>138</v>
      </c>
      <c r="E348" s="7" t="s">
        <v>93</v>
      </c>
      <c r="F348" s="82" t="s">
        <v>373</v>
      </c>
      <c r="G348" s="7"/>
      <c r="H348" s="7"/>
      <c r="I348" s="7"/>
      <c r="J348" s="7"/>
      <c r="K348" s="7"/>
      <c r="L348" s="7"/>
    </row>
    <row r="349" spans="1:12" ht="14.25" hidden="1" outlineLevel="2">
      <c r="A349" s="68">
        <v>1</v>
      </c>
      <c r="B349" s="10"/>
      <c r="C349" s="10"/>
      <c r="D349" s="10"/>
      <c r="E349" s="7" t="s">
        <v>5</v>
      </c>
      <c r="F349" s="82">
        <v>2</v>
      </c>
      <c r="G349" s="10"/>
      <c r="H349" s="10"/>
      <c r="I349" s="10"/>
      <c r="J349" s="10"/>
      <c r="K349" s="10"/>
      <c r="L349" s="10"/>
    </row>
    <row r="350" spans="1:12" ht="14.25" hidden="1" outlineLevel="2">
      <c r="A350" s="68">
        <v>1</v>
      </c>
      <c r="B350" s="10"/>
      <c r="C350" s="10"/>
      <c r="D350" s="44"/>
      <c r="E350" s="10" t="s">
        <v>89</v>
      </c>
      <c r="F350" s="84" t="s">
        <v>1253</v>
      </c>
      <c r="G350" s="41"/>
      <c r="H350" s="41"/>
      <c r="I350" s="41"/>
      <c r="J350" s="30"/>
      <c r="K350" s="10"/>
      <c r="L350" s="10"/>
    </row>
    <row r="351" spans="1:12" ht="14.25" customHeight="1" outlineLevel="2">
      <c r="A351" s="69">
        <v>1</v>
      </c>
      <c r="B351" s="37" t="s">
        <v>143</v>
      </c>
      <c r="C351" s="37" t="s">
        <v>791</v>
      </c>
      <c r="D351" s="37" t="e">
        <f>VLOOKUP(C351,Tbl_Button_Display_ASSTS, 2,FALSE)</f>
        <v>#N/A</v>
      </c>
      <c r="E351" s="37"/>
      <c r="F351" s="37"/>
      <c r="G351" s="37"/>
      <c r="H351" s="37"/>
      <c r="I351" s="37"/>
      <c r="J351" s="37"/>
      <c r="K351" s="37"/>
      <c r="L351" s="37"/>
    </row>
    <row r="352" spans="1:12" ht="16.5" customHeight="1" outlineLevel="2">
      <c r="A352" s="103">
        <v>1</v>
      </c>
      <c r="B352" s="104" t="s">
        <v>38</v>
      </c>
      <c r="C352" s="104" t="s">
        <v>792</v>
      </c>
      <c r="D352" s="104" t="s">
        <v>1254</v>
      </c>
      <c r="E352" s="104"/>
      <c r="F352" s="104"/>
      <c r="G352" s="104"/>
      <c r="H352" s="104"/>
      <c r="I352" s="104"/>
      <c r="J352" s="104"/>
      <c r="K352" s="104"/>
      <c r="L352" s="104"/>
    </row>
    <row r="353" spans="1:12" ht="16.5" hidden="1" outlineLevel="2">
      <c r="A353" s="68">
        <v>1</v>
      </c>
      <c r="B353" s="10"/>
      <c r="C353" s="10"/>
      <c r="D353" s="10"/>
      <c r="E353" s="99" t="str">
        <f>P_SIGNAL_COMP_OUT</f>
        <v>Snr_P SIGNAL_COMP OUT(PSI)_IN</v>
      </c>
      <c r="F353" s="105">
        <v>235</v>
      </c>
      <c r="G353" s="185"/>
      <c r="H353" s="10"/>
      <c r="I353" s="10"/>
      <c r="J353" s="10"/>
      <c r="K353" s="10"/>
      <c r="L353" s="10"/>
    </row>
    <row r="354" spans="1:12" ht="16.5" hidden="1" outlineLevel="1">
      <c r="A354" s="68">
        <v>1</v>
      </c>
      <c r="B354" s="10"/>
      <c r="C354" s="10"/>
      <c r="D354" s="10"/>
      <c r="E354" s="99" t="str">
        <f>Main_Relay_Sta</f>
        <v>xEV_MainRlyOnSta</v>
      </c>
      <c r="F354" s="105">
        <v>1</v>
      </c>
      <c r="G354" s="185"/>
      <c r="H354" s="10"/>
      <c r="I354" s="10"/>
      <c r="J354" s="10"/>
      <c r="K354" s="10"/>
      <c r="L354" s="10"/>
    </row>
    <row r="355" spans="1:12" ht="14.25" hidden="1" outlineLevel="2">
      <c r="A355" s="68">
        <v>1</v>
      </c>
      <c r="B355" s="10"/>
      <c r="C355" s="10"/>
      <c r="D355" s="10"/>
      <c r="E355" s="99" t="e">
        <f>VLOOKUP(C352,Tbl_Button_Display_ASSTS,11,FALSE)</f>
        <v>#N/A</v>
      </c>
      <c r="F355" s="11" t="e">
        <f>VLOOKUP(C352,Tbl_Button_Display_ASSTS,12,FALSE)</f>
        <v>#N/A</v>
      </c>
      <c r="G355" s="10"/>
      <c r="H355" s="10"/>
      <c r="I355" s="10"/>
      <c r="J355" s="10"/>
      <c r="K355" s="10"/>
      <c r="L355" s="10"/>
    </row>
    <row r="356" spans="1:12" ht="14.25" hidden="1" outlineLevel="2">
      <c r="A356" s="68">
        <v>1</v>
      </c>
      <c r="B356" s="10"/>
      <c r="C356" s="10"/>
      <c r="D356" s="10"/>
      <c r="E356" s="14" t="s">
        <v>5</v>
      </c>
      <c r="F356" s="11" t="e">
        <f>VLOOKUP(C352,Tbl_Button_Display_ASSTS,13,FALSE)</f>
        <v>#N/A</v>
      </c>
      <c r="G356" s="10"/>
      <c r="H356" s="10"/>
      <c r="I356" s="10"/>
      <c r="J356" s="10"/>
      <c r="K356" s="10"/>
      <c r="L356" s="10"/>
    </row>
    <row r="357" spans="1:12" ht="14.25" hidden="1" outlineLevel="2">
      <c r="A357" s="68">
        <v>1</v>
      </c>
      <c r="B357" s="10"/>
      <c r="C357" s="10"/>
      <c r="D357" s="10"/>
      <c r="E357" s="10"/>
      <c r="F357" s="83"/>
      <c r="G357" s="10" t="e">
        <f>Incar_OUT</f>
        <v>#NAME?</v>
      </c>
      <c r="H357" s="10"/>
      <c r="I357" s="12" t="e">
        <f>VLOOKUP(C352,Tbl_Button_Display_ASSTS,2,FALSE)</f>
        <v>#N/A</v>
      </c>
      <c r="J357" s="10"/>
      <c r="K357" s="10"/>
      <c r="L357" s="10"/>
    </row>
    <row r="358" spans="1:12" ht="14.25" hidden="1" outlineLevel="2">
      <c r="A358" s="68">
        <v>1</v>
      </c>
      <c r="B358" s="10"/>
      <c r="C358" s="10"/>
      <c r="D358" s="10"/>
      <c r="E358" s="10"/>
      <c r="F358" s="83"/>
      <c r="G358" s="10" t="e">
        <f>Amb_OUT</f>
        <v>#NAME?</v>
      </c>
      <c r="H358" s="10"/>
      <c r="I358" s="12" t="e">
        <f>VLOOKUP(C352,Tbl_Button_Display_ASSTS,3,FALSE)</f>
        <v>#N/A</v>
      </c>
      <c r="J358" s="10"/>
      <c r="K358" s="10"/>
      <c r="L358" s="10"/>
    </row>
    <row r="359" spans="1:12" ht="14.25" hidden="1" outlineLevel="2">
      <c r="A359" s="68">
        <v>1</v>
      </c>
      <c r="B359" s="10"/>
      <c r="C359" s="10"/>
      <c r="D359" s="10"/>
      <c r="E359" s="10"/>
      <c r="F359" s="10"/>
      <c r="G359" s="10" t="e">
        <f>AcDisp</f>
        <v>#NAME?</v>
      </c>
      <c r="H359" s="10"/>
      <c r="I359" s="12" t="e">
        <f>VLOOKUP(C352,Tbl_Button_Display_ASSTS,31,FALSE)</f>
        <v>#N/A</v>
      </c>
      <c r="J359" s="10"/>
      <c r="K359" s="10"/>
      <c r="L359" s="10"/>
    </row>
    <row r="360" spans="1:12" ht="14.25" hidden="1" outlineLevel="2">
      <c r="A360" s="68">
        <v>1</v>
      </c>
      <c r="B360" s="10"/>
      <c r="C360" s="10"/>
      <c r="D360" s="10"/>
      <c r="E360" s="10"/>
      <c r="F360" s="83"/>
      <c r="G360" s="10" t="str">
        <f>HP_ModSta</f>
        <v>DATC_HtrPmpModSta</v>
      </c>
      <c r="H360" s="47" t="e">
        <f>VLOOKUP(C352,Tbl_Button_Display_ASSTS,71,FALSE)</f>
        <v>#N/A</v>
      </c>
      <c r="I360" s="45" t="e">
        <f>(IF(H360="","",VLOOKUP(H360,Tbl_HP_Cycle,2,FALSE)))</f>
        <v>#N/A</v>
      </c>
      <c r="J360" s="10"/>
      <c r="K360" s="10"/>
      <c r="L360" s="10"/>
    </row>
    <row r="361" spans="1:12" ht="14.25" hidden="1" outlineLevel="1">
      <c r="A361" s="68">
        <v>1</v>
      </c>
      <c r="B361" s="10"/>
      <c r="C361" s="10"/>
      <c r="D361" s="10"/>
      <c r="E361" s="10"/>
      <c r="F361" s="10"/>
      <c r="G361" s="10" t="str">
        <f>PeEwpRPMReq</f>
        <v>DATC_PeEwpRPMReq</v>
      </c>
      <c r="H361" s="10"/>
      <c r="I361" s="12" t="e">
        <f>VLOOKUP(C352,Tbl_Button_Display_ASSTS,76,FALSE)</f>
        <v>#N/A</v>
      </c>
      <c r="J361" s="10"/>
      <c r="K361" s="10"/>
      <c r="L361" s="10"/>
    </row>
    <row r="362" spans="1:12" ht="14.25" hidden="1" outlineLevel="2">
      <c r="A362" s="68">
        <v>1</v>
      </c>
      <c r="B362" s="10"/>
      <c r="C362" s="10"/>
      <c r="D362" s="10"/>
      <c r="E362" s="10"/>
      <c r="F362" s="10"/>
      <c r="G362" s="10" t="str">
        <f>BatteryEWPOper</f>
        <v>DATC_BattEwpOpReq</v>
      </c>
      <c r="H362" s="10"/>
      <c r="I362" s="12" t="e">
        <f>VLOOKUP(C352,Tbl_Button_Display_ASSTS,73,FALSE)</f>
        <v>#N/A</v>
      </c>
      <c r="J362" s="10"/>
      <c r="K362" s="10"/>
      <c r="L362" s="10"/>
    </row>
    <row r="363" spans="1:12" ht="14.25" customHeight="1" outlineLevel="2">
      <c r="A363" s="70">
        <v>1</v>
      </c>
      <c r="B363" s="38" t="s">
        <v>142</v>
      </c>
      <c r="C363" s="38" t="s">
        <v>793</v>
      </c>
      <c r="D363" s="38" t="e">
        <f>CONCATENATE(I367," 모드 일 때, ",G368," = ",I368,"rpm, ",G369," = ",I369,"rpm 출력 확인")</f>
        <v>#N/A</v>
      </c>
      <c r="E363" s="38"/>
      <c r="F363" s="38"/>
      <c r="G363" s="38"/>
      <c r="H363" s="38"/>
      <c r="I363" s="38"/>
      <c r="J363" s="38"/>
      <c r="K363" s="38"/>
      <c r="L363" s="38"/>
    </row>
    <row r="364" spans="1:12" ht="14.25" hidden="1" outlineLevel="2">
      <c r="A364" s="68">
        <v>1</v>
      </c>
      <c r="B364" s="10"/>
      <c r="C364" s="10"/>
      <c r="D364" s="10"/>
      <c r="E364" s="99" t="e">
        <f>VLOOKUP(C363,Tbl_Button_Display_ASSTS,11,FALSE)</f>
        <v>#N/A</v>
      </c>
      <c r="F364" s="11" t="e">
        <f>VLOOKUP(C363,Tbl_Button_Display_ASSTS,12,FALSE)</f>
        <v>#N/A</v>
      </c>
      <c r="G364" s="10"/>
      <c r="H364" s="10"/>
      <c r="I364" s="10"/>
      <c r="J364" s="14"/>
      <c r="K364" s="10"/>
      <c r="L364" s="10"/>
    </row>
    <row r="365" spans="1:12" ht="14.25" hidden="1" outlineLevel="2">
      <c r="A365" s="68">
        <v>1</v>
      </c>
      <c r="B365" s="10"/>
      <c r="C365" s="10"/>
      <c r="D365" s="10"/>
      <c r="E365" s="14" t="s">
        <v>5</v>
      </c>
      <c r="F365" s="11" t="e">
        <f>VLOOKUP(C363,Tbl_Button_Display_ASSTS,13,FALSE)</f>
        <v>#N/A</v>
      </c>
      <c r="G365" s="10"/>
      <c r="H365" s="10"/>
      <c r="I365" s="10"/>
      <c r="J365" s="10"/>
      <c r="K365" s="10"/>
      <c r="L365" s="10"/>
    </row>
    <row r="366" spans="1:12" ht="14.25" hidden="1" outlineLevel="2">
      <c r="A366" s="68">
        <v>1</v>
      </c>
      <c r="B366" s="10"/>
      <c r="C366" s="10"/>
      <c r="D366" s="10"/>
      <c r="E366" s="10"/>
      <c r="F366" s="10"/>
      <c r="G366" s="10" t="e">
        <f>AcDisp</f>
        <v>#NAME?</v>
      </c>
      <c r="H366" s="10"/>
      <c r="I366" s="12" t="e">
        <f>VLOOKUP(C363,Tbl_Button_Display_ASSTS,31,FALSE)</f>
        <v>#N/A</v>
      </c>
      <c r="J366" s="10"/>
      <c r="K366" s="10"/>
      <c r="L366" s="10"/>
    </row>
    <row r="367" spans="1:12" ht="14.25" hidden="1" outlineLevel="2">
      <c r="A367" s="68">
        <v>1</v>
      </c>
      <c r="B367" s="10"/>
      <c r="C367" s="10"/>
      <c r="D367" s="10"/>
      <c r="E367" s="10"/>
      <c r="F367" s="83"/>
      <c r="G367" s="10" t="str">
        <f>HP_ModSta</f>
        <v>DATC_HtrPmpModSta</v>
      </c>
      <c r="H367" s="47" t="e">
        <f>VLOOKUP(C363,Tbl_Button_Display_ASSTS,71,FALSE)</f>
        <v>#N/A</v>
      </c>
      <c r="I367" s="45" t="e">
        <f>(IF(H367="","",VLOOKUP(H367,Tbl_HP_Cycle,2,FALSE)))</f>
        <v>#N/A</v>
      </c>
      <c r="J367" s="10"/>
      <c r="K367" s="10"/>
      <c r="L367" s="10"/>
    </row>
    <row r="368" spans="1:12" ht="14.25" hidden="1" outlineLevel="2">
      <c r="A368" s="68">
        <v>1</v>
      </c>
      <c r="B368" s="10"/>
      <c r="C368" s="10"/>
      <c r="D368" s="10"/>
      <c r="E368" s="10"/>
      <c r="F368" s="10"/>
      <c r="G368" s="10" t="str">
        <f>PeEwpRPMReq</f>
        <v>DATC_PeEwpRPMReq</v>
      </c>
      <c r="H368" s="10"/>
      <c r="I368" s="46" t="e">
        <f>VLOOKUP(C363,Tbl_Button_Display_ASSTS,76,FALSE)</f>
        <v>#N/A</v>
      </c>
      <c r="J368" s="10"/>
      <c r="K368" s="10"/>
      <c r="L368" s="10"/>
    </row>
    <row r="369" spans="1:12" ht="14.25" hidden="1" outlineLevel="2">
      <c r="A369" s="68">
        <v>1</v>
      </c>
      <c r="B369" s="10"/>
      <c r="C369" s="10"/>
      <c r="D369" s="10"/>
      <c r="E369" s="10"/>
      <c r="F369" s="10"/>
      <c r="G369" s="10" t="str">
        <f>BatteryEWPOper</f>
        <v>DATC_BattEwpOpReq</v>
      </c>
      <c r="H369" s="10"/>
      <c r="I369" s="46" t="e">
        <f>VLOOKUP(C363,Tbl_Button_Display_ASSTS,73,FALSE)</f>
        <v>#N/A</v>
      </c>
      <c r="J369" s="10"/>
      <c r="K369" s="10"/>
      <c r="L369" s="10"/>
    </row>
    <row r="370" spans="1:12" ht="13.35" customHeight="1">
      <c r="A370" s="70">
        <v>1</v>
      </c>
      <c r="B370" s="38" t="s">
        <v>142</v>
      </c>
      <c r="C370" s="38" t="s">
        <v>794</v>
      </c>
      <c r="D370" s="38" t="e">
        <f>CONCATENATE(E371," = ",F371," 설정 시, ",G373," = ",I373,"rpm, ",G374," = ",I374,"rpm 출력 확인")</f>
        <v>#N/A</v>
      </c>
      <c r="E370" s="38"/>
      <c r="F370" s="38"/>
      <c r="G370" s="38"/>
      <c r="H370" s="38"/>
      <c r="I370" s="38"/>
      <c r="J370" s="38"/>
      <c r="K370" s="38"/>
      <c r="L370" s="38"/>
    </row>
    <row r="371" spans="1:12" ht="14.25" hidden="1" collapsed="1">
      <c r="A371" s="68">
        <v>1</v>
      </c>
      <c r="B371" s="10"/>
      <c r="C371" s="10"/>
      <c r="D371" s="10"/>
      <c r="E371" s="99" t="e">
        <f>VLOOKUP(C370,Tbl_Button_Display_ASSTS,11,FALSE)</f>
        <v>#N/A</v>
      </c>
      <c r="F371" s="11" t="e">
        <f>VLOOKUP(C370,Tbl_Button_Display_ASSTS,12,FALSE)</f>
        <v>#N/A</v>
      </c>
      <c r="G371" s="10"/>
      <c r="H371" s="10"/>
      <c r="I371" s="10"/>
      <c r="J371" s="14"/>
      <c r="K371" s="10"/>
      <c r="L371" s="10"/>
    </row>
    <row r="372" spans="1:12" ht="14.25" hidden="1" outlineLevel="1">
      <c r="A372" s="68">
        <v>1</v>
      </c>
      <c r="B372" s="10"/>
      <c r="C372" s="10"/>
      <c r="D372" s="10"/>
      <c r="E372" s="14" t="s">
        <v>5</v>
      </c>
      <c r="F372" s="11" t="e">
        <f>VLOOKUP(C370,Tbl_Button_Display_ASSTS,13,FALSE)</f>
        <v>#N/A</v>
      </c>
      <c r="G372" s="10"/>
      <c r="H372" s="10"/>
      <c r="I372" s="10"/>
      <c r="J372" s="14"/>
      <c r="K372" s="10"/>
      <c r="L372" s="10"/>
    </row>
    <row r="373" spans="1:12" ht="14.25" hidden="1" outlineLevel="2">
      <c r="A373" s="68">
        <v>1</v>
      </c>
      <c r="B373" s="10"/>
      <c r="C373" s="10"/>
      <c r="D373" s="10"/>
      <c r="E373" s="10"/>
      <c r="F373" s="10"/>
      <c r="G373" s="10" t="str">
        <f>PeEwpRPMReq</f>
        <v>DATC_PeEwpRPMReq</v>
      </c>
      <c r="H373" s="10"/>
      <c r="I373" s="46" t="e">
        <f>VLOOKUP(C370,Tbl_Button_Display_ASSTS,76,FALSE)</f>
        <v>#N/A</v>
      </c>
      <c r="J373" s="10"/>
      <c r="K373" s="10"/>
      <c r="L373" s="10"/>
    </row>
    <row r="374" spans="1:12" ht="14.25" hidden="1" outlineLevel="2">
      <c r="A374" s="68">
        <v>1</v>
      </c>
      <c r="B374" s="10"/>
      <c r="C374" s="10"/>
      <c r="D374" s="10"/>
      <c r="E374" s="10"/>
      <c r="F374" s="10"/>
      <c r="G374" s="10" t="str">
        <f>BatteryEWPOper</f>
        <v>DATC_BattEwpOpReq</v>
      </c>
      <c r="H374" s="10"/>
      <c r="I374" s="46" t="e">
        <f>VLOOKUP(C370,Tbl_Button_Display_ASSTS,73,FALSE)</f>
        <v>#N/A</v>
      </c>
      <c r="J374" s="10"/>
      <c r="K374" s="10"/>
      <c r="L374" s="10"/>
    </row>
    <row r="375" spans="1:12" ht="14.25" customHeight="1" outlineLevel="2">
      <c r="A375" s="70">
        <v>1</v>
      </c>
      <c r="B375" s="38" t="s">
        <v>142</v>
      </c>
      <c r="C375" s="38" t="s">
        <v>795</v>
      </c>
      <c r="D375" s="38" t="e">
        <f>CONCATENATE(E376," = ",F376," 설정 시, ",G378," = ",I378,"rpm, ",G379," = ",I379,"rpm 출력 확인")</f>
        <v>#N/A</v>
      </c>
      <c r="E375" s="38"/>
      <c r="F375" s="38"/>
      <c r="G375" s="38"/>
      <c r="H375" s="38"/>
      <c r="I375" s="38"/>
      <c r="J375" s="38"/>
      <c r="K375" s="38"/>
      <c r="L375" s="38"/>
    </row>
    <row r="376" spans="1:12" ht="14.25" hidden="1" outlineLevel="2">
      <c r="A376" s="68">
        <v>1</v>
      </c>
      <c r="B376" s="10"/>
      <c r="C376" s="10"/>
      <c r="D376" s="10"/>
      <c r="E376" s="99" t="e">
        <f>VLOOKUP(C375,Tbl_Button_Display_ASSTS,11,FALSE)</f>
        <v>#N/A</v>
      </c>
      <c r="F376" s="11" t="e">
        <f>VLOOKUP(C375,Tbl_Button_Display_ASSTS,12,FALSE)</f>
        <v>#N/A</v>
      </c>
      <c r="G376" s="10"/>
      <c r="H376" s="10"/>
      <c r="I376" s="10"/>
      <c r="J376" s="14"/>
      <c r="K376" s="10"/>
      <c r="L376" s="10"/>
    </row>
    <row r="377" spans="1:12" ht="14.25" hidden="1" outlineLevel="2">
      <c r="A377" s="68">
        <v>1</v>
      </c>
      <c r="B377" s="10"/>
      <c r="C377" s="10"/>
      <c r="D377" s="10"/>
      <c r="E377" s="14" t="s">
        <v>5</v>
      </c>
      <c r="F377" s="11" t="e">
        <f>VLOOKUP(C375,Tbl_Button_Display_ASSTS,13,FALSE)</f>
        <v>#N/A</v>
      </c>
      <c r="G377" s="10"/>
      <c r="H377" s="10"/>
      <c r="I377" s="10"/>
      <c r="J377" s="14"/>
      <c r="K377" s="10"/>
      <c r="L377" s="10"/>
    </row>
    <row r="378" spans="1:12" ht="14.25" hidden="1" outlineLevel="2">
      <c r="A378" s="68">
        <v>1</v>
      </c>
      <c r="B378" s="10"/>
      <c r="C378" s="10"/>
      <c r="D378" s="10"/>
      <c r="E378" s="10"/>
      <c r="F378" s="10"/>
      <c r="G378" s="10" t="str">
        <f>PeEwpRPMReq</f>
        <v>DATC_PeEwpRPMReq</v>
      </c>
      <c r="H378" s="10"/>
      <c r="I378" s="46" t="e">
        <f>VLOOKUP(C375,Tbl_Button_Display_ASSTS,76,FALSE)</f>
        <v>#N/A</v>
      </c>
      <c r="J378" s="10"/>
      <c r="K378" s="10"/>
      <c r="L378" s="10"/>
    </row>
    <row r="379" spans="1:12" ht="14.25" hidden="1" outlineLevel="2">
      <c r="A379" s="68">
        <v>1</v>
      </c>
      <c r="B379" s="10"/>
      <c r="C379" s="10"/>
      <c r="D379" s="10"/>
      <c r="E379" s="10"/>
      <c r="F379" s="10"/>
      <c r="G379" s="10" t="str">
        <f>BatteryEWPOper</f>
        <v>DATC_BattEwpOpReq</v>
      </c>
      <c r="H379" s="10"/>
      <c r="I379" s="46" t="e">
        <f>VLOOKUP(C375,Tbl_Button_Display_ASSTS,73,FALSE)</f>
        <v>#N/A</v>
      </c>
      <c r="J379" s="10"/>
      <c r="K379" s="10"/>
      <c r="L379" s="10"/>
    </row>
    <row r="380" spans="1:12" ht="14.25" customHeight="1" outlineLevel="2">
      <c r="A380" s="70">
        <v>1</v>
      </c>
      <c r="B380" s="38" t="s">
        <v>142</v>
      </c>
      <c r="C380" s="38" t="s">
        <v>796</v>
      </c>
      <c r="D380" s="38" t="e">
        <f>CONCATENATE(E381," = ",F381," 설정 시, ",G383," = ",I383,"rpm, ",G384," = ",I384,"rpm 출력 확인")</f>
        <v>#N/A</v>
      </c>
      <c r="E380" s="38"/>
      <c r="F380" s="38"/>
      <c r="G380" s="38"/>
      <c r="H380" s="38"/>
      <c r="I380" s="38"/>
      <c r="J380" s="38"/>
      <c r="K380" s="38"/>
      <c r="L380" s="38"/>
    </row>
    <row r="381" spans="1:12" ht="14.25" hidden="1" outlineLevel="2">
      <c r="A381" s="68">
        <v>1</v>
      </c>
      <c r="B381" s="10"/>
      <c r="C381" s="10"/>
      <c r="D381" s="10"/>
      <c r="E381" s="99" t="e">
        <f>VLOOKUP(C380,Tbl_Button_Display_ASSTS,11,FALSE)</f>
        <v>#N/A</v>
      </c>
      <c r="F381" s="11" t="e">
        <f>VLOOKUP(C380,Tbl_Button_Display_ASSTS,12,FALSE)</f>
        <v>#N/A</v>
      </c>
      <c r="G381" s="10"/>
      <c r="H381" s="10"/>
      <c r="I381" s="10"/>
      <c r="J381" s="14"/>
      <c r="K381" s="10"/>
      <c r="L381" s="10"/>
    </row>
    <row r="382" spans="1:12" ht="14.25" hidden="1" outlineLevel="2">
      <c r="A382" s="68">
        <v>1</v>
      </c>
      <c r="B382" s="10"/>
      <c r="C382" s="10"/>
      <c r="D382" s="10"/>
      <c r="E382" s="14" t="s">
        <v>5</v>
      </c>
      <c r="F382" s="11" t="e">
        <f>VLOOKUP(C380,Tbl_Button_Display_ASSTS,13,FALSE)</f>
        <v>#N/A</v>
      </c>
      <c r="G382" s="10"/>
      <c r="H382" s="10"/>
      <c r="I382" s="10"/>
      <c r="J382" s="14"/>
      <c r="K382" s="10"/>
      <c r="L382" s="10"/>
    </row>
    <row r="383" spans="1:12" ht="14.25" hidden="1" outlineLevel="1">
      <c r="A383" s="68">
        <v>1</v>
      </c>
      <c r="B383" s="10"/>
      <c r="C383" s="10"/>
      <c r="D383" s="10"/>
      <c r="E383" s="10"/>
      <c r="F383" s="10"/>
      <c r="G383" s="10" t="str">
        <f>PeEwpRPMReq</f>
        <v>DATC_PeEwpRPMReq</v>
      </c>
      <c r="H383" s="10"/>
      <c r="I383" s="46" t="e">
        <f>VLOOKUP(C380,Tbl_Button_Display_ASSTS,76,FALSE)</f>
        <v>#N/A</v>
      </c>
      <c r="J383" s="10"/>
      <c r="K383" s="10"/>
      <c r="L383" s="10"/>
    </row>
    <row r="384" spans="1:12" ht="14.25" hidden="1" outlineLevel="2">
      <c r="A384" s="68">
        <v>1</v>
      </c>
      <c r="B384" s="10"/>
      <c r="C384" s="10"/>
      <c r="D384" s="10"/>
      <c r="E384" s="10"/>
      <c r="F384" s="10"/>
      <c r="G384" s="10" t="str">
        <f>BatteryEWPOper</f>
        <v>DATC_BattEwpOpReq</v>
      </c>
      <c r="H384" s="10"/>
      <c r="I384" s="46" t="e">
        <f>VLOOKUP(C380,Tbl_Button_Display_ASSTS,73,FALSE)</f>
        <v>#N/A</v>
      </c>
      <c r="J384" s="10"/>
      <c r="K384" s="10"/>
      <c r="L384" s="10"/>
    </row>
    <row r="385" spans="1:12" ht="14.25" customHeight="1" outlineLevel="2">
      <c r="A385" s="70">
        <v>1</v>
      </c>
      <c r="B385" s="38" t="s">
        <v>142</v>
      </c>
      <c r="C385" s="38" t="s">
        <v>1204</v>
      </c>
      <c r="D385" s="38" t="e">
        <f>CONCATENATE(E386," = ",F386," 설정 시, ",G388," = ",I388,"rpm, ",G389," = ",I389,"rpm 출력 확인")</f>
        <v>#N/A</v>
      </c>
      <c r="E385" s="38"/>
      <c r="F385" s="38"/>
      <c r="G385" s="38"/>
      <c r="H385" s="38"/>
      <c r="I385" s="38"/>
      <c r="J385" s="38"/>
      <c r="K385" s="38"/>
      <c r="L385" s="38"/>
    </row>
    <row r="386" spans="1:12" ht="14.25" hidden="1" outlineLevel="2">
      <c r="A386" s="68">
        <v>1</v>
      </c>
      <c r="B386" s="10"/>
      <c r="C386" s="10"/>
      <c r="D386" s="10"/>
      <c r="E386" s="99" t="e">
        <f>VLOOKUP(C385,Tbl_Button_Display_ASSTS,11,FALSE)</f>
        <v>#N/A</v>
      </c>
      <c r="F386" s="11" t="e">
        <f>VLOOKUP(C385,Tbl_Button_Display_ASSTS,12,FALSE)</f>
        <v>#N/A</v>
      </c>
      <c r="G386" s="10"/>
      <c r="H386" s="10"/>
      <c r="I386" s="10"/>
      <c r="J386" s="14"/>
      <c r="K386" s="10"/>
      <c r="L386" s="10"/>
    </row>
    <row r="387" spans="1:12" ht="14.25" hidden="1" outlineLevel="2">
      <c r="A387" s="68">
        <v>1</v>
      </c>
      <c r="B387" s="10"/>
      <c r="C387" s="10"/>
      <c r="D387" s="10"/>
      <c r="E387" s="14" t="s">
        <v>5</v>
      </c>
      <c r="F387" s="11" t="e">
        <f>VLOOKUP(C385,Tbl_Button_Display_ASSTS,13,FALSE)</f>
        <v>#N/A</v>
      </c>
      <c r="G387" s="10"/>
      <c r="H387" s="10"/>
      <c r="I387" s="10"/>
      <c r="J387" s="14"/>
      <c r="K387" s="10"/>
      <c r="L387" s="10"/>
    </row>
    <row r="388" spans="1:12" ht="14.25" hidden="1" outlineLevel="2">
      <c r="A388" s="68">
        <v>1</v>
      </c>
      <c r="B388" s="10"/>
      <c r="C388" s="10"/>
      <c r="D388" s="10"/>
      <c r="E388" s="10"/>
      <c r="F388" s="10"/>
      <c r="G388" s="10" t="str">
        <f>PeEwpRPMReq</f>
        <v>DATC_PeEwpRPMReq</v>
      </c>
      <c r="H388" s="10"/>
      <c r="I388" s="46" t="e">
        <f>VLOOKUP(C385,Tbl_Button_Display_ASSTS,76,FALSE)</f>
        <v>#N/A</v>
      </c>
      <c r="J388" s="10"/>
      <c r="K388" s="10"/>
      <c r="L388" s="10"/>
    </row>
    <row r="389" spans="1:12" ht="14.25" hidden="1" outlineLevel="1">
      <c r="A389" s="68">
        <v>1</v>
      </c>
      <c r="B389" s="10"/>
      <c r="C389" s="10"/>
      <c r="D389" s="10"/>
      <c r="E389" s="10"/>
      <c r="F389" s="10"/>
      <c r="G389" s="10" t="str">
        <f>BatteryEWPOper</f>
        <v>DATC_BattEwpOpReq</v>
      </c>
      <c r="H389" s="10"/>
      <c r="I389" s="46" t="e">
        <f>VLOOKUP(C385,Tbl_Button_Display_ASSTS,73,FALSE)</f>
        <v>#N/A</v>
      </c>
      <c r="J389" s="10"/>
      <c r="K389" s="10"/>
      <c r="L389" s="10"/>
    </row>
    <row r="390" spans="1:12" ht="14.25" customHeight="1" outlineLevel="2">
      <c r="A390" s="70">
        <v>1</v>
      </c>
      <c r="B390" s="38" t="s">
        <v>142</v>
      </c>
      <c r="C390" s="38" t="s">
        <v>1205</v>
      </c>
      <c r="D390" s="38" t="e">
        <f>CONCATENATE(E391," ",F391,"회 선택 시, ",G393," = ",I393,", ",G394," = ",I394," 확인")</f>
        <v>#N/A</v>
      </c>
      <c r="E390" s="38"/>
      <c r="F390" s="38"/>
      <c r="G390" s="38"/>
      <c r="H390" s="38"/>
      <c r="I390" s="38"/>
      <c r="J390" s="38"/>
      <c r="K390" s="38"/>
      <c r="L390" s="38"/>
    </row>
    <row r="391" spans="1:12" ht="14.25" hidden="1" outlineLevel="2">
      <c r="A391" s="68">
        <v>1</v>
      </c>
      <c r="B391" s="10"/>
      <c r="C391" s="10"/>
      <c r="D391" s="10"/>
      <c r="E391" s="99" t="e">
        <f>VLOOKUP(C390,Tbl_Button_Display_ASSTS,11,FALSE)</f>
        <v>#N/A</v>
      </c>
      <c r="F391" s="11" t="e">
        <f>VLOOKUP(C390,Tbl_Button_Display_ASSTS,12,FALSE)</f>
        <v>#N/A</v>
      </c>
      <c r="G391" s="10"/>
      <c r="H391" s="10"/>
      <c r="I391" s="10"/>
      <c r="J391" s="14"/>
      <c r="K391" s="10"/>
      <c r="L391" s="10"/>
    </row>
    <row r="392" spans="1:12" ht="14.25" hidden="1" outlineLevel="2">
      <c r="A392" s="68">
        <v>1</v>
      </c>
      <c r="B392" s="10"/>
      <c r="C392" s="10"/>
      <c r="D392" s="10"/>
      <c r="E392" s="14" t="s">
        <v>5</v>
      </c>
      <c r="F392" s="11" t="e">
        <f>VLOOKUP(C390,Tbl_Button_Display_ASSTS,13,FALSE)</f>
        <v>#N/A</v>
      </c>
      <c r="G392" s="10"/>
      <c r="H392" s="10"/>
      <c r="I392" s="10"/>
      <c r="J392" s="10"/>
      <c r="K392" s="10"/>
      <c r="L392" s="10"/>
    </row>
    <row r="393" spans="1:12" ht="14.25" hidden="1" outlineLevel="2">
      <c r="A393" s="68">
        <v>1</v>
      </c>
      <c r="B393" s="10"/>
      <c r="C393" s="10"/>
      <c r="D393" s="10"/>
      <c r="E393" s="10"/>
      <c r="F393" s="10"/>
      <c r="G393" s="10" t="str">
        <f>PeEwpRPMReq</f>
        <v>DATC_PeEwpRPMReq</v>
      </c>
      <c r="H393" s="10"/>
      <c r="I393" s="46" t="e">
        <f>VLOOKUP(C390,Tbl_Button_Display_ASSTS,76,FALSE)</f>
        <v>#N/A</v>
      </c>
      <c r="J393" s="10"/>
      <c r="K393" s="10"/>
      <c r="L393" s="10"/>
    </row>
    <row r="394" spans="1:12" ht="14.25" hidden="1" outlineLevel="2">
      <c r="A394" s="68">
        <v>1</v>
      </c>
      <c r="B394" s="10"/>
      <c r="C394" s="10"/>
      <c r="D394" s="10"/>
      <c r="E394" s="10"/>
      <c r="F394" s="10"/>
      <c r="G394" s="10" t="str">
        <f>BatteryEWPOper</f>
        <v>DATC_BattEwpOpReq</v>
      </c>
      <c r="H394" s="10"/>
      <c r="I394" s="46" t="e">
        <f>VLOOKUP(C390,Tbl_Button_Display_ASSTS,73,FALSE)</f>
        <v>#N/A</v>
      </c>
      <c r="J394" s="10"/>
      <c r="K394" s="10"/>
      <c r="L394" s="10"/>
    </row>
    <row r="395" spans="1:12" ht="13.35" customHeight="1" outlineLevel="1">
      <c r="A395" s="70">
        <v>1</v>
      </c>
      <c r="B395" s="38" t="s">
        <v>142</v>
      </c>
      <c r="C395" s="38" t="s">
        <v>1206</v>
      </c>
      <c r="D395" s="38" t="e">
        <f>CONCATENATE(E396," = ",F396," 설정 시, ",G398," = ",I398,"rpm, ",G399," = ",I399,"rpm 출력 확인")</f>
        <v>#N/A</v>
      </c>
      <c r="E395" s="38"/>
      <c r="F395" s="38"/>
      <c r="G395" s="38"/>
      <c r="H395" s="38"/>
      <c r="I395" s="38"/>
      <c r="J395" s="38"/>
      <c r="K395" s="38"/>
      <c r="L395" s="38"/>
    </row>
    <row r="396" spans="1:12" ht="14.25" hidden="1" outlineLevel="2">
      <c r="A396" s="68">
        <v>1</v>
      </c>
      <c r="B396" s="10"/>
      <c r="C396" s="10"/>
      <c r="D396" s="10"/>
      <c r="E396" s="99" t="e">
        <f>VLOOKUP(C395,Tbl_Button_Display_ASSTS,11,FALSE)</f>
        <v>#N/A</v>
      </c>
      <c r="F396" s="11" t="e">
        <f>VLOOKUP(C395,Tbl_Button_Display_ASSTS,12,FALSE)</f>
        <v>#N/A</v>
      </c>
      <c r="G396" s="10"/>
      <c r="H396" s="10"/>
      <c r="I396" s="10"/>
      <c r="J396" s="14"/>
      <c r="K396" s="10"/>
      <c r="L396" s="10"/>
    </row>
    <row r="397" spans="1:12" ht="14.25" hidden="1" outlineLevel="2">
      <c r="A397" s="68">
        <v>1</v>
      </c>
      <c r="B397" s="10"/>
      <c r="C397" s="10"/>
      <c r="D397" s="10"/>
      <c r="E397" s="14" t="s">
        <v>5</v>
      </c>
      <c r="F397" s="11" t="e">
        <f>VLOOKUP(C395,Tbl_Button_Display_ASSTS,13,FALSE)</f>
        <v>#N/A</v>
      </c>
      <c r="G397" s="10"/>
      <c r="H397" s="10"/>
      <c r="I397" s="10"/>
      <c r="J397" s="14"/>
      <c r="K397" s="10"/>
      <c r="L397" s="10"/>
    </row>
    <row r="398" spans="1:12" ht="14.25" hidden="1" outlineLevel="2">
      <c r="A398" s="68">
        <v>1</v>
      </c>
      <c r="B398" s="10"/>
      <c r="C398" s="10"/>
      <c r="D398" s="10"/>
      <c r="E398" s="10"/>
      <c r="F398" s="10"/>
      <c r="G398" s="10" t="str">
        <f>PeEwpRPMReq</f>
        <v>DATC_PeEwpRPMReq</v>
      </c>
      <c r="H398" s="10"/>
      <c r="I398" s="46" t="e">
        <f>VLOOKUP(C395,Tbl_Button_Display_ASSTS,76,FALSE)</f>
        <v>#N/A</v>
      </c>
      <c r="J398" s="10"/>
      <c r="K398" s="10"/>
      <c r="L398" s="10"/>
    </row>
    <row r="399" spans="1:12" ht="14.25" hidden="1" outlineLevel="2">
      <c r="A399" s="68">
        <v>1</v>
      </c>
      <c r="B399" s="10"/>
      <c r="C399" s="10"/>
      <c r="D399" s="10"/>
      <c r="E399" s="10"/>
      <c r="F399" s="10"/>
      <c r="G399" s="10" t="str">
        <f>BatteryEWPOper</f>
        <v>DATC_BattEwpOpReq</v>
      </c>
      <c r="H399" s="10"/>
      <c r="I399" s="46" t="e">
        <f>VLOOKUP(C395,Tbl_Button_Display_ASSTS,73,FALSE)</f>
        <v>#N/A</v>
      </c>
      <c r="J399" s="10"/>
      <c r="K399" s="10"/>
      <c r="L399" s="10"/>
    </row>
    <row r="400" spans="1:12" ht="14.25" customHeight="1" outlineLevel="2">
      <c r="A400" s="70">
        <v>1</v>
      </c>
      <c r="B400" s="38" t="s">
        <v>142</v>
      </c>
      <c r="C400" s="38" t="s">
        <v>1207</v>
      </c>
      <c r="D400" s="38" t="e">
        <f>CONCATENATE(E401," = ",F401," 설정 시, ",G403," = ",I403,"rpm, ",G404," = ",I404,"rpm 출력 확인")</f>
        <v>#N/A</v>
      </c>
      <c r="E400" s="38"/>
      <c r="F400" s="38"/>
      <c r="G400" s="38"/>
      <c r="H400" s="38"/>
      <c r="I400" s="38"/>
      <c r="J400" s="38"/>
      <c r="K400" s="38"/>
      <c r="L400" s="38"/>
    </row>
    <row r="401" spans="1:12" ht="14.25" hidden="1" outlineLevel="1">
      <c r="A401" s="68">
        <v>1</v>
      </c>
      <c r="B401" s="10"/>
      <c r="C401" s="10"/>
      <c r="D401" s="10"/>
      <c r="E401" s="99" t="e">
        <f>VLOOKUP(C400,Tbl_Button_Display_ASSTS,11,FALSE)</f>
        <v>#N/A</v>
      </c>
      <c r="F401" s="11" t="e">
        <f>VLOOKUP(C400,Tbl_Button_Display_ASSTS,12,FALSE)</f>
        <v>#N/A</v>
      </c>
      <c r="G401" s="10"/>
      <c r="H401" s="10"/>
      <c r="I401" s="10"/>
      <c r="J401" s="14"/>
      <c r="K401" s="10"/>
      <c r="L401" s="10"/>
    </row>
    <row r="402" spans="1:12" ht="14.25" hidden="1" outlineLevel="2">
      <c r="A402" s="68">
        <v>1</v>
      </c>
      <c r="B402" s="10"/>
      <c r="C402" s="10"/>
      <c r="D402" s="10"/>
      <c r="E402" s="14" t="s">
        <v>5</v>
      </c>
      <c r="F402" s="11" t="e">
        <f>VLOOKUP(C400,Tbl_Button_Display_ASSTS,13,FALSE)</f>
        <v>#N/A</v>
      </c>
      <c r="G402" s="10"/>
      <c r="H402" s="10"/>
      <c r="I402" s="10"/>
      <c r="J402" s="14"/>
      <c r="K402" s="10"/>
      <c r="L402" s="10"/>
    </row>
    <row r="403" spans="1:12" ht="14.25" hidden="1" outlineLevel="2">
      <c r="A403" s="68">
        <v>1</v>
      </c>
      <c r="B403" s="10"/>
      <c r="C403" s="10"/>
      <c r="D403" s="10"/>
      <c r="E403" s="10"/>
      <c r="F403" s="10"/>
      <c r="G403" s="10" t="str">
        <f>PeEwpRPMReq</f>
        <v>DATC_PeEwpRPMReq</v>
      </c>
      <c r="H403" s="10"/>
      <c r="I403" s="46" t="e">
        <f>VLOOKUP(C400,Tbl_Button_Display_ASSTS,76,FALSE)</f>
        <v>#N/A</v>
      </c>
      <c r="J403" s="10"/>
      <c r="K403" s="10"/>
      <c r="L403" s="10"/>
    </row>
    <row r="404" spans="1:12" ht="14.25" hidden="1" outlineLevel="2">
      <c r="A404" s="68">
        <v>1</v>
      </c>
      <c r="B404" s="10"/>
      <c r="C404" s="10"/>
      <c r="D404" s="10"/>
      <c r="E404" s="10"/>
      <c r="F404" s="10"/>
      <c r="G404" s="10" t="str">
        <f>BatteryEWPOper</f>
        <v>DATC_BattEwpOpReq</v>
      </c>
      <c r="H404" s="10"/>
      <c r="I404" s="46" t="e">
        <f>VLOOKUP(C400,Tbl_Button_Display_ASSTS,73,FALSE)</f>
        <v>#N/A</v>
      </c>
      <c r="J404" s="10"/>
      <c r="K404" s="10"/>
      <c r="L404" s="10"/>
    </row>
    <row r="405" spans="1:12" ht="14.25" customHeight="1" outlineLevel="2">
      <c r="A405" s="70">
        <v>1</v>
      </c>
      <c r="B405" s="38" t="s">
        <v>142</v>
      </c>
      <c r="C405" s="38" t="s">
        <v>1208</v>
      </c>
      <c r="D405" s="38" t="e">
        <f>CONCATENATE(E406," = ",F406," 설정 시, ",G408," = ",I408,"rpm, ",G409," = ",I409,"rpm 출력 확인")</f>
        <v>#N/A</v>
      </c>
      <c r="E405" s="38"/>
      <c r="F405" s="38"/>
      <c r="G405" s="38"/>
      <c r="H405" s="38"/>
      <c r="I405" s="38"/>
      <c r="J405" s="38"/>
      <c r="K405" s="38"/>
      <c r="L405" s="38"/>
    </row>
    <row r="406" spans="1:12" ht="14.25" hidden="1" outlineLevel="2">
      <c r="A406" s="68">
        <v>1</v>
      </c>
      <c r="B406" s="10"/>
      <c r="C406" s="10"/>
      <c r="D406" s="10"/>
      <c r="E406" s="99" t="e">
        <f>VLOOKUP(C405,Tbl_Button_Display_ASSTS,11,FALSE)</f>
        <v>#N/A</v>
      </c>
      <c r="F406" s="11" t="e">
        <f>VLOOKUP(C405,Tbl_Button_Display_ASSTS,12,FALSE)</f>
        <v>#N/A</v>
      </c>
      <c r="G406" s="10"/>
      <c r="H406" s="10"/>
      <c r="I406" s="10"/>
      <c r="J406" s="14"/>
      <c r="K406" s="10"/>
      <c r="L406" s="10"/>
    </row>
    <row r="407" spans="1:12" ht="14.25" hidden="1">
      <c r="A407" s="68">
        <v>1</v>
      </c>
      <c r="B407" s="10"/>
      <c r="C407" s="10"/>
      <c r="D407" s="10"/>
      <c r="E407" s="14" t="s">
        <v>5</v>
      </c>
      <c r="F407" s="11" t="e">
        <f>VLOOKUP(C405,Tbl_Button_Display_ASSTS,13,FALSE)</f>
        <v>#N/A</v>
      </c>
      <c r="G407" s="10"/>
      <c r="H407" s="10"/>
      <c r="I407" s="10"/>
      <c r="J407" s="14"/>
      <c r="K407" s="10"/>
      <c r="L407" s="10"/>
    </row>
    <row r="408" spans="1:12" ht="14.25" hidden="1" collapsed="1">
      <c r="A408" s="68">
        <v>1</v>
      </c>
      <c r="B408" s="10"/>
      <c r="C408" s="10"/>
      <c r="D408" s="10"/>
      <c r="E408" s="10"/>
      <c r="F408" s="10"/>
      <c r="G408" s="10" t="str">
        <f>PeEwpRPMReq</f>
        <v>DATC_PeEwpRPMReq</v>
      </c>
      <c r="H408" s="10"/>
      <c r="I408" s="46" t="e">
        <f>VLOOKUP(C405,Tbl_Button_Display_ASSTS,76,FALSE)</f>
        <v>#N/A</v>
      </c>
      <c r="J408" s="10"/>
      <c r="K408" s="10"/>
      <c r="L408" s="10"/>
    </row>
    <row r="409" spans="1:12" ht="14.25" hidden="1" outlineLevel="1">
      <c r="A409" s="68">
        <v>1</v>
      </c>
      <c r="B409" s="10"/>
      <c r="C409" s="10"/>
      <c r="D409" s="10"/>
      <c r="E409" s="10"/>
      <c r="F409" s="10"/>
      <c r="G409" s="10" t="str">
        <f>BatteryEWPOper</f>
        <v>DATC_BattEwpOpReq</v>
      </c>
      <c r="H409" s="10"/>
      <c r="I409" s="46" t="e">
        <f>VLOOKUP(C405,Tbl_Button_Display_ASSTS,73,FALSE)</f>
        <v>#N/A</v>
      </c>
      <c r="J409" s="10"/>
      <c r="K409" s="10"/>
      <c r="L409" s="10"/>
    </row>
    <row r="410" spans="1:12" ht="14.25" customHeight="1" outlineLevel="2">
      <c r="A410" s="70">
        <v>1</v>
      </c>
      <c r="B410" s="38" t="s">
        <v>142</v>
      </c>
      <c r="C410" s="38" t="s">
        <v>1209</v>
      </c>
      <c r="D410" s="38" t="e">
        <f>CONCATENATE(E411," = ",F411," Hysterisis 설정")</f>
        <v>#N/A</v>
      </c>
      <c r="E410" s="38"/>
      <c r="F410" s="38"/>
      <c r="G410" s="38"/>
      <c r="H410" s="38"/>
      <c r="I410" s="38"/>
      <c r="J410" s="38"/>
      <c r="K410" s="38"/>
      <c r="L410" s="38"/>
    </row>
    <row r="411" spans="1:12" ht="14.25" hidden="1" outlineLevel="2">
      <c r="A411" s="68">
        <v>1</v>
      </c>
      <c r="B411" s="10"/>
      <c r="C411" s="10"/>
      <c r="D411" s="10"/>
      <c r="E411" s="99" t="e">
        <f>VLOOKUP(C410,Tbl_Button_Display_ASSTS,11,FALSE)</f>
        <v>#N/A</v>
      </c>
      <c r="F411" s="11" t="e">
        <f>VLOOKUP(C410,Tbl_Button_Display_ASSTS,12,FALSE)</f>
        <v>#N/A</v>
      </c>
      <c r="G411" s="10"/>
      <c r="H411" s="10"/>
      <c r="I411" s="10"/>
      <c r="J411" s="14"/>
      <c r="K411" s="10"/>
      <c r="L411" s="10"/>
    </row>
    <row r="412" spans="1:12" ht="14.25" hidden="1" outlineLevel="2">
      <c r="A412" s="68">
        <v>1</v>
      </c>
      <c r="B412" s="10"/>
      <c r="C412" s="10"/>
      <c r="D412" s="10"/>
      <c r="E412" s="14" t="s">
        <v>5</v>
      </c>
      <c r="F412" s="11" t="e">
        <f>VLOOKUP(C410,Tbl_Button_Display_ASSTS,13,FALSE)</f>
        <v>#N/A</v>
      </c>
      <c r="G412" s="10"/>
      <c r="H412" s="10"/>
      <c r="I412" s="10"/>
      <c r="J412" s="14"/>
      <c r="K412" s="10"/>
      <c r="L412" s="10"/>
    </row>
    <row r="413" spans="1:12" ht="14.25" hidden="1" outlineLevel="2">
      <c r="A413" s="68">
        <v>1</v>
      </c>
      <c r="B413" s="10"/>
      <c r="C413" s="10"/>
      <c r="D413" s="10"/>
      <c r="E413" s="10"/>
      <c r="F413" s="10"/>
      <c r="G413" s="10" t="str">
        <f>PeEwpRPMReq</f>
        <v>DATC_PeEwpRPMReq</v>
      </c>
      <c r="H413" s="10"/>
      <c r="I413" s="46" t="e">
        <f>VLOOKUP(C410,Tbl_Button_Display_ASSTS,76,FALSE)</f>
        <v>#N/A</v>
      </c>
      <c r="J413" s="10"/>
      <c r="K413" s="10"/>
      <c r="L413" s="10"/>
    </row>
    <row r="414" spans="1:12" ht="14.25" hidden="1" outlineLevel="2">
      <c r="A414" s="68">
        <v>1</v>
      </c>
      <c r="B414" s="10"/>
      <c r="C414" s="10"/>
      <c r="D414" s="10"/>
      <c r="E414" s="10"/>
      <c r="F414" s="10"/>
      <c r="G414" s="10" t="str">
        <f>BatteryEWPOper</f>
        <v>DATC_BattEwpOpReq</v>
      </c>
      <c r="H414" s="10"/>
      <c r="I414" s="46" t="e">
        <f>VLOOKUP(C410,Tbl_Button_Display_ASSTS,73,FALSE)</f>
        <v>#N/A</v>
      </c>
      <c r="J414" s="10"/>
      <c r="K414" s="10"/>
      <c r="L414" s="10"/>
    </row>
    <row r="415" spans="1:12" ht="14.25" customHeight="1" outlineLevel="2">
      <c r="A415" s="70">
        <v>1</v>
      </c>
      <c r="B415" s="38" t="s">
        <v>142</v>
      </c>
      <c r="C415" s="38" t="s">
        <v>1210</v>
      </c>
      <c r="D415" s="38" t="e">
        <f>CONCATENATE(E416," ",F416,"시, ",G418," = ",I418,", ",G419," = ",I419," 유지 확인")</f>
        <v>#N/A</v>
      </c>
      <c r="E415" s="38"/>
      <c r="F415" s="38"/>
      <c r="G415" s="38"/>
      <c r="H415" s="38"/>
      <c r="I415" s="38"/>
      <c r="J415" s="38"/>
      <c r="K415" s="38"/>
      <c r="L415" s="38"/>
    </row>
    <row r="416" spans="1:12" ht="14.25" hidden="1" outlineLevel="2">
      <c r="A416" s="68">
        <v>1</v>
      </c>
      <c r="B416" s="10"/>
      <c r="C416" s="10"/>
      <c r="D416" s="10"/>
      <c r="E416" s="99" t="e">
        <f>VLOOKUP(C415,Tbl_Button_Display_ASSTS,11,FALSE)</f>
        <v>#N/A</v>
      </c>
      <c r="F416" s="11" t="e">
        <f>VLOOKUP(C415,Tbl_Button_Display_ASSTS,12,FALSE)</f>
        <v>#N/A</v>
      </c>
      <c r="G416" s="10"/>
      <c r="H416" s="10"/>
      <c r="I416" s="10"/>
      <c r="J416" s="14"/>
      <c r="K416" s="10"/>
      <c r="L416" s="10"/>
    </row>
    <row r="417" spans="1:12" ht="14.25" hidden="1" outlineLevel="2">
      <c r="A417" s="68">
        <v>1</v>
      </c>
      <c r="B417" s="10"/>
      <c r="C417" s="10"/>
      <c r="D417" s="10"/>
      <c r="E417" s="14" t="s">
        <v>5</v>
      </c>
      <c r="F417" s="11" t="e">
        <f>VLOOKUP(C415,Tbl_Button_Display_ASSTS,13,FALSE)</f>
        <v>#N/A</v>
      </c>
      <c r="G417" s="10"/>
      <c r="H417" s="10"/>
      <c r="I417" s="10"/>
      <c r="J417" s="10"/>
      <c r="K417" s="10"/>
      <c r="L417" s="10"/>
    </row>
    <row r="418" spans="1:12" ht="14.25" hidden="1" outlineLevel="2">
      <c r="A418" s="68">
        <v>1</v>
      </c>
      <c r="B418" s="10"/>
      <c r="C418" s="10"/>
      <c r="D418" s="10"/>
      <c r="E418" s="10"/>
      <c r="F418" s="10"/>
      <c r="G418" s="10" t="str">
        <f>PeEwpRPMReq</f>
        <v>DATC_PeEwpRPMReq</v>
      </c>
      <c r="H418" s="10"/>
      <c r="I418" s="46" t="e">
        <f>VLOOKUP(C415,Tbl_Button_Display_ASSTS,76,FALSE)</f>
        <v>#N/A</v>
      </c>
      <c r="J418" s="10"/>
      <c r="K418" s="10"/>
      <c r="L418" s="10"/>
    </row>
    <row r="419" spans="1:12" ht="14.25" hidden="1" outlineLevel="2">
      <c r="A419" s="68">
        <v>1</v>
      </c>
      <c r="B419" s="10"/>
      <c r="C419" s="10"/>
      <c r="D419" s="10"/>
      <c r="E419" s="10"/>
      <c r="F419" s="10"/>
      <c r="G419" s="10" t="str">
        <f>BatteryEWPOper</f>
        <v>DATC_BattEwpOpReq</v>
      </c>
      <c r="H419" s="10"/>
      <c r="I419" s="46" t="e">
        <f>VLOOKUP(C415,Tbl_Button_Display_ASSTS,73,FALSE)</f>
        <v>#N/A</v>
      </c>
      <c r="J419" s="10"/>
      <c r="K419" s="10"/>
      <c r="L419" s="10"/>
    </row>
    <row r="420" spans="1:12" ht="13.35" customHeight="1" outlineLevel="2">
      <c r="A420" s="70">
        <v>1</v>
      </c>
      <c r="B420" s="38" t="s">
        <v>142</v>
      </c>
      <c r="C420" s="38" t="s">
        <v>1211</v>
      </c>
      <c r="D420" s="38" t="e">
        <f>CONCATENATE(E421," ",F421,"시, ",G423," = ",I423,", ",G424," = ",I424," 출력 확인")</f>
        <v>#N/A</v>
      </c>
      <c r="E420" s="38"/>
      <c r="F420" s="38"/>
      <c r="G420" s="38"/>
      <c r="H420" s="38"/>
      <c r="I420" s="38"/>
      <c r="J420" s="38"/>
      <c r="K420" s="38"/>
      <c r="L420" s="38"/>
    </row>
    <row r="421" spans="1:12" ht="14.25" hidden="1" outlineLevel="2">
      <c r="A421" s="68">
        <v>1</v>
      </c>
      <c r="B421" s="10"/>
      <c r="C421" s="10"/>
      <c r="D421" s="10"/>
      <c r="E421" s="99" t="e">
        <f>VLOOKUP(C420,Tbl_Button_Display_ASSTS,11,FALSE)</f>
        <v>#N/A</v>
      </c>
      <c r="F421" s="11" t="e">
        <f>VLOOKUP(C420,Tbl_Button_Display_ASSTS,12,FALSE)</f>
        <v>#N/A</v>
      </c>
      <c r="G421" s="10"/>
      <c r="H421" s="10"/>
      <c r="I421" s="10"/>
      <c r="J421" s="14"/>
      <c r="K421" s="10"/>
      <c r="L421" s="10"/>
    </row>
    <row r="422" spans="1:12" ht="14.25" hidden="1" outlineLevel="2">
      <c r="A422" s="68">
        <v>1</v>
      </c>
      <c r="B422" s="10"/>
      <c r="C422" s="10"/>
      <c r="D422" s="10"/>
      <c r="E422" s="14" t="s">
        <v>5</v>
      </c>
      <c r="F422" s="11" t="e">
        <f>VLOOKUP(C420,Tbl_Button_Display_ASSTS,13,FALSE)</f>
        <v>#N/A</v>
      </c>
      <c r="G422" s="10"/>
      <c r="H422" s="10"/>
      <c r="I422" s="10"/>
      <c r="J422" s="14"/>
      <c r="K422" s="10"/>
      <c r="L422" s="10"/>
    </row>
    <row r="423" spans="1:12" ht="14.25" hidden="1" outlineLevel="2">
      <c r="A423" s="68">
        <v>1</v>
      </c>
      <c r="B423" s="10"/>
      <c r="C423" s="10"/>
      <c r="D423" s="10"/>
      <c r="E423" s="10"/>
      <c r="F423" s="10"/>
      <c r="G423" s="10" t="str">
        <f>PeEwpRPMReq</f>
        <v>DATC_PeEwpRPMReq</v>
      </c>
      <c r="H423" s="10"/>
      <c r="I423" s="46" t="e">
        <f>VLOOKUP(C420,Tbl_Button_Display_ASSTS,76,FALSE)</f>
        <v>#N/A</v>
      </c>
      <c r="J423" s="10"/>
      <c r="K423" s="10"/>
      <c r="L423" s="10"/>
    </row>
    <row r="424" spans="1:12" ht="14.25" hidden="1" outlineLevel="1">
      <c r="A424" s="68">
        <v>1</v>
      </c>
      <c r="B424" s="10"/>
      <c r="C424" s="10"/>
      <c r="D424" s="10"/>
      <c r="E424" s="10"/>
      <c r="F424" s="10"/>
      <c r="G424" s="10" t="str">
        <f>BatteryEWPOper</f>
        <v>DATC_BattEwpOpReq</v>
      </c>
      <c r="H424" s="10"/>
      <c r="I424" s="46" t="e">
        <f>VLOOKUP(C420,Tbl_Button_Display_ASSTS,73,FALSE)</f>
        <v>#N/A</v>
      </c>
      <c r="J424" s="10"/>
      <c r="K424" s="10"/>
      <c r="L424" s="10"/>
    </row>
    <row r="425" spans="1:12" ht="14.25" customHeight="1" outlineLevel="2">
      <c r="A425" s="70">
        <v>1</v>
      </c>
      <c r="B425" s="38" t="s">
        <v>142</v>
      </c>
      <c r="C425" s="38" t="s">
        <v>1212</v>
      </c>
      <c r="D425" s="38" t="e">
        <f>CONCATENATE(E426," = ",F426," Hysterisis 설정")</f>
        <v>#N/A</v>
      </c>
      <c r="E425" s="38"/>
      <c r="F425" s="38"/>
      <c r="G425" s="38"/>
      <c r="H425" s="38"/>
      <c r="I425" s="38"/>
      <c r="J425" s="38"/>
      <c r="K425" s="38"/>
      <c r="L425" s="38"/>
    </row>
    <row r="426" spans="1:12" ht="14.25" hidden="1" outlineLevel="2">
      <c r="A426" s="68">
        <v>1</v>
      </c>
      <c r="B426" s="10"/>
      <c r="C426" s="10"/>
      <c r="D426" s="10"/>
      <c r="E426" s="99" t="e">
        <f>VLOOKUP(C425,Tbl_Button_Display_ASSTS,11,FALSE)</f>
        <v>#N/A</v>
      </c>
      <c r="F426" s="11" t="e">
        <f>VLOOKUP(C425,Tbl_Button_Display_ASSTS,12,FALSE)</f>
        <v>#N/A</v>
      </c>
      <c r="G426" s="10"/>
      <c r="H426" s="10"/>
      <c r="I426" s="10"/>
      <c r="J426" s="14"/>
      <c r="K426" s="10"/>
      <c r="L426" s="10"/>
    </row>
    <row r="427" spans="1:12" ht="14.25" hidden="1" outlineLevel="2">
      <c r="A427" s="68">
        <v>1</v>
      </c>
      <c r="B427" s="10"/>
      <c r="C427" s="10"/>
      <c r="D427" s="10"/>
      <c r="E427" s="14" t="s">
        <v>5</v>
      </c>
      <c r="F427" s="11" t="e">
        <f>VLOOKUP(C425,Tbl_Button_Display_ASSTS,13,FALSE)</f>
        <v>#N/A</v>
      </c>
      <c r="G427" s="10"/>
      <c r="H427" s="10"/>
      <c r="I427" s="10"/>
      <c r="J427" s="14"/>
      <c r="K427" s="10"/>
      <c r="L427" s="10"/>
    </row>
    <row r="428" spans="1:12" ht="14.25" hidden="1" outlineLevel="2">
      <c r="A428" s="68">
        <v>1</v>
      </c>
      <c r="B428" s="10"/>
      <c r="C428" s="10"/>
      <c r="D428" s="10"/>
      <c r="E428" s="10"/>
      <c r="F428" s="10"/>
      <c r="G428" s="10" t="str">
        <f>PeEwpRPMReq</f>
        <v>DATC_PeEwpRPMReq</v>
      </c>
      <c r="H428" s="10"/>
      <c r="I428" s="46" t="e">
        <f>VLOOKUP(C425,Tbl_Button_Display_ASSTS,76,FALSE)</f>
        <v>#N/A</v>
      </c>
      <c r="J428" s="10"/>
      <c r="K428" s="10"/>
      <c r="L428" s="10"/>
    </row>
    <row r="429" spans="1:12" ht="14.25" hidden="1" outlineLevel="2">
      <c r="A429" s="68">
        <v>1</v>
      </c>
      <c r="B429" s="10"/>
      <c r="C429" s="10"/>
      <c r="D429" s="10"/>
      <c r="E429" s="10"/>
      <c r="F429" s="10"/>
      <c r="G429" s="10" t="str">
        <f>BatteryEWPOper</f>
        <v>DATC_BattEwpOpReq</v>
      </c>
      <c r="H429" s="10"/>
      <c r="I429" s="46" t="e">
        <f>VLOOKUP(C425,Tbl_Button_Display_ASSTS,73,FALSE)</f>
        <v>#N/A</v>
      </c>
      <c r="J429" s="10"/>
      <c r="K429" s="10"/>
      <c r="L429" s="10"/>
    </row>
    <row r="430" spans="1:12" ht="14.25" customHeight="1" outlineLevel="1">
      <c r="A430" s="70">
        <v>1</v>
      </c>
      <c r="B430" s="38" t="s">
        <v>142</v>
      </c>
      <c r="C430" s="38" t="s">
        <v>1213</v>
      </c>
      <c r="D430" s="38" t="e">
        <f>CONCATENATE(E431," ",F431,"시, ",G433," = ",I433,", ",G434," = ",I434," 유지 확인")</f>
        <v>#N/A</v>
      </c>
      <c r="E430" s="38"/>
      <c r="F430" s="38"/>
      <c r="G430" s="38"/>
      <c r="H430" s="38"/>
      <c r="I430" s="38"/>
      <c r="J430" s="38"/>
      <c r="K430" s="38"/>
      <c r="L430" s="38"/>
    </row>
    <row r="431" spans="1:12" ht="14.25" hidden="1" outlineLevel="2">
      <c r="A431" s="68">
        <v>1</v>
      </c>
      <c r="B431" s="10"/>
      <c r="C431" s="10"/>
      <c r="D431" s="10"/>
      <c r="E431" s="99" t="e">
        <f>VLOOKUP(C430,Tbl_Button_Display_ASSTS,11,FALSE)</f>
        <v>#N/A</v>
      </c>
      <c r="F431" s="11" t="e">
        <f>VLOOKUP(C430,Tbl_Button_Display_ASSTS,12,FALSE)</f>
        <v>#N/A</v>
      </c>
      <c r="G431" s="10"/>
      <c r="H431" s="10"/>
      <c r="I431" s="10"/>
      <c r="J431" s="14"/>
      <c r="K431" s="10"/>
      <c r="L431" s="10"/>
    </row>
    <row r="432" spans="1:12" ht="14.25" hidden="1" outlineLevel="2">
      <c r="A432" s="68">
        <v>1</v>
      </c>
      <c r="B432" s="10"/>
      <c r="C432" s="10"/>
      <c r="D432" s="10"/>
      <c r="E432" s="14" t="s">
        <v>5</v>
      </c>
      <c r="F432" s="11" t="e">
        <f>VLOOKUP(C430,Tbl_Button_Display_ASSTS,13,FALSE)</f>
        <v>#N/A</v>
      </c>
      <c r="G432" s="10"/>
      <c r="H432" s="10"/>
      <c r="I432" s="10"/>
      <c r="J432" s="14"/>
      <c r="K432" s="10"/>
      <c r="L432" s="10"/>
    </row>
    <row r="433" spans="1:12" ht="14.25" hidden="1" outlineLevel="2">
      <c r="A433" s="68">
        <v>1</v>
      </c>
      <c r="B433" s="10"/>
      <c r="C433" s="10"/>
      <c r="D433" s="10"/>
      <c r="E433" s="10"/>
      <c r="F433" s="10"/>
      <c r="G433" s="10" t="str">
        <f>PeEwpRPMReq</f>
        <v>DATC_PeEwpRPMReq</v>
      </c>
      <c r="H433" s="10"/>
      <c r="I433" s="46" t="e">
        <f>VLOOKUP(C430,Tbl_Button_Display_ASSTS,76,FALSE)</f>
        <v>#N/A</v>
      </c>
      <c r="J433" s="10"/>
      <c r="K433" s="10"/>
      <c r="L433" s="10"/>
    </row>
    <row r="434" spans="1:12" ht="14.25" hidden="1" outlineLevel="2">
      <c r="A434" s="68">
        <v>1</v>
      </c>
      <c r="B434" s="10"/>
      <c r="C434" s="10"/>
      <c r="D434" s="10"/>
      <c r="E434" s="10"/>
      <c r="F434" s="10"/>
      <c r="G434" s="10" t="str">
        <f>BatteryEWPOper</f>
        <v>DATC_BattEwpOpReq</v>
      </c>
      <c r="H434" s="10"/>
      <c r="I434" s="46" t="e">
        <f>VLOOKUP(C430,Tbl_Button_Display_ASSTS,73,FALSE)</f>
        <v>#N/A</v>
      </c>
      <c r="J434" s="10"/>
      <c r="K434" s="10"/>
      <c r="L434" s="10"/>
    </row>
    <row r="435" spans="1:12" ht="14.25" customHeight="1" outlineLevel="2">
      <c r="A435" s="70">
        <v>1</v>
      </c>
      <c r="B435" s="38" t="s">
        <v>142</v>
      </c>
      <c r="C435" s="38" t="s">
        <v>1214</v>
      </c>
      <c r="D435" s="38" t="e">
        <f>CONCATENATE(E436," ",F436,"시, ",G438," = ",I438,", ",G439," = ",I439," 출력 확인")</f>
        <v>#N/A</v>
      </c>
      <c r="E435" s="38"/>
      <c r="F435" s="38"/>
      <c r="G435" s="38"/>
      <c r="H435" s="38"/>
      <c r="I435" s="38"/>
      <c r="J435" s="38"/>
      <c r="K435" s="38"/>
      <c r="L435" s="38"/>
    </row>
    <row r="436" spans="1:12" ht="14.25" hidden="1" collapsed="1">
      <c r="A436" s="68">
        <v>1</v>
      </c>
      <c r="B436" s="10"/>
      <c r="C436" s="10"/>
      <c r="D436" s="10"/>
      <c r="E436" s="99" t="e">
        <f>VLOOKUP(C435,Tbl_Button_Display_ASSTS,11,FALSE)</f>
        <v>#N/A</v>
      </c>
      <c r="F436" s="11" t="e">
        <f>VLOOKUP(C435,Tbl_Button_Display_ASSTS,12,FALSE)</f>
        <v>#N/A</v>
      </c>
      <c r="G436" s="10"/>
      <c r="H436" s="10"/>
      <c r="I436" s="10"/>
      <c r="J436" s="14"/>
      <c r="K436" s="10"/>
      <c r="L436" s="10"/>
    </row>
    <row r="437" spans="1:12" ht="14.25" hidden="1" outlineLevel="1">
      <c r="A437" s="68">
        <v>1</v>
      </c>
      <c r="B437" s="10"/>
      <c r="C437" s="10"/>
      <c r="D437" s="10"/>
      <c r="E437" s="14" t="s">
        <v>5</v>
      </c>
      <c r="F437" s="11" t="e">
        <f>VLOOKUP(C435,Tbl_Button_Display_ASSTS,13,FALSE)</f>
        <v>#N/A</v>
      </c>
      <c r="G437" s="10"/>
      <c r="H437" s="10"/>
      <c r="I437" s="10"/>
      <c r="J437" s="14"/>
      <c r="K437" s="10"/>
      <c r="L437" s="10"/>
    </row>
    <row r="438" spans="1:12" ht="14.25" hidden="1" outlineLevel="2">
      <c r="A438" s="68">
        <v>1</v>
      </c>
      <c r="B438" s="10"/>
      <c r="C438" s="10"/>
      <c r="D438" s="10"/>
      <c r="E438" s="10"/>
      <c r="F438" s="10"/>
      <c r="G438" s="10" t="str">
        <f>PeEwpRPMReq</f>
        <v>DATC_PeEwpRPMReq</v>
      </c>
      <c r="H438" s="10"/>
      <c r="I438" s="46" t="e">
        <f>VLOOKUP(C435,Tbl_Button_Display_ASSTS,76,FALSE)</f>
        <v>#N/A</v>
      </c>
      <c r="J438" s="10"/>
      <c r="K438" s="10"/>
      <c r="L438" s="10"/>
    </row>
    <row r="439" spans="1:12" ht="14.25" hidden="1" outlineLevel="2">
      <c r="A439" s="68">
        <v>1</v>
      </c>
      <c r="B439" s="10"/>
      <c r="C439" s="10"/>
      <c r="D439" s="10"/>
      <c r="E439" s="10"/>
      <c r="F439" s="10"/>
      <c r="G439" s="10" t="str">
        <f>BatteryEWPOper</f>
        <v>DATC_BattEwpOpReq</v>
      </c>
      <c r="H439" s="10"/>
      <c r="I439" s="46" t="e">
        <f>VLOOKUP(C435,Tbl_Button_Display_ASSTS,73,FALSE)</f>
        <v>#N/A</v>
      </c>
      <c r="J439" s="10"/>
      <c r="K439" s="10"/>
      <c r="L439" s="10"/>
    </row>
    <row r="440" spans="1:12" ht="14.25" customHeight="1" outlineLevel="2">
      <c r="A440" s="70">
        <v>1</v>
      </c>
      <c r="B440" s="38" t="s">
        <v>142</v>
      </c>
      <c r="C440" s="38" t="s">
        <v>1215</v>
      </c>
      <c r="D440" s="38" t="e">
        <f>CONCATENATE(E441," = ",F441," Hysterisis 설정")</f>
        <v>#N/A</v>
      </c>
      <c r="E440" s="38"/>
      <c r="F440" s="38"/>
      <c r="G440" s="38"/>
      <c r="H440" s="38"/>
      <c r="I440" s="38"/>
      <c r="J440" s="38"/>
      <c r="K440" s="38"/>
      <c r="L440" s="38"/>
    </row>
    <row r="441" spans="1:12" ht="14.25" hidden="1" outlineLevel="2">
      <c r="A441" s="68">
        <v>1</v>
      </c>
      <c r="B441" s="10"/>
      <c r="C441" s="10"/>
      <c r="D441" s="10"/>
      <c r="E441" s="99" t="e">
        <f>VLOOKUP(C440,Tbl_Button_Display_ASSTS,11,FALSE)</f>
        <v>#N/A</v>
      </c>
      <c r="F441" s="11" t="e">
        <f>VLOOKUP(C440,Tbl_Button_Display_ASSTS,12,FALSE)</f>
        <v>#N/A</v>
      </c>
      <c r="G441" s="10"/>
      <c r="H441" s="10"/>
      <c r="I441" s="10"/>
      <c r="J441" s="14"/>
      <c r="K441" s="10"/>
      <c r="L441" s="10"/>
    </row>
    <row r="442" spans="1:12" ht="14.25" hidden="1" outlineLevel="2">
      <c r="A442" s="68">
        <v>1</v>
      </c>
      <c r="B442" s="10"/>
      <c r="C442" s="10"/>
      <c r="D442" s="10"/>
      <c r="E442" s="14" t="s">
        <v>5</v>
      </c>
      <c r="F442" s="11" t="e">
        <f>VLOOKUP(C440,Tbl_Button_Display_ASSTS,13,FALSE)</f>
        <v>#N/A</v>
      </c>
      <c r="G442" s="10"/>
      <c r="H442" s="10"/>
      <c r="I442" s="10"/>
      <c r="J442" s="10"/>
      <c r="K442" s="10"/>
      <c r="L442" s="10"/>
    </row>
    <row r="443" spans="1:12" ht="14.25" hidden="1" outlineLevel="2">
      <c r="A443" s="68">
        <v>1</v>
      </c>
      <c r="B443" s="10"/>
      <c r="C443" s="10"/>
      <c r="D443" s="10"/>
      <c r="E443" s="10"/>
      <c r="F443" s="10"/>
      <c r="G443" s="10" t="str">
        <f>PeEwpRPMReq</f>
        <v>DATC_PeEwpRPMReq</v>
      </c>
      <c r="H443" s="10"/>
      <c r="I443" s="46" t="e">
        <f>VLOOKUP(C440,Tbl_Button_Display_ASSTS,76,FALSE)</f>
        <v>#N/A</v>
      </c>
      <c r="J443" s="10"/>
      <c r="K443" s="10"/>
      <c r="L443" s="10"/>
    </row>
    <row r="444" spans="1:12" ht="14.25" hidden="1" outlineLevel="1">
      <c r="A444" s="68">
        <v>1</v>
      </c>
      <c r="B444" s="10"/>
      <c r="C444" s="10"/>
      <c r="D444" s="10"/>
      <c r="E444" s="10"/>
      <c r="F444" s="10"/>
      <c r="G444" s="10" t="str">
        <f>BatteryEWPOper</f>
        <v>DATC_BattEwpOpReq</v>
      </c>
      <c r="H444" s="10"/>
      <c r="I444" s="46" t="e">
        <f>VLOOKUP(C440,Tbl_Button_Display_ASSTS,73,FALSE)</f>
        <v>#N/A</v>
      </c>
      <c r="J444" s="10"/>
      <c r="K444" s="10"/>
      <c r="L444" s="10"/>
    </row>
    <row r="445" spans="1:12" ht="13.35" customHeight="1" outlineLevel="2">
      <c r="A445" s="70">
        <v>1</v>
      </c>
      <c r="B445" s="38" t="s">
        <v>142</v>
      </c>
      <c r="C445" s="38" t="s">
        <v>1216</v>
      </c>
      <c r="D445" s="38" t="e">
        <f>CONCATENATE(E446," ",F446,"시, ",G448," = ",I448,", ",G449," = ",I449," 유지 확인")</f>
        <v>#N/A</v>
      </c>
      <c r="E445" s="38"/>
      <c r="F445" s="38"/>
      <c r="G445" s="38"/>
      <c r="H445" s="38"/>
      <c r="I445" s="38"/>
      <c r="J445" s="38"/>
      <c r="K445" s="38"/>
      <c r="L445" s="38"/>
    </row>
    <row r="446" spans="1:12" ht="14.25" hidden="1" outlineLevel="2">
      <c r="A446" s="68">
        <v>1</v>
      </c>
      <c r="B446" s="10"/>
      <c r="C446" s="10"/>
      <c r="D446" s="10"/>
      <c r="E446" s="99" t="e">
        <f>VLOOKUP(C445,Tbl_Button_Display_ASSTS,11,FALSE)</f>
        <v>#N/A</v>
      </c>
      <c r="F446" s="11" t="e">
        <f>VLOOKUP(C445,Tbl_Button_Display_ASSTS,12,FALSE)</f>
        <v>#N/A</v>
      </c>
      <c r="G446" s="10"/>
      <c r="H446" s="10"/>
      <c r="I446" s="10"/>
      <c r="J446" s="14"/>
      <c r="K446" s="10"/>
      <c r="L446" s="10"/>
    </row>
    <row r="447" spans="1:12" ht="14.25" hidden="1" outlineLevel="2">
      <c r="A447" s="68">
        <v>1</v>
      </c>
      <c r="B447" s="10"/>
      <c r="C447" s="10"/>
      <c r="D447" s="10"/>
      <c r="E447" s="14" t="s">
        <v>5</v>
      </c>
      <c r="F447" s="11" t="e">
        <f>VLOOKUP(C445,Tbl_Button_Display_ASSTS,13,FALSE)</f>
        <v>#N/A</v>
      </c>
      <c r="G447" s="10"/>
      <c r="H447" s="10"/>
      <c r="I447" s="10"/>
      <c r="J447" s="14"/>
      <c r="K447" s="10"/>
      <c r="L447" s="10"/>
    </row>
    <row r="448" spans="1:12" ht="14.25" hidden="1" outlineLevel="2">
      <c r="A448" s="68">
        <v>1</v>
      </c>
      <c r="B448" s="10"/>
      <c r="C448" s="10"/>
      <c r="D448" s="10"/>
      <c r="E448" s="10"/>
      <c r="F448" s="10"/>
      <c r="G448" s="10" t="str">
        <f>PeEwpRPMReq</f>
        <v>DATC_PeEwpRPMReq</v>
      </c>
      <c r="H448" s="10"/>
      <c r="I448" s="46" t="e">
        <f>VLOOKUP(C445,Tbl_Button_Display_ASSTS,76,FALSE)</f>
        <v>#N/A</v>
      </c>
      <c r="J448" s="10"/>
      <c r="K448" s="10"/>
      <c r="L448" s="10"/>
    </row>
    <row r="449" spans="1:12" ht="14.25" hidden="1" outlineLevel="2">
      <c r="A449" s="68">
        <v>1</v>
      </c>
      <c r="B449" s="10"/>
      <c r="C449" s="10"/>
      <c r="D449" s="10"/>
      <c r="E449" s="10"/>
      <c r="F449" s="10"/>
      <c r="G449" s="10" t="str">
        <f>BatteryEWPOper</f>
        <v>DATC_BattEwpOpReq</v>
      </c>
      <c r="H449" s="10"/>
      <c r="I449" s="46" t="e">
        <f>VLOOKUP(C445,Tbl_Button_Display_ASSTS,73,FALSE)</f>
        <v>#N/A</v>
      </c>
      <c r="J449" s="10"/>
      <c r="K449" s="10"/>
      <c r="L449" s="10"/>
    </row>
    <row r="450" spans="1:12" ht="14.25" customHeight="1" outlineLevel="2">
      <c r="A450" s="70">
        <v>1</v>
      </c>
      <c r="B450" s="38" t="s">
        <v>142</v>
      </c>
      <c r="C450" s="38" t="s">
        <v>1217</v>
      </c>
      <c r="D450" s="38" t="e">
        <f>CONCATENATE(E451," ",F451,"시, ",G453," = ",I453,", ",G454," = ",I454," 출력 확인")</f>
        <v>#N/A</v>
      </c>
      <c r="E450" s="38"/>
      <c r="F450" s="38"/>
      <c r="G450" s="38"/>
      <c r="H450" s="38"/>
      <c r="I450" s="38"/>
      <c r="J450" s="38"/>
      <c r="K450" s="38"/>
      <c r="L450" s="38"/>
    </row>
    <row r="451" spans="1:12" ht="14.25" hidden="1">
      <c r="A451" s="68">
        <v>1</v>
      </c>
      <c r="B451" s="10"/>
      <c r="C451" s="10"/>
      <c r="D451" s="10"/>
      <c r="E451" s="99" t="e">
        <f>VLOOKUP(C450,Tbl_Button_Display_ASSTS,11,FALSE)</f>
        <v>#N/A</v>
      </c>
      <c r="F451" s="11" t="e">
        <f>VLOOKUP(C450,Tbl_Button_Display_ASSTS,12,FALSE)</f>
        <v>#N/A</v>
      </c>
      <c r="G451" s="10"/>
      <c r="H451" s="10"/>
      <c r="I451" s="10"/>
      <c r="J451" s="14"/>
      <c r="K451" s="10"/>
      <c r="L451" s="10"/>
    </row>
    <row r="452" spans="1:12" ht="14.25" hidden="1" collapsed="1">
      <c r="A452" s="68">
        <v>1</v>
      </c>
      <c r="B452" s="10"/>
      <c r="C452" s="10"/>
      <c r="D452" s="10"/>
      <c r="E452" s="14" t="s">
        <v>5</v>
      </c>
      <c r="F452" s="11" t="e">
        <f>VLOOKUP(C450,Tbl_Button_Display_ASSTS,13,FALSE)</f>
        <v>#N/A</v>
      </c>
      <c r="G452" s="10"/>
      <c r="H452" s="10"/>
      <c r="I452" s="10"/>
      <c r="J452" s="14"/>
      <c r="K452" s="10"/>
      <c r="L452" s="10"/>
    </row>
    <row r="453" spans="1:12" ht="14.25" hidden="1" outlineLevel="1">
      <c r="A453" s="68">
        <v>1</v>
      </c>
      <c r="B453" s="10"/>
      <c r="C453" s="10"/>
      <c r="D453" s="10"/>
      <c r="E453" s="10"/>
      <c r="F453" s="10"/>
      <c r="G453" s="10" t="str">
        <f>PeEwpRPMReq</f>
        <v>DATC_PeEwpRPMReq</v>
      </c>
      <c r="H453" s="10"/>
      <c r="I453" s="46" t="e">
        <f>VLOOKUP(C450,Tbl_Button_Display_ASSTS,76,FALSE)</f>
        <v>#N/A</v>
      </c>
      <c r="J453" s="10"/>
      <c r="K453" s="10"/>
      <c r="L453" s="10"/>
    </row>
    <row r="454" spans="1:12" ht="14.25" hidden="1" outlineLevel="2">
      <c r="A454" s="68">
        <v>1</v>
      </c>
      <c r="B454" s="10"/>
      <c r="C454" s="10"/>
      <c r="D454" s="10"/>
      <c r="E454" s="10"/>
      <c r="F454" s="10"/>
      <c r="G454" s="10" t="str">
        <f>BatteryEWPOper</f>
        <v>DATC_BattEwpOpReq</v>
      </c>
      <c r="H454" s="10"/>
      <c r="I454" s="46" t="e">
        <f>VLOOKUP(C450,Tbl_Button_Display_ASSTS,73,FALSE)</f>
        <v>#N/A</v>
      </c>
      <c r="J454" s="10"/>
      <c r="K454" s="10"/>
      <c r="L454" s="10"/>
    </row>
    <row r="455" spans="1:12" ht="14.25" customHeight="1" outlineLevel="2">
      <c r="A455" s="70">
        <v>1</v>
      </c>
      <c r="B455" s="38" t="s">
        <v>142</v>
      </c>
      <c r="C455" s="38" t="s">
        <v>1218</v>
      </c>
      <c r="D455" s="38" t="e">
        <f>CONCATENATE(E456," = ",F456," Hysterisis 설정")</f>
        <v>#N/A</v>
      </c>
      <c r="E455" s="38"/>
      <c r="F455" s="38"/>
      <c r="G455" s="38"/>
      <c r="H455" s="38"/>
      <c r="I455" s="38"/>
      <c r="J455" s="38"/>
      <c r="K455" s="38"/>
      <c r="L455" s="38"/>
    </row>
    <row r="456" spans="1:12" ht="14.25" hidden="1" outlineLevel="2">
      <c r="A456" s="68">
        <v>1</v>
      </c>
      <c r="B456" s="10"/>
      <c r="C456" s="10"/>
      <c r="D456" s="10"/>
      <c r="E456" s="99" t="e">
        <f>VLOOKUP(C455,Tbl_Button_Display_ASSTS,11,FALSE)</f>
        <v>#N/A</v>
      </c>
      <c r="F456" s="11" t="e">
        <f>VLOOKUP(C455,Tbl_Button_Display_ASSTS,12,FALSE)</f>
        <v>#N/A</v>
      </c>
      <c r="G456" s="10"/>
      <c r="H456" s="10"/>
      <c r="I456" s="10"/>
      <c r="J456" s="14"/>
      <c r="K456" s="10"/>
      <c r="L456" s="10"/>
    </row>
    <row r="457" spans="1:12" ht="14.25" hidden="1" outlineLevel="2">
      <c r="A457" s="68">
        <v>1</v>
      </c>
      <c r="B457" s="10"/>
      <c r="C457" s="10"/>
      <c r="D457" s="10"/>
      <c r="E457" s="14" t="s">
        <v>5</v>
      </c>
      <c r="F457" s="11" t="e">
        <f>VLOOKUP(C455,Tbl_Button_Display_ASSTS,13,FALSE)</f>
        <v>#N/A</v>
      </c>
      <c r="G457" s="10"/>
      <c r="H457" s="10"/>
      <c r="I457" s="10"/>
      <c r="J457" s="14"/>
      <c r="K457" s="10"/>
      <c r="L457" s="10"/>
    </row>
    <row r="458" spans="1:12" ht="14.25" hidden="1" outlineLevel="2">
      <c r="A458" s="68">
        <v>1</v>
      </c>
      <c r="B458" s="10"/>
      <c r="C458" s="10"/>
      <c r="D458" s="10"/>
      <c r="E458" s="10"/>
      <c r="F458" s="10"/>
      <c r="G458" s="10" t="str">
        <f>PeEwpRPMReq</f>
        <v>DATC_PeEwpRPMReq</v>
      </c>
      <c r="H458" s="10"/>
      <c r="I458" s="46" t="e">
        <f>VLOOKUP(C455,Tbl_Button_Display_ASSTS,76,FALSE)</f>
        <v>#N/A</v>
      </c>
      <c r="J458" s="10"/>
      <c r="K458" s="10"/>
      <c r="L458" s="10"/>
    </row>
    <row r="459" spans="1:12" ht="14.25" hidden="1" outlineLevel="1">
      <c r="A459" s="68">
        <v>1</v>
      </c>
      <c r="B459" s="10"/>
      <c r="C459" s="10"/>
      <c r="D459" s="10"/>
      <c r="E459" s="10"/>
      <c r="F459" s="10"/>
      <c r="G459" s="10" t="str">
        <f>BatteryEWPOper</f>
        <v>DATC_BattEwpOpReq</v>
      </c>
      <c r="H459" s="10"/>
      <c r="I459" s="46" t="e">
        <f>VLOOKUP(C455,Tbl_Button_Display_ASSTS,73,FALSE)</f>
        <v>#N/A</v>
      </c>
      <c r="J459" s="10"/>
      <c r="K459" s="10"/>
      <c r="L459" s="10"/>
    </row>
    <row r="460" spans="1:12" ht="14.25" customHeight="1" outlineLevel="2">
      <c r="A460" s="70">
        <v>1</v>
      </c>
      <c r="B460" s="38" t="s">
        <v>142</v>
      </c>
      <c r="C460" s="38" t="s">
        <v>1219</v>
      </c>
      <c r="D460" s="38" t="e">
        <f>CONCATENATE(E461," ",F461,"시, ",G463," = ",I463,", ",G464," = ",I464," 유지 확인")</f>
        <v>#N/A</v>
      </c>
      <c r="E460" s="38"/>
      <c r="F460" s="38"/>
      <c r="G460" s="38"/>
      <c r="H460" s="38"/>
      <c r="I460" s="38"/>
      <c r="J460" s="38"/>
      <c r="K460" s="38"/>
      <c r="L460" s="38"/>
    </row>
    <row r="461" spans="1:12" ht="14.25" hidden="1" outlineLevel="2">
      <c r="A461" s="68">
        <v>1</v>
      </c>
      <c r="B461" s="10"/>
      <c r="C461" s="10"/>
      <c r="D461" s="10"/>
      <c r="E461" s="99" t="e">
        <f>VLOOKUP(C460,Tbl_Button_Display_ASSTS,11,FALSE)</f>
        <v>#N/A</v>
      </c>
      <c r="F461" s="11" t="e">
        <f>VLOOKUP(C460,Tbl_Button_Display_ASSTS,12,FALSE)</f>
        <v>#N/A</v>
      </c>
      <c r="G461" s="10"/>
      <c r="H461" s="10"/>
      <c r="I461" s="10"/>
      <c r="J461" s="14"/>
      <c r="K461" s="10"/>
      <c r="L461" s="10"/>
    </row>
    <row r="462" spans="1:12" ht="14.25" hidden="1" outlineLevel="2">
      <c r="A462" s="68">
        <v>1</v>
      </c>
      <c r="B462" s="10"/>
      <c r="C462" s="10"/>
      <c r="D462" s="10"/>
      <c r="E462" s="14" t="s">
        <v>5</v>
      </c>
      <c r="F462" s="11" t="e">
        <f>VLOOKUP(C460,Tbl_Button_Display_ASSTS,13,FALSE)</f>
        <v>#N/A</v>
      </c>
      <c r="G462" s="10"/>
      <c r="H462" s="10"/>
      <c r="I462" s="10"/>
      <c r="J462" s="14"/>
      <c r="K462" s="10"/>
      <c r="L462" s="10"/>
    </row>
    <row r="463" spans="1:12" ht="14.25" hidden="1" outlineLevel="2">
      <c r="A463" s="68">
        <v>1</v>
      </c>
      <c r="B463" s="10"/>
      <c r="C463" s="10"/>
      <c r="D463" s="10"/>
      <c r="E463" s="10"/>
      <c r="F463" s="10"/>
      <c r="G463" s="10" t="str">
        <f>PeEwpRPMReq</f>
        <v>DATC_PeEwpRPMReq</v>
      </c>
      <c r="H463" s="10"/>
      <c r="I463" s="46" t="e">
        <f>VLOOKUP(C460,Tbl_Button_Display_ASSTS,76,FALSE)</f>
        <v>#N/A</v>
      </c>
      <c r="J463" s="10"/>
      <c r="K463" s="10"/>
      <c r="L463" s="10"/>
    </row>
    <row r="464" spans="1:12" ht="14.25" hidden="1" outlineLevel="2">
      <c r="A464" s="68">
        <v>1</v>
      </c>
      <c r="B464" s="10"/>
      <c r="C464" s="10"/>
      <c r="D464" s="10"/>
      <c r="E464" s="10"/>
      <c r="F464" s="10"/>
      <c r="G464" s="10" t="str">
        <f>BatteryEWPOper</f>
        <v>DATC_BattEwpOpReq</v>
      </c>
      <c r="H464" s="10"/>
      <c r="I464" s="46" t="e">
        <f>VLOOKUP(C460,Tbl_Button_Display_ASSTS,73,FALSE)</f>
        <v>#N/A</v>
      </c>
      <c r="J464" s="10"/>
      <c r="K464" s="10"/>
      <c r="L464" s="10"/>
    </row>
    <row r="465" spans="1:12" ht="14.25" customHeight="1" outlineLevel="1">
      <c r="A465" s="70">
        <v>1</v>
      </c>
      <c r="B465" s="38" t="s">
        <v>142</v>
      </c>
      <c r="C465" s="38" t="s">
        <v>1220</v>
      </c>
      <c r="D465" s="38" t="e">
        <f>CONCATENATE(E466," ",F466,"시, ",G468," = ",I468,", ",G469," = ",I469," 출력 확인")</f>
        <v>#N/A</v>
      </c>
      <c r="E465" s="38"/>
      <c r="F465" s="38"/>
      <c r="G465" s="38"/>
      <c r="H465" s="38"/>
      <c r="I465" s="38"/>
      <c r="J465" s="38"/>
      <c r="K465" s="38"/>
      <c r="L465" s="38"/>
    </row>
    <row r="466" spans="1:12" ht="14.25" hidden="1" outlineLevel="2">
      <c r="A466" s="68">
        <v>1</v>
      </c>
      <c r="B466" s="10"/>
      <c r="C466" s="10"/>
      <c r="D466" s="10"/>
      <c r="E466" s="99" t="e">
        <f>VLOOKUP(C465,Tbl_Button_Display_ASSTS,11,FALSE)</f>
        <v>#N/A</v>
      </c>
      <c r="F466" s="11" t="e">
        <f>VLOOKUP(C465,Tbl_Button_Display_ASSTS,12,FALSE)</f>
        <v>#N/A</v>
      </c>
      <c r="G466" s="10"/>
      <c r="H466" s="10"/>
      <c r="I466" s="10"/>
      <c r="J466" s="14"/>
      <c r="K466" s="10"/>
      <c r="L466" s="10"/>
    </row>
    <row r="467" spans="1:12" ht="14.25" hidden="1" outlineLevel="2">
      <c r="A467" s="68">
        <v>1</v>
      </c>
      <c r="B467" s="10"/>
      <c r="C467" s="10"/>
      <c r="D467" s="10"/>
      <c r="E467" s="14" t="s">
        <v>5</v>
      </c>
      <c r="F467" s="11" t="e">
        <f>VLOOKUP(C465,Tbl_Button_Display_ASSTS,13,FALSE)</f>
        <v>#N/A</v>
      </c>
      <c r="G467" s="10"/>
      <c r="H467" s="10"/>
      <c r="I467" s="10"/>
      <c r="J467" s="10"/>
      <c r="K467" s="10"/>
      <c r="L467" s="10"/>
    </row>
    <row r="468" spans="1:12" ht="14.25" hidden="1" outlineLevel="2">
      <c r="A468" s="68">
        <v>1</v>
      </c>
      <c r="B468" s="10"/>
      <c r="C468" s="10"/>
      <c r="D468" s="10"/>
      <c r="E468" s="10"/>
      <c r="F468" s="10"/>
      <c r="G468" s="10" t="str">
        <f>PeEwpRPMReq</f>
        <v>DATC_PeEwpRPMReq</v>
      </c>
      <c r="H468" s="10"/>
      <c r="I468" s="46" t="e">
        <f>VLOOKUP(C465,Tbl_Button_Display_ASSTS,76,FALSE)</f>
        <v>#N/A</v>
      </c>
      <c r="J468" s="10"/>
      <c r="K468" s="10"/>
      <c r="L468" s="10"/>
    </row>
    <row r="469" spans="1:12" ht="14.25" hidden="1" outlineLevel="2">
      <c r="A469" s="68">
        <v>1</v>
      </c>
      <c r="B469" s="10"/>
      <c r="C469" s="10"/>
      <c r="D469" s="10"/>
      <c r="E469" s="10"/>
      <c r="F469" s="10"/>
      <c r="G469" s="10" t="str">
        <f>BatteryEWPOper</f>
        <v>DATC_BattEwpOpReq</v>
      </c>
      <c r="H469" s="10"/>
      <c r="I469" s="46" t="e">
        <f>VLOOKUP(C465,Tbl_Button_Display_ASSTS,73,FALSE)</f>
        <v>#N/A</v>
      </c>
      <c r="J469" s="10"/>
      <c r="K469" s="10"/>
      <c r="L469" s="10"/>
    </row>
    <row r="470" spans="1:12" ht="14.25" customHeight="1" outlineLevel="2">
      <c r="A470" s="69">
        <v>1</v>
      </c>
      <c r="B470" s="37" t="s">
        <v>143</v>
      </c>
      <c r="C470" s="37" t="s">
        <v>1221</v>
      </c>
      <c r="D470" s="37" t="e">
        <f>VLOOKUP(C470,Tbl_Button_Display_ASSTS, 2,FALSE)</f>
        <v>#N/A</v>
      </c>
      <c r="E470" s="37"/>
      <c r="F470" s="37"/>
      <c r="G470" s="37"/>
      <c r="H470" s="37"/>
      <c r="I470" s="37"/>
      <c r="J470" s="37"/>
      <c r="K470" s="37"/>
      <c r="L470" s="37"/>
    </row>
    <row r="471" spans="1:12" ht="16.5" customHeight="1" collapsed="1">
      <c r="A471" s="103">
        <v>1</v>
      </c>
      <c r="B471" s="104" t="s">
        <v>38</v>
      </c>
      <c r="C471" s="104" t="s">
        <v>1222</v>
      </c>
      <c r="D471" s="104" t="s">
        <v>1254</v>
      </c>
      <c r="E471" s="104"/>
      <c r="F471" s="104"/>
      <c r="G471" s="104"/>
      <c r="H471" s="104"/>
      <c r="I471" s="104"/>
      <c r="J471" s="104"/>
      <c r="K471" s="104"/>
      <c r="L471" s="104"/>
    </row>
    <row r="472" spans="1:12" ht="14.25" hidden="1" outlineLevel="1">
      <c r="A472" s="68">
        <v>1</v>
      </c>
      <c r="B472" s="10"/>
      <c r="C472" s="10"/>
      <c r="D472" s="10"/>
      <c r="E472" s="99" t="e">
        <f>VLOOKUP(C471,Tbl_Button_Display_ASSTS,11,FALSE)</f>
        <v>#N/A</v>
      </c>
      <c r="F472" s="11" t="e">
        <f>VLOOKUP(C471,Tbl_Button_Display_ASSTS,12,FALSE)</f>
        <v>#N/A</v>
      </c>
      <c r="G472" s="10"/>
      <c r="H472" s="10"/>
      <c r="I472" s="10"/>
      <c r="J472" s="10"/>
      <c r="K472" s="10"/>
      <c r="L472" s="10"/>
    </row>
    <row r="473" spans="1:12" ht="14.25" hidden="1" outlineLevel="2">
      <c r="A473" s="68">
        <v>1</v>
      </c>
      <c r="B473" s="10"/>
      <c r="C473" s="10"/>
      <c r="D473" s="10"/>
      <c r="E473" s="14" t="s">
        <v>5</v>
      </c>
      <c r="F473" s="11" t="e">
        <f>VLOOKUP(C471,Tbl_Button_Display_ASSTS,13,FALSE)</f>
        <v>#N/A</v>
      </c>
      <c r="G473" s="10"/>
      <c r="H473" s="10"/>
      <c r="I473" s="10"/>
      <c r="J473" s="10"/>
      <c r="K473" s="10"/>
      <c r="L473" s="10"/>
    </row>
    <row r="474" spans="1:12" ht="14.25" hidden="1" outlineLevel="2">
      <c r="A474" s="68">
        <v>1</v>
      </c>
      <c r="B474" s="10"/>
      <c r="C474" s="10"/>
      <c r="D474" s="10"/>
      <c r="E474" s="10"/>
      <c r="F474" s="10"/>
      <c r="G474" s="10" t="e">
        <f>AcDisp</f>
        <v>#NAME?</v>
      </c>
      <c r="H474" s="10"/>
      <c r="I474" s="12" t="e">
        <f>VLOOKUP(C471,Tbl_Button_Display_ASSTS,31,FALSE)</f>
        <v>#N/A</v>
      </c>
      <c r="J474" s="10"/>
      <c r="K474" s="10"/>
      <c r="L474" s="10"/>
    </row>
    <row r="475" spans="1:12" ht="14.25" hidden="1" outlineLevel="2">
      <c r="A475" s="68">
        <v>1</v>
      </c>
      <c r="B475" s="10"/>
      <c r="C475" s="10"/>
      <c r="D475" s="10"/>
      <c r="E475" s="10"/>
      <c r="F475" s="83"/>
      <c r="G475" s="10" t="str">
        <f>HP_ModSta</f>
        <v>DATC_HtrPmpModSta</v>
      </c>
      <c r="H475" s="47" t="e">
        <f>VLOOKUP(C471,Tbl_Button_Display_ASSTS,71,FALSE)</f>
        <v>#N/A</v>
      </c>
      <c r="I475" s="45" t="e">
        <f>(IF(H475="","",VLOOKUP(H475,Tbl_HP_Cycle,2,FALSE)))</f>
        <v>#N/A</v>
      </c>
      <c r="J475" s="10"/>
      <c r="K475" s="10"/>
      <c r="L475" s="10"/>
    </row>
    <row r="476" spans="1:12" ht="14.25" hidden="1" outlineLevel="2">
      <c r="A476" s="68">
        <v>1</v>
      </c>
      <c r="B476" s="10"/>
      <c r="C476" s="10"/>
      <c r="D476" s="10"/>
      <c r="E476" s="10"/>
      <c r="F476" s="10"/>
      <c r="G476" s="10" t="str">
        <f>PeEwpRPMReq</f>
        <v>DATC_PeEwpRPMReq</v>
      </c>
      <c r="H476" s="10"/>
      <c r="I476" s="12" t="e">
        <f>VLOOKUP(C471,Tbl_Button_Display_ASSTS,76,FALSE)</f>
        <v>#N/A</v>
      </c>
      <c r="J476" s="10"/>
      <c r="K476" s="10"/>
      <c r="L476" s="10"/>
    </row>
    <row r="477" spans="1:12" ht="14.25" hidden="1" outlineLevel="2">
      <c r="A477" s="68">
        <v>1</v>
      </c>
      <c r="B477" s="10"/>
      <c r="C477" s="10"/>
      <c r="D477" s="10"/>
      <c r="E477" s="10"/>
      <c r="F477" s="10"/>
      <c r="G477" s="10" t="str">
        <f>BatteryEWPOper</f>
        <v>DATC_BattEwpOpReq</v>
      </c>
      <c r="H477" s="10"/>
      <c r="I477" s="12" t="e">
        <f>VLOOKUP(C471,Tbl_Button_Display_ASSTS,73,FALSE)</f>
        <v>#N/A</v>
      </c>
      <c r="J477" s="10"/>
      <c r="K477" s="10"/>
      <c r="L477" s="10"/>
    </row>
    <row r="478" spans="1:12" ht="14.25" customHeight="1" outlineLevel="1">
      <c r="A478" s="70">
        <v>1</v>
      </c>
      <c r="B478" s="38" t="s">
        <v>142</v>
      </c>
      <c r="C478" s="38" t="s">
        <v>1223</v>
      </c>
      <c r="D478" s="38" t="e">
        <f>CONCATENATE(I482," 모드 일 때, ",G483," = ",I483,"rpm, ",G484," = ",I484,"rpm 출력 확인")</f>
        <v>#N/A</v>
      </c>
      <c r="E478" s="38"/>
      <c r="F478" s="38"/>
      <c r="G478" s="38"/>
      <c r="H478" s="38"/>
      <c r="I478" s="38"/>
      <c r="J478" s="38"/>
      <c r="K478" s="38"/>
      <c r="L478" s="38"/>
    </row>
    <row r="479" spans="1:12" ht="14.25" hidden="1" outlineLevel="2">
      <c r="A479" s="68">
        <v>1</v>
      </c>
      <c r="B479" s="10"/>
      <c r="C479" s="10"/>
      <c r="D479" s="10"/>
      <c r="E479" s="99" t="e">
        <f>VLOOKUP(C478,Tbl_Button_Display_ASSTS,11,FALSE)</f>
        <v>#N/A</v>
      </c>
      <c r="F479" s="11" t="e">
        <f>VLOOKUP(C478,Tbl_Button_Display_ASSTS,12,FALSE)</f>
        <v>#N/A</v>
      </c>
      <c r="G479" s="10"/>
      <c r="H479" s="10"/>
      <c r="I479" s="10"/>
      <c r="J479" s="14"/>
      <c r="K479" s="10"/>
      <c r="L479" s="10"/>
    </row>
    <row r="480" spans="1:12" ht="14.25" hidden="1" outlineLevel="2">
      <c r="A480" s="68">
        <v>1</v>
      </c>
      <c r="B480" s="10"/>
      <c r="C480" s="10"/>
      <c r="D480" s="10"/>
      <c r="E480" s="14" t="s">
        <v>5</v>
      </c>
      <c r="F480" s="11" t="e">
        <f>VLOOKUP(C478,Tbl_Button_Display_ASSTS,13,FALSE)</f>
        <v>#N/A</v>
      </c>
      <c r="G480" s="10"/>
      <c r="H480" s="10"/>
      <c r="I480" s="10"/>
      <c r="J480" s="10"/>
      <c r="K480" s="10"/>
      <c r="L480" s="10"/>
    </row>
    <row r="481" spans="1:12" ht="14.25" hidden="1" outlineLevel="2">
      <c r="A481" s="68">
        <v>1</v>
      </c>
      <c r="B481" s="10"/>
      <c r="C481" s="10"/>
      <c r="D481" s="10"/>
      <c r="E481" s="10"/>
      <c r="F481" s="10"/>
      <c r="G481" s="10" t="e">
        <f>AcDisp</f>
        <v>#NAME?</v>
      </c>
      <c r="H481" s="10"/>
      <c r="I481" s="12" t="e">
        <f>VLOOKUP(C478,Tbl_Button_Display_ASSTS,31,FALSE)</f>
        <v>#N/A</v>
      </c>
      <c r="J481" s="10"/>
      <c r="K481" s="10"/>
      <c r="L481" s="10"/>
    </row>
    <row r="482" spans="1:12" ht="14.25" hidden="1" outlineLevel="2">
      <c r="A482" s="68">
        <v>1</v>
      </c>
      <c r="B482" s="10"/>
      <c r="C482" s="10"/>
      <c r="D482" s="10"/>
      <c r="E482" s="10"/>
      <c r="F482" s="83"/>
      <c r="G482" s="10" t="str">
        <f>HP_ModSta</f>
        <v>DATC_HtrPmpModSta</v>
      </c>
      <c r="H482" s="47" t="e">
        <f>VLOOKUP(C478,Tbl_Button_Display_ASSTS,71,FALSE)</f>
        <v>#N/A</v>
      </c>
      <c r="I482" s="45" t="e">
        <f>(IF(H482="","",VLOOKUP(H482,Tbl_HP_Cycle,2,FALSE)))</f>
        <v>#N/A</v>
      </c>
      <c r="J482" s="10"/>
      <c r="K482" s="10"/>
      <c r="L482" s="10"/>
    </row>
    <row r="483" spans="1:12" ht="14.25" hidden="1" outlineLevel="2">
      <c r="A483" s="68">
        <v>1</v>
      </c>
      <c r="B483" s="10"/>
      <c r="C483" s="10"/>
      <c r="D483" s="10"/>
      <c r="E483" s="10"/>
      <c r="F483" s="10"/>
      <c r="G483" s="10" t="str">
        <f>PeEwpRPMReq</f>
        <v>DATC_PeEwpRPMReq</v>
      </c>
      <c r="H483" s="10"/>
      <c r="I483" s="46" t="e">
        <f>VLOOKUP(C478,Tbl_Button_Display_ASSTS,76,FALSE)</f>
        <v>#N/A</v>
      </c>
      <c r="J483" s="10"/>
      <c r="K483" s="10"/>
      <c r="L483" s="10"/>
    </row>
    <row r="484" spans="1:12" ht="14.25" hidden="1" outlineLevel="1">
      <c r="A484" s="68">
        <v>1</v>
      </c>
      <c r="B484" s="10"/>
      <c r="C484" s="10"/>
      <c r="D484" s="10"/>
      <c r="E484" s="10"/>
      <c r="F484" s="10"/>
      <c r="G484" s="10" t="str">
        <f>BatteryEWPOper</f>
        <v>DATC_BattEwpOpReq</v>
      </c>
      <c r="H484" s="10"/>
      <c r="I484" s="46" t="e">
        <f>VLOOKUP(C478,Tbl_Button_Display_ASSTS,73,FALSE)</f>
        <v>#N/A</v>
      </c>
      <c r="J484" s="10"/>
      <c r="K484" s="10"/>
      <c r="L484" s="10"/>
    </row>
    <row r="485" spans="1:12" ht="13.35" customHeight="1" outlineLevel="2">
      <c r="A485" s="70">
        <v>1</v>
      </c>
      <c r="B485" s="38" t="s">
        <v>142</v>
      </c>
      <c r="C485" s="38" t="s">
        <v>1224</v>
      </c>
      <c r="D485" s="38" t="e">
        <f>CONCATENATE(E486," = ",F486," 설정 시, ",G489," = ",I489,"rpm, ",G490," = ",I490,"rpm 출력 확인")</f>
        <v>#N/A</v>
      </c>
      <c r="E485" s="38"/>
      <c r="F485" s="38"/>
      <c r="G485" s="38"/>
      <c r="H485" s="38"/>
      <c r="I485" s="38"/>
      <c r="J485" s="38"/>
      <c r="K485" s="38"/>
      <c r="L485" s="38"/>
    </row>
    <row r="486" spans="1:12" ht="14.25" hidden="1" outlineLevel="2">
      <c r="A486" s="68">
        <v>1</v>
      </c>
      <c r="B486" s="10"/>
      <c r="C486" s="10"/>
      <c r="D486" s="10"/>
      <c r="E486" s="99" t="e">
        <f>VLOOKUP(C485,Tbl_Button_Display_ASSTS,11,FALSE)</f>
        <v>#N/A</v>
      </c>
      <c r="F486" s="11" t="e">
        <f>VLOOKUP(C485,Tbl_Button_Display_ASSTS,12,FALSE)</f>
        <v>#N/A</v>
      </c>
      <c r="G486" s="10"/>
      <c r="H486" s="10"/>
      <c r="I486" s="10"/>
      <c r="J486" s="14"/>
      <c r="K486" s="10"/>
      <c r="L486" s="10"/>
    </row>
    <row r="487" spans="1:12" ht="14.25" hidden="1" outlineLevel="2">
      <c r="A487" s="68">
        <v>1</v>
      </c>
      <c r="B487" s="10"/>
      <c r="C487" s="10"/>
      <c r="D487" s="10"/>
      <c r="E487" s="14" t="s">
        <v>5</v>
      </c>
      <c r="F487" s="11" t="e">
        <f>VLOOKUP(C485,Tbl_Button_Display_ASSTS,13,FALSE)</f>
        <v>#N/A</v>
      </c>
      <c r="G487" s="10"/>
      <c r="H487" s="10"/>
      <c r="I487" s="10"/>
      <c r="J487" s="14"/>
      <c r="K487" s="10"/>
      <c r="L487" s="10"/>
    </row>
    <row r="488" spans="1:12" ht="14.25" hidden="1" outlineLevel="2">
      <c r="A488" s="68">
        <v>1</v>
      </c>
      <c r="B488" s="10"/>
      <c r="C488" s="10"/>
      <c r="D488" s="10"/>
      <c r="E488" s="10"/>
      <c r="F488" s="83"/>
      <c r="G488" s="10" t="str">
        <f>HP_ModSta</f>
        <v>DATC_HtrPmpModSta</v>
      </c>
      <c r="H488" s="47" t="e">
        <f>VLOOKUP(C485,Tbl_Button_Display_ASSTS,71,FALSE)</f>
        <v>#N/A</v>
      </c>
      <c r="I488" s="45" t="e">
        <f>(IF(H488="","",VLOOKUP(H488,Tbl_HP_Cycle,2,FALSE)))</f>
        <v>#N/A</v>
      </c>
      <c r="J488" s="10"/>
      <c r="K488" s="10"/>
      <c r="L488" s="10"/>
    </row>
    <row r="489" spans="1:12" ht="14.25" hidden="1" outlineLevel="2">
      <c r="A489" s="68">
        <v>1</v>
      </c>
      <c r="B489" s="10"/>
      <c r="C489" s="10"/>
      <c r="D489" s="10"/>
      <c r="E489" s="10"/>
      <c r="F489" s="10"/>
      <c r="G489" s="10" t="str">
        <f>PeEwpRPMReq</f>
        <v>DATC_PeEwpRPMReq</v>
      </c>
      <c r="H489" s="10"/>
      <c r="I489" s="46" t="e">
        <f>VLOOKUP(C485,Tbl_Button_Display_ASSTS,76,FALSE)</f>
        <v>#N/A</v>
      </c>
      <c r="J489" s="10"/>
      <c r="K489" s="10"/>
      <c r="L489" s="10"/>
    </row>
    <row r="490" spans="1:12" ht="14.25" hidden="1" outlineLevel="1">
      <c r="A490" s="68">
        <v>1</v>
      </c>
      <c r="B490" s="10"/>
      <c r="C490" s="10"/>
      <c r="D490" s="10"/>
      <c r="E490" s="10"/>
      <c r="F490" s="10"/>
      <c r="G490" s="10" t="str">
        <f>BatteryEWPOper</f>
        <v>DATC_BattEwpOpReq</v>
      </c>
      <c r="H490" s="10"/>
      <c r="I490" s="46" t="e">
        <f>VLOOKUP(C485,Tbl_Button_Display_ASSTS,73,FALSE)</f>
        <v>#N/A</v>
      </c>
      <c r="J490" s="10"/>
      <c r="K490" s="10"/>
      <c r="L490" s="10"/>
    </row>
    <row r="491" spans="1:12" ht="14.25" customHeight="1" outlineLevel="2">
      <c r="A491" s="70">
        <v>1</v>
      </c>
      <c r="B491" s="38" t="s">
        <v>142</v>
      </c>
      <c r="C491" s="38" t="s">
        <v>1225</v>
      </c>
      <c r="D491" s="38" t="e">
        <f>CONCATENATE(E492," = ",F492," 설정 시, ",G495," = ",I495,"rpm, ",G496," = ",I496,"rpm 출력 확인")</f>
        <v>#N/A</v>
      </c>
      <c r="E491" s="38"/>
      <c r="F491" s="38"/>
      <c r="G491" s="38"/>
      <c r="H491" s="38"/>
      <c r="I491" s="38"/>
      <c r="J491" s="38"/>
      <c r="K491" s="38"/>
      <c r="L491" s="38"/>
    </row>
    <row r="492" spans="1:12" ht="14.25" hidden="1" outlineLevel="2">
      <c r="A492" s="68">
        <v>1</v>
      </c>
      <c r="B492" s="10"/>
      <c r="C492" s="10"/>
      <c r="D492" s="10"/>
      <c r="E492" s="99" t="e">
        <f>VLOOKUP(C491,Tbl_Button_Display_ASSTS,11,FALSE)</f>
        <v>#N/A</v>
      </c>
      <c r="F492" s="11" t="e">
        <f>VLOOKUP(C491,Tbl_Button_Display_ASSTS,12,FALSE)</f>
        <v>#N/A</v>
      </c>
      <c r="G492" s="10"/>
      <c r="H492" s="10"/>
      <c r="I492" s="10"/>
      <c r="J492" s="14"/>
      <c r="K492" s="10"/>
      <c r="L492" s="10"/>
    </row>
    <row r="493" spans="1:12" ht="14.25" hidden="1" outlineLevel="2">
      <c r="A493" s="68">
        <v>1</v>
      </c>
      <c r="B493" s="10"/>
      <c r="C493" s="10"/>
      <c r="D493" s="10"/>
      <c r="E493" s="14" t="s">
        <v>5</v>
      </c>
      <c r="F493" s="11" t="e">
        <f>VLOOKUP(C491,Tbl_Button_Display_ASSTS,13,FALSE)</f>
        <v>#N/A</v>
      </c>
      <c r="G493" s="10"/>
      <c r="H493" s="10"/>
      <c r="I493" s="10"/>
      <c r="J493" s="14"/>
      <c r="K493" s="10"/>
      <c r="L493" s="10"/>
    </row>
    <row r="494" spans="1:12" ht="14.25" hidden="1" outlineLevel="2">
      <c r="A494" s="68">
        <v>1</v>
      </c>
      <c r="B494" s="10"/>
      <c r="C494" s="10"/>
      <c r="D494" s="10"/>
      <c r="E494" s="10"/>
      <c r="F494" s="83"/>
      <c r="G494" s="10" t="str">
        <f>HP_ModSta</f>
        <v>DATC_HtrPmpModSta</v>
      </c>
      <c r="H494" s="47" t="e">
        <f>VLOOKUP(C491,Tbl_Button_Display_ASSTS,71,FALSE)</f>
        <v>#N/A</v>
      </c>
      <c r="I494" s="45" t="e">
        <f>(IF(H494="","",VLOOKUP(H494,Tbl_HP_Cycle,2,FALSE)))</f>
        <v>#N/A</v>
      </c>
      <c r="J494" s="10"/>
      <c r="K494" s="10"/>
      <c r="L494" s="10"/>
    </row>
    <row r="495" spans="1:12" ht="14.25" hidden="1" outlineLevel="2">
      <c r="A495" s="68">
        <v>1</v>
      </c>
      <c r="B495" s="10"/>
      <c r="C495" s="10"/>
      <c r="D495" s="10"/>
      <c r="E495" s="10"/>
      <c r="F495" s="10"/>
      <c r="G495" s="10" t="str">
        <f>PeEwpRPMReq</f>
        <v>DATC_PeEwpRPMReq</v>
      </c>
      <c r="H495" s="10"/>
      <c r="I495" s="46" t="e">
        <f>VLOOKUP(C491,Tbl_Button_Display_ASSTS,76,FALSE)</f>
        <v>#N/A</v>
      </c>
      <c r="J495" s="10"/>
      <c r="K495" s="10"/>
      <c r="L495" s="10"/>
    </row>
    <row r="496" spans="1:12" ht="14.25" hidden="1" outlineLevel="1">
      <c r="A496" s="68">
        <v>1</v>
      </c>
      <c r="B496" s="10"/>
      <c r="C496" s="10"/>
      <c r="D496" s="10"/>
      <c r="E496" s="10"/>
      <c r="F496" s="10"/>
      <c r="G496" s="10" t="str">
        <f>BatteryEWPOper</f>
        <v>DATC_BattEwpOpReq</v>
      </c>
      <c r="H496" s="10"/>
      <c r="I496" s="46" t="e">
        <f>VLOOKUP(C491,Tbl_Button_Display_ASSTS,73,FALSE)</f>
        <v>#N/A</v>
      </c>
      <c r="J496" s="10"/>
      <c r="K496" s="10"/>
      <c r="L496" s="10"/>
    </row>
    <row r="497" spans="1:12" ht="14.25" customHeight="1" outlineLevel="2">
      <c r="A497" s="70">
        <v>1</v>
      </c>
      <c r="B497" s="38" t="s">
        <v>142</v>
      </c>
      <c r="C497" s="38" t="s">
        <v>1226</v>
      </c>
      <c r="D497" s="38" t="e">
        <f>CONCATENATE(I500," 모드 일 때, ",G501," = ",I501,"rpm, ",G502," = ",I502,"rpm 출력 확인")</f>
        <v>#N/A</v>
      </c>
      <c r="E497" s="38"/>
      <c r="F497" s="38"/>
      <c r="G497" s="38"/>
      <c r="H497" s="38"/>
      <c r="I497" s="38"/>
      <c r="J497" s="38"/>
      <c r="K497" s="38"/>
      <c r="L497" s="38"/>
    </row>
    <row r="498" spans="1:12" ht="14.25" hidden="1" outlineLevel="2">
      <c r="A498" s="68">
        <v>1</v>
      </c>
      <c r="B498" s="10"/>
      <c r="C498" s="10"/>
      <c r="D498" s="10"/>
      <c r="E498" s="99" t="e">
        <f>VLOOKUP(C497,Tbl_Button_Display_ASSTS,11,FALSE)</f>
        <v>#N/A</v>
      </c>
      <c r="F498" s="11" t="e">
        <f>VLOOKUP(C497,Tbl_Button_Display_ASSTS,12,FALSE)</f>
        <v>#N/A</v>
      </c>
      <c r="G498" s="10"/>
      <c r="H498" s="10"/>
      <c r="I498" s="10"/>
      <c r="J498" s="14"/>
      <c r="K498" s="10"/>
      <c r="L498" s="10"/>
    </row>
    <row r="499" spans="1:12" ht="14.25" hidden="1" outlineLevel="2">
      <c r="A499" s="68">
        <v>1</v>
      </c>
      <c r="B499" s="10"/>
      <c r="C499" s="10"/>
      <c r="D499" s="10"/>
      <c r="E499" s="14" t="s">
        <v>5</v>
      </c>
      <c r="F499" s="11" t="e">
        <f>VLOOKUP(C497,Tbl_Button_Display_ASSTS,13,FALSE)</f>
        <v>#N/A</v>
      </c>
      <c r="G499" s="10"/>
      <c r="H499" s="10"/>
      <c r="I499" s="10"/>
      <c r="J499" s="14"/>
      <c r="K499" s="10"/>
      <c r="L499" s="10"/>
    </row>
    <row r="500" spans="1:12" ht="14.25" hidden="1" outlineLevel="2">
      <c r="A500" s="68">
        <v>1</v>
      </c>
      <c r="B500" s="10"/>
      <c r="C500" s="10"/>
      <c r="D500" s="10"/>
      <c r="E500" s="10"/>
      <c r="F500" s="83"/>
      <c r="G500" s="10" t="str">
        <f>HP_ModSta</f>
        <v>DATC_HtrPmpModSta</v>
      </c>
      <c r="H500" s="47" t="e">
        <f>VLOOKUP(C497,Tbl_Button_Display_ASSTS,71,FALSE)</f>
        <v>#N/A</v>
      </c>
      <c r="I500" s="45" t="e">
        <f>(IF(H500="","",VLOOKUP(H500,Tbl_HP_Cycle,2,FALSE)))</f>
        <v>#N/A</v>
      </c>
      <c r="J500" s="10"/>
      <c r="K500" s="10"/>
      <c r="L500" s="10"/>
    </row>
    <row r="501" spans="1:12" ht="14.25" hidden="1" outlineLevel="2">
      <c r="A501" s="68">
        <v>1</v>
      </c>
      <c r="B501" s="10"/>
      <c r="C501" s="10"/>
      <c r="D501" s="10"/>
      <c r="E501" s="10"/>
      <c r="F501" s="10"/>
      <c r="G501" s="10" t="str">
        <f>PeEwpRPMReq</f>
        <v>DATC_PeEwpRPMReq</v>
      </c>
      <c r="H501" s="10"/>
      <c r="I501" s="46" t="e">
        <f>VLOOKUP(C497,Tbl_Button_Display_ASSTS,76,FALSE)</f>
        <v>#N/A</v>
      </c>
      <c r="J501" s="10"/>
      <c r="K501" s="10"/>
      <c r="L501" s="10"/>
    </row>
    <row r="502" spans="1:12" ht="14.25" hidden="1" outlineLevel="1">
      <c r="A502" s="68">
        <v>1</v>
      </c>
      <c r="B502" s="10"/>
      <c r="C502" s="10"/>
      <c r="D502" s="10"/>
      <c r="E502" s="10"/>
      <c r="F502" s="10"/>
      <c r="G502" s="10" t="str">
        <f>BatteryEWPOper</f>
        <v>DATC_BattEwpOpReq</v>
      </c>
      <c r="H502" s="10"/>
      <c r="I502" s="46" t="e">
        <f>VLOOKUP(C497,Tbl_Button_Display_ASSTS,73,FALSE)</f>
        <v>#N/A</v>
      </c>
      <c r="J502" s="10"/>
      <c r="K502" s="10"/>
      <c r="L502" s="10"/>
    </row>
    <row r="503" spans="1:12" ht="14.25" customHeight="1" outlineLevel="2">
      <c r="A503" s="70">
        <v>1</v>
      </c>
      <c r="B503" s="38" t="s">
        <v>142</v>
      </c>
      <c r="C503" s="38" t="s">
        <v>1227</v>
      </c>
      <c r="D503" s="38" t="e">
        <f>CONCATENATE(E504," = ",F504," 설정 시, ",G507," = ",I507,"rpm, ",G508," = ",I508,"rpm 출력 확인")</f>
        <v>#N/A</v>
      </c>
      <c r="E503" s="38"/>
      <c r="F503" s="38"/>
      <c r="G503" s="38"/>
      <c r="H503" s="38"/>
      <c r="I503" s="38"/>
      <c r="J503" s="38"/>
      <c r="K503" s="38"/>
      <c r="L503" s="38"/>
    </row>
    <row r="504" spans="1:12" ht="14.25" hidden="1" outlineLevel="2">
      <c r="A504" s="68">
        <v>1</v>
      </c>
      <c r="B504" s="10"/>
      <c r="C504" s="10"/>
      <c r="D504" s="10"/>
      <c r="E504" s="99" t="e">
        <f>VLOOKUP(C503,Tbl_Button_Display_ASSTS,11,FALSE)</f>
        <v>#N/A</v>
      </c>
      <c r="F504" s="11" t="e">
        <f>VLOOKUP(C503,Tbl_Button_Display_ASSTS,12,FALSE)</f>
        <v>#N/A</v>
      </c>
      <c r="G504" s="10"/>
      <c r="H504" s="10"/>
      <c r="I504" s="10"/>
      <c r="J504" s="14"/>
      <c r="K504" s="10"/>
      <c r="L504" s="10"/>
    </row>
    <row r="505" spans="1:12" ht="14.25" hidden="1" outlineLevel="2">
      <c r="A505" s="68">
        <v>1</v>
      </c>
      <c r="B505" s="10"/>
      <c r="C505" s="10"/>
      <c r="D505" s="10"/>
      <c r="E505" s="14" t="s">
        <v>5</v>
      </c>
      <c r="F505" s="11" t="e">
        <f>VLOOKUP(C503,Tbl_Button_Display_ASSTS,13,FALSE)</f>
        <v>#N/A</v>
      </c>
      <c r="G505" s="10"/>
      <c r="H505" s="10"/>
      <c r="I505" s="10"/>
      <c r="J505" s="14"/>
      <c r="K505" s="10"/>
      <c r="L505" s="10"/>
    </row>
    <row r="506" spans="1:12" ht="14.25" hidden="1" outlineLevel="2">
      <c r="A506" s="68">
        <v>1</v>
      </c>
      <c r="B506" s="10"/>
      <c r="C506" s="10"/>
      <c r="D506" s="10"/>
      <c r="E506" s="10"/>
      <c r="F506" s="83"/>
      <c r="G506" s="10" t="str">
        <f>HP_ModSta</f>
        <v>DATC_HtrPmpModSta</v>
      </c>
      <c r="H506" s="47" t="e">
        <f>VLOOKUP(C503,Tbl_Button_Display_ASSTS,71,FALSE)</f>
        <v>#N/A</v>
      </c>
      <c r="I506" s="45" t="e">
        <f>(IF(H506="","",VLOOKUP(H506,Tbl_HP_Cycle,2,FALSE)))</f>
        <v>#N/A</v>
      </c>
      <c r="J506" s="10"/>
      <c r="K506" s="10"/>
      <c r="L506" s="10"/>
    </row>
    <row r="507" spans="1:12" ht="14.25" hidden="1" outlineLevel="2">
      <c r="A507" s="68">
        <v>1</v>
      </c>
      <c r="B507" s="10"/>
      <c r="C507" s="10"/>
      <c r="D507" s="10"/>
      <c r="E507" s="10"/>
      <c r="F507" s="10"/>
      <c r="G507" s="10" t="str">
        <f>PeEwpRPMReq</f>
        <v>DATC_PeEwpRPMReq</v>
      </c>
      <c r="H507" s="10"/>
      <c r="I507" s="46" t="e">
        <f>VLOOKUP(C503,Tbl_Button_Display_ASSTS,76,FALSE)</f>
        <v>#N/A</v>
      </c>
      <c r="J507" s="10"/>
      <c r="K507" s="10"/>
      <c r="L507" s="10"/>
    </row>
    <row r="508" spans="1:12" ht="14.25" hidden="1" outlineLevel="1">
      <c r="A508" s="68">
        <v>1</v>
      </c>
      <c r="B508" s="10"/>
      <c r="C508" s="10"/>
      <c r="D508" s="10"/>
      <c r="E508" s="10"/>
      <c r="F508" s="10"/>
      <c r="G508" s="10" t="str">
        <f>BatteryEWPOper</f>
        <v>DATC_BattEwpOpReq</v>
      </c>
      <c r="H508" s="10"/>
      <c r="I508" s="46" t="e">
        <f>VLOOKUP(C503,Tbl_Button_Display_ASSTS,73,FALSE)</f>
        <v>#N/A</v>
      </c>
      <c r="J508" s="10"/>
      <c r="K508" s="10"/>
      <c r="L508" s="10"/>
    </row>
    <row r="509" spans="1:12" ht="14.25" customHeight="1" outlineLevel="2">
      <c r="A509" s="70">
        <v>1</v>
      </c>
      <c r="B509" s="38" t="s">
        <v>142</v>
      </c>
      <c r="C509" s="38" t="s">
        <v>1228</v>
      </c>
      <c r="D509" s="38" t="e">
        <f>CONCATENATE(E510," ",F510,"회 선택 시, ",G513," = ",I513,", ",G514," = ",I514," 확인")</f>
        <v>#N/A</v>
      </c>
      <c r="E509" s="38"/>
      <c r="F509" s="38"/>
      <c r="G509" s="38"/>
      <c r="H509" s="38"/>
      <c r="I509" s="38"/>
      <c r="J509" s="38"/>
      <c r="K509" s="38"/>
      <c r="L509" s="38"/>
    </row>
    <row r="510" spans="1:12" ht="14.25" hidden="1" outlineLevel="2">
      <c r="A510" s="68">
        <v>1</v>
      </c>
      <c r="B510" s="10"/>
      <c r="C510" s="10"/>
      <c r="D510" s="10"/>
      <c r="E510" s="99" t="e">
        <f>VLOOKUP(C509,Tbl_Button_Display_ASSTS,11,FALSE)</f>
        <v>#N/A</v>
      </c>
      <c r="F510" s="11" t="e">
        <f>VLOOKUP(C509,Tbl_Button_Display_ASSTS,12,FALSE)</f>
        <v>#N/A</v>
      </c>
      <c r="G510" s="10"/>
      <c r="H510" s="10"/>
      <c r="I510" s="10"/>
      <c r="J510" s="14"/>
      <c r="K510" s="10"/>
      <c r="L510" s="10"/>
    </row>
    <row r="511" spans="1:12" ht="14.25" hidden="1" outlineLevel="2">
      <c r="A511" s="68">
        <v>1</v>
      </c>
      <c r="B511" s="10"/>
      <c r="C511" s="10"/>
      <c r="D511" s="10"/>
      <c r="E511" s="14" t="s">
        <v>5</v>
      </c>
      <c r="F511" s="11" t="e">
        <f>VLOOKUP(C509,Tbl_Button_Display_ASSTS,13,FALSE)</f>
        <v>#N/A</v>
      </c>
      <c r="G511" s="10"/>
      <c r="H511" s="10"/>
      <c r="I511" s="10"/>
      <c r="J511" s="10"/>
      <c r="K511" s="10"/>
      <c r="L511" s="10"/>
    </row>
    <row r="512" spans="1:12" ht="14.25" hidden="1" outlineLevel="2">
      <c r="A512" s="68">
        <v>1</v>
      </c>
      <c r="B512" s="10"/>
      <c r="C512" s="10"/>
      <c r="D512" s="10"/>
      <c r="E512" s="10"/>
      <c r="F512" s="83"/>
      <c r="G512" s="10" t="str">
        <f>HP_ModSta</f>
        <v>DATC_HtrPmpModSta</v>
      </c>
      <c r="H512" s="47" t="e">
        <f>VLOOKUP(C509,Tbl_Button_Display_ASSTS,71,FALSE)</f>
        <v>#N/A</v>
      </c>
      <c r="I512" s="45" t="e">
        <f>(IF(H512="","",VLOOKUP(H512,Tbl_HP_Cycle,2,FALSE)))</f>
        <v>#N/A</v>
      </c>
      <c r="J512" s="10"/>
      <c r="K512" s="10"/>
      <c r="L512" s="10"/>
    </row>
    <row r="513" spans="1:12" ht="14.25" hidden="1" outlineLevel="2">
      <c r="A513" s="68">
        <v>1</v>
      </c>
      <c r="B513" s="10"/>
      <c r="C513" s="10"/>
      <c r="D513" s="10"/>
      <c r="E513" s="10"/>
      <c r="F513" s="10"/>
      <c r="G513" s="10" t="str">
        <f>PeEwpRPMReq</f>
        <v>DATC_PeEwpRPMReq</v>
      </c>
      <c r="H513" s="10"/>
      <c r="I513" s="46" t="e">
        <f>VLOOKUP(C509,Tbl_Button_Display_ASSTS,76,FALSE)</f>
        <v>#N/A</v>
      </c>
      <c r="J513" s="10"/>
      <c r="K513" s="10"/>
      <c r="L513" s="10"/>
    </row>
    <row r="514" spans="1:12" ht="14.25" hidden="1" outlineLevel="1">
      <c r="A514" s="68">
        <v>1</v>
      </c>
      <c r="B514" s="10"/>
      <c r="C514" s="10"/>
      <c r="D514" s="10"/>
      <c r="E514" s="10"/>
      <c r="F514" s="10"/>
      <c r="G514" s="10" t="str">
        <f>BatteryEWPOper</f>
        <v>DATC_BattEwpOpReq</v>
      </c>
      <c r="H514" s="10"/>
      <c r="I514" s="46" t="e">
        <f>VLOOKUP(C509,Tbl_Button_Display_ASSTS,73,FALSE)</f>
        <v>#N/A</v>
      </c>
      <c r="J514" s="10"/>
      <c r="K514" s="10"/>
      <c r="L514" s="10"/>
    </row>
    <row r="515" spans="1:12" ht="13.35" customHeight="1" outlineLevel="2">
      <c r="A515" s="70">
        <v>1</v>
      </c>
      <c r="B515" s="38" t="s">
        <v>142</v>
      </c>
      <c r="C515" s="38" t="s">
        <v>1229</v>
      </c>
      <c r="D515" s="38" t="e">
        <f>CONCATENATE(I518," 모드 일 때, ",G519," = ",I519,"rpm, ",G520," = ",I520,"rpm 출력 확인")</f>
        <v>#N/A</v>
      </c>
      <c r="E515" s="38"/>
      <c r="F515" s="38"/>
      <c r="G515" s="38"/>
      <c r="H515" s="38"/>
      <c r="I515" s="38"/>
      <c r="J515" s="38"/>
      <c r="K515" s="38"/>
      <c r="L515" s="38"/>
    </row>
    <row r="516" spans="1:12" ht="14.25" hidden="1" outlineLevel="2">
      <c r="A516" s="68">
        <v>1</v>
      </c>
      <c r="B516" s="10"/>
      <c r="C516" s="10"/>
      <c r="D516" s="10"/>
      <c r="E516" s="99" t="e">
        <f>VLOOKUP(C515,Tbl_Button_Display_ASSTS,11,FALSE)</f>
        <v>#N/A</v>
      </c>
      <c r="F516" s="11" t="e">
        <f>VLOOKUP(C515,Tbl_Button_Display_ASSTS,12,FALSE)</f>
        <v>#N/A</v>
      </c>
      <c r="G516" s="10"/>
      <c r="H516" s="10"/>
      <c r="I516" s="10"/>
      <c r="J516" s="14"/>
      <c r="K516" s="10"/>
      <c r="L516" s="10"/>
    </row>
    <row r="517" spans="1:12" ht="14.25" hidden="1" outlineLevel="2">
      <c r="A517" s="68">
        <v>1</v>
      </c>
      <c r="B517" s="10"/>
      <c r="C517" s="10"/>
      <c r="D517" s="10"/>
      <c r="E517" s="14" t="s">
        <v>5</v>
      </c>
      <c r="F517" s="11" t="e">
        <f>VLOOKUP(C515,Tbl_Button_Display_ASSTS,13,FALSE)</f>
        <v>#N/A</v>
      </c>
      <c r="G517" s="10"/>
      <c r="H517" s="10"/>
      <c r="I517" s="10"/>
      <c r="J517" s="14"/>
      <c r="K517" s="10"/>
      <c r="L517" s="10"/>
    </row>
    <row r="518" spans="1:12" ht="14.25" hidden="1" outlineLevel="2">
      <c r="A518" s="68">
        <v>1</v>
      </c>
      <c r="B518" s="10"/>
      <c r="C518" s="10"/>
      <c r="D518" s="10"/>
      <c r="E518" s="10"/>
      <c r="F518" s="83"/>
      <c r="G518" s="10" t="str">
        <f>HP_ModSta</f>
        <v>DATC_HtrPmpModSta</v>
      </c>
      <c r="H518" s="47" t="e">
        <f>VLOOKUP(C515,Tbl_Button_Display_ASSTS,71,FALSE)</f>
        <v>#N/A</v>
      </c>
      <c r="I518" s="45" t="e">
        <f>(IF(H518="","",VLOOKUP(H518,Tbl_HP_Cycle,2,FALSE)))</f>
        <v>#N/A</v>
      </c>
      <c r="J518" s="10"/>
      <c r="K518" s="10"/>
      <c r="L518" s="10"/>
    </row>
    <row r="519" spans="1:12" ht="14.25" hidden="1" outlineLevel="2">
      <c r="A519" s="68">
        <v>1</v>
      </c>
      <c r="B519" s="10"/>
      <c r="C519" s="10"/>
      <c r="D519" s="10"/>
      <c r="E519" s="10"/>
      <c r="F519" s="10"/>
      <c r="G519" s="10" t="str">
        <f>PeEwpRPMReq</f>
        <v>DATC_PeEwpRPMReq</v>
      </c>
      <c r="H519" s="10"/>
      <c r="I519" s="46" t="e">
        <f>VLOOKUP(C515,Tbl_Button_Display_ASSTS,76,FALSE)</f>
        <v>#N/A</v>
      </c>
      <c r="J519" s="10"/>
      <c r="K519" s="10"/>
      <c r="L519" s="10"/>
    </row>
    <row r="520" spans="1:12" ht="14.25" hidden="1" outlineLevel="1">
      <c r="A520" s="68">
        <v>1</v>
      </c>
      <c r="B520" s="10"/>
      <c r="C520" s="10"/>
      <c r="D520" s="10"/>
      <c r="E520" s="10"/>
      <c r="F520" s="10"/>
      <c r="G520" s="10" t="str">
        <f>BatteryEWPOper</f>
        <v>DATC_BattEwpOpReq</v>
      </c>
      <c r="H520" s="10"/>
      <c r="I520" s="46" t="e">
        <f>VLOOKUP(C515,Tbl_Button_Display_ASSTS,73,FALSE)</f>
        <v>#N/A</v>
      </c>
      <c r="J520" s="10"/>
      <c r="K520" s="10"/>
      <c r="L520" s="10"/>
    </row>
    <row r="521" spans="1:12" ht="14.25" customHeight="1" outlineLevel="2">
      <c r="A521" s="101">
        <v>1</v>
      </c>
      <c r="B521" s="102" t="s">
        <v>7</v>
      </c>
      <c r="C521" s="102" t="s">
        <v>1230</v>
      </c>
      <c r="D521" s="102" t="e">
        <f>VLOOKUP(C521,Tbl_Button_Display_ASSTS, 2,FALSE)</f>
        <v>#N/A</v>
      </c>
      <c r="E521" s="102"/>
      <c r="F521" s="102"/>
      <c r="G521" s="102"/>
      <c r="H521" s="102"/>
      <c r="I521" s="102"/>
      <c r="J521" s="102"/>
      <c r="K521" s="102"/>
      <c r="L521" s="102"/>
    </row>
    <row r="522" spans="1:12" ht="16.5" customHeight="1" outlineLevel="2">
      <c r="A522" s="103">
        <v>1</v>
      </c>
      <c r="B522" s="104" t="s">
        <v>38</v>
      </c>
      <c r="C522" s="104" t="s">
        <v>1231</v>
      </c>
      <c r="D522" s="104" t="s">
        <v>1254</v>
      </c>
      <c r="E522" s="104"/>
      <c r="F522" s="104"/>
      <c r="G522" s="104"/>
      <c r="H522" s="104"/>
      <c r="I522" s="104"/>
      <c r="J522" s="104"/>
      <c r="K522" s="104"/>
      <c r="L522" s="104"/>
    </row>
    <row r="523" spans="1:12" ht="16.5" hidden="1" outlineLevel="2">
      <c r="A523" s="68">
        <v>1</v>
      </c>
      <c r="B523" s="10"/>
      <c r="C523" s="10"/>
      <c r="D523" s="10"/>
      <c r="E523" s="99" t="e">
        <f>Amb_IN</f>
        <v>#NAME?</v>
      </c>
      <c r="F523" s="63" t="e">
        <f>VINTERPOLATION(VLOOKUP(C522,Tbl_Button_Display_ASSTS,3,FALSE),Tbl_Amb_Sensor,3)</f>
        <v>#VALUE!</v>
      </c>
      <c r="G523" s="185"/>
      <c r="H523" s="10"/>
      <c r="I523" s="10"/>
      <c r="J523" s="10"/>
      <c r="K523" s="10"/>
      <c r="L523" s="10"/>
    </row>
    <row r="524" spans="1:12" ht="14.25" hidden="1" outlineLevel="2">
      <c r="A524" s="68">
        <v>1</v>
      </c>
      <c r="B524" s="10"/>
      <c r="C524" s="10"/>
      <c r="D524" s="10"/>
      <c r="E524" s="228" t="str">
        <f>Main_Relay_Sta</f>
        <v>xEV_MainRlyOnSta</v>
      </c>
      <c r="F524" s="11">
        <v>1</v>
      </c>
      <c r="G524" s="229"/>
      <c r="H524" s="10"/>
      <c r="I524" s="10"/>
      <c r="J524" s="14"/>
      <c r="K524" s="10"/>
      <c r="L524" s="10"/>
    </row>
    <row r="525" spans="1:12" ht="14.25" hidden="1" outlineLevel="2">
      <c r="A525" s="68">
        <v>1</v>
      </c>
      <c r="B525" s="10"/>
      <c r="C525" s="10"/>
      <c r="D525" s="10"/>
      <c r="E525" s="228" t="str">
        <f>WaterCooling_ROTV</f>
        <v>xEV_RadOutTempVal</v>
      </c>
      <c r="F525" s="11">
        <v>10</v>
      </c>
      <c r="G525" s="229"/>
      <c r="H525" s="10"/>
      <c r="I525" s="10"/>
      <c r="J525" s="14"/>
      <c r="K525" s="10"/>
      <c r="L525" s="10"/>
    </row>
    <row r="526" spans="1:12" ht="14.25" hidden="1" outlineLevel="1">
      <c r="A526" s="68">
        <v>1</v>
      </c>
      <c r="B526" s="10"/>
      <c r="C526" s="10"/>
      <c r="D526" s="10"/>
      <c r="E526" s="228" t="str">
        <f>P_SIGNAL_COMP_OUT</f>
        <v>Snr_P SIGNAL_COMP OUT(PSI)_IN</v>
      </c>
      <c r="F526" s="11">
        <v>80</v>
      </c>
      <c r="G526" s="10"/>
      <c r="H526" s="10"/>
      <c r="I526" s="10"/>
      <c r="J526" s="10"/>
      <c r="K526" s="10"/>
      <c r="L526" s="10"/>
    </row>
    <row r="527" spans="1:12" ht="14.25" hidden="1" outlineLevel="2">
      <c r="A527" s="68">
        <v>1</v>
      </c>
      <c r="B527" s="10"/>
      <c r="C527" s="10"/>
      <c r="D527" s="10"/>
      <c r="E527" s="99" t="e">
        <f>VLOOKUP(C522,Tbl_Button_Display_ASSTS,11,FALSE)</f>
        <v>#N/A</v>
      </c>
      <c r="F527" s="11" t="e">
        <f>VLOOKUP(C522,Tbl_Button_Display_ASSTS,12,FALSE)</f>
        <v>#N/A</v>
      </c>
      <c r="G527" s="10"/>
      <c r="H527" s="10"/>
      <c r="I527" s="10"/>
      <c r="J527" s="10"/>
      <c r="K527" s="10"/>
      <c r="L527" s="10"/>
    </row>
    <row r="528" spans="1:12" ht="14.25" hidden="1" outlineLevel="2">
      <c r="A528" s="68">
        <v>1</v>
      </c>
      <c r="B528" s="10"/>
      <c r="C528" s="10"/>
      <c r="D528" s="10"/>
      <c r="E528" s="14" t="s">
        <v>1274</v>
      </c>
      <c r="F528" s="11" t="s">
        <v>1275</v>
      </c>
      <c r="G528" s="10"/>
      <c r="H528" s="10"/>
      <c r="I528" s="10"/>
      <c r="J528" s="10"/>
      <c r="K528" s="10"/>
      <c r="L528" s="10"/>
    </row>
    <row r="529" spans="1:12" ht="14.25" hidden="1" outlineLevel="2">
      <c r="A529" s="68">
        <v>1</v>
      </c>
      <c r="B529" s="10"/>
      <c r="C529" s="10"/>
      <c r="D529" s="10"/>
      <c r="E529" s="14" t="s">
        <v>5</v>
      </c>
      <c r="F529" s="11" t="e">
        <f>VLOOKUP(C522,Tbl_Button_Display_ASSTS,13,FALSE)</f>
        <v>#N/A</v>
      </c>
      <c r="G529" s="10"/>
      <c r="H529" s="10"/>
      <c r="I529" s="10"/>
      <c r="J529" s="10"/>
      <c r="K529" s="10"/>
      <c r="L529" s="10"/>
    </row>
    <row r="530" spans="1:12" ht="14.25" hidden="1" outlineLevel="2">
      <c r="A530" s="68">
        <v>1</v>
      </c>
      <c r="B530" s="10"/>
      <c r="C530" s="10"/>
      <c r="D530" s="10"/>
      <c r="E530" s="10"/>
      <c r="F530" s="83"/>
      <c r="G530" s="10" t="e">
        <f>Amb_OUT</f>
        <v>#NAME?</v>
      </c>
      <c r="H530" s="10"/>
      <c r="I530" s="12" t="e">
        <f>VLOOKUP(C522,Tbl_Button_Display_ASSTS,3,FALSE)</f>
        <v>#N/A</v>
      </c>
      <c r="J530" s="10"/>
      <c r="K530" s="10"/>
      <c r="L530" s="10"/>
    </row>
    <row r="531" spans="1:12" ht="14.25" hidden="1" outlineLevel="2">
      <c r="A531" s="68">
        <v>1</v>
      </c>
      <c r="B531" s="10"/>
      <c r="C531" s="10"/>
      <c r="D531" s="10"/>
      <c r="E531" s="10"/>
      <c r="F531" s="83"/>
      <c r="G531" s="10" t="str">
        <f>HP_ModSta</f>
        <v>DATC_HtrPmpModSta</v>
      </c>
      <c r="H531" s="47" t="e">
        <f>VLOOKUP(C522,Tbl_Button_Display_ASSTS,71,FALSE)</f>
        <v>#N/A</v>
      </c>
      <c r="I531" s="45" t="e">
        <f>(IF(H531="","",VLOOKUP(H531,Tbl_HP_Cycle,2,FALSE)))</f>
        <v>#N/A</v>
      </c>
      <c r="J531" s="10"/>
      <c r="K531" s="10"/>
      <c r="L531" s="10"/>
    </row>
    <row r="532" spans="1:12" ht="14.25" hidden="1">
      <c r="A532" s="68">
        <v>1</v>
      </c>
      <c r="B532" s="10"/>
      <c r="C532" s="10"/>
      <c r="D532" s="10"/>
      <c r="E532" s="10"/>
      <c r="F532" s="10"/>
      <c r="G532" s="10" t="str">
        <f>PeEwpRPMReq</f>
        <v>DATC_PeEwpRPMReq</v>
      </c>
      <c r="H532" s="10"/>
      <c r="I532" s="12" t="e">
        <f>VLOOKUP(C522,Tbl_Button_Display_ASSTS,76,FALSE)</f>
        <v>#N/A</v>
      </c>
      <c r="J532" s="10"/>
      <c r="K532" s="10"/>
      <c r="L532" s="10"/>
    </row>
    <row r="533" spans="1:12" ht="14.25" hidden="1" collapsed="1">
      <c r="A533" s="68">
        <v>1</v>
      </c>
      <c r="B533" s="10"/>
      <c r="C533" s="10"/>
      <c r="D533" s="10"/>
      <c r="E533" s="10"/>
      <c r="F533" s="10"/>
      <c r="G533" s="10" t="str">
        <f>BatteryEWPOper</f>
        <v>DATC_BattEwpOpReq</v>
      </c>
      <c r="H533" s="10"/>
      <c r="I533" s="12" t="e">
        <f>VLOOKUP(C522,Tbl_Button_Display_ASSTS,73,FALSE)</f>
        <v>#N/A</v>
      </c>
      <c r="J533" s="10"/>
      <c r="K533" s="10"/>
      <c r="L533" s="10"/>
    </row>
    <row r="534" spans="1:12" ht="14.25" customHeight="1" outlineLevel="1">
      <c r="A534" s="70">
        <v>1</v>
      </c>
      <c r="B534" s="38" t="s">
        <v>142</v>
      </c>
      <c r="C534" s="38" t="s">
        <v>1232</v>
      </c>
      <c r="D534" s="38" t="e">
        <f>CONCATENATE(E535," ",F535,"회 선택 시, ",G539," = ",I539,"rpm, ",G540," = ",I540,"rpm 출력 확인")</f>
        <v>#N/A</v>
      </c>
      <c r="E534" s="38"/>
      <c r="F534" s="38"/>
      <c r="G534" s="38"/>
      <c r="H534" s="38"/>
      <c r="I534" s="38"/>
      <c r="J534" s="38"/>
      <c r="K534" s="38"/>
      <c r="L534" s="38"/>
    </row>
    <row r="535" spans="1:12" ht="14.25" hidden="1" outlineLevel="2">
      <c r="A535" s="68">
        <v>1</v>
      </c>
      <c r="B535" s="10"/>
      <c r="C535" s="10"/>
      <c r="D535" s="10"/>
      <c r="E535" s="99" t="e">
        <f>VLOOKUP(C534,Tbl_Button_Display_ASSTS,11,FALSE)</f>
        <v>#N/A</v>
      </c>
      <c r="F535" s="11" t="e">
        <f>VLOOKUP(C534,Tbl_Button_Display_ASSTS,12,FALSE)</f>
        <v>#N/A</v>
      </c>
      <c r="G535" s="10"/>
      <c r="H535" s="10"/>
      <c r="I535" s="10"/>
      <c r="J535" s="14"/>
      <c r="K535" s="10"/>
      <c r="L535" s="10"/>
    </row>
    <row r="536" spans="1:12" ht="14.25" hidden="1" outlineLevel="2">
      <c r="A536" s="68">
        <v>1</v>
      </c>
      <c r="B536" s="10"/>
      <c r="C536" s="10"/>
      <c r="D536" s="10"/>
      <c r="E536" s="14" t="s">
        <v>5</v>
      </c>
      <c r="F536" s="11" t="e">
        <f>VLOOKUP(C534,Tbl_Button_Display_ASSTS,13,FALSE)</f>
        <v>#N/A</v>
      </c>
      <c r="G536" s="10"/>
      <c r="H536" s="10"/>
      <c r="I536" s="10"/>
      <c r="J536" s="10"/>
      <c r="K536" s="10"/>
      <c r="L536" s="10"/>
    </row>
    <row r="537" spans="1:12" ht="14.25" hidden="1" outlineLevel="2">
      <c r="A537" s="68">
        <v>1</v>
      </c>
      <c r="B537" s="10"/>
      <c r="C537" s="10"/>
      <c r="D537" s="10"/>
      <c r="E537" s="10"/>
      <c r="F537" s="83"/>
      <c r="G537" s="10" t="e">
        <f>FrontBlwDisp</f>
        <v>#NAME?</v>
      </c>
      <c r="H537" s="10"/>
      <c r="I537" s="46" t="e">
        <f>VLOOKUP(C534,Tbl_Button_Display_ASSTS,23,FALSE)</f>
        <v>#N/A</v>
      </c>
      <c r="J537" s="10"/>
      <c r="K537" s="10"/>
      <c r="L537" s="10"/>
    </row>
    <row r="538" spans="1:12" ht="14.25" hidden="1" outlineLevel="2">
      <c r="A538" s="68">
        <v>1</v>
      </c>
      <c r="B538" s="10"/>
      <c r="C538" s="10"/>
      <c r="D538" s="10"/>
      <c r="E538" s="10"/>
      <c r="F538" s="83"/>
      <c r="G538" s="10" t="str">
        <f>HP_ModSta</f>
        <v>DATC_HtrPmpModSta</v>
      </c>
      <c r="H538" s="47" t="e">
        <f>VLOOKUP(C534,Tbl_Button_Display_ASSTS,71,FALSE)</f>
        <v>#N/A</v>
      </c>
      <c r="I538" s="45" t="e">
        <f>(IF(H538="","",VLOOKUP(H538,Tbl_HP_Cycle,2,FALSE)))</f>
        <v>#N/A</v>
      </c>
      <c r="J538" s="10"/>
      <c r="K538" s="10"/>
      <c r="L538" s="10"/>
    </row>
    <row r="539" spans="1:12" ht="14.25" hidden="1" outlineLevel="1">
      <c r="A539" s="68">
        <v>1</v>
      </c>
      <c r="B539" s="10"/>
      <c r="C539" s="10"/>
      <c r="D539" s="10"/>
      <c r="E539" s="10"/>
      <c r="F539" s="10"/>
      <c r="G539" s="10" t="str">
        <f>PeEwpRPMReq</f>
        <v>DATC_PeEwpRPMReq</v>
      </c>
      <c r="H539" s="10"/>
      <c r="I539" s="12" t="e">
        <f>VLOOKUP(C534,Tbl_Button_Display_ASSTS,76,FALSE)</f>
        <v>#N/A</v>
      </c>
      <c r="J539" s="10"/>
      <c r="K539" s="10"/>
      <c r="L539" s="10"/>
    </row>
    <row r="540" spans="1:12" ht="14.25" hidden="1" outlineLevel="2">
      <c r="A540" s="68">
        <v>1</v>
      </c>
      <c r="B540" s="10"/>
      <c r="C540" s="10"/>
      <c r="D540" s="10"/>
      <c r="E540" s="10"/>
      <c r="F540" s="10"/>
      <c r="G540" s="10" t="str">
        <f>BatteryEWPOper</f>
        <v>DATC_BattEwpOpReq</v>
      </c>
      <c r="H540" s="10"/>
      <c r="I540" s="12" t="e">
        <f>VLOOKUP(C534,Tbl_Button_Display_ASSTS,73,FALSE)</f>
        <v>#N/A</v>
      </c>
      <c r="J540" s="10"/>
      <c r="K540" s="10"/>
      <c r="L540" s="10"/>
    </row>
    <row r="541" spans="1:12" ht="14.25" customHeight="1" outlineLevel="2">
      <c r="A541" s="70">
        <v>1</v>
      </c>
      <c r="B541" s="38" t="s">
        <v>142</v>
      </c>
      <c r="C541" s="38" t="s">
        <v>1233</v>
      </c>
      <c r="D541" s="38" t="e">
        <f>CONCATENATE(E542," = ",F542," 설정 시, ",G546," = ",I546,"rpm, ",G547," = ",I547,"rpm 출력 확인")</f>
        <v>#N/A</v>
      </c>
      <c r="E541" s="38"/>
      <c r="F541" s="38"/>
      <c r="G541" s="38"/>
      <c r="H541" s="38"/>
      <c r="I541" s="38"/>
      <c r="J541" s="38"/>
      <c r="K541" s="38"/>
      <c r="L541" s="38"/>
    </row>
    <row r="542" spans="1:12" ht="14.25" hidden="1" outlineLevel="2">
      <c r="A542" s="68">
        <v>1</v>
      </c>
      <c r="B542" s="10"/>
      <c r="C542" s="10"/>
      <c r="D542" s="10"/>
      <c r="E542" s="99" t="e">
        <f>VLOOKUP(C541,Tbl_Button_Display_ASSTS,11,FALSE)</f>
        <v>#N/A</v>
      </c>
      <c r="F542" s="11" t="e">
        <f>VLOOKUP(C541,Tbl_Button_Display_ASSTS,12,FALSE)</f>
        <v>#N/A</v>
      </c>
      <c r="G542" s="10"/>
      <c r="H542" s="10"/>
      <c r="I542" s="10"/>
      <c r="J542" s="14"/>
      <c r="K542" s="10"/>
      <c r="L542" s="10"/>
    </row>
    <row r="543" spans="1:12" ht="14.25" hidden="1" outlineLevel="2">
      <c r="A543" s="68">
        <v>1</v>
      </c>
      <c r="B543" s="10"/>
      <c r="C543" s="10"/>
      <c r="D543" s="10"/>
      <c r="E543" s="14" t="s">
        <v>5</v>
      </c>
      <c r="F543" s="11" t="e">
        <f>VLOOKUP(C541,Tbl_Button_Display_ASSTS,13,FALSE)</f>
        <v>#N/A</v>
      </c>
      <c r="G543" s="10"/>
      <c r="H543" s="10"/>
      <c r="I543" s="10"/>
      <c r="J543" s="10"/>
      <c r="K543" s="10"/>
      <c r="L543" s="10"/>
    </row>
    <row r="544" spans="1:12" ht="14.25" hidden="1" outlineLevel="1">
      <c r="A544" s="68">
        <v>1</v>
      </c>
      <c r="B544" s="10"/>
      <c r="C544" s="10"/>
      <c r="D544" s="10"/>
      <c r="E544" s="10"/>
      <c r="F544" s="83"/>
      <c r="G544" s="10" t="e">
        <f>FrontBlwDisp</f>
        <v>#NAME?</v>
      </c>
      <c r="H544" s="10"/>
      <c r="I544" s="46" t="e">
        <f>VLOOKUP(C541,Tbl_Button_Display_ASSTS,23,FALSE)</f>
        <v>#N/A</v>
      </c>
      <c r="J544" s="10"/>
      <c r="K544" s="10"/>
      <c r="L544" s="10"/>
    </row>
    <row r="545" spans="1:12" ht="14.25" hidden="1" outlineLevel="2">
      <c r="A545" s="68">
        <v>1</v>
      </c>
      <c r="B545" s="10"/>
      <c r="C545" s="10"/>
      <c r="D545" s="10"/>
      <c r="E545" s="10"/>
      <c r="F545" s="83"/>
      <c r="G545" s="10" t="str">
        <f>HP_ModSta</f>
        <v>DATC_HtrPmpModSta</v>
      </c>
      <c r="H545" s="47" t="e">
        <f>VLOOKUP(C541,Tbl_Button_Display_ASSTS,71,FALSE)</f>
        <v>#N/A</v>
      </c>
      <c r="I545" s="45" t="e">
        <f>(IF(H545="","",VLOOKUP(H545,Tbl_HP_Cycle,2,FALSE)))</f>
        <v>#N/A</v>
      </c>
      <c r="J545" s="10"/>
      <c r="K545" s="10"/>
      <c r="L545" s="10"/>
    </row>
    <row r="546" spans="1:12" ht="14.25" hidden="1" outlineLevel="2">
      <c r="A546" s="68">
        <v>1</v>
      </c>
      <c r="B546" s="10"/>
      <c r="C546" s="10"/>
      <c r="D546" s="10"/>
      <c r="E546" s="10"/>
      <c r="F546" s="10"/>
      <c r="G546" s="10" t="str">
        <f>PeEwpRPMReq</f>
        <v>DATC_PeEwpRPMReq</v>
      </c>
      <c r="H546" s="10"/>
      <c r="I546" s="12" t="e">
        <f>VLOOKUP(C541,Tbl_Button_Display_ASSTS,76,FALSE)</f>
        <v>#N/A</v>
      </c>
      <c r="J546" s="10"/>
      <c r="K546" s="10"/>
      <c r="L546" s="10"/>
    </row>
    <row r="547" spans="1:12" ht="14.25" hidden="1" outlineLevel="2">
      <c r="A547" s="68">
        <v>1</v>
      </c>
      <c r="B547" s="10"/>
      <c r="C547" s="10"/>
      <c r="D547" s="10"/>
      <c r="E547" s="10"/>
      <c r="F547" s="10"/>
      <c r="G547" s="10" t="str">
        <f>BatteryEWPOper</f>
        <v>DATC_BattEwpOpReq</v>
      </c>
      <c r="H547" s="10"/>
      <c r="I547" s="12" t="e">
        <f>VLOOKUP(C541,Tbl_Button_Display_ASSTS,73,FALSE)</f>
        <v>#N/A</v>
      </c>
      <c r="J547" s="10"/>
      <c r="K547" s="10"/>
      <c r="L547" s="10"/>
    </row>
    <row r="548" spans="1:12" ht="14.25" customHeight="1" outlineLevel="2">
      <c r="A548" s="70">
        <v>1</v>
      </c>
      <c r="B548" s="38" t="s">
        <v>142</v>
      </c>
      <c r="C548" s="38" t="s">
        <v>1234</v>
      </c>
      <c r="D548" s="38" t="e">
        <f>CONCATENATE(E549," = ",F549," 설정 시, ",G553," = ",I553,"rpm, ",G554," = ",I554,"rpm 출력 확인")</f>
        <v>#N/A</v>
      </c>
      <c r="E548" s="38"/>
      <c r="F548" s="38"/>
      <c r="G548" s="38"/>
      <c r="H548" s="38"/>
      <c r="I548" s="38"/>
      <c r="J548" s="38"/>
      <c r="K548" s="38"/>
      <c r="L548" s="38"/>
    </row>
    <row r="549" spans="1:12" ht="14.25" hidden="1">
      <c r="A549" s="68">
        <v>1</v>
      </c>
      <c r="B549" s="10"/>
      <c r="C549" s="10"/>
      <c r="D549" s="10"/>
      <c r="E549" s="99" t="e">
        <f>VLOOKUP(C548,Tbl_Button_Display_ASSTS,11,FALSE)</f>
        <v>#N/A</v>
      </c>
      <c r="F549" s="11" t="e">
        <f>VLOOKUP(C548,Tbl_Button_Display_ASSTS,12,FALSE)</f>
        <v>#N/A</v>
      </c>
      <c r="G549" s="10"/>
      <c r="H549" s="10"/>
      <c r="I549" s="10"/>
      <c r="J549" s="14"/>
      <c r="K549" s="10"/>
      <c r="L549" s="10"/>
    </row>
    <row r="550" spans="1:12" ht="14.25" hidden="1" collapsed="1">
      <c r="A550" s="68">
        <v>1</v>
      </c>
      <c r="B550" s="10"/>
      <c r="C550" s="10"/>
      <c r="D550" s="10"/>
      <c r="E550" s="14" t="s">
        <v>5</v>
      </c>
      <c r="F550" s="11" t="e">
        <f>VLOOKUP(C548,Tbl_Button_Display_ASSTS,13,FALSE)</f>
        <v>#N/A</v>
      </c>
      <c r="G550" s="10"/>
      <c r="H550" s="10"/>
      <c r="I550" s="10"/>
      <c r="J550" s="10"/>
      <c r="K550" s="10"/>
      <c r="L550" s="10"/>
    </row>
    <row r="551" spans="1:12" ht="14.25" hidden="1" outlineLevel="1">
      <c r="A551" s="68">
        <v>1</v>
      </c>
      <c r="B551" s="10"/>
      <c r="C551" s="10"/>
      <c r="D551" s="10"/>
      <c r="E551" s="10"/>
      <c r="F551" s="83"/>
      <c r="G551" s="10" t="e">
        <f>FrontBlwDisp</f>
        <v>#NAME?</v>
      </c>
      <c r="H551" s="10"/>
      <c r="I551" s="46" t="e">
        <f>VLOOKUP(C548,Tbl_Button_Display_ASSTS,23,FALSE)</f>
        <v>#N/A</v>
      </c>
      <c r="J551" s="10"/>
      <c r="K551" s="10"/>
      <c r="L551" s="10"/>
    </row>
    <row r="552" spans="1:12" ht="14.25" hidden="1" outlineLevel="2">
      <c r="A552" s="68">
        <v>1</v>
      </c>
      <c r="B552" s="10"/>
      <c r="C552" s="10"/>
      <c r="D552" s="10"/>
      <c r="E552" s="10"/>
      <c r="F552" s="83"/>
      <c r="G552" s="10" t="str">
        <f>HP_ModSta</f>
        <v>DATC_HtrPmpModSta</v>
      </c>
      <c r="H552" s="47" t="e">
        <f>VLOOKUP(C548,Tbl_Button_Display_ASSTS,71,FALSE)</f>
        <v>#N/A</v>
      </c>
      <c r="I552" s="45" t="e">
        <f>(IF(H552="","",VLOOKUP(H552,Tbl_HP_Cycle,2,FALSE)))</f>
        <v>#N/A</v>
      </c>
      <c r="J552" s="10"/>
      <c r="K552" s="10"/>
      <c r="L552" s="10"/>
    </row>
    <row r="553" spans="1:12" ht="14.25" hidden="1" outlineLevel="2">
      <c r="A553" s="68">
        <v>1</v>
      </c>
      <c r="B553" s="10"/>
      <c r="C553" s="10"/>
      <c r="D553" s="10"/>
      <c r="E553" s="10"/>
      <c r="F553" s="10"/>
      <c r="G553" s="10" t="str">
        <f>PeEwpRPMReq</f>
        <v>DATC_PeEwpRPMReq</v>
      </c>
      <c r="H553" s="10"/>
      <c r="I553" s="12" t="e">
        <f>VLOOKUP(C548,Tbl_Button_Display_ASSTS,76,FALSE)</f>
        <v>#N/A</v>
      </c>
      <c r="J553" s="10"/>
      <c r="K553" s="10"/>
      <c r="L553" s="10"/>
    </row>
    <row r="554" spans="1:12" ht="14.25" hidden="1" outlineLevel="2">
      <c r="A554" s="68">
        <v>1</v>
      </c>
      <c r="B554" s="10"/>
      <c r="C554" s="10"/>
      <c r="D554" s="10"/>
      <c r="E554" s="10"/>
      <c r="F554" s="10"/>
      <c r="G554" s="10" t="str">
        <f>BatteryEWPOper</f>
        <v>DATC_BattEwpOpReq</v>
      </c>
      <c r="H554" s="10"/>
      <c r="I554" s="12" t="e">
        <f>VLOOKUP(C548,Tbl_Button_Display_ASSTS,73,FALSE)</f>
        <v>#N/A</v>
      </c>
      <c r="J554" s="10"/>
      <c r="K554" s="10"/>
      <c r="L554" s="10"/>
    </row>
    <row r="555" spans="1:12" ht="14.25" customHeight="1" outlineLevel="2">
      <c r="A555" s="70">
        <v>1</v>
      </c>
      <c r="B555" s="38" t="s">
        <v>142</v>
      </c>
      <c r="C555" s="38" t="s">
        <v>1235</v>
      </c>
      <c r="D555" s="38" t="e">
        <f>CONCATENATE(E556," = ",F556," 설정 시, ",G560," = ",I560,"rpm, ",G561," = ",I561,"rpm 출력 확인")</f>
        <v>#N/A</v>
      </c>
      <c r="E555" s="38"/>
      <c r="F555" s="38"/>
      <c r="G555" s="38"/>
      <c r="H555" s="38"/>
      <c r="I555" s="38"/>
      <c r="J555" s="38"/>
      <c r="K555" s="38"/>
      <c r="L555" s="38"/>
    </row>
    <row r="556" spans="1:12" ht="14.25" hidden="1" outlineLevel="2">
      <c r="A556" s="68">
        <v>1</v>
      </c>
      <c r="B556" s="10"/>
      <c r="C556" s="10"/>
      <c r="D556" s="10"/>
      <c r="E556" s="99" t="e">
        <f>VLOOKUP(C555,Tbl_Button_Display_ASSTS,11,FALSE)</f>
        <v>#N/A</v>
      </c>
      <c r="F556" s="11" t="e">
        <f>VLOOKUP(C555,Tbl_Button_Display_ASSTS,12,FALSE)</f>
        <v>#N/A</v>
      </c>
      <c r="G556" s="10"/>
      <c r="H556" s="10"/>
      <c r="I556" s="10"/>
      <c r="J556" s="14"/>
      <c r="K556" s="10"/>
      <c r="L556" s="10"/>
    </row>
    <row r="557" spans="1:12" ht="14.25" hidden="1" outlineLevel="1">
      <c r="A557" s="68">
        <v>1</v>
      </c>
      <c r="B557" s="10"/>
      <c r="C557" s="10"/>
      <c r="D557" s="10"/>
      <c r="E557" s="14" t="s">
        <v>5</v>
      </c>
      <c r="F557" s="11" t="e">
        <f>VLOOKUP(C555,Tbl_Button_Display_ASSTS,13,FALSE)</f>
        <v>#N/A</v>
      </c>
      <c r="G557" s="10"/>
      <c r="H557" s="10"/>
      <c r="I557" s="10"/>
      <c r="J557" s="10"/>
      <c r="K557" s="10"/>
      <c r="L557" s="10"/>
    </row>
    <row r="558" spans="1:12" ht="14.25" hidden="1" outlineLevel="2">
      <c r="A558" s="68">
        <v>1</v>
      </c>
      <c r="B558" s="10"/>
      <c r="C558" s="10"/>
      <c r="D558" s="10"/>
      <c r="E558" s="10"/>
      <c r="F558" s="83"/>
      <c r="G558" s="10" t="e">
        <f>FrontBlwDisp</f>
        <v>#NAME?</v>
      </c>
      <c r="H558" s="10"/>
      <c r="I558" s="46" t="e">
        <f>VLOOKUP(C555,Tbl_Button_Display_ASSTS,23,FALSE)</f>
        <v>#N/A</v>
      </c>
      <c r="J558" s="10"/>
      <c r="K558" s="10"/>
      <c r="L558" s="10"/>
    </row>
    <row r="559" spans="1:12" ht="14.25" hidden="1" outlineLevel="2">
      <c r="A559" s="68">
        <v>1</v>
      </c>
      <c r="B559" s="10"/>
      <c r="C559" s="10"/>
      <c r="D559" s="10"/>
      <c r="E559" s="10"/>
      <c r="F559" s="83"/>
      <c r="G559" s="10" t="str">
        <f>HP_ModSta</f>
        <v>DATC_HtrPmpModSta</v>
      </c>
      <c r="H559" s="47" t="e">
        <f>VLOOKUP(C555,Tbl_Button_Display_ASSTS,71,FALSE)</f>
        <v>#N/A</v>
      </c>
      <c r="I559" s="45" t="e">
        <f>(IF(H559="","",VLOOKUP(H559,Tbl_HP_Cycle,2,FALSE)))</f>
        <v>#N/A</v>
      </c>
      <c r="J559" s="10"/>
      <c r="K559" s="10"/>
      <c r="L559" s="10"/>
    </row>
    <row r="560" spans="1:12" ht="14.25" hidden="1" outlineLevel="2">
      <c r="A560" s="68">
        <v>1</v>
      </c>
      <c r="B560" s="10"/>
      <c r="C560" s="10"/>
      <c r="D560" s="10"/>
      <c r="E560" s="10"/>
      <c r="F560" s="10"/>
      <c r="G560" s="10" t="str">
        <f>PeEwpRPMReq</f>
        <v>DATC_PeEwpRPMReq</v>
      </c>
      <c r="H560" s="10"/>
      <c r="I560" s="12" t="e">
        <f>VLOOKUP(C555,Tbl_Button_Display_ASSTS,76,FALSE)</f>
        <v>#N/A</v>
      </c>
      <c r="J560" s="10"/>
      <c r="K560" s="10"/>
      <c r="L560" s="10"/>
    </row>
    <row r="561" spans="1:12" ht="14.25" hidden="1" outlineLevel="2">
      <c r="A561" s="68">
        <v>1</v>
      </c>
      <c r="B561" s="10"/>
      <c r="C561" s="10"/>
      <c r="D561" s="10"/>
      <c r="E561" s="10"/>
      <c r="F561" s="10"/>
      <c r="G561" s="10" t="str">
        <f>BatteryEWPOper</f>
        <v>DATC_BattEwpOpReq</v>
      </c>
      <c r="H561" s="10"/>
      <c r="I561" s="12" t="e">
        <f>VLOOKUP(C555,Tbl_Button_Display_ASSTS,73,FALSE)</f>
        <v>#N/A</v>
      </c>
      <c r="J561" s="10"/>
      <c r="K561" s="10"/>
      <c r="L561" s="10"/>
    </row>
    <row r="562" spans="1:12" ht="14.25" customHeight="1" outlineLevel="2">
      <c r="A562" s="70">
        <v>1</v>
      </c>
      <c r="B562" s="38" t="s">
        <v>142</v>
      </c>
      <c r="C562" s="38" t="s">
        <v>1236</v>
      </c>
      <c r="D562" s="38" t="e">
        <f>CONCATENATE(E563," = ",F563," 설정 시, ",G567," = ",I567,"rpm, ",G568," = ",I568,"rpm 출력 확인")</f>
        <v>#N/A</v>
      </c>
      <c r="E562" s="38"/>
      <c r="F562" s="38"/>
      <c r="G562" s="38"/>
      <c r="H562" s="38"/>
      <c r="I562" s="38"/>
      <c r="J562" s="38"/>
      <c r="K562" s="38"/>
      <c r="L562" s="38"/>
    </row>
    <row r="563" spans="1:12" ht="14.25" hidden="1" outlineLevel="1">
      <c r="A563" s="68">
        <v>1</v>
      </c>
      <c r="B563" s="10"/>
      <c r="C563" s="10"/>
      <c r="D563" s="10"/>
      <c r="E563" s="99" t="e">
        <f>VLOOKUP(C562,Tbl_Button_Display_ASSTS,11,FALSE)</f>
        <v>#N/A</v>
      </c>
      <c r="F563" s="11" t="e">
        <f>VLOOKUP(C562,Tbl_Button_Display_ASSTS,12,FALSE)</f>
        <v>#N/A</v>
      </c>
      <c r="G563" s="10"/>
      <c r="H563" s="10"/>
      <c r="I563" s="10"/>
      <c r="J563" s="14"/>
      <c r="K563" s="10"/>
      <c r="L563" s="10"/>
    </row>
    <row r="564" spans="1:12" ht="14.25" hidden="1" outlineLevel="2">
      <c r="A564" s="68">
        <v>1</v>
      </c>
      <c r="B564" s="10"/>
      <c r="C564" s="10"/>
      <c r="D564" s="10"/>
      <c r="E564" s="14" t="s">
        <v>5</v>
      </c>
      <c r="F564" s="11" t="e">
        <f>VLOOKUP(C562,Tbl_Button_Display_ASSTS,13,FALSE)</f>
        <v>#N/A</v>
      </c>
      <c r="G564" s="10"/>
      <c r="H564" s="10"/>
      <c r="I564" s="10"/>
      <c r="J564" s="10"/>
      <c r="K564" s="10"/>
      <c r="L564" s="10"/>
    </row>
    <row r="565" spans="1:12" ht="14.25" hidden="1" outlineLevel="2">
      <c r="A565" s="68">
        <v>1</v>
      </c>
      <c r="B565" s="10"/>
      <c r="C565" s="10"/>
      <c r="D565" s="10"/>
      <c r="E565" s="10"/>
      <c r="F565" s="83"/>
      <c r="G565" s="10" t="e">
        <f>FrontBlwDisp</f>
        <v>#NAME?</v>
      </c>
      <c r="H565" s="10"/>
      <c r="I565" s="46" t="e">
        <f>VLOOKUP(C562,Tbl_Button_Display_ASSTS,23,FALSE)</f>
        <v>#N/A</v>
      </c>
      <c r="J565" s="10"/>
      <c r="K565" s="10"/>
      <c r="L565" s="10"/>
    </row>
    <row r="566" spans="1:12" ht="14.25" hidden="1" outlineLevel="2">
      <c r="A566" s="68">
        <v>1</v>
      </c>
      <c r="B566" s="10"/>
      <c r="C566" s="10"/>
      <c r="D566" s="10"/>
      <c r="E566" s="10"/>
      <c r="F566" s="83"/>
      <c r="G566" s="10" t="str">
        <f>HP_ModSta</f>
        <v>DATC_HtrPmpModSta</v>
      </c>
      <c r="H566" s="47" t="e">
        <f>VLOOKUP(C562,Tbl_Button_Display_ASSTS,71,FALSE)</f>
        <v>#N/A</v>
      </c>
      <c r="I566" s="45" t="e">
        <f>(IF(H566="","",VLOOKUP(H566,Tbl_HP_Cycle,2,FALSE)))</f>
        <v>#N/A</v>
      </c>
      <c r="J566" s="10"/>
      <c r="K566" s="10"/>
      <c r="L566" s="10"/>
    </row>
    <row r="567" spans="1:12" ht="14.25" hidden="1" outlineLevel="2">
      <c r="A567" s="68">
        <v>1</v>
      </c>
      <c r="B567" s="10"/>
      <c r="C567" s="10"/>
      <c r="D567" s="10"/>
      <c r="E567" s="10"/>
      <c r="F567" s="10"/>
      <c r="G567" s="10" t="str">
        <f>PeEwpRPMReq</f>
        <v>DATC_PeEwpRPMReq</v>
      </c>
      <c r="H567" s="10"/>
      <c r="I567" s="12" t="e">
        <f>VLOOKUP(C562,Tbl_Button_Display_ASSTS,76,FALSE)</f>
        <v>#N/A</v>
      </c>
      <c r="J567" s="10"/>
      <c r="K567" s="10"/>
      <c r="L567" s="10"/>
    </row>
    <row r="568" spans="1:12" ht="14.25" hidden="1" outlineLevel="2">
      <c r="A568" s="68">
        <v>1</v>
      </c>
      <c r="B568" s="10"/>
      <c r="C568" s="10"/>
      <c r="D568" s="10"/>
      <c r="E568" s="10"/>
      <c r="F568" s="10"/>
      <c r="G568" s="10" t="str">
        <f>BatteryEWPOper</f>
        <v>DATC_BattEwpOpReq</v>
      </c>
      <c r="H568" s="10"/>
      <c r="I568" s="12" t="e">
        <f>VLOOKUP(C562,Tbl_Button_Display_ASSTS,73,FALSE)</f>
        <v>#N/A</v>
      </c>
      <c r="J568" s="10"/>
      <c r="K568" s="10"/>
      <c r="L568" s="10"/>
    </row>
    <row r="569" spans="1:12" ht="14.25" customHeight="1" outlineLevel="1">
      <c r="A569" s="70">
        <v>1</v>
      </c>
      <c r="B569" s="38" t="s">
        <v>142</v>
      </c>
      <c r="C569" s="38" t="s">
        <v>1237</v>
      </c>
      <c r="D569" s="38" t="e">
        <f>CONCATENATE(I573," 모드 일 때, ",G574," = ",I574,"rpm, ",G575," = ",I575,"rpm 출력 확인")</f>
        <v>#N/A</v>
      </c>
      <c r="E569" s="38"/>
      <c r="F569" s="38"/>
      <c r="G569" s="38"/>
      <c r="H569" s="38"/>
      <c r="I569" s="38"/>
      <c r="J569" s="38"/>
      <c r="K569" s="38"/>
      <c r="L569" s="38"/>
    </row>
    <row r="570" spans="1:12" ht="14.25" customHeight="1" outlineLevel="2">
      <c r="A570" s="68">
        <v>1</v>
      </c>
      <c r="B570" s="10"/>
      <c r="C570" s="10"/>
      <c r="D570" s="10"/>
      <c r="E570" s="99" t="e">
        <f>VLOOKUP(C569,Tbl_Button_Display_ASSTS,11,FALSE)</f>
        <v>#N/A</v>
      </c>
      <c r="F570" s="11" t="e">
        <f>VLOOKUP(C569,Tbl_Button_Display_ASSTS,12,FALSE)</f>
        <v>#N/A</v>
      </c>
      <c r="G570" s="10"/>
      <c r="H570" s="10"/>
      <c r="I570" s="10"/>
      <c r="J570" s="14"/>
      <c r="K570" s="10"/>
      <c r="L570" s="10"/>
    </row>
    <row r="571" spans="1:12" ht="14.25" customHeight="1" outlineLevel="2">
      <c r="A571" s="68">
        <v>1</v>
      </c>
      <c r="B571" s="10"/>
      <c r="C571" s="10"/>
      <c r="D571" s="10"/>
      <c r="E571" s="14" t="s">
        <v>5</v>
      </c>
      <c r="F571" s="11" t="e">
        <f>VLOOKUP(C569,Tbl_Button_Display_ASSTS,13,FALSE)</f>
        <v>#N/A</v>
      </c>
      <c r="G571" s="10"/>
      <c r="H571" s="10"/>
      <c r="I571" s="10"/>
      <c r="J571" s="10"/>
      <c r="K571" s="10"/>
      <c r="L571" s="10"/>
    </row>
    <row r="572" spans="1:12" ht="14.25" customHeight="1" outlineLevel="2">
      <c r="A572" s="68">
        <v>1</v>
      </c>
      <c r="B572" s="10"/>
      <c r="C572" s="10"/>
      <c r="D572" s="10"/>
      <c r="E572" s="10"/>
      <c r="F572" s="83"/>
      <c r="G572" s="10" t="e">
        <f>FrontBlwDisp</f>
        <v>#NAME?</v>
      </c>
      <c r="H572" s="10"/>
      <c r="I572" s="46" t="e">
        <f>VLOOKUP(C569,Tbl_Button_Display_ASSTS,23,FALSE)</f>
        <v>#N/A</v>
      </c>
      <c r="J572" s="10"/>
      <c r="K572" s="10"/>
      <c r="L572" s="10"/>
    </row>
    <row r="573" spans="1:12" ht="14.25" customHeight="1" outlineLevel="2">
      <c r="A573" s="68">
        <v>1</v>
      </c>
      <c r="B573" s="10"/>
      <c r="C573" s="10"/>
      <c r="D573" s="10"/>
      <c r="E573" s="10"/>
      <c r="F573" s="83"/>
      <c r="G573" s="10" t="str">
        <f>HP_ModSta</f>
        <v>DATC_HtrPmpModSta</v>
      </c>
      <c r="H573" s="47" t="e">
        <f>VLOOKUP(C569,Tbl_Button_Display_ASSTS,71,FALSE)</f>
        <v>#N/A</v>
      </c>
      <c r="I573" s="45" t="e">
        <f>(IF(H573="","",VLOOKUP(H573,Tbl_HP_Cycle,2,FALSE)))</f>
        <v>#N/A</v>
      </c>
      <c r="J573" s="10"/>
      <c r="K573" s="10"/>
      <c r="L573" s="10"/>
    </row>
    <row r="574" spans="1:12" ht="14.25" customHeight="1" outlineLevel="2">
      <c r="A574" s="68">
        <v>1</v>
      </c>
      <c r="B574" s="10"/>
      <c r="C574" s="10"/>
      <c r="D574" s="10"/>
      <c r="E574" s="10"/>
      <c r="F574" s="10"/>
      <c r="G574" s="10" t="str">
        <f>PeEwpRPMReq</f>
        <v>DATC_PeEwpRPMReq</v>
      </c>
      <c r="H574" s="10"/>
      <c r="I574" s="12" t="e">
        <f>VLOOKUP(C569,Tbl_Button_Display_ASSTS,76,FALSE)</f>
        <v>#N/A</v>
      </c>
      <c r="J574" s="10"/>
      <c r="K574" s="10"/>
      <c r="L574" s="10"/>
    </row>
    <row r="575" spans="1:12" ht="14.25" customHeight="1" outlineLevel="1">
      <c r="A575" s="68">
        <v>1</v>
      </c>
      <c r="B575" s="10"/>
      <c r="C575" s="10"/>
      <c r="D575" s="10"/>
      <c r="E575" s="10"/>
      <c r="F575" s="10"/>
      <c r="G575" s="10" t="str">
        <f>BatteryEWPOper</f>
        <v>DATC_BattEwpOpReq</v>
      </c>
      <c r="H575" s="10"/>
      <c r="I575" s="12" t="e">
        <f>VLOOKUP(C569,Tbl_Button_Display_ASSTS,73,FALSE)</f>
        <v>#N/A</v>
      </c>
      <c r="J575" s="10"/>
      <c r="K575" s="10"/>
      <c r="L575" s="10"/>
    </row>
    <row r="576" spans="1:12" ht="14.25" customHeight="1" outlineLevel="2">
      <c r="A576" s="170" t="s">
        <v>783</v>
      </c>
      <c r="B576" s="171"/>
      <c r="C576" s="171"/>
      <c r="D576" s="171"/>
      <c r="E576" s="171"/>
      <c r="F576" s="172"/>
      <c r="G576" s="171"/>
      <c r="H576" s="171"/>
      <c r="I576" s="171"/>
      <c r="J576" s="171"/>
      <c r="K576" s="171"/>
      <c r="L576" s="171"/>
    </row>
    <row r="577" hidden="1" outlineLevel="2"/>
    <row r="578" hidden="1" outlineLevel="2"/>
    <row r="579" hidden="1" outlineLevel="2"/>
    <row r="580" hidden="1" outlineLevel="2"/>
    <row r="581" hidden="1" outlineLevel="1"/>
    <row r="582" hidden="1" outlineLevel="2"/>
    <row r="583" hidden="1" outlineLevel="2"/>
    <row r="584" hidden="1" outlineLevel="2"/>
    <row r="585" hidden="1" outlineLevel="2"/>
    <row r="586" hidden="1" outlineLevel="2"/>
    <row r="588" collapsed="1"/>
    <row r="589" hidden="1" outlineLevel="1"/>
    <row r="590" hidden="1" outlineLevel="2"/>
    <row r="591" hidden="1" outlineLevel="2"/>
    <row r="592" hidden="1" outlineLevel="2"/>
    <row r="593" hidden="1" outlineLevel="2"/>
    <row r="594" hidden="1" outlineLevel="2"/>
    <row r="595" hidden="1" outlineLevel="2"/>
    <row r="596" hidden="1" outlineLevel="2"/>
    <row r="597" hidden="1" outlineLevel="2"/>
    <row r="598" hidden="1" outlineLevel="2"/>
    <row r="599" hidden="1" outlineLevel="2"/>
    <row r="600" hidden="1" outlineLevel="1"/>
    <row r="601" hidden="1" outlineLevel="2"/>
    <row r="602" hidden="1" outlineLevel="2"/>
    <row r="603" hidden="1" outlineLevel="2"/>
    <row r="604" hidden="1" outlineLevel="2"/>
    <row r="605" hidden="1" outlineLevel="2"/>
    <row r="606" hidden="1" outlineLevel="1"/>
    <row r="607" hidden="1" outlineLevel="2"/>
    <row r="608" hidden="1" outlineLevel="2"/>
    <row r="609" hidden="1" outlineLevel="2"/>
    <row r="610" hidden="1" outlineLevel="2"/>
    <row r="611" hidden="1" outlineLevel="2"/>
    <row r="613" collapsed="1"/>
    <row r="614" hidden="1" outlineLevel="1"/>
    <row r="615" hidden="1" outlineLevel="2"/>
    <row r="616" hidden="1" outlineLevel="2"/>
    <row r="617" hidden="1" outlineLevel="2"/>
    <row r="618" hidden="1" outlineLevel="2"/>
    <row r="619" hidden="1" outlineLevel="2"/>
    <row r="620" hidden="1" outlineLevel="2"/>
    <row r="621" hidden="1" outlineLevel="2"/>
    <row r="622" hidden="1" outlineLevel="2"/>
    <row r="623" hidden="1" outlineLevel="2"/>
    <row r="624" hidden="1" outlineLevel="2"/>
    <row r="625" hidden="1" outlineLevel="2"/>
    <row r="626" hidden="1" outlineLevel="2"/>
    <row r="627" hidden="1" outlineLevel="2"/>
    <row r="628" hidden="1" outlineLevel="1"/>
    <row r="629" hidden="1" outlineLevel="2"/>
    <row r="630" hidden="1" outlineLevel="2"/>
    <row r="631" hidden="1" outlineLevel="2"/>
    <row r="632" hidden="1" outlineLevel="2"/>
    <row r="633" hidden="1" outlineLevel="2"/>
    <row r="634" hidden="1" outlineLevel="1"/>
    <row r="635" hidden="1" outlineLevel="2"/>
    <row r="636" hidden="1" outlineLevel="2"/>
    <row r="637" hidden="1" outlineLevel="2"/>
    <row r="638" hidden="1" outlineLevel="2"/>
    <row r="639" hidden="1" outlineLevel="2"/>
    <row r="641" collapsed="1"/>
    <row r="642" hidden="1" outlineLevel="1"/>
    <row r="643" hidden="1" outlineLevel="2"/>
    <row r="644" hidden="1" outlineLevel="2"/>
    <row r="645" hidden="1" outlineLevel="2"/>
    <row r="646" hidden="1" outlineLevel="2"/>
    <row r="647" hidden="1" outlineLevel="2"/>
    <row r="648" hidden="1" outlineLevel="2"/>
    <row r="649" hidden="1" outlineLevel="2"/>
    <row r="650" hidden="1" outlineLevel="2"/>
    <row r="651" hidden="1" outlineLevel="2"/>
    <row r="652" hidden="1" outlineLevel="2"/>
    <row r="653" hidden="1" outlineLevel="2"/>
    <row r="654" hidden="1" outlineLevel="2"/>
    <row r="655" hidden="1" outlineLevel="2"/>
    <row r="656" hidden="1" outlineLevel="2"/>
    <row r="657" hidden="1" outlineLevel="2"/>
    <row r="658" hidden="1" outlineLevel="2"/>
    <row r="659" hidden="1" outlineLevel="2"/>
    <row r="660" hidden="1" outlineLevel="1"/>
    <row r="661" hidden="1" outlineLevel="2"/>
    <row r="662" hidden="1" outlineLevel="2"/>
    <row r="663" hidden="1" outlineLevel="2"/>
    <row r="664" hidden="1" outlineLevel="2"/>
    <row r="665" hidden="1" outlineLevel="2"/>
    <row r="666" hidden="1" outlineLevel="2"/>
    <row r="667" hidden="1" outlineLevel="2"/>
    <row r="668" hidden="1" outlineLevel="2"/>
    <row r="669" hidden="1" outlineLevel="2"/>
    <row r="670" hidden="1" outlineLevel="2"/>
    <row r="671" hidden="1" outlineLevel="2"/>
    <row r="672" hidden="1" outlineLevel="1"/>
    <row r="673" hidden="1" outlineLevel="2"/>
    <row r="674" hidden="1" outlineLevel="2"/>
    <row r="675" hidden="1" outlineLevel="2"/>
    <row r="676" hidden="1" outlineLevel="2"/>
    <row r="677" hidden="1" outlineLevel="2"/>
    <row r="678" hidden="1" outlineLevel="2"/>
    <row r="679" hidden="1" outlineLevel="2"/>
    <row r="680" hidden="1" outlineLevel="2"/>
    <row r="681" hidden="1" outlineLevel="2"/>
    <row r="682" hidden="1" outlineLevel="2"/>
    <row r="683" hidden="1" outlineLevel="2"/>
    <row r="685" collapsed="1"/>
    <row r="686" hidden="1" outlineLevel="1"/>
    <row r="687" hidden="1" outlineLevel="2"/>
    <row r="688" hidden="1" outlineLevel="2"/>
    <row r="689" hidden="1" outlineLevel="2"/>
    <row r="690" hidden="1" outlineLevel="2"/>
    <row r="691" hidden="1" outlineLevel="2"/>
    <row r="692" hidden="1" outlineLevel="2"/>
    <row r="693" hidden="1" outlineLevel="2"/>
    <row r="694" hidden="1" outlineLevel="2"/>
    <row r="695" hidden="1" outlineLevel="2"/>
    <row r="696" hidden="1" outlineLevel="2"/>
    <row r="697" hidden="1" outlineLevel="2"/>
    <row r="698" hidden="1" outlineLevel="2"/>
    <row r="699" hidden="1" outlineLevel="2"/>
    <row r="700" hidden="1" outlineLevel="2"/>
    <row r="701" hidden="1" outlineLevel="2"/>
    <row r="702" hidden="1" outlineLevel="2"/>
    <row r="703" hidden="1" outlineLevel="2"/>
    <row r="704" hidden="1" outlineLevel="2"/>
    <row r="705" hidden="1" outlineLevel="2"/>
    <row r="706" hidden="1" outlineLevel="1"/>
    <row r="707" hidden="1" outlineLevel="2"/>
    <row r="708" hidden="1" outlineLevel="2"/>
    <row r="709" hidden="1" outlineLevel="2"/>
    <row r="710" hidden="1" outlineLevel="2"/>
    <row r="711" hidden="1" outlineLevel="2"/>
    <row r="712" hidden="1" outlineLevel="2"/>
    <row r="713" hidden="1" outlineLevel="2"/>
    <row r="714" hidden="1" outlineLevel="2"/>
    <row r="715" hidden="1" outlineLevel="2"/>
    <row r="716" hidden="1" outlineLevel="2"/>
    <row r="717" hidden="1" outlineLevel="2"/>
    <row r="718" hidden="1" outlineLevel="1"/>
    <row r="719" hidden="1" outlineLevel="2"/>
    <row r="720" hidden="1" outlineLevel="2"/>
    <row r="721" hidden="1" outlineLevel="2"/>
    <row r="722" hidden="1" outlineLevel="2"/>
    <row r="723" hidden="1" outlineLevel="2"/>
    <row r="724" hidden="1" outlineLevel="2"/>
    <row r="725" hidden="1" outlineLevel="2"/>
    <row r="726" hidden="1" outlineLevel="2"/>
    <row r="727" hidden="1" outlineLevel="2"/>
    <row r="728" hidden="1" outlineLevel="2"/>
    <row r="729" hidden="1" outlineLevel="2"/>
    <row r="731" collapsed="1"/>
    <row r="732" hidden="1" outlineLevel="1"/>
    <row r="733" hidden="1" outlineLevel="2"/>
    <row r="734" hidden="1" outlineLevel="2"/>
    <row r="735" hidden="1" outlineLevel="2"/>
    <row r="736" hidden="1" outlineLevel="2"/>
    <row r="737" hidden="1" outlineLevel="2"/>
    <row r="738" hidden="1" outlineLevel="2"/>
    <row r="739" hidden="1" outlineLevel="2"/>
    <row r="740" hidden="1" outlineLevel="2"/>
    <row r="741" hidden="1" outlineLevel="2"/>
    <row r="742" hidden="1" outlineLevel="2"/>
    <row r="743" hidden="1" outlineLevel="2"/>
    <row r="744" hidden="1" outlineLevel="2"/>
    <row r="745" hidden="1" outlineLevel="2"/>
    <row r="746" hidden="1" outlineLevel="2"/>
    <row r="747" hidden="1" outlineLevel="2"/>
    <row r="748" hidden="1" outlineLevel="1"/>
    <row r="749" hidden="1" outlineLevel="2"/>
    <row r="750" hidden="1" outlineLevel="2"/>
    <row r="751" hidden="1" outlineLevel="2"/>
    <row r="752" hidden="1" outlineLevel="2"/>
    <row r="753" hidden="1" outlineLevel="2"/>
    <row r="754" hidden="1" outlineLevel="2"/>
    <row r="755" hidden="1" outlineLevel="2"/>
    <row r="756" hidden="1" outlineLevel="2"/>
    <row r="757" hidden="1" outlineLevel="2"/>
    <row r="758" hidden="1" outlineLevel="1"/>
    <row r="759" hidden="1" outlineLevel="2"/>
    <row r="760" hidden="1" outlineLevel="2"/>
    <row r="761" hidden="1" outlineLevel="2"/>
    <row r="762" hidden="1" outlineLevel="2"/>
    <row r="763" hidden="1" outlineLevel="2"/>
    <row r="764" hidden="1" outlineLevel="2"/>
    <row r="765" hidden="1" outlineLevel="2"/>
    <row r="766" hidden="1" outlineLevel="2"/>
    <row r="767" hidden="1" outlineLevel="2"/>
    <row r="769" collapsed="1"/>
    <row r="770" hidden="1" outlineLevel="1"/>
    <row r="771" hidden="1" outlineLevel="2"/>
    <row r="772" hidden="1" outlineLevel="2"/>
    <row r="773" hidden="1" outlineLevel="2"/>
    <row r="774" hidden="1" outlineLevel="2"/>
    <row r="775" hidden="1" outlineLevel="2"/>
    <row r="776" hidden="1" outlineLevel="2"/>
    <row r="777" hidden="1" outlineLevel="2"/>
    <row r="778" hidden="1" outlineLevel="2"/>
    <row r="779" hidden="1" outlineLevel="2"/>
    <row r="780" hidden="1" outlineLevel="1"/>
    <row r="781" hidden="1" outlineLevel="2"/>
    <row r="782" hidden="1" outlineLevel="2"/>
    <row r="783" hidden="1" outlineLevel="2"/>
    <row r="784" hidden="1" outlineLevel="2"/>
    <row r="785" hidden="1" outlineLevel="1"/>
    <row r="786" hidden="1" outlineLevel="2"/>
    <row r="787" hidden="1" outlineLevel="2"/>
    <row r="788" hidden="1" outlineLevel="2"/>
    <row r="789" hidden="1" outlineLevel="2"/>
    <row r="790" hidden="1" outlineLevel="1"/>
    <row r="791" hidden="1" outlineLevel="2"/>
    <row r="792" hidden="1" outlineLevel="2"/>
    <row r="793" hidden="1" outlineLevel="2"/>
    <row r="794" hidden="1" outlineLevel="2"/>
    <row r="795" hidden="1" outlineLevel="1"/>
    <row r="796" hidden="1" outlineLevel="2"/>
    <row r="797" hidden="1" outlineLevel="2"/>
    <row r="798" hidden="1" outlineLevel="2"/>
    <row r="799" hidden="1" outlineLevel="2"/>
    <row r="801" collapsed="1"/>
    <row r="802" hidden="1" outlineLevel="1"/>
    <row r="803" hidden="1" outlineLevel="2"/>
    <row r="804" hidden="1" outlineLevel="2"/>
    <row r="805" hidden="1" outlineLevel="2"/>
    <row r="806" hidden="1" outlineLevel="2"/>
    <row r="807" hidden="1" outlineLevel="2"/>
    <row r="808" hidden="1" outlineLevel="2"/>
    <row r="809" hidden="1" outlineLevel="2"/>
    <row r="810" hidden="1" outlineLevel="2"/>
    <row r="811" hidden="1" outlineLevel="2"/>
    <row r="812" hidden="1" outlineLevel="1"/>
    <row r="813" hidden="1" outlineLevel="2"/>
    <row r="814" hidden="1" outlineLevel="2"/>
    <row r="815" hidden="1" outlineLevel="2"/>
    <row r="816" hidden="1" outlineLevel="2"/>
    <row r="817" hidden="1" outlineLevel="2"/>
    <row r="818" hidden="1" outlineLevel="2"/>
    <row r="819" hidden="1" outlineLevel="2"/>
    <row r="820" hidden="1" outlineLevel="2"/>
    <row r="821" hidden="1" outlineLevel="1"/>
    <row r="822" hidden="1" outlineLevel="2"/>
    <row r="823" hidden="1" outlineLevel="2"/>
    <row r="824" hidden="1" outlineLevel="2"/>
    <row r="825" hidden="1" outlineLevel="2"/>
    <row r="826" hidden="1" outlineLevel="2"/>
    <row r="827" hidden="1" outlineLevel="2"/>
    <row r="828" hidden="1" outlineLevel="2"/>
    <row r="829" hidden="1" outlineLevel="1"/>
    <row r="830" hidden="1" outlineLevel="2"/>
    <row r="831" hidden="1" outlineLevel="2"/>
    <row r="832" hidden="1" outlineLevel="2"/>
    <row r="833" hidden="1" outlineLevel="2"/>
    <row r="834" hidden="1" outlineLevel="2"/>
    <row r="835" hidden="1" outlineLevel="2"/>
    <row r="836" hidden="1" outlineLevel="2"/>
    <row r="837" hidden="1" outlineLevel="1"/>
    <row r="838" hidden="1" outlineLevel="2"/>
    <row r="839" hidden="1" outlineLevel="2"/>
    <row r="840" hidden="1" outlineLevel="2"/>
    <row r="841" hidden="1" outlineLevel="2"/>
    <row r="842" hidden="1" outlineLevel="2"/>
    <row r="843" hidden="1" outlineLevel="2"/>
    <row r="844" hidden="1" outlineLevel="2"/>
    <row r="845" hidden="1" outlineLevel="1"/>
    <row r="846" hidden="1" outlineLevel="2"/>
    <row r="847" hidden="1" outlineLevel="2"/>
    <row r="848" hidden="1" outlineLevel="2"/>
    <row r="849" hidden="1" outlineLevel="2"/>
    <row r="850" hidden="1" outlineLevel="2"/>
    <row r="851" hidden="1" outlineLevel="2"/>
    <row r="852" hidden="1" outlineLevel="2"/>
    <row r="853" hidden="1" outlineLevel="2"/>
    <row r="854" hidden="1" outlineLevel="1"/>
    <row r="855" hidden="1" outlineLevel="2"/>
    <row r="856" hidden="1" outlineLevel="2"/>
    <row r="857" hidden="1" outlineLevel="2"/>
    <row r="858" hidden="1" outlineLevel="2"/>
    <row r="859" hidden="1" outlineLevel="2"/>
    <row r="860" hidden="1" outlineLevel="2"/>
    <row r="861" hidden="1" outlineLevel="2"/>
    <row r="862" hidden="1" outlineLevel="1"/>
    <row r="863" hidden="1" outlineLevel="2"/>
    <row r="864" hidden="1" outlineLevel="2"/>
    <row r="865" hidden="1" outlineLevel="2"/>
    <row r="866" hidden="1" outlineLevel="2"/>
    <row r="867" hidden="1" outlineLevel="2"/>
    <row r="868" hidden="1" outlineLevel="2"/>
    <row r="869" hidden="1" outlineLevel="2"/>
    <row r="870" hidden="1" outlineLevel="1"/>
    <row r="871" hidden="1" outlineLevel="2"/>
    <row r="872" hidden="1" outlineLevel="2"/>
    <row r="873" hidden="1" outlineLevel="2"/>
    <row r="874" hidden="1" outlineLevel="2"/>
    <row r="875" hidden="1" outlineLevel="2"/>
    <row r="876" hidden="1" outlineLevel="2"/>
    <row r="877" hidden="1" outlineLevel="2"/>
    <row r="878" hidden="1" outlineLevel="1"/>
    <row r="879" hidden="1" outlineLevel="2"/>
    <row r="880" hidden="1" outlineLevel="2"/>
    <row r="881" hidden="1" outlineLevel="2"/>
    <row r="882" hidden="1" outlineLevel="2"/>
    <row r="883" hidden="1" outlineLevel="2"/>
    <row r="884" hidden="1" outlineLevel="2"/>
    <row r="885" hidden="1" outlineLevel="2"/>
    <row r="886" collapsed="1"/>
    <row r="887" hidden="1" outlineLevel="1"/>
    <row r="888" hidden="1" outlineLevel="2"/>
    <row r="889" hidden="1" outlineLevel="2"/>
    <row r="890" hidden="1" outlineLevel="2"/>
    <row r="891" hidden="1" outlineLevel="2"/>
    <row r="892" hidden="1" outlineLevel="2"/>
    <row r="893" hidden="1" outlineLevel="2"/>
    <row r="894" hidden="1" outlineLevel="2"/>
    <row r="895" hidden="1" outlineLevel="2"/>
    <row r="896" hidden="1" outlineLevel="2"/>
    <row r="897" hidden="1" outlineLevel="2"/>
    <row r="898" hidden="1" outlineLevel="2"/>
    <row r="899" hidden="1" outlineLevel="2"/>
    <row r="900" hidden="1" outlineLevel="2"/>
    <row r="901" hidden="1" outlineLevel="2"/>
    <row r="902" hidden="1" outlineLevel="1"/>
    <row r="903" hidden="1" outlineLevel="2"/>
    <row r="904" hidden="1" outlineLevel="2"/>
    <row r="905" hidden="1" outlineLevel="2"/>
    <row r="906" hidden="1" outlineLevel="1"/>
    <row r="907" hidden="1" outlineLevel="2"/>
    <row r="908" hidden="1" outlineLevel="2"/>
    <row r="909" hidden="1" outlineLevel="2"/>
    <row r="910" hidden="1" outlineLevel="2"/>
    <row r="911" hidden="1" outlineLevel="2"/>
    <row r="912" hidden="1" outlineLevel="2"/>
    <row r="913" hidden="1" outlineLevel="2"/>
    <row r="914" hidden="1" outlineLevel="1"/>
    <row r="915" hidden="1" outlineLevel="2"/>
    <row r="916" hidden="1" outlineLevel="2"/>
    <row r="917" hidden="1" outlineLevel="2"/>
    <row r="918" hidden="1" outlineLevel="2"/>
    <row r="919" hidden="1" outlineLevel="2"/>
    <row r="920" hidden="1" outlineLevel="2"/>
    <row r="921" hidden="1" outlineLevel="2"/>
    <row r="922" hidden="1" outlineLevel="1"/>
    <row r="923" hidden="1" outlineLevel="2"/>
    <row r="924" hidden="1" outlineLevel="2"/>
    <row r="925" hidden="1" outlineLevel="2"/>
    <row r="926" hidden="1" outlineLevel="2"/>
    <row r="927" hidden="1" outlineLevel="2"/>
    <row r="928" hidden="1" outlineLevel="2"/>
    <row r="929" hidden="1" outlineLevel="2"/>
    <row r="930" hidden="1" outlineLevel="1"/>
    <row r="931" hidden="1" outlineLevel="2"/>
    <row r="932" hidden="1" outlineLevel="2"/>
    <row r="933" hidden="1" outlineLevel="2"/>
    <row r="934" hidden="1" outlineLevel="2"/>
    <row r="935" hidden="1" outlineLevel="2"/>
    <row r="936" hidden="1" outlineLevel="2"/>
    <row r="937" hidden="1" outlineLevel="2"/>
    <row r="938" hidden="1" outlineLevel="1"/>
    <row r="939" hidden="1" outlineLevel="2"/>
    <row r="940" hidden="1" outlineLevel="2"/>
    <row r="941" hidden="1" outlineLevel="2"/>
    <row r="942" hidden="1" outlineLevel="2"/>
    <row r="943" hidden="1" outlineLevel="2"/>
    <row r="944" hidden="1" outlineLevel="2"/>
    <row r="945" hidden="1" outlineLevel="2"/>
    <row r="946" hidden="1" outlineLevel="1"/>
    <row r="947" hidden="1" outlineLevel="2"/>
    <row r="948" hidden="1" outlineLevel="2"/>
    <row r="949" hidden="1" outlineLevel="2"/>
    <row r="950" hidden="1" outlineLevel="2"/>
    <row r="951" hidden="1" outlineLevel="2"/>
    <row r="952" hidden="1" outlineLevel="2"/>
    <row r="953" hidden="1" outlineLevel="2"/>
    <row r="954" hidden="1" outlineLevel="1"/>
    <row r="955" hidden="1" outlineLevel="2"/>
    <row r="956" hidden="1" outlineLevel="2"/>
    <row r="957" hidden="1" outlineLevel="2"/>
    <row r="958" hidden="1" outlineLevel="2"/>
    <row r="959" hidden="1" outlineLevel="2"/>
    <row r="960" hidden="1" outlineLevel="2"/>
    <row r="961" hidden="1" outlineLevel="2"/>
    <row r="962" hidden="1" outlineLevel="1"/>
    <row r="963" hidden="1" outlineLevel="2"/>
    <row r="964" hidden="1" outlineLevel="2"/>
    <row r="965" hidden="1" outlineLevel="2"/>
    <row r="966" hidden="1" outlineLevel="2"/>
    <row r="968" collapsed="1"/>
    <row r="969" hidden="1" outlineLevel="1"/>
    <row r="970" hidden="1" outlineLevel="2"/>
    <row r="971" hidden="1" outlineLevel="2"/>
    <row r="972" hidden="1" outlineLevel="2"/>
    <row r="973" hidden="1" outlineLevel="2"/>
    <row r="974" hidden="1" outlineLevel="2"/>
    <row r="975" hidden="1" outlineLevel="2"/>
    <row r="976" hidden="1" outlineLevel="2"/>
    <row r="977" hidden="1" outlineLevel="2"/>
    <row r="978" hidden="1" outlineLevel="2"/>
    <row r="979" hidden="1" outlineLevel="2"/>
    <row r="980" hidden="1" outlineLevel="2"/>
    <row r="981" hidden="1" outlineLevel="1"/>
    <row r="982" hidden="1" outlineLevel="2"/>
    <row r="983" hidden="1" outlineLevel="2"/>
    <row r="984" hidden="1" outlineLevel="2"/>
    <row r="985" hidden="1" outlineLevel="2"/>
    <row r="986" hidden="1" outlineLevel="2"/>
    <row r="987" hidden="1" outlineLevel="2"/>
    <row r="988" hidden="1" outlineLevel="2"/>
    <row r="989" hidden="1" outlineLevel="2"/>
    <row r="990" hidden="1" outlineLevel="2"/>
    <row r="991" hidden="1" outlineLevel="1"/>
    <row r="992" hidden="1" outlineLevel="2"/>
    <row r="993" hidden="1" outlineLevel="2"/>
    <row r="994" hidden="1" outlineLevel="2"/>
    <row r="995" hidden="1" outlineLevel="2"/>
    <row r="996" hidden="1" outlineLevel="2"/>
    <row r="997" hidden="1" outlineLevel="2"/>
    <row r="998" hidden="1" outlineLevel="2"/>
    <row r="999" hidden="1" outlineLevel="2"/>
    <row r="1000" hidden="1" outlineLevel="1"/>
    <row r="1001" hidden="1" outlineLevel="2"/>
    <row r="1002" hidden="1" outlineLevel="2"/>
    <row r="1003" hidden="1" outlineLevel="2"/>
    <row r="1004" hidden="1" outlineLevel="2"/>
    <row r="1005" hidden="1" outlineLevel="2"/>
    <row r="1006" hidden="1" outlineLevel="2"/>
    <row r="1007" hidden="1" outlineLevel="2"/>
    <row r="1008" hidden="1" outlineLevel="2"/>
    <row r="1009" hidden="1" outlineLevel="1"/>
    <row r="1010" hidden="1" outlineLevel="2"/>
    <row r="1011" hidden="1" outlineLevel="2"/>
    <row r="1012" hidden="1" outlineLevel="2"/>
    <row r="1013" hidden="1" outlineLevel="2"/>
    <row r="1014" hidden="1" outlineLevel="2"/>
    <row r="1015" hidden="1" outlineLevel="2"/>
    <row r="1016" hidden="1" outlineLevel="2"/>
    <row r="1017" hidden="1" outlineLevel="2"/>
    <row r="1018" hidden="1" outlineLevel="2"/>
    <row r="1019" hidden="1" outlineLevel="1"/>
    <row r="1020" hidden="1" outlineLevel="2"/>
    <row r="1021" hidden="1" outlineLevel="2"/>
    <row r="1022" hidden="1" outlineLevel="2"/>
    <row r="1023" hidden="1" outlineLevel="2"/>
    <row r="1024" hidden="1" outlineLevel="2"/>
    <row r="1025" hidden="1" outlineLevel="2"/>
    <row r="1026" hidden="1" outlineLevel="2"/>
    <row r="1027" hidden="1" outlineLevel="2"/>
    <row r="1028" hidden="1" outlineLevel="2"/>
    <row r="1029" hidden="1" outlineLevel="1"/>
    <row r="1030" hidden="1" outlineLevel="2"/>
    <row r="1031" hidden="1" outlineLevel="2"/>
    <row r="1032" hidden="1" outlineLevel="2"/>
    <row r="1033" hidden="1" outlineLevel="2"/>
    <row r="1034" hidden="1" outlineLevel="2"/>
    <row r="1035" hidden="1" outlineLevel="2"/>
    <row r="1036" hidden="1" outlineLevel="2"/>
    <row r="1037" hidden="1" outlineLevel="2"/>
    <row r="1038" hidden="1" outlineLevel="1"/>
    <row r="1039" hidden="1" outlineLevel="2"/>
    <row r="1040" hidden="1" outlineLevel="2"/>
    <row r="1041" hidden="1" outlineLevel="2"/>
    <row r="1042" hidden="1" outlineLevel="2"/>
    <row r="1043" hidden="1" outlineLevel="2"/>
    <row r="1044" hidden="1" outlineLevel="2"/>
    <row r="1045" hidden="1" outlineLevel="2"/>
    <row r="1046" hidden="1" outlineLevel="2"/>
    <row r="1047" collapsed="1"/>
    <row r="1048" hidden="1" outlineLevel="1"/>
    <row r="1049" hidden="1" outlineLevel="2"/>
    <row r="1050" hidden="1" outlineLevel="2"/>
    <row r="1051" hidden="1" outlineLevel="2"/>
    <row r="1052" hidden="1" outlineLevel="2"/>
    <row r="1053" hidden="1" outlineLevel="2"/>
    <row r="1054" hidden="1" outlineLevel="2"/>
    <row r="1055" hidden="1" outlineLevel="2"/>
    <row r="1056" hidden="1" outlineLevel="2"/>
    <row r="1057" hidden="1" outlineLevel="2"/>
    <row r="1058" hidden="1" outlineLevel="2"/>
    <row r="1059" hidden="1" outlineLevel="2"/>
    <row r="1060" hidden="1" outlineLevel="2"/>
    <row r="1061" hidden="1" outlineLevel="2"/>
    <row r="1062" hidden="1" outlineLevel="2"/>
    <row r="1063" hidden="1" outlineLevel="1"/>
    <row r="1064" hidden="1" outlineLevel="2"/>
    <row r="1065" hidden="1" outlineLevel="2"/>
    <row r="1066" hidden="1" outlineLevel="2"/>
    <row r="1067" hidden="1" outlineLevel="1"/>
    <row r="1068" hidden="1" outlineLevel="2"/>
    <row r="1069" hidden="1" outlineLevel="2"/>
    <row r="1070" hidden="1" outlineLevel="2"/>
    <row r="1071" hidden="1" outlineLevel="2"/>
    <row r="1072" hidden="1" outlineLevel="2"/>
    <row r="1073" hidden="1" outlineLevel="2"/>
    <row r="1074" hidden="1" outlineLevel="2"/>
    <row r="1075" hidden="1" outlineLevel="2"/>
    <row r="1076" hidden="1" outlineLevel="1"/>
    <row r="1077" hidden="1" outlineLevel="2"/>
    <row r="1078" hidden="1" outlineLevel="2"/>
    <row r="1079" hidden="1" outlineLevel="2"/>
    <row r="1080" hidden="1" outlineLevel="2"/>
    <row r="1081" hidden="1" outlineLevel="2"/>
    <row r="1082" hidden="1" outlineLevel="2"/>
    <row r="1083" hidden="1" outlineLevel="2"/>
    <row r="1084" hidden="1" outlineLevel="2"/>
    <row r="1086" collapsed="1"/>
    <row r="1087" hidden="1" outlineLevel="1"/>
    <row r="1088" hidden="1" outlineLevel="2"/>
    <row r="1089" hidden="1" outlineLevel="2"/>
    <row r="1090" hidden="1" outlineLevel="2"/>
    <row r="1091" hidden="1" outlineLevel="2"/>
    <row r="1092" hidden="1" outlineLevel="2"/>
    <row r="1093" hidden="1" outlineLevel="2"/>
    <row r="1094" hidden="1" outlineLevel="2"/>
    <row r="1095" hidden="1" outlineLevel="2"/>
    <row r="1096" hidden="1" outlineLevel="2"/>
    <row r="1097" hidden="1" outlineLevel="2"/>
    <row r="1098" hidden="1" outlineLevel="2"/>
    <row r="1099" hidden="1" outlineLevel="2"/>
    <row r="1100" hidden="1" outlineLevel="1"/>
    <row r="1101" hidden="1" outlineLevel="2"/>
    <row r="1102" hidden="1" outlineLevel="2"/>
    <row r="1103" hidden="1" outlineLevel="2"/>
    <row r="1104" hidden="1" outlineLevel="2"/>
    <row r="1105" hidden="1" outlineLevel="2"/>
    <row r="1106" hidden="1" outlineLevel="2"/>
    <row r="1107" hidden="1" outlineLevel="1"/>
    <row r="1108" hidden="1" outlineLevel="2"/>
    <row r="1109" hidden="1" outlineLevel="2"/>
    <row r="1110" hidden="1" outlineLevel="2"/>
    <row r="1111" hidden="1" outlineLevel="2"/>
    <row r="1112" hidden="1" outlineLevel="2"/>
    <row r="1113" hidden="1" outlineLevel="1"/>
    <row r="1114" hidden="1" outlineLevel="2"/>
    <row r="1115" hidden="1" outlineLevel="2"/>
    <row r="1116" hidden="1" outlineLevel="2"/>
    <row r="1117" hidden="1" outlineLevel="2"/>
    <row r="1118" hidden="1" outlineLevel="2"/>
    <row r="1119" hidden="1" outlineLevel="1"/>
    <row r="1120" hidden="1" outlineLevel="2"/>
    <row r="1121" hidden="1" outlineLevel="2"/>
    <row r="1122" hidden="1" outlineLevel="2"/>
    <row r="1123" hidden="1" outlineLevel="2"/>
    <row r="1124" hidden="1" outlineLevel="2"/>
    <row r="1125" hidden="1" outlineLevel="1"/>
    <row r="1126" hidden="1" outlineLevel="2"/>
    <row r="1127" hidden="1" outlineLevel="2"/>
    <row r="1128" hidden="1" outlineLevel="2"/>
    <row r="1129" hidden="1" outlineLevel="2"/>
    <row r="1130" hidden="1" outlineLevel="2"/>
    <row r="1131" hidden="1" outlineLevel="2"/>
    <row r="1132" hidden="1" outlineLevel="1"/>
    <row r="1133" hidden="1" outlineLevel="2"/>
    <row r="1134" hidden="1" outlineLevel="2"/>
    <row r="1135" hidden="1" outlineLevel="2"/>
    <row r="1136" hidden="1" outlineLevel="2"/>
    <row r="1137" hidden="1" outlineLevel="2"/>
    <row r="1138" collapsed="1"/>
    <row r="1139" hidden="1" outlineLevel="1"/>
    <row r="1140" hidden="1" outlineLevel="2"/>
    <row r="1141" hidden="1" outlineLevel="2"/>
    <row r="1142" hidden="1" outlineLevel="2"/>
    <row r="1143" hidden="1" outlineLevel="2"/>
    <row r="1144" hidden="1" outlineLevel="2"/>
    <row r="1145" hidden="1" outlineLevel="2"/>
    <row r="1146" hidden="1" outlineLevel="2"/>
    <row r="1147" hidden="1" outlineLevel="2"/>
    <row r="1148" hidden="1" outlineLevel="1"/>
    <row r="1149" hidden="1" outlineLevel="2"/>
    <row r="1150" hidden="1" outlineLevel="2"/>
    <row r="1151" hidden="1" outlineLevel="2"/>
    <row r="1152" hidden="1" outlineLevel="2"/>
    <row r="1153" hidden="1" outlineLevel="2"/>
    <row r="1154" hidden="1" outlineLevel="1"/>
    <row r="1155" hidden="1" outlineLevel="2"/>
    <row r="1156" hidden="1" outlineLevel="2"/>
    <row r="1157" hidden="1" outlineLevel="2"/>
    <row r="1158" hidden="1" outlineLevel="2"/>
    <row r="1159" hidden="1" outlineLevel="2"/>
    <row r="1160" hidden="1" outlineLevel="1"/>
    <row r="1161" hidden="1" outlineLevel="2"/>
    <row r="1162" hidden="1" outlineLevel="2"/>
    <row r="1163" hidden="1" outlineLevel="2"/>
    <row r="1164" hidden="1" outlineLevel="2"/>
    <row r="1165" hidden="1" outlineLevel="2"/>
    <row r="1167" collapsed="1"/>
    <row r="1168" hidden="1" outlineLevel="1"/>
    <row r="1169" hidden="1" outlineLevel="2"/>
    <row r="1170" hidden="1" outlineLevel="2"/>
    <row r="1171" hidden="1" outlineLevel="2"/>
    <row r="1172" hidden="1" outlineLevel="2"/>
    <row r="1173" hidden="1" outlineLevel="2"/>
    <row r="1174" hidden="1" outlineLevel="2"/>
    <row r="1175" hidden="1" outlineLevel="2"/>
    <row r="1176" hidden="1" outlineLevel="2"/>
    <row r="1177" hidden="1" outlineLevel="2"/>
    <row r="1178" hidden="1" outlineLevel="1"/>
    <row r="1179" hidden="1" outlineLevel="2"/>
    <row r="1180" hidden="1" outlineLevel="2"/>
    <row r="1181" hidden="1" outlineLevel="2"/>
    <row r="1182" hidden="1" outlineLevel="2"/>
    <row r="1183" hidden="1" outlineLevel="2"/>
    <row r="1184" hidden="1" outlineLevel="2"/>
    <row r="1185" hidden="1" outlineLevel="1"/>
    <row r="1186" hidden="1" outlineLevel="2"/>
    <row r="1187" hidden="1" outlineLevel="2"/>
    <row r="1188" hidden="1" outlineLevel="2"/>
    <row r="1190" collapsed="1"/>
    <row r="1191" hidden="1" outlineLevel="1"/>
    <row r="1192" hidden="1" outlineLevel="2"/>
    <row r="1193" hidden="1" outlineLevel="2"/>
    <row r="1194" hidden="1" outlineLevel="2"/>
    <row r="1195" hidden="1" outlineLevel="2"/>
    <row r="1196" hidden="1" outlineLevel="2"/>
    <row r="1197" hidden="1" outlineLevel="2"/>
    <row r="1198" hidden="1" outlineLevel="2"/>
    <row r="1199" hidden="1" outlineLevel="2"/>
    <row r="1200" hidden="1" outlineLevel="2"/>
    <row r="1201" hidden="1" outlineLevel="1"/>
    <row r="1202" hidden="1" outlineLevel="2"/>
    <row r="1203" hidden="1" outlineLevel="2"/>
    <row r="1204" hidden="1" outlineLevel="2"/>
    <row r="1205" hidden="1" outlineLevel="2"/>
    <row r="1206" hidden="1" outlineLevel="2"/>
    <row r="1207" hidden="1" outlineLevel="2"/>
    <row r="1208" hidden="1" outlineLevel="2"/>
    <row r="1209" hidden="1" outlineLevel="1"/>
    <row r="1210" hidden="1" outlineLevel="2"/>
    <row r="1211" hidden="1" outlineLevel="2"/>
    <row r="1212" hidden="1" outlineLevel="2"/>
    <row r="1213" hidden="1" outlineLevel="2"/>
    <row r="1214" hidden="1" outlineLevel="2"/>
    <row r="1215" hidden="1" outlineLevel="2"/>
    <row r="1216" hidden="1" outlineLevel="2"/>
    <row r="1218" collapsed="1"/>
    <row r="1219" hidden="1" outlineLevel="1"/>
    <row r="1220" hidden="1" outlineLevel="2"/>
    <row r="1221" hidden="1" outlineLevel="2"/>
    <row r="1222" hidden="1" outlineLevel="2"/>
    <row r="1223" hidden="1" outlineLevel="2"/>
    <row r="1224" hidden="1" outlineLevel="2"/>
    <row r="1225" hidden="1" outlineLevel="2"/>
    <row r="1226" hidden="1" outlineLevel="2"/>
    <row r="1227" hidden="1" outlineLevel="2"/>
    <row r="1228" hidden="1" outlineLevel="2"/>
    <row r="1229" hidden="1" outlineLevel="2"/>
    <row r="1230" hidden="1" outlineLevel="2"/>
    <row r="1231" hidden="1" outlineLevel="2"/>
    <row r="1232" hidden="1" outlineLevel="2"/>
    <row r="1233" hidden="1" outlineLevel="1"/>
    <row r="1234" hidden="1" outlineLevel="2"/>
    <row r="1235" hidden="1" outlineLevel="2"/>
    <row r="1236" hidden="1" outlineLevel="2"/>
    <row r="1237" hidden="1" outlineLevel="2"/>
    <row r="1238" hidden="1" outlineLevel="1"/>
    <row r="1239" hidden="1" outlineLevel="2"/>
    <row r="1240" hidden="1" outlineLevel="2"/>
    <row r="1241" hidden="1" outlineLevel="2"/>
    <row r="1242" hidden="1" outlineLevel="2"/>
    <row r="1243" collapsed="1"/>
    <row r="1244" hidden="1" outlineLevel="1"/>
    <row r="1245" ht="13.5" hidden="1" customHeight="1" outlineLevel="2"/>
    <row r="1246" hidden="1" outlineLevel="2"/>
    <row r="1247" hidden="1" outlineLevel="2"/>
    <row r="1248" hidden="1" outlineLevel="2"/>
    <row r="1249" hidden="1" outlineLevel="2"/>
    <row r="1250" hidden="1" outlineLevel="2"/>
    <row r="1251" hidden="1" outlineLevel="2"/>
    <row r="1252" hidden="1" outlineLevel="2"/>
    <row r="1253" hidden="1" outlineLevel="2"/>
    <row r="1254" hidden="1" outlineLevel="2"/>
    <row r="1255" hidden="1" outlineLevel="2"/>
    <row r="1256" hidden="1" outlineLevel="1"/>
    <row r="1257" hidden="1" outlineLevel="2"/>
    <row r="1258" hidden="1" outlineLevel="2"/>
    <row r="1259" hidden="1" outlineLevel="2"/>
    <row r="1260" hidden="1" outlineLevel="2"/>
    <row r="1261" hidden="1" outlineLevel="1"/>
    <row r="1262" hidden="1" outlineLevel="2"/>
    <row r="1263" hidden="1" outlineLevel="2"/>
    <row r="1264" hidden="1" outlineLevel="2"/>
    <row r="1265" hidden="1" outlineLevel="2"/>
    <row r="1267" collapsed="1"/>
    <row r="1268" hidden="1" outlineLevel="1"/>
    <row r="1269" ht="13.5" hidden="1" customHeight="1" outlineLevel="2"/>
    <row r="1270" hidden="1" outlineLevel="2"/>
    <row r="1271" hidden="1" outlineLevel="2"/>
    <row r="1272" hidden="1" outlineLevel="2"/>
    <row r="1273" hidden="1" outlineLevel="2"/>
    <row r="1274" hidden="1" outlineLevel="2"/>
    <row r="1275" hidden="1" outlineLevel="2"/>
    <row r="1276" hidden="1" outlineLevel="2"/>
    <row r="1277" ht="13.5" hidden="1" customHeight="1" outlineLevel="2"/>
    <row r="1278" hidden="1" outlineLevel="2"/>
    <row r="1279" hidden="1" outlineLevel="2"/>
    <row r="1280" hidden="1" outlineLevel="2"/>
    <row r="1281" hidden="1" outlineLevel="2"/>
    <row r="1282" ht="13.5" hidden="1" customHeight="1" outlineLevel="2"/>
    <row r="1283" hidden="1" outlineLevel="1"/>
    <row r="1284" hidden="1" outlineLevel="2"/>
    <row r="1285" hidden="1" outlineLevel="2"/>
    <row r="1286" hidden="1" outlineLevel="2"/>
    <row r="1287" hidden="1" outlineLevel="2"/>
    <row r="1288" hidden="1" outlineLevel="2"/>
    <row r="1289" hidden="1" outlineLevel="2"/>
    <row r="1290" hidden="1" outlineLevel="2"/>
    <row r="1291" hidden="1" outlineLevel="2"/>
    <row r="1292" hidden="1" outlineLevel="2"/>
    <row r="1293" hidden="1" outlineLevel="2"/>
    <row r="1294" hidden="1" outlineLevel="2"/>
    <row r="1295" hidden="1" outlineLevel="2"/>
    <row r="1296" hidden="1" outlineLevel="1"/>
    <row r="1297" hidden="1" outlineLevel="2"/>
    <row r="1298" hidden="1" outlineLevel="2"/>
    <row r="1299" hidden="1" outlineLevel="2"/>
    <row r="1300" hidden="1" outlineLevel="2"/>
    <row r="1301" collapsed="1"/>
    <row r="1302" hidden="1" outlineLevel="1"/>
    <row r="1303" hidden="1" outlineLevel="2"/>
    <row r="1304" hidden="1" outlineLevel="2"/>
    <row r="1305" hidden="1" outlineLevel="2"/>
    <row r="1306" hidden="1" outlineLevel="2"/>
    <row r="1307" hidden="1" outlineLevel="2"/>
    <row r="1308" ht="13.5" hidden="1" customHeight="1" outlineLevel="2"/>
    <row r="1309" hidden="1" outlineLevel="2"/>
    <row r="1310" hidden="1" outlineLevel="2"/>
    <row r="1311" hidden="1" outlineLevel="2"/>
    <row r="1312" ht="13.5" hidden="1" customHeight="1" outlineLevel="2"/>
    <row r="1313" hidden="1" outlineLevel="1"/>
    <row r="1314" hidden="1" outlineLevel="2"/>
    <row r="1315" hidden="1" outlineLevel="2"/>
    <row r="1316" hidden="1" outlineLevel="2"/>
    <row r="1317" hidden="1" outlineLevel="2"/>
    <row r="1318" hidden="1" outlineLevel="1"/>
    <row r="1319" hidden="1" outlineLevel="2"/>
    <row r="1320" hidden="1" outlineLevel="2"/>
    <row r="1321" hidden="1" outlineLevel="2"/>
    <row r="1322" hidden="1" outlineLevel="2"/>
    <row r="1324" collapsed="1"/>
    <row r="1325" hidden="1" outlineLevel="1"/>
    <row r="1326" ht="13.5" hidden="1" customHeight="1" outlineLevel="2"/>
    <row r="1327" hidden="1" outlineLevel="2"/>
    <row r="1328" hidden="1" outlineLevel="2"/>
    <row r="1329" hidden="1" outlineLevel="2"/>
    <row r="1330" hidden="1" outlineLevel="2"/>
    <row r="1331" hidden="1" outlineLevel="2"/>
    <row r="1332" hidden="1" outlineLevel="2"/>
    <row r="1333" hidden="1" outlineLevel="1"/>
    <row r="1334" hidden="1" outlineLevel="2"/>
    <row r="1335" hidden="1" outlineLevel="2"/>
    <row r="1336" hidden="1" outlineLevel="2"/>
    <row r="1337" collapsed="1"/>
    <row r="1338" hidden="1" outlineLevel="1"/>
    <row r="1339" hidden="1" outlineLevel="2"/>
    <row r="1340" hidden="1" outlineLevel="2"/>
    <row r="1341" hidden="1" outlineLevel="2"/>
    <row r="1342" hidden="1" outlineLevel="2"/>
    <row r="1343" hidden="1" outlineLevel="2"/>
    <row r="1344" hidden="1" outlineLevel="2"/>
    <row r="1345" hidden="1" outlineLevel="2"/>
    <row r="1346" hidden="1" outlineLevel="2"/>
    <row r="1347" hidden="1" outlineLevel="1"/>
    <row r="1348" hidden="1" outlineLevel="2"/>
    <row r="1349" hidden="1" outlineLevel="2"/>
    <row r="1350" hidden="1" outlineLevel="2"/>
    <row r="1352" collapsed="1"/>
    <row r="1353" hidden="1" outlineLevel="1"/>
    <row r="1354" ht="13.5" hidden="1" customHeight="1" outlineLevel="2"/>
    <row r="1355" hidden="1" outlineLevel="2"/>
    <row r="1356" hidden="1" outlineLevel="2"/>
    <row r="1357" hidden="1" outlineLevel="2"/>
    <row r="1358" hidden="1" outlineLevel="2"/>
    <row r="1359" hidden="1" outlineLevel="2"/>
    <row r="1360" hidden="1" outlineLevel="2"/>
    <row r="1361" hidden="1" outlineLevel="2"/>
    <row r="1362" hidden="1" outlineLevel="2"/>
    <row r="1363" hidden="1" outlineLevel="2"/>
    <row r="1364" hidden="1" outlineLevel="2"/>
    <row r="1365" hidden="1" outlineLevel="2"/>
    <row r="1366" hidden="1" outlineLevel="1"/>
    <row r="1367" hidden="1" outlineLevel="2"/>
    <row r="1368" hidden="1" outlineLevel="2"/>
    <row r="1369" hidden="1" outlineLevel="2"/>
    <row r="1370" hidden="1" outlineLevel="2"/>
    <row r="1371" hidden="1" outlineLevel="2"/>
    <row r="1372" hidden="1" outlineLevel="2"/>
    <row r="1373" hidden="1" outlineLevel="1"/>
    <row r="1374" hidden="1" outlineLevel="2"/>
    <row r="1375" hidden="1" outlineLevel="2"/>
    <row r="1376" hidden="1" outlineLevel="2"/>
    <row r="1377" hidden="1" outlineLevel="2"/>
    <row r="1378" hidden="1" outlineLevel="2"/>
    <row r="1379" hidden="1" outlineLevel="2"/>
    <row r="1380" hidden="1" outlineLevel="1"/>
    <row r="1381" hidden="1" outlineLevel="2"/>
    <row r="1382" hidden="1" outlineLevel="2"/>
    <row r="1383" hidden="1" outlineLevel="2"/>
    <row r="1384" hidden="1" outlineLevel="2"/>
    <row r="1386" collapsed="1"/>
    <row r="1387" hidden="1" outlineLevel="1"/>
    <row r="1388" ht="13.5" hidden="1" customHeight="1" outlineLevel="2"/>
    <row r="1389" hidden="1" outlineLevel="2"/>
    <row r="1390" hidden="1" outlineLevel="2"/>
    <row r="1391" hidden="1" outlineLevel="2"/>
    <row r="1392" hidden="1" outlineLevel="2"/>
    <row r="1393" hidden="1" outlineLevel="2"/>
    <row r="1394" hidden="1" outlineLevel="2"/>
    <row r="1395" hidden="1" outlineLevel="2"/>
    <row r="1396" hidden="1" outlineLevel="2"/>
    <row r="1397" hidden="1" outlineLevel="2"/>
    <row r="1398" hidden="1" outlineLevel="1"/>
    <row r="1399" hidden="1" outlineLevel="2"/>
    <row r="1400" hidden="1" outlineLevel="2"/>
    <row r="1401" hidden="1" outlineLevel="2"/>
    <row r="1402" hidden="1" outlineLevel="1"/>
    <row r="1403" hidden="1" outlineLevel="2"/>
    <row r="1404" hidden="1" outlineLevel="2"/>
    <row r="1405" hidden="1" outlineLevel="2"/>
    <row r="1406" hidden="1" outlineLevel="1"/>
    <row r="1407" hidden="1" outlineLevel="2"/>
    <row r="1408" hidden="1" outlineLevel="2"/>
    <row r="1409" hidden="1" outlineLevel="2"/>
    <row r="1410" hidden="1" outlineLevel="2"/>
    <row r="1412" collapsed="1"/>
    <row r="1413" hidden="1" outlineLevel="1"/>
    <row r="1414" ht="13.5" hidden="1" customHeight="1" outlineLevel="2"/>
    <row r="1415" hidden="1" outlineLevel="2"/>
    <row r="1416" hidden="1" outlineLevel="2"/>
    <row r="1417" hidden="1" outlineLevel="2"/>
    <row r="1418" hidden="1" outlineLevel="2"/>
    <row r="1419" hidden="1" outlineLevel="2"/>
    <row r="1420" ht="13.5" hidden="1" customHeight="1" outlineLevel="2"/>
    <row r="1421" hidden="1" outlineLevel="2"/>
    <row r="1422" hidden="1" outlineLevel="2"/>
    <row r="1423" hidden="1" outlineLevel="1"/>
    <row r="1424" hidden="1" outlineLevel="2"/>
    <row r="1425" hidden="1" outlineLevel="2"/>
    <row r="1426" hidden="1" outlineLevel="2"/>
    <row r="1427" hidden="1" outlineLevel="2"/>
    <row r="1428" hidden="1" outlineLevel="1"/>
    <row r="1429" hidden="1" outlineLevel="2"/>
    <row r="1430" hidden="1" outlineLevel="2"/>
    <row r="1431" hidden="1" outlineLevel="2"/>
    <row r="1432" hidden="1" outlineLevel="2"/>
    <row r="1434" collapsed="1"/>
    <row r="1435" hidden="1" outlineLevel="1"/>
    <row r="1436" ht="13.5" hidden="1" customHeight="1" outlineLevel="2"/>
    <row r="1437" hidden="1" outlineLevel="2"/>
    <row r="1438" hidden="1" outlineLevel="2"/>
    <row r="1439" hidden="1" outlineLevel="2"/>
    <row r="1440" hidden="1" outlineLevel="2"/>
    <row r="1441" hidden="1" outlineLevel="2"/>
    <row r="1442" hidden="1" outlineLevel="2"/>
    <row r="1443" hidden="1" outlineLevel="2"/>
    <row r="1444" hidden="1" outlineLevel="2"/>
    <row r="1445" hidden="1" outlineLevel="2"/>
    <row r="1446" hidden="1" outlineLevel="2"/>
    <row r="1447" hidden="1" outlineLevel="2"/>
    <row r="1448" hidden="1" outlineLevel="1"/>
    <row r="1449" hidden="1" outlineLevel="2"/>
    <row r="1450" hidden="1" outlineLevel="2"/>
    <row r="1451" hidden="1" outlineLevel="2"/>
    <row r="1452" hidden="1" outlineLevel="2"/>
    <row r="1453" hidden="1" outlineLevel="2"/>
    <row r="1454" hidden="1" outlineLevel="2"/>
    <row r="1455" hidden="1" outlineLevel="2"/>
    <row r="1456" hidden="1" outlineLevel="2"/>
    <row r="1457" hidden="1" outlineLevel="1"/>
    <row r="1458" hidden="1" outlineLevel="2"/>
    <row r="1459" hidden="1" outlineLevel="2"/>
    <row r="1460" hidden="1" outlineLevel="2"/>
    <row r="1461" hidden="1" outlineLevel="2"/>
    <row r="1462" hidden="1" outlineLevel="2"/>
    <row r="1463" hidden="1" outlineLevel="2"/>
    <row r="1464" hidden="1" outlineLevel="2"/>
    <row r="1465" hidden="1" outlineLevel="2"/>
    <row r="1467" collapsed="1"/>
    <row r="1468" hidden="1" outlineLevel="1"/>
    <row r="1469" ht="13.5" hidden="1" customHeight="1" outlineLevel="2"/>
    <row r="1470" hidden="1" outlineLevel="2"/>
    <row r="1471" hidden="1" outlineLevel="2"/>
    <row r="1472" hidden="1" outlineLevel="2"/>
    <row r="1473" hidden="1" outlineLevel="2"/>
    <row r="1474" hidden="1" outlineLevel="2"/>
    <row r="1475" ht="13.5" hidden="1" customHeight="1" outlineLevel="2"/>
    <row r="1476" hidden="1" outlineLevel="2"/>
    <row r="1477" hidden="1" outlineLevel="2"/>
    <row r="1478" hidden="1" outlineLevel="2"/>
    <row r="1479" hidden="1" outlineLevel="2"/>
    <row r="1480" hidden="1" outlineLevel="1"/>
    <row r="1481" hidden="1" outlineLevel="2"/>
    <row r="1482" hidden="1" outlineLevel="2"/>
    <row r="1483" hidden="1" outlineLevel="2"/>
    <row r="1484" hidden="1" outlineLevel="1"/>
    <row r="1485" hidden="1" outlineLevel="2"/>
    <row r="1486" hidden="1" outlineLevel="2"/>
    <row r="1487" hidden="1" outlineLevel="2"/>
    <row r="1489" collapsed="1"/>
    <row r="1490" hidden="1" outlineLevel="1"/>
    <row r="1491" ht="13.5" hidden="1" customHeight="1" outlineLevel="2"/>
    <row r="1492" hidden="1" outlineLevel="2"/>
    <row r="1493" hidden="1" outlineLevel="2"/>
    <row r="1494" hidden="1" outlineLevel="2"/>
    <row r="1495" ht="13.5" hidden="1" customHeight="1" outlineLevel="2"/>
    <row r="1496" hidden="1" outlineLevel="2"/>
    <row r="1498" collapsed="1"/>
    <row r="1499" hidden="1" outlineLevel="1"/>
    <row r="1500" hidden="1" outlineLevel="2"/>
    <row r="1501" hidden="1" outlineLevel="2"/>
    <row r="1502" hidden="1" outlineLevel="2"/>
    <row r="1503" hidden="1" outlineLevel="2"/>
    <row r="1504" hidden="1" outlineLevel="2"/>
    <row r="1505" hidden="1" outlineLevel="2"/>
    <row r="1506" hidden="1" outlineLevel="2"/>
    <row r="1507" hidden="1" outlineLevel="1"/>
    <row r="1508" hidden="1" outlineLevel="2"/>
    <row r="1509" hidden="1" outlineLevel="2"/>
    <row r="1510" hidden="1" outlineLevel="2"/>
    <row r="1511" hidden="1" outlineLevel="2"/>
    <row r="1512" hidden="1" outlineLevel="1"/>
    <row r="1513" hidden="1" outlineLevel="2"/>
    <row r="1514" hidden="1" outlineLevel="2"/>
    <row r="1515" hidden="1" outlineLevel="2"/>
    <row r="1516" hidden="1" outlineLevel="2"/>
    <row r="1518" collapsed="1"/>
    <row r="1519" hidden="1" outlineLevel="1"/>
    <row r="1520" hidden="1" outlineLevel="2"/>
    <row r="1521" hidden="1" outlineLevel="2"/>
    <row r="1522" hidden="1" outlineLevel="2"/>
    <row r="1523" hidden="1" outlineLevel="2"/>
    <row r="1524" ht="13.5" hidden="1" customHeight="1" outlineLevel="2"/>
    <row r="1525" hidden="1" outlineLevel="2"/>
    <row r="1526" hidden="1" outlineLevel="2"/>
    <row r="1527" hidden="1" outlineLevel="2"/>
    <row r="1528" hidden="1" outlineLevel="1"/>
    <row r="1529" hidden="1" outlineLevel="2"/>
    <row r="1530" hidden="1" outlineLevel="2"/>
    <row r="1531" ht="13.5" hidden="1" customHeight="1" outlineLevel="2"/>
    <row r="1532" hidden="1" outlineLevel="2"/>
    <row r="1533" hidden="1" outlineLevel="2"/>
    <row r="1534" hidden="1" outlineLevel="2"/>
    <row r="1535" hidden="1" outlineLevel="1"/>
    <row r="1536" hidden="1" outlineLevel="2"/>
    <row r="1537" hidden="1" outlineLevel="2"/>
    <row r="1538" ht="13.5" hidden="1" customHeight="1" outlineLevel="2"/>
    <row r="1539" hidden="1" outlineLevel="2"/>
    <row r="1540" hidden="1" outlineLevel="2"/>
    <row r="1541" hidden="1" outlineLevel="2"/>
    <row r="1543" collapsed="1"/>
    <row r="1544" hidden="1" outlineLevel="1"/>
    <row r="1545" hidden="1" outlineLevel="2"/>
    <row r="1546" hidden="1" outlineLevel="2"/>
    <row r="1547" hidden="1" outlineLevel="2"/>
    <row r="1548" hidden="1" outlineLevel="2"/>
    <row r="1549" ht="13.5" hidden="1" customHeight="1" outlineLevel="2"/>
    <row r="1550" hidden="1" outlineLevel="2"/>
    <row r="1551" hidden="1" outlineLevel="2"/>
    <row r="1552" hidden="1" outlineLevel="1"/>
    <row r="1553" hidden="1" outlineLevel="2"/>
    <row r="1554" hidden="1" outlineLevel="2"/>
    <row r="1555" hidden="1" outlineLevel="2"/>
    <row r="1556" hidden="1" outlineLevel="2"/>
    <row r="1557" hidden="1" outlineLevel="1"/>
    <row r="1558" hidden="1" outlineLevel="2"/>
    <row r="1559" hidden="1" outlineLevel="2"/>
    <row r="1560" hidden="1" outlineLevel="2"/>
    <row r="1561" hidden="1" outlineLevel="2"/>
    <row r="1563" collapsed="1"/>
    <row r="1564" hidden="1" outlineLevel="1"/>
    <row r="1565" hidden="1" outlineLevel="2"/>
    <row r="1566" hidden="1" outlineLevel="2"/>
    <row r="1567" hidden="1" outlineLevel="2"/>
    <row r="1568" hidden="1" outlineLevel="2"/>
    <row r="1569" hidden="1" outlineLevel="1"/>
    <row r="1570" hidden="1" outlineLevel="2"/>
    <row r="1571" hidden="1" outlineLevel="2"/>
    <row r="1572" hidden="1" outlineLevel="2"/>
    <row r="1573" hidden="1" outlineLevel="2"/>
    <row r="1574" hidden="1" outlineLevel="1"/>
    <row r="1575" hidden="1" outlineLevel="2"/>
    <row r="1576" hidden="1" outlineLevel="2"/>
    <row r="1577" hidden="1" outlineLevel="2"/>
    <row r="1578" hidden="1" outlineLevel="2"/>
    <row r="1580" collapsed="1"/>
    <row r="1581" hidden="1" outlineLevel="1"/>
    <row r="1582" hidden="1" outlineLevel="2"/>
    <row r="1583" hidden="1" outlineLevel="2"/>
    <row r="1584" hidden="1" outlineLevel="2"/>
    <row r="1585" hidden="1" outlineLevel="2"/>
    <row r="1586" hidden="1" outlineLevel="2"/>
    <row r="1587" hidden="1" outlineLevel="2"/>
    <row r="1588" hidden="1" outlineLevel="2"/>
    <row r="1589" hidden="1" outlineLevel="2"/>
    <row r="1590" hidden="1" outlineLevel="2"/>
    <row r="1591" hidden="1" outlineLevel="2"/>
    <row r="1592" hidden="1" outlineLevel="2"/>
    <row r="1593" hidden="1" outlineLevel="2"/>
    <row r="1594" hidden="1" outlineLevel="2"/>
    <row r="1595" hidden="1" outlineLevel="2"/>
    <row r="1596" hidden="1" outlineLevel="2"/>
    <row r="1597" hidden="1" outlineLevel="2"/>
    <row r="1598" hidden="1" outlineLevel="2"/>
    <row r="1599" hidden="1" outlineLevel="2"/>
    <row r="1600" hidden="1" outlineLevel="2"/>
    <row r="1601" hidden="1" outlineLevel="2"/>
    <row r="1602" hidden="1" outlineLevel="2"/>
    <row r="1603" hidden="1" outlineLevel="2"/>
    <row r="1604" hidden="1" outlineLevel="2"/>
    <row r="1605" hidden="1" outlineLevel="2"/>
    <row r="1606" hidden="1" outlineLevel="2"/>
    <row r="1607" hidden="1" outlineLevel="2"/>
    <row r="1608" hidden="1" outlineLevel="2"/>
    <row r="1609" hidden="1" outlineLevel="2"/>
    <row r="1610" hidden="1" outlineLevel="2"/>
    <row r="1611" hidden="1" outlineLevel="1"/>
    <row r="1612" hidden="1" outlineLevel="2"/>
    <row r="1613" hidden="1" outlineLevel="2"/>
    <row r="1614" hidden="1" outlineLevel="2"/>
    <row r="1615" hidden="1" outlineLevel="2"/>
    <row r="1616" hidden="1" outlineLevel="2"/>
    <row r="1617" hidden="1" outlineLevel="2"/>
    <row r="1618" hidden="1" outlineLevel="2"/>
    <row r="1619" hidden="1" outlineLevel="2"/>
    <row r="1620" hidden="1" outlineLevel="2"/>
    <row r="1621" hidden="1" outlineLevel="2"/>
    <row r="1622" hidden="1" outlineLevel="2"/>
    <row r="1623" hidden="1" outlineLevel="2"/>
    <row r="1624" hidden="1" outlineLevel="2"/>
    <row r="1625" hidden="1" outlineLevel="2"/>
    <row r="1626" hidden="1" outlineLevel="1"/>
    <row r="1627" hidden="1" outlineLevel="2"/>
    <row r="1628" hidden="1" outlineLevel="2"/>
    <row r="1629" hidden="1" outlineLevel="2"/>
    <row r="1630" hidden="1" outlineLevel="2"/>
    <row r="1631" hidden="1" outlineLevel="2"/>
    <row r="1632" hidden="1" outlineLevel="2"/>
    <row r="1633" hidden="1" outlineLevel="2"/>
    <row r="1634" hidden="1" outlineLevel="2"/>
    <row r="1635" hidden="1" outlineLevel="2"/>
    <row r="1636" hidden="1" outlineLevel="2"/>
    <row r="1637" hidden="1" outlineLevel="2"/>
    <row r="1638" hidden="1" outlineLevel="2"/>
    <row r="1639" hidden="1" outlineLevel="2"/>
    <row r="1640" hidden="1" outlineLevel="2"/>
    <row r="1641" hidden="1" outlineLevel="1"/>
    <row r="1642" hidden="1" outlineLevel="2"/>
    <row r="1643" hidden="1" outlineLevel="2"/>
    <row r="1644" hidden="1" outlineLevel="2"/>
    <row r="1645" hidden="1" outlineLevel="2"/>
    <row r="1646" hidden="1" outlineLevel="2"/>
    <row r="1647" hidden="1" outlineLevel="2"/>
    <row r="1648" hidden="1" outlineLevel="1"/>
    <row r="1649" hidden="1" outlineLevel="2"/>
    <row r="1650" hidden="1" outlineLevel="2"/>
    <row r="1651" hidden="1" outlineLevel="2"/>
    <row r="1652" hidden="1" outlineLevel="2"/>
    <row r="1653" hidden="1" outlineLevel="2"/>
    <row r="1654" hidden="1" outlineLevel="2"/>
    <row r="1655" hidden="1" outlineLevel="2"/>
    <row r="1656" hidden="1" outlineLevel="2"/>
    <row r="1657" hidden="1" outlineLevel="2"/>
    <row r="1658" hidden="1" outlineLevel="2"/>
    <row r="1659" hidden="1" outlineLevel="2"/>
    <row r="1660" hidden="1" outlineLevel="2"/>
    <row r="1661" hidden="1" outlineLevel="2"/>
    <row r="1662" hidden="1" outlineLevel="2"/>
    <row r="1663" hidden="1" outlineLevel="2"/>
    <row r="1664" hidden="1" outlineLevel="2"/>
    <row r="1665" hidden="1" outlineLevel="2"/>
    <row r="1667" collapsed="1"/>
    <row r="1668" hidden="1" outlineLevel="1"/>
    <row r="1669" hidden="1" outlineLevel="2"/>
    <row r="1670" hidden="1" outlineLevel="2"/>
    <row r="1671" hidden="1" outlineLevel="2"/>
    <row r="1672" hidden="1" outlineLevel="2"/>
    <row r="1673" hidden="1" outlineLevel="2"/>
    <row r="1674" hidden="1" outlineLevel="2"/>
    <row r="1675" hidden="1" outlineLevel="2"/>
    <row r="1676" hidden="1" outlineLevel="2"/>
    <row r="1677" hidden="1" outlineLevel="2"/>
    <row r="1678" hidden="1" outlineLevel="2"/>
    <row r="1679" hidden="1" outlineLevel="2"/>
    <row r="1680" hidden="1" outlineLevel="2"/>
    <row r="1681" hidden="1" outlineLevel="2"/>
    <row r="1682" hidden="1" outlineLevel="1"/>
    <row r="1683" hidden="1" outlineLevel="2"/>
    <row r="1684" hidden="1" outlineLevel="2"/>
    <row r="1685" hidden="1" outlineLevel="2"/>
    <row r="1686" hidden="1" outlineLevel="2"/>
    <row r="1687" hidden="1" outlineLevel="2"/>
    <row r="1688" hidden="1" outlineLevel="2"/>
    <row r="1689" hidden="1" outlineLevel="2"/>
    <row r="1690" hidden="1" outlineLevel="1"/>
    <row r="1691" hidden="1" outlineLevel="2"/>
    <row r="1692" hidden="1" outlineLevel="2"/>
    <row r="1693" hidden="1" outlineLevel="2"/>
    <row r="1694" hidden="1" outlineLevel="2"/>
    <row r="1695" hidden="1" outlineLevel="2"/>
    <row r="1696" hidden="1" outlineLevel="2"/>
    <row r="1697" hidden="1" outlineLevel="2"/>
    <row r="1698" hidden="1" outlineLevel="2"/>
    <row r="1699" hidden="1" outlineLevel="2"/>
    <row r="1700" hidden="1" outlineLevel="2"/>
    <row r="1701" hidden="1" outlineLevel="2"/>
    <row r="1702" hidden="1" outlineLevel="2"/>
    <row r="1703" hidden="1" outlineLevel="2"/>
    <row r="1704" hidden="1" outlineLevel="2"/>
    <row r="1705" hidden="1" outlineLevel="2"/>
    <row r="1706" collapsed="1"/>
    <row r="1707" hidden="1" outlineLevel="1"/>
    <row r="1708" hidden="1" outlineLevel="2"/>
    <row r="1709" hidden="1" outlineLevel="2"/>
    <row r="1710" hidden="1" outlineLevel="2"/>
    <row r="1711" hidden="1" outlineLevel="2"/>
    <row r="1712" hidden="1" outlineLevel="2"/>
    <row r="1713" hidden="1" outlineLevel="2"/>
    <row r="1714" hidden="1" outlineLevel="2"/>
    <row r="1715" hidden="1" outlineLevel="1"/>
    <row r="1716" hidden="1" outlineLevel="2"/>
    <row r="1717" hidden="1" outlineLevel="2"/>
    <row r="1718" hidden="1" outlineLevel="2"/>
    <row r="1719" hidden="1" outlineLevel="2"/>
    <row r="1720" hidden="1" outlineLevel="2"/>
    <row r="1721" hidden="1" outlineLevel="2"/>
    <row r="1722" hidden="1" outlineLevel="2"/>
    <row r="1723" hidden="1" outlineLevel="2"/>
    <row r="1724" hidden="1" outlineLevel="2"/>
    <row r="1725" hidden="1" outlineLevel="2"/>
    <row r="1726" hidden="1" outlineLevel="2"/>
    <row r="1727" hidden="1" outlineLevel="2"/>
    <row r="1728" hidden="1" outlineLevel="2"/>
    <row r="1729" hidden="1" outlineLevel="1"/>
    <row r="1730" hidden="1" outlineLevel="2"/>
    <row r="1731" hidden="1" outlineLevel="2"/>
    <row r="1732" hidden="1" outlineLevel="2"/>
    <row r="1733" hidden="1" outlineLevel="2"/>
    <row r="1734" hidden="1" outlineLevel="2"/>
    <row r="1735" hidden="1" outlineLevel="2"/>
    <row r="1737" collapsed="1"/>
    <row r="1738" hidden="1" outlineLevel="1"/>
    <row r="1739" hidden="1" outlineLevel="2"/>
    <row r="1740" hidden="1" outlineLevel="2"/>
    <row r="1741" hidden="1" outlineLevel="2"/>
    <row r="1742" hidden="1" outlineLevel="2"/>
    <row r="1743" hidden="1" outlineLevel="2"/>
    <row r="1744" hidden="1" outlineLevel="2"/>
    <row r="1745" hidden="1" outlineLevel="2"/>
    <row r="1746" hidden="1" outlineLevel="2"/>
    <row r="1747" hidden="1" outlineLevel="2"/>
    <row r="1748" hidden="1" outlineLevel="2"/>
    <row r="1749" hidden="1" outlineLevel="2"/>
    <row r="1750" hidden="1" outlineLevel="1"/>
    <row r="1751" hidden="1" outlineLevel="2"/>
    <row r="1752" hidden="1" outlineLevel="2"/>
    <row r="1753" hidden="1" outlineLevel="2"/>
    <row r="1754" hidden="1" outlineLevel="2"/>
    <row r="1755" hidden="1" outlineLevel="2"/>
    <row r="1756" hidden="1" outlineLevel="2"/>
    <row r="1757" hidden="1" outlineLevel="2"/>
    <row r="1758" hidden="1" outlineLevel="2"/>
    <row r="1759" hidden="1" outlineLevel="1"/>
    <row r="1760" hidden="1" outlineLevel="2"/>
    <row r="1761" hidden="1" outlineLevel="2"/>
    <row r="1762" hidden="1" outlineLevel="2"/>
    <row r="1763" hidden="1" outlineLevel="2"/>
    <row r="1764" hidden="1" outlineLevel="2"/>
    <row r="1765" hidden="1" outlineLevel="2"/>
    <row r="1766" hidden="1" outlineLevel="2"/>
    <row r="1767" hidden="1" outlineLevel="2"/>
    <row r="1768" hidden="1" outlineLevel="1"/>
    <row r="1769" hidden="1" outlineLevel="2"/>
    <row r="1770" hidden="1" outlineLevel="2"/>
    <row r="1771" hidden="1" outlineLevel="2"/>
    <row r="1772" hidden="1" outlineLevel="2"/>
    <row r="1773" hidden="1" outlineLevel="2"/>
    <row r="1774" hidden="1" outlineLevel="2"/>
    <row r="1775" hidden="1" outlineLevel="2"/>
    <row r="1776" hidden="1" outlineLevel="2"/>
    <row r="1777" hidden="1" outlineLevel="2"/>
    <row r="1778" hidden="1" outlineLevel="1"/>
    <row r="1779" hidden="1" outlineLevel="2"/>
    <row r="1780" hidden="1" outlineLevel="2"/>
    <row r="1781" hidden="1" outlineLevel="2"/>
    <row r="1782" hidden="1" outlineLevel="2"/>
    <row r="1783" hidden="1" outlineLevel="2"/>
    <row r="1784" hidden="1" outlineLevel="2"/>
    <row r="1785" hidden="1" outlineLevel="2"/>
    <row r="1786" hidden="1" outlineLevel="2"/>
    <row r="1788" collapsed="1"/>
    <row r="1789" hidden="1" outlineLevel="1"/>
    <row r="1790" hidden="1" outlineLevel="2"/>
    <row r="1791" hidden="1" outlineLevel="2"/>
    <row r="1792" hidden="1" outlineLevel="2"/>
    <row r="1793" hidden="1" outlineLevel="2"/>
    <row r="1794" hidden="1" outlineLevel="2"/>
    <row r="1795" hidden="1" outlineLevel="2"/>
    <row r="1796" hidden="1" outlineLevel="2"/>
    <row r="1797" hidden="1" outlineLevel="2"/>
    <row r="1798" hidden="1" outlineLevel="2"/>
    <row r="1799" hidden="1" outlineLevel="2"/>
    <row r="1800" hidden="1" outlineLevel="2"/>
    <row r="1801" hidden="1" outlineLevel="2"/>
    <row r="1802" hidden="1" outlineLevel="2"/>
    <row r="1803" hidden="1" outlineLevel="2"/>
    <row r="1804" hidden="1" outlineLevel="2"/>
    <row r="1805" hidden="1" outlineLevel="1"/>
    <row r="1806" hidden="1" outlineLevel="2"/>
    <row r="1807" hidden="1" outlineLevel="2"/>
    <row r="1808" hidden="1" outlineLevel="2"/>
    <row r="1809" hidden="1" outlineLevel="2"/>
    <row r="1810" hidden="1" outlineLevel="2"/>
    <row r="1811" hidden="1" outlineLevel="2"/>
    <row r="1812" hidden="1" outlineLevel="2"/>
    <row r="1813" hidden="1" outlineLevel="1"/>
    <row r="1814" hidden="1" outlineLevel="2"/>
    <row r="1815" hidden="1" outlineLevel="2"/>
    <row r="1816" hidden="1" outlineLevel="2"/>
    <row r="1817" hidden="1" outlineLevel="2"/>
    <row r="1818" hidden="1" outlineLevel="2"/>
    <row r="1819" hidden="1" outlineLevel="2"/>
    <row r="1820" hidden="1" outlineLevel="2"/>
    <row r="1822" collapsed="1"/>
    <row r="1823" hidden="1" outlineLevel="1"/>
    <row r="1824" hidden="1" outlineLevel="2"/>
    <row r="1825" hidden="1" outlineLevel="2"/>
    <row r="1826" hidden="1" outlineLevel="2"/>
    <row r="1827" hidden="1" outlineLevel="2"/>
    <row r="1828" hidden="1" outlineLevel="2"/>
    <row r="1829" hidden="1" outlineLevel="2"/>
    <row r="1830" hidden="1" outlineLevel="2"/>
    <row r="1831" hidden="1" outlineLevel="2"/>
    <row r="1832" hidden="1" outlineLevel="2"/>
    <row r="1833" hidden="1" outlineLevel="2"/>
    <row r="1834" hidden="1" outlineLevel="2"/>
    <row r="1835" hidden="1" outlineLevel="1"/>
    <row r="1836" hidden="1" outlineLevel="2"/>
    <row r="1837" hidden="1" outlineLevel="2"/>
    <row r="1838" hidden="1" outlineLevel="2"/>
    <row r="1839" hidden="1" outlineLevel="2"/>
    <row r="1840" hidden="1" outlineLevel="2"/>
    <row r="1841" hidden="1" outlineLevel="2"/>
    <row r="1842" hidden="1" outlineLevel="2"/>
    <row r="1843" hidden="1" outlineLevel="1"/>
    <row r="1844" hidden="1" outlineLevel="2"/>
    <row r="1845" hidden="1" outlineLevel="2"/>
    <row r="1846" hidden="1" outlineLevel="2"/>
    <row r="1847" hidden="1" outlineLevel="2"/>
    <row r="1848" hidden="1" outlineLevel="2"/>
    <row r="1849" hidden="1" outlineLevel="2"/>
    <row r="1850" hidden="1" outlineLevel="2"/>
    <row r="1851" hidden="1" outlineLevel="1"/>
    <row r="1852" hidden="1" outlineLevel="2"/>
    <row r="1853" hidden="1" outlineLevel="2"/>
    <row r="1854" hidden="1" outlineLevel="2"/>
    <row r="1855" hidden="1" outlineLevel="2"/>
    <row r="1856" hidden="1" outlineLevel="2"/>
    <row r="1857" hidden="1" outlineLevel="2"/>
    <row r="1858" hidden="1" outlineLevel="2"/>
    <row r="1859" hidden="1" outlineLevel="1"/>
    <row r="1860" hidden="1" outlineLevel="2"/>
    <row r="1861" hidden="1" outlineLevel="2"/>
    <row r="1862" hidden="1" outlineLevel="2"/>
    <row r="1863" hidden="1" outlineLevel="2"/>
    <row r="1864" hidden="1" outlineLevel="2"/>
    <row r="1865" hidden="1" outlineLevel="2"/>
    <row r="1866" hidden="1" outlineLevel="2"/>
    <row r="1867" hidden="1" outlineLevel="1"/>
    <row r="1868" hidden="1" outlineLevel="2"/>
    <row r="1869" hidden="1" outlineLevel="2"/>
    <row r="1870" hidden="1" outlineLevel="2"/>
    <row r="1871" hidden="1" outlineLevel="2"/>
    <row r="1872" hidden="1" outlineLevel="2"/>
    <row r="1873" hidden="1" outlineLevel="2"/>
    <row r="1874" hidden="1" outlineLevel="2"/>
    <row r="1875" hidden="1" outlineLevel="2"/>
    <row r="1876" hidden="1" outlineLevel="2"/>
    <row r="1878" collapsed="1"/>
    <row r="1879" hidden="1" outlineLevel="1"/>
    <row r="1880" hidden="1" outlineLevel="2"/>
    <row r="1881" hidden="1" outlineLevel="2"/>
    <row r="1882" hidden="1" outlineLevel="2"/>
    <row r="1883" hidden="1" outlineLevel="2"/>
    <row r="1884" hidden="1" outlineLevel="2"/>
    <row r="1885" hidden="1" outlineLevel="2"/>
    <row r="1886" hidden="1" outlineLevel="2"/>
    <row r="1887" hidden="1" outlineLevel="2"/>
    <row r="1888" hidden="1" outlineLevel="2"/>
    <row r="1889" hidden="1" outlineLevel="1"/>
    <row r="1890" hidden="1" outlineLevel="2"/>
    <row r="1891" hidden="1" outlineLevel="2"/>
    <row r="1892" hidden="1" outlineLevel="2"/>
    <row r="1893" hidden="1" outlineLevel="2"/>
    <row r="1894" hidden="1" outlineLevel="2"/>
    <row r="1895" hidden="1" outlineLevel="2"/>
    <row r="1896" hidden="1" outlineLevel="2"/>
    <row r="1898" collapsed="1"/>
    <row r="1899" hidden="1" outlineLevel="1"/>
    <row r="1900" hidden="1" outlineLevel="2"/>
    <row r="1901" hidden="1" outlineLevel="2"/>
    <row r="1902" hidden="1" outlineLevel="2"/>
    <row r="1903" hidden="1" outlineLevel="2"/>
    <row r="1904" hidden="1" outlineLevel="2"/>
    <row r="1905" hidden="1" outlineLevel="1"/>
    <row r="1906" hidden="1" outlineLevel="2"/>
    <row r="1907" hidden="1" outlineLevel="2"/>
    <row r="1908" hidden="1" outlineLevel="2"/>
    <row r="1909" hidden="1" outlineLevel="2"/>
    <row r="1910" hidden="1" outlineLevel="1"/>
    <row r="1911" hidden="1" outlineLevel="2"/>
    <row r="1912" hidden="1" outlineLevel="2"/>
    <row r="1913" hidden="1" outlineLevel="2"/>
    <row r="1914" hidden="1" outlineLevel="2"/>
    <row r="1915" hidden="1" outlineLevel="1"/>
    <row r="1916" hidden="1" outlineLevel="2"/>
    <row r="1917" hidden="1" outlineLevel="2"/>
    <row r="1918" hidden="1" outlineLevel="2"/>
    <row r="1919" hidden="1" outlineLevel="2"/>
    <row r="1920" collapsed="1"/>
    <row r="1921" hidden="1" outlineLevel="1"/>
    <row r="1922" hidden="1" outlineLevel="2"/>
    <row r="1923" hidden="1" outlineLevel="2"/>
    <row r="1924" hidden="1" outlineLevel="2"/>
    <row r="1925" hidden="1" outlineLevel="2"/>
    <row r="1926" hidden="1" outlineLevel="2"/>
    <row r="1927" hidden="1" outlineLevel="2"/>
    <row r="1928" hidden="1" outlineLevel="2"/>
    <row r="1929" hidden="1" outlineLevel="1"/>
    <row r="1930" hidden="1" outlineLevel="2"/>
    <row r="1931" hidden="1" outlineLevel="2"/>
    <row r="1932" hidden="1" outlineLevel="2"/>
    <row r="1933" hidden="1" outlineLevel="1"/>
    <row r="1934" hidden="1" outlineLevel="2"/>
    <row r="1935" hidden="1" outlineLevel="2"/>
    <row r="1936" hidden="1" outlineLevel="2"/>
    <row r="1937" hidden="1" outlineLevel="1"/>
    <row r="1938" hidden="1" outlineLevel="2"/>
    <row r="1939" hidden="1" outlineLevel="2"/>
    <row r="1940" hidden="1" outlineLevel="2"/>
    <row r="1941" hidden="1" outlineLevel="2"/>
    <row r="1943" collapsed="1"/>
    <row r="1944" hidden="1" outlineLevel="1"/>
    <row r="1945" hidden="1" outlineLevel="2"/>
    <row r="1946" hidden="1" outlineLevel="2"/>
    <row r="1947" hidden="1" outlineLevel="2"/>
    <row r="1948" hidden="1" outlineLevel="2"/>
    <row r="1949" hidden="1" outlineLevel="2"/>
    <row r="1950" hidden="1" outlineLevel="2"/>
    <row r="1951" hidden="1" outlineLevel="2"/>
    <row r="1952" hidden="1" outlineLevel="2"/>
    <row r="1953" hidden="1" outlineLevel="2"/>
    <row r="1954" hidden="1" outlineLevel="2"/>
    <row r="1955" hidden="1" outlineLevel="2"/>
    <row r="1956" hidden="1" outlineLevel="2"/>
    <row r="1957" hidden="1" outlineLevel="2"/>
    <row r="1958" hidden="1" outlineLevel="2"/>
    <row r="1959" hidden="1" outlineLevel="2"/>
    <row r="1960" hidden="1" outlineLevel="2"/>
    <row r="1961" hidden="1" outlineLevel="2"/>
    <row r="1962" hidden="1" outlineLevel="1"/>
    <row r="1963" hidden="1" outlineLevel="2"/>
    <row r="1964" hidden="1" outlineLevel="2"/>
    <row r="1965" ht="14.65" hidden="1" customHeight="1" outlineLevel="2"/>
    <row r="1966" ht="14.65" hidden="1" customHeight="1" outlineLevel="2"/>
    <row r="1967" hidden="1" outlineLevel="2"/>
    <row r="1968" hidden="1" outlineLevel="2"/>
    <row r="1969" hidden="1" outlineLevel="2"/>
    <row r="1970" hidden="1" outlineLevel="2"/>
    <row r="1971" hidden="1" outlineLevel="2"/>
    <row r="1972" hidden="1" outlineLevel="2"/>
    <row r="1973" hidden="1" outlineLevel="2"/>
    <row r="1974" hidden="1" outlineLevel="1"/>
    <row r="1975" hidden="1" outlineLevel="2"/>
    <row r="1976" hidden="1" outlineLevel="2"/>
    <row r="1977" hidden="1" outlineLevel="2"/>
    <row r="1978" ht="14.65" hidden="1" customHeight="1" outlineLevel="2"/>
    <row r="1979" hidden="1" outlineLevel="2"/>
    <row r="1980" hidden="1" outlineLevel="2"/>
    <row r="1981" hidden="1" outlineLevel="2"/>
    <row r="1982" hidden="1" outlineLevel="2"/>
    <row r="1983" hidden="1" outlineLevel="2"/>
    <row r="1984" hidden="1" outlineLevel="2"/>
    <row r="1986" collapsed="1"/>
    <row r="1987" hidden="1" outlineLevel="1"/>
    <row r="1988" hidden="1" outlineLevel="2"/>
    <row r="1989" hidden="1" outlineLevel="2"/>
    <row r="1990" hidden="1" outlineLevel="2"/>
    <row r="1991" hidden="1" outlineLevel="2"/>
    <row r="1992" hidden="1" outlineLevel="2"/>
    <row r="1993" hidden="1" outlineLevel="2"/>
    <row r="1994" hidden="1" outlineLevel="2"/>
    <row r="1995" hidden="1" outlineLevel="2"/>
    <row r="1996" hidden="1" outlineLevel="2"/>
    <row r="1997" hidden="1" outlineLevel="1"/>
    <row r="1998" hidden="1" outlineLevel="2"/>
    <row r="1999" hidden="1" outlineLevel="2"/>
    <row r="2000" hidden="1" outlineLevel="2"/>
    <row r="2001" hidden="1" outlineLevel="2"/>
    <row r="2002" hidden="1" outlineLevel="2"/>
    <row r="2003" hidden="1" outlineLevel="2"/>
    <row r="2004" hidden="1" outlineLevel="2"/>
    <row r="2005" hidden="1" outlineLevel="2"/>
    <row r="2006" hidden="1" outlineLevel="1"/>
    <row r="2007" hidden="1" outlineLevel="2"/>
    <row r="2008" hidden="1" outlineLevel="2"/>
    <row r="2009" hidden="1" outlineLevel="2"/>
    <row r="2010" hidden="1" outlineLevel="2"/>
    <row r="2011" hidden="1" outlineLevel="2"/>
    <row r="2012" hidden="1" outlineLevel="2"/>
    <row r="2013" hidden="1" outlineLevel="2"/>
    <row r="2014" hidden="1" outlineLevel="2"/>
    <row r="2015" hidden="1" outlineLevel="2"/>
    <row r="2016" hidden="1" outlineLevel="2"/>
    <row r="2017" hidden="1" outlineLevel="2"/>
    <row r="2018" hidden="1" outlineLevel="1"/>
    <row r="2019" hidden="1" outlineLevel="2"/>
    <row r="2020" hidden="1" outlineLevel="2"/>
    <row r="2021" hidden="1" outlineLevel="2"/>
    <row r="2022" hidden="1" outlineLevel="2"/>
    <row r="2023" hidden="1" outlineLevel="2"/>
    <row r="2024" hidden="1" outlineLevel="2"/>
    <row r="2025" hidden="1" outlineLevel="2"/>
    <row r="2026" hidden="1" outlineLevel="2"/>
    <row r="2028" ht="14.65" customHeight="1" collapsed="1"/>
    <row r="2029" hidden="1" outlineLevel="1"/>
    <row r="2030" hidden="1" outlineLevel="2"/>
    <row r="2031" hidden="1" outlineLevel="2"/>
    <row r="2032" hidden="1" outlineLevel="2"/>
    <row r="2033" hidden="1" outlineLevel="2"/>
    <row r="2034" hidden="1" outlineLevel="2"/>
    <row r="2035" hidden="1" outlineLevel="2"/>
    <row r="2036" hidden="1" outlineLevel="2"/>
    <row r="2037" hidden="1" outlineLevel="2"/>
    <row r="2038" hidden="1" outlineLevel="2"/>
    <row r="2039" hidden="1" outlineLevel="2"/>
    <row r="2040" hidden="1" outlineLevel="2"/>
    <row r="2041" hidden="1" outlineLevel="2"/>
    <row r="2042" hidden="1" outlineLevel="2"/>
    <row r="2043" hidden="1" outlineLevel="2"/>
    <row r="2044" hidden="1" outlineLevel="1"/>
    <row r="2045" hidden="1" outlineLevel="2"/>
    <row r="2046" hidden="1" outlineLevel="2"/>
    <row r="2047" hidden="1" outlineLevel="2"/>
    <row r="2048" hidden="1" outlineLevel="2"/>
    <row r="2049" hidden="1" outlineLevel="1"/>
    <row r="2050" hidden="1" outlineLevel="2"/>
    <row r="2051" hidden="1" outlineLevel="2"/>
    <row r="2052" hidden="1" outlineLevel="2"/>
    <row r="2053" hidden="1" outlineLevel="2"/>
    <row r="2055" ht="14.65" customHeight="1" collapsed="1"/>
    <row r="2056" hidden="1" outlineLevel="1"/>
    <row r="2057" hidden="1" outlineLevel="2"/>
    <row r="2058" hidden="1" outlineLevel="2"/>
    <row r="2059" hidden="1" outlineLevel="2"/>
    <row r="2060" hidden="1" outlineLevel="2"/>
    <row r="2061" hidden="1" outlineLevel="2"/>
    <row r="2062" hidden="1" outlineLevel="2"/>
    <row r="2063" hidden="1" outlineLevel="2"/>
    <row r="2064" hidden="1" outlineLevel="2"/>
    <row r="2065" hidden="1" outlineLevel="1"/>
    <row r="2066" hidden="1" outlineLevel="2"/>
    <row r="2067" hidden="1" outlineLevel="2"/>
    <row r="2068" hidden="1" outlineLevel="2"/>
    <row r="2069" hidden="1" outlineLevel="2"/>
    <row r="2070" hidden="1" outlineLevel="2"/>
    <row r="2071" hidden="1" outlineLevel="1"/>
    <row r="2072" hidden="1" outlineLevel="2"/>
    <row r="2073" hidden="1" outlineLevel="2"/>
    <row r="2074" hidden="1" outlineLevel="2"/>
    <row r="2075" hidden="1" outlineLevel="2"/>
    <row r="2076" hidden="1" outlineLevel="2"/>
    <row r="2078" ht="14.65" customHeight="1" collapsed="1"/>
    <row r="2079" hidden="1" outlineLevel="1"/>
    <row r="2080" hidden="1" outlineLevel="2"/>
    <row r="2081" hidden="1" outlineLevel="2"/>
    <row r="2082" hidden="1" outlineLevel="2"/>
    <row r="2083" hidden="1" outlineLevel="2"/>
    <row r="2084" hidden="1" outlineLevel="2"/>
    <row r="2085" hidden="1" outlineLevel="2"/>
    <row r="2086" hidden="1" outlineLevel="2"/>
    <row r="2087" hidden="1" outlineLevel="1"/>
    <row r="2088" hidden="1" outlineLevel="2"/>
    <row r="2089" hidden="1" outlineLevel="2"/>
    <row r="2090" hidden="1" outlineLevel="2"/>
    <row r="2091" hidden="1" outlineLevel="2"/>
    <row r="2092" hidden="1" outlineLevel="1"/>
    <row r="2093" hidden="1" outlineLevel="2"/>
    <row r="2094" hidden="1" outlineLevel="2"/>
    <row r="2095" hidden="1" outlineLevel="2"/>
    <row r="2096" hidden="1" outlineLevel="2"/>
    <row r="2098" ht="14.65" customHeight="1" collapsed="1"/>
    <row r="2099" hidden="1" outlineLevel="1"/>
    <row r="2100" hidden="1" outlineLevel="2"/>
    <row r="2101" hidden="1" outlineLevel="2"/>
    <row r="2102" hidden="1" outlineLevel="2"/>
    <row r="2103" hidden="1" outlineLevel="2"/>
    <row r="2104" hidden="1" outlineLevel="2"/>
    <row r="2105" hidden="1" outlineLevel="2"/>
    <row r="2106" hidden="1" outlineLevel="2"/>
    <row r="2107" hidden="1" outlineLevel="2"/>
    <row r="2108" hidden="1" outlineLevel="2"/>
    <row r="2109" hidden="1" outlineLevel="2"/>
    <row r="2110" hidden="1" outlineLevel="2"/>
    <row r="2111" hidden="1" outlineLevel="2"/>
    <row r="2112" hidden="1" outlineLevel="2"/>
    <row r="2113" hidden="1" outlineLevel="1"/>
    <row r="2114" hidden="1" outlineLevel="2"/>
    <row r="2115" hidden="1" outlineLevel="2"/>
    <row r="2116" hidden="1" outlineLevel="2"/>
    <row r="2117" hidden="1" outlineLevel="2"/>
    <row r="2118" hidden="1" outlineLevel="2"/>
    <row r="2119" hidden="1" outlineLevel="2"/>
    <row r="2120" hidden="1" outlineLevel="2"/>
    <row r="2121" hidden="1" outlineLevel="2"/>
    <row r="2122" hidden="1" outlineLevel="2"/>
    <row r="2123" hidden="1" outlineLevel="2"/>
    <row r="2125" ht="14.65" customHeight="1" collapsed="1"/>
    <row r="2126" hidden="1" outlineLevel="1"/>
    <row r="2127" hidden="1" outlineLevel="2"/>
    <row r="2128" hidden="1" outlineLevel="2"/>
    <row r="2129" hidden="1" outlineLevel="2"/>
    <row r="2130" hidden="1" outlineLevel="2"/>
    <row r="2131" hidden="1" outlineLevel="1"/>
    <row r="2132" hidden="1" outlineLevel="2"/>
    <row r="2133" hidden="1" outlineLevel="2"/>
    <row r="2134" hidden="1" outlineLevel="2"/>
    <row r="2135" hidden="1" outlineLevel="2"/>
    <row r="2136" hidden="1" outlineLevel="1"/>
    <row r="2137" hidden="1" outlineLevel="2"/>
    <row r="2138" hidden="1" outlineLevel="2"/>
    <row r="2139" hidden="1" outlineLevel="2"/>
    <row r="2140" hidden="1" outlineLevel="2"/>
    <row r="2142" collapsed="1"/>
    <row r="2143" hidden="1" outlineLevel="1"/>
    <row r="2144" hidden="1" outlineLevel="2"/>
    <row r="2145" hidden="1" outlineLevel="2"/>
    <row r="2146" hidden="1" outlineLevel="2"/>
    <row r="2147" hidden="1" outlineLevel="1"/>
    <row r="2148" hidden="1" outlineLevel="2"/>
    <row r="2149" hidden="1" outlineLevel="2"/>
    <row r="2150" hidden="1" outlineLevel="2"/>
    <row r="2151" hidden="1" outlineLevel="2"/>
    <row r="2152" hidden="1" outlineLevel="2"/>
    <row r="2153" hidden="1" outlineLevel="2"/>
    <row r="2154" hidden="1" outlineLevel="2"/>
    <row r="2155" hidden="1" outlineLevel="2"/>
    <row r="2156" hidden="1" outlineLevel="2"/>
    <row r="2157" hidden="1" outlineLevel="1"/>
    <row r="2158" hidden="1" outlineLevel="2"/>
    <row r="2159" hidden="1" outlineLevel="2"/>
    <row r="2160" hidden="1" outlineLevel="2"/>
    <row r="2161" hidden="1" outlineLevel="2"/>
    <row r="2162" hidden="1" outlineLevel="2"/>
    <row r="2163" hidden="1" outlineLevel="2"/>
    <row r="2164" hidden="1" outlineLevel="2"/>
    <row r="2165" hidden="1" outlineLevel="2"/>
    <row r="2166" hidden="1" outlineLevel="2"/>
    <row r="2168" collapsed="1"/>
    <row r="2169" hidden="1" outlineLevel="1"/>
    <row r="2170" ht="13.9" hidden="1" customHeight="1" outlineLevel="2"/>
    <row r="2171" ht="13.9" hidden="1" customHeight="1" outlineLevel="2"/>
    <row r="2172" hidden="1" outlineLevel="2"/>
    <row r="2173" hidden="1" outlineLevel="2"/>
    <row r="2174" hidden="1" outlineLevel="2"/>
    <row r="2175" hidden="1" outlineLevel="2"/>
    <row r="2176" hidden="1" outlineLevel="2"/>
    <row r="2177" hidden="1" outlineLevel="2"/>
    <row r="2178" hidden="1" outlineLevel="2"/>
    <row r="2179" hidden="1" outlineLevel="2"/>
    <row r="2180" hidden="1" outlineLevel="2"/>
    <row r="2181" hidden="1" outlineLevel="2"/>
    <row r="2182" hidden="1" outlineLevel="1"/>
    <row r="2183" hidden="1" outlineLevel="2"/>
    <row r="2184" hidden="1" outlineLevel="2"/>
    <row r="2185" hidden="1" outlineLevel="2"/>
    <row r="2186" hidden="1" outlineLevel="1"/>
    <row r="2187" hidden="1" outlineLevel="2"/>
    <row r="2188" hidden="1" outlineLevel="2"/>
    <row r="2189" hidden="1" outlineLevel="2"/>
    <row r="2191" collapsed="1"/>
    <row r="2192" hidden="1" outlineLevel="1"/>
    <row r="2193" hidden="1" outlineLevel="2"/>
    <row r="2194" hidden="1" outlineLevel="2"/>
    <row r="2195" hidden="1" outlineLevel="2"/>
    <row r="2196" hidden="1" outlineLevel="2"/>
    <row r="2197" hidden="1" outlineLevel="2"/>
    <row r="2198" hidden="1" outlineLevel="2"/>
    <row r="2199" hidden="1" outlineLevel="2"/>
    <row r="2200" hidden="1" outlineLevel="2"/>
    <row r="2201" hidden="1" outlineLevel="2"/>
    <row r="2202" hidden="1" outlineLevel="2"/>
    <row r="2203" hidden="1" outlineLevel="1"/>
    <row r="2204" hidden="1" outlineLevel="2"/>
    <row r="2205" hidden="1" outlineLevel="2"/>
    <row r="2206" hidden="1" outlineLevel="2"/>
    <row r="2207" hidden="1" outlineLevel="2"/>
    <row r="2208" hidden="1" outlineLevel="2"/>
    <row r="2209" hidden="1" outlineLevel="2"/>
    <row r="2210" hidden="1" outlineLevel="1"/>
    <row r="2211" hidden="1" outlineLevel="2"/>
    <row r="2212" hidden="1" outlineLevel="2"/>
    <row r="2213" hidden="1" outlineLevel="2"/>
    <row r="2214" hidden="1" outlineLevel="2"/>
    <row r="2215" hidden="1" outlineLevel="2"/>
    <row r="2216" hidden="1" outlineLevel="2"/>
    <row r="2217" collapsed="1"/>
    <row r="2218" hidden="1" outlineLevel="1"/>
    <row r="2219" hidden="1" outlineLevel="2"/>
    <row r="2220" hidden="1" outlineLevel="2"/>
    <row r="2221" hidden="1" outlineLevel="2"/>
    <row r="2222" hidden="1" outlineLevel="2"/>
    <row r="2223" hidden="1" outlineLevel="2"/>
    <row r="2224" hidden="1" outlineLevel="2"/>
    <row r="2225" hidden="1" outlineLevel="2"/>
    <row r="2226" hidden="1" outlineLevel="1"/>
    <row r="2227" hidden="1" outlineLevel="2"/>
    <row r="2228" hidden="1" outlineLevel="2"/>
    <row r="2229" hidden="1" outlineLevel="2"/>
    <row r="2230" hidden="1" outlineLevel="2"/>
    <row r="2231" hidden="1" outlineLevel="2"/>
    <row r="2232" hidden="1" outlineLevel="1"/>
    <row r="2233" hidden="1" outlineLevel="2"/>
    <row r="2234" hidden="1" outlineLevel="2"/>
    <row r="2235" hidden="1" outlineLevel="2"/>
    <row r="2236" hidden="1" outlineLevel="2"/>
    <row r="2237" hidden="1" outlineLevel="2"/>
    <row r="2238" hidden="1" outlineLevel="1"/>
    <row r="2239" hidden="1" outlineLevel="2"/>
    <row r="2240" hidden="1" outlineLevel="2"/>
    <row r="2241" hidden="1" outlineLevel="2"/>
    <row r="2242" hidden="1" outlineLevel="2"/>
    <row r="2243" hidden="1" outlineLevel="2"/>
    <row r="2244" collapsed="1"/>
    <row r="2245" hidden="1" outlineLevel="1"/>
    <row r="2246" hidden="1" outlineLevel="2"/>
    <row r="2247" hidden="1" outlineLevel="2"/>
    <row r="2248" hidden="1" outlineLevel="2"/>
    <row r="2249" hidden="1" outlineLevel="2"/>
    <row r="2250" hidden="1" outlineLevel="2"/>
    <row r="2251" hidden="1" outlineLevel="2"/>
    <row r="2252" hidden="1" outlineLevel="1"/>
    <row r="2253" hidden="1" outlineLevel="2"/>
    <row r="2254" hidden="1" outlineLevel="2"/>
    <row r="2255" hidden="1" outlineLevel="2"/>
    <row r="2256" hidden="1" outlineLevel="1"/>
    <row r="2257" hidden="1" outlineLevel="2"/>
    <row r="2258" hidden="1" outlineLevel="2"/>
    <row r="2259" hidden="1" outlineLevel="2"/>
    <row r="2260" hidden="1" outlineLevel="1"/>
    <row r="2261" hidden="1" outlineLevel="2"/>
    <row r="2262" hidden="1" outlineLevel="2"/>
    <row r="2263" hidden="1" outlineLevel="2"/>
    <row r="2264" hidden="1" outlineLevel="2"/>
    <row r="2266" ht="14.65" customHeight="1" collapsed="1"/>
    <row r="2267" hidden="1" outlineLevel="1"/>
    <row r="2268" hidden="1" outlineLevel="2"/>
    <row r="2269" hidden="1" outlineLevel="2"/>
    <row r="2270" hidden="1" outlineLevel="2"/>
    <row r="2271" hidden="1" outlineLevel="2"/>
    <row r="2272" hidden="1" outlineLevel="2"/>
    <row r="2273" hidden="1" outlineLevel="2"/>
    <row r="2274" hidden="1" outlineLevel="2"/>
    <row r="2275" hidden="1" outlineLevel="2"/>
    <row r="2276" hidden="1" outlineLevel="2"/>
    <row r="2277" hidden="1" outlineLevel="2"/>
    <row r="2278" hidden="1" outlineLevel="2"/>
    <row r="2279" hidden="1" outlineLevel="1"/>
    <row r="2280" hidden="1" outlineLevel="2"/>
    <row r="2281" hidden="1" outlineLevel="2"/>
    <row r="2282" hidden="1" outlineLevel="2"/>
    <row r="2283" hidden="1" outlineLevel="2"/>
    <row r="2284" hidden="1" outlineLevel="2"/>
    <row r="2285" hidden="1" outlineLevel="2"/>
    <row r="2286" hidden="1" outlineLevel="1"/>
    <row r="2287" hidden="1" outlineLevel="2"/>
    <row r="2288" hidden="1" outlineLevel="2"/>
    <row r="2289" hidden="1" outlineLevel="2"/>
    <row r="2290" hidden="1" outlineLevel="2"/>
    <row r="2291" hidden="1" outlineLevel="2"/>
    <row r="2292" hidden="1" outlineLevel="2"/>
    <row r="2293" hidden="1" outlineLevel="1"/>
    <row r="2294" hidden="1" outlineLevel="2"/>
    <row r="2295" hidden="1" outlineLevel="2"/>
    <row r="2296" hidden="1" outlineLevel="2"/>
    <row r="2297" hidden="1" outlineLevel="2"/>
    <row r="2298" hidden="1" outlineLevel="2"/>
    <row r="2299" hidden="1" outlineLevel="2"/>
    <row r="2301" ht="14.65" customHeight="1" collapsed="1"/>
    <row r="2302" hidden="1" outlineLevel="1"/>
    <row r="2303" hidden="1" outlineLevel="2"/>
    <row r="2304" hidden="1" outlineLevel="2"/>
    <row r="2305" hidden="1" outlineLevel="2"/>
    <row r="2306" hidden="1" outlineLevel="2"/>
    <row r="2307" hidden="1" outlineLevel="2"/>
    <row r="2308" hidden="1" outlineLevel="2"/>
    <row r="2309" hidden="1" outlineLevel="2"/>
    <row r="2310" hidden="1" outlineLevel="2"/>
    <row r="2311" hidden="1" outlineLevel="2"/>
    <row r="2312" hidden="1" outlineLevel="2"/>
    <row r="2313" hidden="1" outlineLevel="2"/>
    <row r="2314" hidden="1" outlineLevel="2"/>
    <row r="2315" hidden="1" outlineLevel="2"/>
    <row r="2316" hidden="1" outlineLevel="2"/>
    <row r="2317" hidden="1" outlineLevel="2"/>
    <row r="2318" hidden="1" outlineLevel="2"/>
    <row r="2319" hidden="1" outlineLevel="2"/>
    <row r="2320" hidden="1" outlineLevel="2"/>
    <row r="2321" hidden="1" outlineLevel="1"/>
    <row r="2322" hidden="1" outlineLevel="2"/>
    <row r="2323" hidden="1" outlineLevel="2"/>
    <row r="2324" hidden="1" outlineLevel="2"/>
    <row r="2325" hidden="1" outlineLevel="2"/>
    <row r="2326" hidden="1" outlineLevel="1"/>
    <row r="2327" hidden="1" outlineLevel="2"/>
    <row r="2328" hidden="1" outlineLevel="2"/>
    <row r="2329" hidden="1" outlineLevel="2"/>
    <row r="2330" hidden="1" outlineLevel="2"/>
    <row r="2331" hidden="1" outlineLevel="1"/>
    <row r="2332" hidden="1" outlineLevel="2"/>
    <row r="2333" hidden="1" outlineLevel="2"/>
    <row r="2334" hidden="1" outlineLevel="2"/>
    <row r="2335" hidden="1" outlineLevel="2"/>
    <row r="2336" hidden="1" outlineLevel="2"/>
    <row r="2337" hidden="1" outlineLevel="1"/>
    <row r="2338" hidden="1" outlineLevel="2"/>
    <row r="2339" hidden="1" outlineLevel="2"/>
    <row r="2340" hidden="1" outlineLevel="2"/>
    <row r="2341" hidden="1" outlineLevel="2"/>
    <row r="2342" hidden="1" outlineLevel="2"/>
    <row r="2343" hidden="1" outlineLevel="1"/>
    <row r="2344" hidden="1" outlineLevel="2"/>
    <row r="2345" hidden="1" outlineLevel="2"/>
    <row r="2346" hidden="1" outlineLevel="2"/>
    <row r="2347" hidden="1" outlineLevel="2"/>
    <row r="2348" hidden="1" outlineLevel="2"/>
    <row r="2349" hidden="1" outlineLevel="2"/>
    <row r="2350" hidden="1" outlineLevel="2"/>
    <row r="2351" hidden="1" outlineLevel="2"/>
    <row r="2352" hidden="1" outlineLevel="1"/>
    <row r="2353" hidden="1" outlineLevel="2"/>
    <row r="2354" hidden="1" outlineLevel="2"/>
    <row r="2355" hidden="1" outlineLevel="2"/>
    <row r="2356" hidden="1" outlineLevel="2"/>
    <row r="2357" hidden="1" outlineLevel="2"/>
    <row r="2358" hidden="1" outlineLevel="2"/>
    <row r="2359" hidden="1" outlineLevel="2"/>
    <row r="2360" hidden="1" outlineLevel="2"/>
    <row r="2361" hidden="1" outlineLevel="1"/>
    <row r="2362" hidden="1" outlineLevel="2"/>
    <row r="2363" hidden="1" outlineLevel="2"/>
    <row r="2364" hidden="1" outlineLevel="2"/>
    <row r="2365" hidden="1" outlineLevel="2"/>
    <row r="2366" hidden="1" outlineLevel="2"/>
    <row r="2367" hidden="1" outlineLevel="2"/>
    <row r="2368" hidden="1" outlineLevel="2"/>
    <row r="2369" hidden="1" outlineLevel="2"/>
    <row r="2370" hidden="1" outlineLevel="1"/>
    <row r="2371" hidden="1" outlineLevel="2"/>
    <row r="2372" hidden="1" outlineLevel="2"/>
    <row r="2373" hidden="1" outlineLevel="2"/>
    <row r="2374" hidden="1" outlineLevel="2"/>
    <row r="2375" hidden="1" outlineLevel="2"/>
    <row r="2376" hidden="1" outlineLevel="2"/>
    <row r="2377" hidden="1" outlineLevel="2"/>
    <row r="2378" hidden="1" outlineLevel="2"/>
    <row r="2379" hidden="1" outlineLevel="2"/>
    <row r="2381" collapsed="1"/>
    <row r="2382" hidden="1" outlineLevel="1"/>
    <row r="2383" hidden="1" outlineLevel="2"/>
    <row r="2384" hidden="1" outlineLevel="2"/>
    <row r="2385" hidden="1" outlineLevel="2"/>
    <row r="2386" hidden="1" outlineLevel="2"/>
    <row r="2387" ht="13.5" hidden="1" customHeight="1" outlineLevel="2"/>
    <row r="2388" ht="13.5" hidden="1" customHeight="1" outlineLevel="2"/>
    <row r="2389" hidden="1" outlineLevel="1"/>
    <row r="2390" hidden="1" outlineLevel="2"/>
    <row r="2391" hidden="1" outlineLevel="2"/>
    <row r="2392" ht="13.5" hidden="1" customHeight="1" outlineLevel="2"/>
    <row r="2393" ht="13.5" hidden="1" customHeight="1" outlineLevel="2"/>
    <row r="2394" hidden="1" outlineLevel="1"/>
    <row r="2395" hidden="1" outlineLevel="2"/>
    <row r="2396" hidden="1" outlineLevel="2"/>
    <row r="2397" ht="13.5" hidden="1" customHeight="1" outlineLevel="2"/>
    <row r="2398" ht="13.5" hidden="1" customHeight="1" outlineLevel="2"/>
    <row r="2400" collapsed="1"/>
    <row r="2401" hidden="1" outlineLevel="1"/>
    <row r="2402" hidden="1" outlineLevel="2"/>
    <row r="2403" hidden="1" outlineLevel="2"/>
    <row r="2404" hidden="1" outlineLevel="2"/>
    <row r="2405" hidden="1" outlineLevel="2"/>
    <row r="2406" hidden="1" outlineLevel="2"/>
    <row r="2407" ht="13.5" hidden="1" customHeight="1" outlineLevel="2"/>
    <row r="2408" ht="13.5" hidden="1" customHeight="1" outlineLevel="2"/>
    <row r="2409" ht="13.5" hidden="1" customHeight="1" outlineLevel="2"/>
    <row r="2410" hidden="1" outlineLevel="1"/>
    <row r="2411" hidden="1" outlineLevel="2"/>
    <row r="2412" ht="13.5" hidden="1" customHeight="1" outlineLevel="2"/>
    <row r="2413" hidden="1" outlineLevel="2"/>
    <row r="2414" ht="13.5" hidden="1" customHeight="1" outlineLevel="2"/>
    <row r="2415" ht="13.5" hidden="1" customHeight="1" outlineLevel="2"/>
    <row r="2416" ht="13.5" hidden="1" customHeight="1" outlineLevel="2"/>
    <row r="2417" ht="13.5" hidden="1" customHeight="1" outlineLevel="2"/>
    <row r="2418" hidden="1" outlineLevel="1"/>
    <row r="2419" hidden="1" outlineLevel="2"/>
    <row r="2420" hidden="1" outlineLevel="2"/>
    <row r="2421" ht="13.5" hidden="1" customHeight="1" outlineLevel="2"/>
    <row r="2422" ht="13.5" hidden="1" customHeight="1" outlineLevel="2"/>
    <row r="2423" ht="13.5" hidden="1" customHeight="1" outlineLevel="2"/>
    <row r="2424" hidden="1" outlineLevel="1"/>
    <row r="2425" hidden="1" outlineLevel="2"/>
    <row r="2426" hidden="1" outlineLevel="2"/>
    <row r="2427" ht="13.5" hidden="1" customHeight="1" outlineLevel="2"/>
    <row r="2428" ht="13.5" hidden="1" customHeight="1" outlineLevel="2"/>
    <row r="2429" ht="13.5" hidden="1" customHeight="1" outlineLevel="2"/>
    <row r="2431" collapsed="1"/>
    <row r="2432" hidden="1" outlineLevel="1"/>
    <row r="2433" hidden="1" outlineLevel="2"/>
    <row r="2434" hidden="1" outlineLevel="2"/>
    <row r="2435" hidden="1" outlineLevel="2"/>
    <row r="2436" ht="13.5" hidden="1" customHeight="1" outlineLevel="2"/>
    <row r="2437" ht="13.5" hidden="1" customHeight="1" outlineLevel="2"/>
    <row r="2438" ht="13.5" hidden="1" customHeight="1" outlineLevel="2"/>
    <row r="2439" hidden="1" outlineLevel="1"/>
    <row r="2440" hidden="1" outlineLevel="2"/>
    <row r="2441" hidden="1" outlineLevel="2"/>
    <row r="2442" ht="13.5" hidden="1" customHeight="1" outlineLevel="2"/>
    <row r="2443" ht="13.5" hidden="1" customHeight="1" outlineLevel="2"/>
    <row r="2444" ht="13.5" hidden="1" customHeight="1" outlineLevel="2"/>
    <row r="2445" hidden="1" outlineLevel="1"/>
    <row r="2446" hidden="1" outlineLevel="2"/>
    <row r="2447" hidden="1" outlineLevel="2"/>
    <row r="2448" ht="13.5" hidden="1" customHeight="1" outlineLevel="2"/>
    <row r="2449" ht="13.5" hidden="1" customHeight="1" outlineLevel="2"/>
    <row r="2450" ht="13.5" hidden="1" customHeight="1" outlineLevel="2"/>
    <row r="2452" collapsed="1"/>
    <row r="2453" hidden="1" outlineLevel="1"/>
    <row r="2454" hidden="1" outlineLevel="2"/>
    <row r="2455" hidden="1" outlineLevel="2"/>
    <row r="2456" hidden="1" outlineLevel="2"/>
    <row r="2457" hidden="1" outlineLevel="2"/>
    <row r="2458" hidden="1" outlineLevel="2"/>
    <row r="2459" hidden="1" outlineLevel="1"/>
    <row r="2460" hidden="1" outlineLevel="2"/>
    <row r="2461" hidden="1" outlineLevel="2"/>
    <row r="2462" hidden="1" outlineLevel="2"/>
    <row r="2463" hidden="1" outlineLevel="2"/>
    <row r="2464" hidden="1" outlineLevel="1"/>
    <row r="2465" hidden="1" outlineLevel="2"/>
    <row r="2466" hidden="1" outlineLevel="2"/>
    <row r="2467" hidden="1" outlineLevel="2"/>
    <row r="2468" hidden="1" outlineLevel="2"/>
    <row r="2469" hidden="1" outlineLevel="1"/>
    <row r="2470" hidden="1" outlineLevel="2"/>
    <row r="2471" hidden="1" outlineLevel="2"/>
    <row r="2472" hidden="1" outlineLevel="2"/>
    <row r="2473" hidden="1" outlineLevel="2"/>
    <row r="2474" hidden="1" outlineLevel="1"/>
    <row r="2475" hidden="1" outlineLevel="2"/>
    <row r="2476" hidden="1" outlineLevel="2"/>
    <row r="2477" hidden="1" outlineLevel="2"/>
    <row r="2478" hidden="1" outlineLevel="2"/>
    <row r="2479" hidden="1" outlineLevel="1"/>
    <row r="2480" hidden="1" outlineLevel="2"/>
    <row r="2481" hidden="1" outlineLevel="2"/>
    <row r="2482" hidden="1" outlineLevel="2"/>
    <row r="2483" hidden="1" outlineLevel="2"/>
    <row r="2484" hidden="1" outlineLevel="1"/>
    <row r="2485" hidden="1" outlineLevel="2"/>
    <row r="2486" hidden="1" outlineLevel="2"/>
    <row r="2487" hidden="1" outlineLevel="2"/>
    <row r="2488" hidden="1" outlineLevel="2"/>
    <row r="2489" hidden="1" outlineLevel="2"/>
    <row r="2491" collapsed="1"/>
    <row r="2492" hidden="1" outlineLevel="1"/>
    <row r="2493" hidden="1" outlineLevel="2"/>
    <row r="2494" hidden="1" outlineLevel="2"/>
    <row r="2495" hidden="1" outlineLevel="2"/>
    <row r="2496" hidden="1" outlineLevel="2"/>
    <row r="2497" hidden="1" outlineLevel="2"/>
    <row r="2498" hidden="1" outlineLevel="2"/>
    <row r="2499" hidden="1" outlineLevel="2"/>
    <row r="2500" hidden="1" outlineLevel="2"/>
    <row r="2501" hidden="1" outlineLevel="2"/>
    <row r="2502" hidden="1" outlineLevel="2"/>
    <row r="2503" hidden="1" outlineLevel="2"/>
    <row r="2504" hidden="1" outlineLevel="2"/>
    <row r="2505" hidden="1" outlineLevel="1"/>
    <row r="2506" hidden="1" outlineLevel="2"/>
    <row r="2507" hidden="1" outlineLevel="2"/>
    <row r="2508" hidden="1" outlineLevel="2"/>
    <row r="2509" hidden="1" outlineLevel="2"/>
    <row r="2510" hidden="1" outlineLevel="2"/>
    <row r="2511" hidden="1" outlineLevel="2"/>
    <row r="2512" hidden="1" outlineLevel="2"/>
    <row r="2513" hidden="1" outlineLevel="2"/>
    <row r="2514" hidden="1" outlineLevel="1"/>
    <row r="2515" hidden="1" outlineLevel="2"/>
    <row r="2516" hidden="1" outlineLevel="2"/>
    <row r="2517" hidden="1" outlineLevel="2"/>
    <row r="2518" hidden="1" outlineLevel="2"/>
    <row r="2519" hidden="1" outlineLevel="2"/>
    <row r="2520" hidden="1" outlineLevel="2"/>
    <row r="2521" hidden="1" outlineLevel="2"/>
    <row r="2522" hidden="1" outlineLevel="2"/>
    <row r="2524" collapsed="1"/>
    <row r="2525" hidden="1" outlineLevel="1"/>
    <row r="2526" hidden="1" outlineLevel="2"/>
    <row r="2527" hidden="1" outlineLevel="2"/>
    <row r="2528" hidden="1" outlineLevel="2"/>
    <row r="2529" hidden="1" outlineLevel="2"/>
    <row r="2530" hidden="1" outlineLevel="2"/>
    <row r="2531" hidden="1" outlineLevel="2"/>
    <row r="2532" hidden="1" outlineLevel="2"/>
    <row r="2533" hidden="1" outlineLevel="2"/>
    <row r="2534" hidden="1" outlineLevel="2"/>
    <row r="2535" hidden="1" outlineLevel="2"/>
    <row r="2536" hidden="1" outlineLevel="2"/>
    <row r="2537" hidden="1" outlineLevel="2"/>
    <row r="2538" hidden="1" outlineLevel="2"/>
    <row r="2539" hidden="1" outlineLevel="2"/>
    <row r="2540" hidden="1" outlineLevel="2"/>
    <row r="2541" hidden="1" outlineLevel="2"/>
    <row r="2542" hidden="1" outlineLevel="2"/>
    <row r="2543" ht="13.5" hidden="1" customHeight="1" outlineLevel="2"/>
    <row r="2544" ht="13.5" hidden="1" customHeight="1" outlineLevel="2"/>
    <row r="2545" ht="13.5" hidden="1" customHeight="1" outlineLevel="2"/>
    <row r="2546" hidden="1" outlineLevel="2"/>
    <row r="2547" hidden="1" outlineLevel="2"/>
    <row r="2548" hidden="1" outlineLevel="1"/>
    <row r="2549" hidden="1" outlineLevel="2"/>
    <row r="2550" hidden="1" outlineLevel="2"/>
    <row r="2551" hidden="1" outlineLevel="2"/>
    <row r="2552" hidden="1" outlineLevel="2"/>
    <row r="2553" hidden="1" outlineLevel="2"/>
    <row r="2554" hidden="1" outlineLevel="2"/>
    <row r="2555" hidden="1" outlineLevel="1"/>
    <row r="2556" hidden="1" outlineLevel="2"/>
    <row r="2557" hidden="1" outlineLevel="2"/>
    <row r="2558" hidden="1" outlineLevel="2"/>
    <row r="2559" ht="13.5" hidden="1" customHeight="1" outlineLevel="2"/>
    <row r="2560" hidden="1" outlineLevel="2"/>
    <row r="2561" ht="13.5" hidden="1" customHeight="1" outlineLevel="2"/>
    <row r="2562" ht="13.5" hidden="1" customHeight="1" outlineLevel="2"/>
    <row r="2563" ht="13.5" hidden="1" customHeight="1" outlineLevel="2"/>
    <row r="2564" ht="13.5" hidden="1" customHeight="1" outlineLevel="2"/>
    <row r="2565" ht="13.5" hidden="1" customHeight="1" outlineLevel="2"/>
    <row r="2566" ht="13.5" hidden="1" customHeight="1" outlineLevel="2"/>
    <row r="2567" hidden="1" outlineLevel="1"/>
    <row r="2568" hidden="1" outlineLevel="2"/>
    <row r="2569" ht="13.5" hidden="1" customHeight="1" outlineLevel="2"/>
    <row r="2570" hidden="1" outlineLevel="2"/>
    <row r="2571" ht="13.5" hidden="1" customHeight="1" outlineLevel="2"/>
    <row r="2572" ht="13.5" hidden="1" customHeight="1" outlineLevel="2"/>
    <row r="2573" ht="13.5" hidden="1" customHeight="1" outlineLevel="2"/>
    <row r="2574" ht="13.5" hidden="1" customHeight="1" outlineLevel="2"/>
    <row r="2575" ht="13.5" hidden="1" customHeight="1" outlineLevel="2"/>
    <row r="2576" hidden="1" outlineLevel="1"/>
    <row r="2577" hidden="1" outlineLevel="2"/>
    <row r="2578" ht="13.5" hidden="1" customHeight="1" outlineLevel="2"/>
    <row r="2579" hidden="1" outlineLevel="2"/>
    <row r="2580" ht="13.5" hidden="1" customHeight="1" outlineLevel="2"/>
    <row r="2581" ht="13.5" hidden="1" customHeight="1" outlineLevel="2"/>
    <row r="2582" ht="13.5" hidden="1" customHeight="1" outlineLevel="2"/>
    <row r="2583" ht="13.5" hidden="1" customHeight="1" outlineLevel="2"/>
    <row r="2584" ht="13.5" hidden="1" customHeight="1" outlineLevel="2"/>
    <row r="2586" collapsed="1"/>
    <row r="2587" hidden="1" outlineLevel="1"/>
    <row r="2588" hidden="1" outlineLevel="2"/>
    <row r="2589" hidden="1" outlineLevel="2"/>
    <row r="2590" hidden="1" outlineLevel="2"/>
    <row r="2591" hidden="1" outlineLevel="2"/>
    <row r="2592" hidden="1" outlineLevel="2"/>
    <row r="2593" ht="13.5" hidden="1" customHeight="1" outlineLevel="2"/>
    <row r="2594" ht="13.5" hidden="1" customHeight="1" outlineLevel="2"/>
    <row r="2595" hidden="1" outlineLevel="1"/>
    <row r="2596" hidden="1" outlineLevel="2"/>
    <row r="2597" hidden="1" outlineLevel="2"/>
    <row r="2598" ht="13.5" hidden="1" customHeight="1" outlineLevel="2"/>
    <row r="2599" ht="13.5" hidden="1" customHeight="1" outlineLevel="2"/>
    <row r="2600" hidden="1" outlineLevel="1"/>
    <row r="2601" hidden="1" outlineLevel="2"/>
    <row r="2602" hidden="1" outlineLevel="2"/>
    <row r="2603" ht="13.5" hidden="1" customHeight="1" outlineLevel="2"/>
    <row r="2604" ht="13.5" hidden="1" customHeight="1" outlineLevel="2"/>
    <row r="2605" hidden="1" outlineLevel="2"/>
    <row r="2606" ht="13.5" hidden="1" customHeight="1" outlineLevel="2"/>
    <row r="2608" collapsed="1"/>
    <row r="2609" hidden="1" outlineLevel="1"/>
    <row r="2610" hidden="1" outlineLevel="2"/>
    <row r="2611" hidden="1" outlineLevel="2"/>
    <row r="2612" hidden="1" outlineLevel="2"/>
    <row r="2613" hidden="1" outlineLevel="2"/>
    <row r="2614" hidden="1" outlineLevel="2"/>
    <row r="2615" ht="13.5" hidden="1" customHeight="1" outlineLevel="2"/>
    <row r="2616" hidden="1" outlineLevel="2"/>
    <row r="2617" hidden="1" outlineLevel="2"/>
    <row r="2618" hidden="1" outlineLevel="1"/>
    <row r="2619" hidden="1" outlineLevel="2"/>
    <row r="2620" hidden="1" outlineLevel="2"/>
    <row r="2621" hidden="1" outlineLevel="2"/>
    <row r="2622" hidden="1" outlineLevel="2"/>
    <row r="2623" hidden="1" outlineLevel="1"/>
    <row r="2624" hidden="1" outlineLevel="2"/>
    <row r="2625" hidden="1" outlineLevel="2"/>
    <row r="2626" hidden="1" outlineLevel="2"/>
    <row r="2627" hidden="1" outlineLevel="2"/>
    <row r="2629" collapsed="1"/>
    <row r="2630" hidden="1" outlineLevel="1"/>
    <row r="2631" hidden="1" outlineLevel="2"/>
    <row r="2632" hidden="1" outlineLevel="2"/>
    <row r="2633" hidden="1" outlineLevel="2"/>
    <row r="2634" hidden="1" outlineLevel="2"/>
    <row r="2635" hidden="1" outlineLevel="2"/>
    <row r="2636" ht="13.5" hidden="1" customHeight="1" outlineLevel="2"/>
    <row r="2637" hidden="1" outlineLevel="1"/>
    <row r="2638" hidden="1" outlineLevel="2"/>
    <row r="2639" hidden="1" outlineLevel="2"/>
    <row r="2640" hidden="1" outlineLevel="2"/>
    <row r="2641" hidden="1" outlineLevel="2"/>
    <row r="2642" ht="13.5" hidden="1" customHeight="1" outlineLevel="2"/>
    <row r="2643" hidden="1" outlineLevel="1"/>
    <row r="2644" hidden="1" outlineLevel="2"/>
    <row r="2645" hidden="1" outlineLevel="2"/>
    <row r="2646" hidden="1" outlineLevel="2"/>
    <row r="2647" hidden="1" outlineLevel="2"/>
    <row r="2648" ht="13.5" hidden="1" customHeight="1" outlineLevel="2"/>
    <row r="2650" collapsed="1"/>
    <row r="2651" hidden="1" outlineLevel="1"/>
    <row r="2652" hidden="1" outlineLevel="2"/>
    <row r="2653" hidden="1" outlineLevel="2"/>
    <row r="2654" hidden="1" outlineLevel="2"/>
    <row r="2655" hidden="1" outlineLevel="2"/>
    <row r="2656" hidden="1" outlineLevel="2"/>
    <row r="2657" hidden="1" outlineLevel="2"/>
    <row r="2658" hidden="1" outlineLevel="2"/>
    <row r="2659" hidden="1" outlineLevel="2"/>
    <row r="2660" hidden="1" outlineLevel="2"/>
    <row r="2661" hidden="1" outlineLevel="2"/>
    <row r="2662" hidden="1" outlineLevel="2"/>
    <row r="2663" hidden="1" outlineLevel="2"/>
    <row r="2664" hidden="1" outlineLevel="2"/>
    <row r="2665" hidden="1" outlineLevel="2"/>
    <row r="2666" hidden="1" outlineLevel="2"/>
    <row r="2667" hidden="1" outlineLevel="2"/>
    <row r="2668" hidden="1" outlineLevel="1"/>
    <row r="2669" hidden="1" outlineLevel="2"/>
    <row r="2670" hidden="1" outlineLevel="2"/>
    <row r="2671" hidden="1" outlineLevel="2"/>
    <row r="2672" hidden="1" outlineLevel="2"/>
    <row r="2673" hidden="1" outlineLevel="2"/>
    <row r="2674" hidden="1" outlineLevel="2"/>
    <row r="2675" hidden="1" outlineLevel="2"/>
    <row r="2676" hidden="1" outlineLevel="2"/>
    <row r="2677" hidden="1" outlineLevel="2"/>
    <row r="2678" hidden="1" outlineLevel="2"/>
    <row r="2679" hidden="1" outlineLevel="2"/>
    <row r="2680" hidden="1" outlineLevel="2"/>
    <row r="2681" hidden="1" outlineLevel="1"/>
    <row r="2682" hidden="1" outlineLevel="2"/>
    <row r="2683" hidden="1" outlineLevel="2"/>
    <row r="2684" hidden="1" outlineLevel="2"/>
    <row r="2685" hidden="1" outlineLevel="2"/>
    <row r="2686" hidden="1" outlineLevel="2"/>
    <row r="2687" hidden="1" outlineLevel="2"/>
    <row r="2688" hidden="1" outlineLevel="2"/>
    <row r="2689" hidden="1" outlineLevel="2"/>
    <row r="2690" hidden="1" outlineLevel="2"/>
    <row r="2691" hidden="1" outlineLevel="2"/>
    <row r="2692" hidden="1" outlineLevel="2"/>
    <row r="2693" hidden="1" outlineLevel="2"/>
    <row r="2694" hidden="1" outlineLevel="2"/>
  </sheetData>
  <phoneticPr fontId="10" type="noConversion"/>
  <conditionalFormatting sqref="K1:K8 K10:K26 K34:K69 K245:K249 K252:K256 K259:K263 K266:K270 K72:K233 K235:K236 K243 K273:K277 K280:K284 K287:K288 K576">
    <cfRule type="containsText" dxfId="173" priority="172" operator="containsText" text="nok">
      <formula>NOT(ISERROR(SEARCH("nok",K1)))</formula>
    </cfRule>
    <cfRule type="containsText" dxfId="172" priority="173" operator="containsText" text="fail">
      <formula>NOT(ISERROR(SEARCH("fail",K1)))</formula>
    </cfRule>
    <cfRule type="containsText" dxfId="171" priority="174" operator="containsText" text="pass">
      <formula>NOT(ISERROR(SEARCH("pass",K1)))</formula>
    </cfRule>
  </conditionalFormatting>
  <conditionalFormatting sqref="K9">
    <cfRule type="containsText" dxfId="170" priority="169" operator="containsText" text="nok">
      <formula>NOT(ISERROR(SEARCH("nok",K9)))</formula>
    </cfRule>
    <cfRule type="containsText" dxfId="169" priority="170" operator="containsText" text="fail">
      <formula>NOT(ISERROR(SEARCH("fail",K9)))</formula>
    </cfRule>
    <cfRule type="containsText" dxfId="168" priority="171" operator="containsText" text="pass">
      <formula>NOT(ISERROR(SEARCH("pass",K9)))</formula>
    </cfRule>
  </conditionalFormatting>
  <conditionalFormatting sqref="K27:K33">
    <cfRule type="containsText" dxfId="167" priority="166" operator="containsText" text="nok">
      <formula>NOT(ISERROR(SEARCH("nok",K27)))</formula>
    </cfRule>
    <cfRule type="containsText" dxfId="166" priority="167" operator="containsText" text="fail">
      <formula>NOT(ISERROR(SEARCH("fail",K27)))</formula>
    </cfRule>
    <cfRule type="containsText" dxfId="165" priority="168" operator="containsText" text="pass">
      <formula>NOT(ISERROR(SEARCH("pass",K27)))</formula>
    </cfRule>
  </conditionalFormatting>
  <conditionalFormatting sqref="K27:K33">
    <cfRule type="containsText" dxfId="164" priority="163" operator="containsText" text="nok">
      <formula>NOT(ISERROR(SEARCH("nok",K27)))</formula>
    </cfRule>
    <cfRule type="containsText" dxfId="163" priority="164" operator="containsText" text="fail">
      <formula>NOT(ISERROR(SEARCH("fail",K27)))</formula>
    </cfRule>
    <cfRule type="containsText" dxfId="162" priority="165" operator="containsText" text="pass">
      <formula>NOT(ISERROR(SEARCH("pass",K27)))</formula>
    </cfRule>
  </conditionalFormatting>
  <conditionalFormatting sqref="K27:K33">
    <cfRule type="containsText" dxfId="161" priority="160" operator="containsText" text="nok">
      <formula>NOT(ISERROR(SEARCH("nok",K27)))</formula>
    </cfRule>
    <cfRule type="containsText" dxfId="160" priority="161" operator="containsText" text="fail">
      <formula>NOT(ISERROR(SEARCH("fail",K27)))</formula>
    </cfRule>
    <cfRule type="containsText" dxfId="159" priority="162" operator="containsText" text="pass">
      <formula>NOT(ISERROR(SEARCH("pass",K27)))</formula>
    </cfRule>
  </conditionalFormatting>
  <conditionalFormatting sqref="K64">
    <cfRule type="containsText" dxfId="158" priority="157" operator="containsText" text="nok">
      <formula>NOT(ISERROR(SEARCH("nok",K64)))</formula>
    </cfRule>
    <cfRule type="containsText" dxfId="157" priority="158" operator="containsText" text="fail">
      <formula>NOT(ISERROR(SEARCH("fail",K64)))</formula>
    </cfRule>
    <cfRule type="containsText" dxfId="156" priority="159" operator="containsText" text="pass">
      <formula>NOT(ISERROR(SEARCH("pass",K64)))</formula>
    </cfRule>
  </conditionalFormatting>
  <conditionalFormatting sqref="K70:K71">
    <cfRule type="containsText" dxfId="155" priority="154" operator="containsText" text="nok">
      <formula>NOT(ISERROR(SEARCH("nok",K70)))</formula>
    </cfRule>
    <cfRule type="containsText" dxfId="154" priority="155" operator="containsText" text="fail">
      <formula>NOT(ISERROR(SEARCH("fail",K70)))</formula>
    </cfRule>
    <cfRule type="containsText" dxfId="153" priority="156" operator="containsText" text="pass">
      <formula>NOT(ISERROR(SEARCH("pass",K70)))</formula>
    </cfRule>
  </conditionalFormatting>
  <conditionalFormatting sqref="J73">
    <cfRule type="containsText" dxfId="152" priority="151" operator="containsText" text="nok">
      <formula>NOT(ISERROR(SEARCH("nok",J73)))</formula>
    </cfRule>
    <cfRule type="containsText" dxfId="151" priority="152" operator="containsText" text="fail">
      <formula>NOT(ISERROR(SEARCH("fail",J73)))</formula>
    </cfRule>
    <cfRule type="containsText" dxfId="150" priority="153" operator="containsText" text="pass">
      <formula>NOT(ISERROR(SEARCH("pass",J73)))</formula>
    </cfRule>
  </conditionalFormatting>
  <conditionalFormatting sqref="J80:J81">
    <cfRule type="containsText" dxfId="149" priority="148" operator="containsText" text="nok">
      <formula>NOT(ISERROR(SEARCH("nok",J80)))</formula>
    </cfRule>
    <cfRule type="containsText" dxfId="148" priority="149" operator="containsText" text="fail">
      <formula>NOT(ISERROR(SEARCH("fail",J80)))</formula>
    </cfRule>
    <cfRule type="containsText" dxfId="147" priority="150" operator="containsText" text="pass">
      <formula>NOT(ISERROR(SEARCH("pass",J80)))</formula>
    </cfRule>
  </conditionalFormatting>
  <conditionalFormatting sqref="J237:J238">
    <cfRule type="containsText" dxfId="146" priority="145" operator="containsText" text="nok">
      <formula>NOT(ISERROR(SEARCH("nok",J237)))</formula>
    </cfRule>
    <cfRule type="containsText" dxfId="145" priority="146" operator="containsText" text="fail">
      <formula>NOT(ISERROR(SEARCH("fail",J237)))</formula>
    </cfRule>
    <cfRule type="containsText" dxfId="144" priority="147" operator="containsText" text="pass">
      <formula>NOT(ISERROR(SEARCH("pass",J237)))</formula>
    </cfRule>
  </conditionalFormatting>
  <conditionalFormatting sqref="K240:K242">
    <cfRule type="containsText" dxfId="143" priority="142" operator="containsText" text="nok">
      <formula>NOT(ISERROR(SEARCH("nok",K240)))</formula>
    </cfRule>
    <cfRule type="containsText" dxfId="142" priority="143" operator="containsText" text="fail">
      <formula>NOT(ISERROR(SEARCH("fail",K240)))</formula>
    </cfRule>
    <cfRule type="containsText" dxfId="141" priority="144" operator="containsText" text="pass">
      <formula>NOT(ISERROR(SEARCH("pass",K240)))</formula>
    </cfRule>
  </conditionalFormatting>
  <conditionalFormatting sqref="K234">
    <cfRule type="containsText" dxfId="140" priority="139" operator="containsText" text="nok">
      <formula>NOT(ISERROR(SEARCH("nok",K234)))</formula>
    </cfRule>
    <cfRule type="containsText" dxfId="139" priority="140" operator="containsText" text="fail">
      <formula>NOT(ISERROR(SEARCH("fail",K234)))</formula>
    </cfRule>
    <cfRule type="containsText" dxfId="138" priority="141" operator="containsText" text="pass">
      <formula>NOT(ISERROR(SEARCH("pass",K234)))</formula>
    </cfRule>
  </conditionalFormatting>
  <conditionalFormatting sqref="J244">
    <cfRule type="containsText" dxfId="137" priority="136" operator="containsText" text="nok">
      <formula>NOT(ISERROR(SEARCH("nok",J244)))</formula>
    </cfRule>
    <cfRule type="containsText" dxfId="136" priority="137" operator="containsText" text="fail">
      <formula>NOT(ISERROR(SEARCH("fail",J244)))</formula>
    </cfRule>
    <cfRule type="containsText" dxfId="135" priority="138" operator="containsText" text="pass">
      <formula>NOT(ISERROR(SEARCH("pass",J244)))</formula>
    </cfRule>
  </conditionalFormatting>
  <conditionalFormatting sqref="J250:J251">
    <cfRule type="containsText" dxfId="134" priority="133" operator="containsText" text="nok">
      <formula>NOT(ISERROR(SEARCH("nok",J250)))</formula>
    </cfRule>
    <cfRule type="containsText" dxfId="133" priority="134" operator="containsText" text="fail">
      <formula>NOT(ISERROR(SEARCH("fail",J250)))</formula>
    </cfRule>
    <cfRule type="containsText" dxfId="132" priority="135" operator="containsText" text="pass">
      <formula>NOT(ISERROR(SEARCH("pass",J250)))</formula>
    </cfRule>
  </conditionalFormatting>
  <conditionalFormatting sqref="J257:J258">
    <cfRule type="containsText" dxfId="131" priority="130" operator="containsText" text="nok">
      <formula>NOT(ISERROR(SEARCH("nok",J257)))</formula>
    </cfRule>
    <cfRule type="containsText" dxfId="130" priority="131" operator="containsText" text="fail">
      <formula>NOT(ISERROR(SEARCH("fail",J257)))</formula>
    </cfRule>
    <cfRule type="containsText" dxfId="129" priority="132" operator="containsText" text="pass">
      <formula>NOT(ISERROR(SEARCH("pass",J257)))</formula>
    </cfRule>
  </conditionalFormatting>
  <conditionalFormatting sqref="K183">
    <cfRule type="containsText" dxfId="128" priority="127" operator="containsText" text="nok">
      <formula>NOT(ISERROR(SEARCH("nok",K183)))</formula>
    </cfRule>
    <cfRule type="containsText" dxfId="127" priority="128" operator="containsText" text="fail">
      <formula>NOT(ISERROR(SEARCH("fail",K183)))</formula>
    </cfRule>
    <cfRule type="containsText" dxfId="126" priority="129" operator="containsText" text="pass">
      <formula>NOT(ISERROR(SEARCH("pass",K183)))</formula>
    </cfRule>
  </conditionalFormatting>
  <conditionalFormatting sqref="J188">
    <cfRule type="containsText" dxfId="125" priority="124" operator="containsText" text="nok">
      <formula>NOT(ISERROR(SEARCH("nok",J188)))</formula>
    </cfRule>
    <cfRule type="containsText" dxfId="124" priority="125" operator="containsText" text="fail">
      <formula>NOT(ISERROR(SEARCH("fail",J188)))</formula>
    </cfRule>
    <cfRule type="containsText" dxfId="123" priority="126" operator="containsText" text="pass">
      <formula>NOT(ISERROR(SEARCH("pass",J188)))</formula>
    </cfRule>
  </conditionalFormatting>
  <conditionalFormatting sqref="J195:J196">
    <cfRule type="containsText" dxfId="122" priority="121" operator="containsText" text="nok">
      <formula>NOT(ISERROR(SEARCH("nok",J195)))</formula>
    </cfRule>
    <cfRule type="containsText" dxfId="121" priority="122" operator="containsText" text="fail">
      <formula>NOT(ISERROR(SEARCH("fail",J195)))</formula>
    </cfRule>
    <cfRule type="containsText" dxfId="120" priority="123" operator="containsText" text="pass">
      <formula>NOT(ISERROR(SEARCH("pass",J195)))</formula>
    </cfRule>
  </conditionalFormatting>
  <conditionalFormatting sqref="J264:J265">
    <cfRule type="containsText" dxfId="119" priority="118" operator="containsText" text="nok">
      <formula>NOT(ISERROR(SEARCH("nok",J264)))</formula>
    </cfRule>
    <cfRule type="containsText" dxfId="118" priority="119" operator="containsText" text="fail">
      <formula>NOT(ISERROR(SEARCH("fail",J264)))</formula>
    </cfRule>
    <cfRule type="containsText" dxfId="117" priority="120" operator="containsText" text="pass">
      <formula>NOT(ISERROR(SEARCH("pass",J264)))</formula>
    </cfRule>
  </conditionalFormatting>
  <conditionalFormatting sqref="J271:J272">
    <cfRule type="containsText" dxfId="116" priority="115" operator="containsText" text="nok">
      <formula>NOT(ISERROR(SEARCH("nok",J271)))</formula>
    </cfRule>
    <cfRule type="containsText" dxfId="115" priority="116" operator="containsText" text="fail">
      <formula>NOT(ISERROR(SEARCH("fail",J271)))</formula>
    </cfRule>
    <cfRule type="containsText" dxfId="114" priority="117" operator="containsText" text="pass">
      <formula>NOT(ISERROR(SEARCH("pass",J271)))</formula>
    </cfRule>
  </conditionalFormatting>
  <conditionalFormatting sqref="J201">
    <cfRule type="containsText" dxfId="113" priority="112" operator="containsText" text="nok">
      <formula>NOT(ISERROR(SEARCH("nok",J201)))</formula>
    </cfRule>
    <cfRule type="containsText" dxfId="112" priority="113" operator="containsText" text="fail">
      <formula>NOT(ISERROR(SEARCH("fail",J201)))</formula>
    </cfRule>
    <cfRule type="containsText" dxfId="111" priority="114" operator="containsText" text="pass">
      <formula>NOT(ISERROR(SEARCH("pass",J201)))</formula>
    </cfRule>
  </conditionalFormatting>
  <conditionalFormatting sqref="J207">
    <cfRule type="containsText" dxfId="110" priority="109" operator="containsText" text="nok">
      <formula>NOT(ISERROR(SEARCH("nok",J207)))</formula>
    </cfRule>
    <cfRule type="containsText" dxfId="109" priority="110" operator="containsText" text="fail">
      <formula>NOT(ISERROR(SEARCH("fail",J207)))</formula>
    </cfRule>
    <cfRule type="containsText" dxfId="108" priority="111" operator="containsText" text="pass">
      <formula>NOT(ISERROR(SEARCH("pass",J207)))</formula>
    </cfRule>
  </conditionalFormatting>
  <conditionalFormatting sqref="J213">
    <cfRule type="containsText" dxfId="107" priority="106" operator="containsText" text="nok">
      <formula>NOT(ISERROR(SEARCH("nok",J213)))</formula>
    </cfRule>
    <cfRule type="containsText" dxfId="106" priority="107" operator="containsText" text="fail">
      <formula>NOT(ISERROR(SEARCH("fail",J213)))</formula>
    </cfRule>
    <cfRule type="containsText" dxfId="105" priority="108" operator="containsText" text="pass">
      <formula>NOT(ISERROR(SEARCH("pass",J213)))</formula>
    </cfRule>
  </conditionalFormatting>
  <conditionalFormatting sqref="J219">
    <cfRule type="containsText" dxfId="104" priority="103" operator="containsText" text="nok">
      <formula>NOT(ISERROR(SEARCH("nok",J219)))</formula>
    </cfRule>
    <cfRule type="containsText" dxfId="103" priority="104" operator="containsText" text="fail">
      <formula>NOT(ISERROR(SEARCH("fail",J219)))</formula>
    </cfRule>
    <cfRule type="containsText" dxfId="102" priority="105" operator="containsText" text="pass">
      <formula>NOT(ISERROR(SEARCH("pass",J219)))</formula>
    </cfRule>
  </conditionalFormatting>
  <conditionalFormatting sqref="J225">
    <cfRule type="containsText" dxfId="101" priority="100" operator="containsText" text="nok">
      <formula>NOT(ISERROR(SEARCH("nok",J225)))</formula>
    </cfRule>
    <cfRule type="containsText" dxfId="100" priority="101" operator="containsText" text="fail">
      <formula>NOT(ISERROR(SEARCH("fail",J225)))</formula>
    </cfRule>
    <cfRule type="containsText" dxfId="99" priority="102" operator="containsText" text="pass">
      <formula>NOT(ISERROR(SEARCH("pass",J225)))</formula>
    </cfRule>
  </conditionalFormatting>
  <conditionalFormatting sqref="J231">
    <cfRule type="containsText" dxfId="98" priority="97" operator="containsText" text="nok">
      <formula>NOT(ISERROR(SEARCH("nok",J231)))</formula>
    </cfRule>
    <cfRule type="containsText" dxfId="97" priority="98" operator="containsText" text="fail">
      <formula>NOT(ISERROR(SEARCH("fail",J231)))</formula>
    </cfRule>
    <cfRule type="containsText" dxfId="96" priority="99" operator="containsText" text="pass">
      <formula>NOT(ISERROR(SEARCH("pass",J231)))</formula>
    </cfRule>
  </conditionalFormatting>
  <conditionalFormatting sqref="J278:J279">
    <cfRule type="containsText" dxfId="95" priority="94" operator="containsText" text="nok">
      <formula>NOT(ISERROR(SEARCH("nok",J278)))</formula>
    </cfRule>
    <cfRule type="containsText" dxfId="94" priority="95" operator="containsText" text="fail">
      <formula>NOT(ISERROR(SEARCH("fail",J278)))</formula>
    </cfRule>
    <cfRule type="containsText" dxfId="93" priority="96" operator="containsText" text="pass">
      <formula>NOT(ISERROR(SEARCH("pass",J278)))</formula>
    </cfRule>
  </conditionalFormatting>
  <conditionalFormatting sqref="J285:J286">
    <cfRule type="containsText" dxfId="92" priority="91" operator="containsText" text="nok">
      <formula>NOT(ISERROR(SEARCH("nok",J285)))</formula>
    </cfRule>
    <cfRule type="containsText" dxfId="91" priority="92" operator="containsText" text="fail">
      <formula>NOT(ISERROR(SEARCH("fail",J285)))</formula>
    </cfRule>
    <cfRule type="containsText" dxfId="90" priority="93" operator="containsText" text="pass">
      <formula>NOT(ISERROR(SEARCH("pass",J285)))</formula>
    </cfRule>
  </conditionalFormatting>
  <conditionalFormatting sqref="K239">
    <cfRule type="containsText" dxfId="89" priority="88" operator="containsText" text="nok">
      <formula>NOT(ISERROR(SEARCH("nok",K239)))</formula>
    </cfRule>
    <cfRule type="containsText" dxfId="88" priority="89" operator="containsText" text="fail">
      <formula>NOT(ISERROR(SEARCH("fail",K239)))</formula>
    </cfRule>
    <cfRule type="containsText" dxfId="87" priority="90" operator="containsText" text="pass">
      <formula>NOT(ISERROR(SEARCH("pass",K239)))</formula>
    </cfRule>
  </conditionalFormatting>
  <conditionalFormatting sqref="K289:K295 K297:K313 K321:K356 K532:K536 K539:K543 K546:K550 K553:K557 K359:K520 K522:K523 K530 K560:K564 K567:K571 K574:K575">
    <cfRule type="containsText" dxfId="86" priority="85" operator="containsText" text="nok">
      <formula>NOT(ISERROR(SEARCH("nok",K289)))</formula>
    </cfRule>
    <cfRule type="containsText" dxfId="85" priority="86" operator="containsText" text="fail">
      <formula>NOT(ISERROR(SEARCH("fail",K289)))</formula>
    </cfRule>
    <cfRule type="containsText" dxfId="84" priority="87" operator="containsText" text="pass">
      <formula>NOT(ISERROR(SEARCH("pass",K289)))</formula>
    </cfRule>
  </conditionalFormatting>
  <conditionalFormatting sqref="K296">
    <cfRule type="containsText" dxfId="83" priority="82" operator="containsText" text="nok">
      <formula>NOT(ISERROR(SEARCH("nok",K296)))</formula>
    </cfRule>
    <cfRule type="containsText" dxfId="82" priority="83" operator="containsText" text="fail">
      <formula>NOT(ISERROR(SEARCH("fail",K296)))</formula>
    </cfRule>
    <cfRule type="containsText" dxfId="81" priority="84" operator="containsText" text="pass">
      <formula>NOT(ISERROR(SEARCH("pass",K296)))</formula>
    </cfRule>
  </conditionalFormatting>
  <conditionalFormatting sqref="K314:K320">
    <cfRule type="containsText" dxfId="80" priority="79" operator="containsText" text="nok">
      <formula>NOT(ISERROR(SEARCH("nok",K314)))</formula>
    </cfRule>
    <cfRule type="containsText" dxfId="79" priority="80" operator="containsText" text="fail">
      <formula>NOT(ISERROR(SEARCH("fail",K314)))</formula>
    </cfRule>
    <cfRule type="containsText" dxfId="78" priority="81" operator="containsText" text="pass">
      <formula>NOT(ISERROR(SEARCH("pass",K314)))</formula>
    </cfRule>
  </conditionalFormatting>
  <conditionalFormatting sqref="K314:K320">
    <cfRule type="containsText" dxfId="77" priority="76" operator="containsText" text="nok">
      <formula>NOT(ISERROR(SEARCH("nok",K314)))</formula>
    </cfRule>
    <cfRule type="containsText" dxfId="76" priority="77" operator="containsText" text="fail">
      <formula>NOT(ISERROR(SEARCH("fail",K314)))</formula>
    </cfRule>
    <cfRule type="containsText" dxfId="75" priority="78" operator="containsText" text="pass">
      <formula>NOT(ISERROR(SEARCH("pass",K314)))</formula>
    </cfRule>
  </conditionalFormatting>
  <conditionalFormatting sqref="K314:K320">
    <cfRule type="containsText" dxfId="74" priority="73" operator="containsText" text="nok">
      <formula>NOT(ISERROR(SEARCH("nok",K314)))</formula>
    </cfRule>
    <cfRule type="containsText" dxfId="73" priority="74" operator="containsText" text="fail">
      <formula>NOT(ISERROR(SEARCH("fail",K314)))</formula>
    </cfRule>
    <cfRule type="containsText" dxfId="72" priority="75" operator="containsText" text="pass">
      <formula>NOT(ISERROR(SEARCH("pass",K314)))</formula>
    </cfRule>
  </conditionalFormatting>
  <conditionalFormatting sqref="K351">
    <cfRule type="containsText" dxfId="71" priority="70" operator="containsText" text="nok">
      <formula>NOT(ISERROR(SEARCH("nok",K351)))</formula>
    </cfRule>
    <cfRule type="containsText" dxfId="70" priority="71" operator="containsText" text="fail">
      <formula>NOT(ISERROR(SEARCH("fail",K351)))</formula>
    </cfRule>
    <cfRule type="containsText" dxfId="69" priority="72" operator="containsText" text="pass">
      <formula>NOT(ISERROR(SEARCH("pass",K351)))</formula>
    </cfRule>
  </conditionalFormatting>
  <conditionalFormatting sqref="K357:K358">
    <cfRule type="containsText" dxfId="68" priority="67" operator="containsText" text="nok">
      <formula>NOT(ISERROR(SEARCH("nok",K357)))</formula>
    </cfRule>
    <cfRule type="containsText" dxfId="67" priority="68" operator="containsText" text="fail">
      <formula>NOT(ISERROR(SEARCH("fail",K357)))</formula>
    </cfRule>
    <cfRule type="containsText" dxfId="66" priority="69" operator="containsText" text="pass">
      <formula>NOT(ISERROR(SEARCH("pass",K357)))</formula>
    </cfRule>
  </conditionalFormatting>
  <conditionalFormatting sqref="J360">
    <cfRule type="containsText" dxfId="65" priority="64" operator="containsText" text="nok">
      <formula>NOT(ISERROR(SEARCH("nok",J360)))</formula>
    </cfRule>
    <cfRule type="containsText" dxfId="64" priority="65" operator="containsText" text="fail">
      <formula>NOT(ISERROR(SEARCH("fail",J360)))</formula>
    </cfRule>
    <cfRule type="containsText" dxfId="63" priority="66" operator="containsText" text="pass">
      <formula>NOT(ISERROR(SEARCH("pass",J360)))</formula>
    </cfRule>
  </conditionalFormatting>
  <conditionalFormatting sqref="J367:J368">
    <cfRule type="containsText" dxfId="62" priority="61" operator="containsText" text="nok">
      <formula>NOT(ISERROR(SEARCH("nok",J367)))</formula>
    </cfRule>
    <cfRule type="containsText" dxfId="61" priority="62" operator="containsText" text="fail">
      <formula>NOT(ISERROR(SEARCH("fail",J367)))</formula>
    </cfRule>
    <cfRule type="containsText" dxfId="60" priority="63" operator="containsText" text="pass">
      <formula>NOT(ISERROR(SEARCH("pass",J367)))</formula>
    </cfRule>
  </conditionalFormatting>
  <conditionalFormatting sqref="J524:J525">
    <cfRule type="containsText" dxfId="59" priority="58" operator="containsText" text="nok">
      <formula>NOT(ISERROR(SEARCH("nok",J524)))</formula>
    </cfRule>
    <cfRule type="containsText" dxfId="58" priority="59" operator="containsText" text="fail">
      <formula>NOT(ISERROR(SEARCH("fail",J524)))</formula>
    </cfRule>
    <cfRule type="containsText" dxfId="57" priority="60" operator="containsText" text="pass">
      <formula>NOT(ISERROR(SEARCH("pass",J524)))</formula>
    </cfRule>
  </conditionalFormatting>
  <conditionalFormatting sqref="K527:K529">
    <cfRule type="containsText" dxfId="56" priority="55" operator="containsText" text="nok">
      <formula>NOT(ISERROR(SEARCH("nok",K527)))</formula>
    </cfRule>
    <cfRule type="containsText" dxfId="55" priority="56" operator="containsText" text="fail">
      <formula>NOT(ISERROR(SEARCH("fail",K527)))</formula>
    </cfRule>
    <cfRule type="containsText" dxfId="54" priority="57" operator="containsText" text="pass">
      <formula>NOT(ISERROR(SEARCH("pass",K527)))</formula>
    </cfRule>
  </conditionalFormatting>
  <conditionalFormatting sqref="K521">
    <cfRule type="containsText" dxfId="53" priority="52" operator="containsText" text="nok">
      <formula>NOT(ISERROR(SEARCH("nok",K521)))</formula>
    </cfRule>
    <cfRule type="containsText" dxfId="52" priority="53" operator="containsText" text="fail">
      <formula>NOT(ISERROR(SEARCH("fail",K521)))</formula>
    </cfRule>
    <cfRule type="containsText" dxfId="51" priority="54" operator="containsText" text="pass">
      <formula>NOT(ISERROR(SEARCH("pass",K521)))</formula>
    </cfRule>
  </conditionalFormatting>
  <conditionalFormatting sqref="J531">
    <cfRule type="containsText" dxfId="50" priority="49" operator="containsText" text="nok">
      <formula>NOT(ISERROR(SEARCH("nok",J531)))</formula>
    </cfRule>
    <cfRule type="containsText" dxfId="49" priority="50" operator="containsText" text="fail">
      <formula>NOT(ISERROR(SEARCH("fail",J531)))</formula>
    </cfRule>
    <cfRule type="containsText" dxfId="48" priority="51" operator="containsText" text="pass">
      <formula>NOT(ISERROR(SEARCH("pass",J531)))</formula>
    </cfRule>
  </conditionalFormatting>
  <conditionalFormatting sqref="J537:J538">
    <cfRule type="containsText" dxfId="47" priority="46" operator="containsText" text="nok">
      <formula>NOT(ISERROR(SEARCH("nok",J537)))</formula>
    </cfRule>
    <cfRule type="containsText" dxfId="46" priority="47" operator="containsText" text="fail">
      <formula>NOT(ISERROR(SEARCH("fail",J537)))</formula>
    </cfRule>
    <cfRule type="containsText" dxfId="45" priority="48" operator="containsText" text="pass">
      <formula>NOT(ISERROR(SEARCH("pass",J537)))</formula>
    </cfRule>
  </conditionalFormatting>
  <conditionalFormatting sqref="J544:J545">
    <cfRule type="containsText" dxfId="44" priority="43" operator="containsText" text="nok">
      <formula>NOT(ISERROR(SEARCH("nok",J544)))</formula>
    </cfRule>
    <cfRule type="containsText" dxfId="43" priority="44" operator="containsText" text="fail">
      <formula>NOT(ISERROR(SEARCH("fail",J544)))</formula>
    </cfRule>
    <cfRule type="containsText" dxfId="42" priority="45" operator="containsText" text="pass">
      <formula>NOT(ISERROR(SEARCH("pass",J544)))</formula>
    </cfRule>
  </conditionalFormatting>
  <conditionalFormatting sqref="K470">
    <cfRule type="containsText" dxfId="41" priority="40" operator="containsText" text="nok">
      <formula>NOT(ISERROR(SEARCH("nok",K470)))</formula>
    </cfRule>
    <cfRule type="containsText" dxfId="40" priority="41" operator="containsText" text="fail">
      <formula>NOT(ISERROR(SEARCH("fail",K470)))</formula>
    </cfRule>
    <cfRule type="containsText" dxfId="39" priority="42" operator="containsText" text="pass">
      <formula>NOT(ISERROR(SEARCH("pass",K470)))</formula>
    </cfRule>
  </conditionalFormatting>
  <conditionalFormatting sqref="J475">
    <cfRule type="containsText" dxfId="38" priority="37" operator="containsText" text="nok">
      <formula>NOT(ISERROR(SEARCH("nok",J475)))</formula>
    </cfRule>
    <cfRule type="containsText" dxfId="37" priority="38" operator="containsText" text="fail">
      <formula>NOT(ISERROR(SEARCH("fail",J475)))</formula>
    </cfRule>
    <cfRule type="containsText" dxfId="36" priority="39" operator="containsText" text="pass">
      <formula>NOT(ISERROR(SEARCH("pass",J475)))</formula>
    </cfRule>
  </conditionalFormatting>
  <conditionalFormatting sqref="J482:J483">
    <cfRule type="containsText" dxfId="35" priority="34" operator="containsText" text="nok">
      <formula>NOT(ISERROR(SEARCH("nok",J482)))</formula>
    </cfRule>
    <cfRule type="containsText" dxfId="34" priority="35" operator="containsText" text="fail">
      <formula>NOT(ISERROR(SEARCH("fail",J482)))</formula>
    </cfRule>
    <cfRule type="containsText" dxfId="33" priority="36" operator="containsText" text="pass">
      <formula>NOT(ISERROR(SEARCH("pass",J482)))</formula>
    </cfRule>
  </conditionalFormatting>
  <conditionalFormatting sqref="J551:J552">
    <cfRule type="containsText" dxfId="32" priority="31" operator="containsText" text="nok">
      <formula>NOT(ISERROR(SEARCH("nok",J551)))</formula>
    </cfRule>
    <cfRule type="containsText" dxfId="31" priority="32" operator="containsText" text="fail">
      <formula>NOT(ISERROR(SEARCH("fail",J551)))</formula>
    </cfRule>
    <cfRule type="containsText" dxfId="30" priority="33" operator="containsText" text="pass">
      <formula>NOT(ISERROR(SEARCH("pass",J551)))</formula>
    </cfRule>
  </conditionalFormatting>
  <conditionalFormatting sqref="J558:J559">
    <cfRule type="containsText" dxfId="29" priority="28" operator="containsText" text="nok">
      <formula>NOT(ISERROR(SEARCH("nok",J558)))</formula>
    </cfRule>
    <cfRule type="containsText" dxfId="28" priority="29" operator="containsText" text="fail">
      <formula>NOT(ISERROR(SEARCH("fail",J558)))</formula>
    </cfRule>
    <cfRule type="containsText" dxfId="27" priority="30" operator="containsText" text="pass">
      <formula>NOT(ISERROR(SEARCH("pass",J558)))</formula>
    </cfRule>
  </conditionalFormatting>
  <conditionalFormatting sqref="J488">
    <cfRule type="containsText" dxfId="26" priority="25" operator="containsText" text="nok">
      <formula>NOT(ISERROR(SEARCH("nok",J488)))</formula>
    </cfRule>
    <cfRule type="containsText" dxfId="25" priority="26" operator="containsText" text="fail">
      <formula>NOT(ISERROR(SEARCH("fail",J488)))</formula>
    </cfRule>
    <cfRule type="containsText" dxfId="24" priority="27" operator="containsText" text="pass">
      <formula>NOT(ISERROR(SEARCH("pass",J488)))</formula>
    </cfRule>
  </conditionalFormatting>
  <conditionalFormatting sqref="J494">
    <cfRule type="containsText" dxfId="23" priority="22" operator="containsText" text="nok">
      <formula>NOT(ISERROR(SEARCH("nok",J494)))</formula>
    </cfRule>
    <cfRule type="containsText" dxfId="22" priority="23" operator="containsText" text="fail">
      <formula>NOT(ISERROR(SEARCH("fail",J494)))</formula>
    </cfRule>
    <cfRule type="containsText" dxfId="21" priority="24" operator="containsText" text="pass">
      <formula>NOT(ISERROR(SEARCH("pass",J494)))</formula>
    </cfRule>
  </conditionalFormatting>
  <conditionalFormatting sqref="J500">
    <cfRule type="containsText" dxfId="20" priority="19" operator="containsText" text="nok">
      <formula>NOT(ISERROR(SEARCH("nok",J500)))</formula>
    </cfRule>
    <cfRule type="containsText" dxfId="19" priority="20" operator="containsText" text="fail">
      <formula>NOT(ISERROR(SEARCH("fail",J500)))</formula>
    </cfRule>
    <cfRule type="containsText" dxfId="18" priority="21" operator="containsText" text="pass">
      <formula>NOT(ISERROR(SEARCH("pass",J500)))</formula>
    </cfRule>
  </conditionalFormatting>
  <conditionalFormatting sqref="J506">
    <cfRule type="containsText" dxfId="17" priority="16" operator="containsText" text="nok">
      <formula>NOT(ISERROR(SEARCH("nok",J506)))</formula>
    </cfRule>
    <cfRule type="containsText" dxfId="16" priority="17" operator="containsText" text="fail">
      <formula>NOT(ISERROR(SEARCH("fail",J506)))</formula>
    </cfRule>
    <cfRule type="containsText" dxfId="15" priority="18" operator="containsText" text="pass">
      <formula>NOT(ISERROR(SEARCH("pass",J506)))</formula>
    </cfRule>
  </conditionalFormatting>
  <conditionalFormatting sqref="J512">
    <cfRule type="containsText" dxfId="14" priority="13" operator="containsText" text="nok">
      <formula>NOT(ISERROR(SEARCH("nok",J512)))</formula>
    </cfRule>
    <cfRule type="containsText" dxfId="13" priority="14" operator="containsText" text="fail">
      <formula>NOT(ISERROR(SEARCH("fail",J512)))</formula>
    </cfRule>
    <cfRule type="containsText" dxfId="12" priority="15" operator="containsText" text="pass">
      <formula>NOT(ISERROR(SEARCH("pass",J512)))</formula>
    </cfRule>
  </conditionalFormatting>
  <conditionalFormatting sqref="J518">
    <cfRule type="containsText" dxfId="11" priority="10" operator="containsText" text="nok">
      <formula>NOT(ISERROR(SEARCH("nok",J518)))</formula>
    </cfRule>
    <cfRule type="containsText" dxfId="10" priority="11" operator="containsText" text="fail">
      <formula>NOT(ISERROR(SEARCH("fail",J518)))</formula>
    </cfRule>
    <cfRule type="containsText" dxfId="9" priority="12" operator="containsText" text="pass">
      <formula>NOT(ISERROR(SEARCH("pass",J518)))</formula>
    </cfRule>
  </conditionalFormatting>
  <conditionalFormatting sqref="J565:J566">
    <cfRule type="containsText" dxfId="8" priority="7" operator="containsText" text="nok">
      <formula>NOT(ISERROR(SEARCH("nok",J565)))</formula>
    </cfRule>
    <cfRule type="containsText" dxfId="7" priority="8" operator="containsText" text="fail">
      <formula>NOT(ISERROR(SEARCH("fail",J565)))</formula>
    </cfRule>
    <cfRule type="containsText" dxfId="6" priority="9" operator="containsText" text="pass">
      <formula>NOT(ISERROR(SEARCH("pass",J565)))</formula>
    </cfRule>
  </conditionalFormatting>
  <conditionalFormatting sqref="J572:J573">
    <cfRule type="containsText" dxfId="5" priority="4" operator="containsText" text="nok">
      <formula>NOT(ISERROR(SEARCH("nok",J572)))</formula>
    </cfRule>
    <cfRule type="containsText" dxfId="4" priority="5" operator="containsText" text="fail">
      <formula>NOT(ISERROR(SEARCH("fail",J572)))</formula>
    </cfRule>
    <cfRule type="containsText" dxfId="3" priority="6" operator="containsText" text="pass">
      <formula>NOT(ISERROR(SEARCH("pass",J572)))</formula>
    </cfRule>
  </conditionalFormatting>
  <conditionalFormatting sqref="K526">
    <cfRule type="containsText" dxfId="2" priority="1" operator="containsText" text="nok">
      <formula>NOT(ISERROR(SEARCH("nok",K526)))</formula>
    </cfRule>
    <cfRule type="containsText" dxfId="1" priority="2" operator="containsText" text="fail">
      <formula>NOT(ISERROR(SEARCH("fail",K526)))</formula>
    </cfRule>
    <cfRule type="containsText" dxfId="0" priority="3" operator="containsText" text="pass">
      <formula>NOT(ISERROR(SEARCH("pass",K526)))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V457"/>
  <sheetViews>
    <sheetView showGridLines="0" tabSelected="1" zoomScale="85" zoomScaleNormal="85" workbookViewId="0">
      <selection activeCell="E12" sqref="E12"/>
    </sheetView>
  </sheetViews>
  <sheetFormatPr defaultColWidth="9.28515625" defaultRowHeight="12.75"/>
  <cols>
    <col min="1" max="1" width="2" style="145" customWidth="1"/>
    <col min="2" max="2" width="21.28515625" style="145" customWidth="1"/>
    <col min="3" max="3" width="19.7109375" style="145" customWidth="1"/>
    <col min="4" max="4" width="20.85546875" style="145" customWidth="1"/>
    <col min="5" max="12" width="19.7109375" style="145" customWidth="1"/>
    <col min="13" max="13" width="9.28515625" style="145"/>
    <col min="14" max="14" width="17.85546875" style="145" customWidth="1"/>
    <col min="15" max="15" width="17.5703125" style="145" customWidth="1"/>
    <col min="16" max="16" width="18.140625" style="145" customWidth="1"/>
    <col min="17" max="17" width="16.5703125" style="145" customWidth="1"/>
    <col min="18" max="18" width="18.28515625" style="145" customWidth="1"/>
    <col min="19" max="19" width="18.28515625" style="145" bestFit="1" customWidth="1"/>
    <col min="20" max="20" width="18.7109375" style="145" bestFit="1" customWidth="1"/>
    <col min="21" max="16384" width="9.28515625" style="145"/>
  </cols>
  <sheetData>
    <row r="1" spans="2:22" s="202" customFormat="1"/>
    <row r="2" spans="2:22" s="33" customFormat="1">
      <c r="B2" s="32" t="s">
        <v>69</v>
      </c>
      <c r="C2" s="32"/>
      <c r="F2" s="32" t="s">
        <v>51</v>
      </c>
      <c r="G2" s="32"/>
      <c r="I2" s="1"/>
      <c r="J2" s="32" t="s">
        <v>65</v>
      </c>
      <c r="K2" s="32"/>
      <c r="N2" s="32" t="s">
        <v>261</v>
      </c>
      <c r="P2" s="32" t="s">
        <v>262</v>
      </c>
      <c r="S2" s="32" t="s">
        <v>801</v>
      </c>
      <c r="T2" s="32"/>
    </row>
    <row r="3" spans="2:22" ht="13.5">
      <c r="B3" s="34" t="s">
        <v>70</v>
      </c>
      <c r="C3" s="35" t="s">
        <v>71</v>
      </c>
      <c r="D3" s="34" t="s">
        <v>68</v>
      </c>
      <c r="F3" s="34" t="s">
        <v>52</v>
      </c>
      <c r="G3" s="35" t="s">
        <v>53</v>
      </c>
      <c r="H3" s="34" t="s">
        <v>54</v>
      </c>
      <c r="J3" s="34" t="s">
        <v>66</v>
      </c>
      <c r="K3" s="35" t="s">
        <v>67</v>
      </c>
      <c r="L3" s="34" t="s">
        <v>68</v>
      </c>
      <c r="N3" s="218" t="s">
        <v>316</v>
      </c>
      <c r="O3" s="218"/>
      <c r="P3" s="218"/>
      <c r="Q3" s="218"/>
      <c r="S3" s="35" t="s">
        <v>802</v>
      </c>
      <c r="T3" s="35" t="s">
        <v>803</v>
      </c>
      <c r="U3" s="35" t="s">
        <v>804</v>
      </c>
      <c r="V3" s="34" t="s">
        <v>68</v>
      </c>
    </row>
    <row r="4" spans="2:22">
      <c r="B4" s="146" t="s">
        <v>2</v>
      </c>
      <c r="C4" s="186">
        <v>0</v>
      </c>
      <c r="D4" s="146"/>
      <c r="F4" s="146" t="s">
        <v>14</v>
      </c>
      <c r="G4" s="187">
        <v>0.3</v>
      </c>
      <c r="H4" s="146"/>
      <c r="J4" s="146" t="s">
        <v>14</v>
      </c>
      <c r="K4" s="187">
        <v>4.7</v>
      </c>
      <c r="L4" s="146"/>
      <c r="N4" s="219" t="s">
        <v>591</v>
      </c>
      <c r="O4" s="221" t="s">
        <v>592</v>
      </c>
      <c r="P4" s="219" t="s">
        <v>591</v>
      </c>
      <c r="Q4" s="221" t="s">
        <v>593</v>
      </c>
      <c r="R4" s="188" t="s">
        <v>805</v>
      </c>
      <c r="S4" s="149">
        <v>3.4</v>
      </c>
      <c r="T4" s="186">
        <v>0.6</v>
      </c>
      <c r="U4" s="186">
        <v>1.3</v>
      </c>
      <c r="V4" s="146"/>
    </row>
    <row r="5" spans="2:22">
      <c r="B5" s="147">
        <v>1</v>
      </c>
      <c r="C5" s="186">
        <v>3.8</v>
      </c>
      <c r="D5" s="146"/>
      <c r="F5" s="146" t="s">
        <v>109</v>
      </c>
      <c r="G5" s="187">
        <v>1.4</v>
      </c>
      <c r="H5" s="146" t="s">
        <v>87</v>
      </c>
      <c r="J5" s="146" t="s">
        <v>109</v>
      </c>
      <c r="K5" s="187">
        <v>4.7</v>
      </c>
      <c r="L5" s="146" t="s">
        <v>110</v>
      </c>
      <c r="N5" s="220"/>
      <c r="O5" s="222"/>
      <c r="P5" s="220"/>
      <c r="Q5" s="222"/>
      <c r="R5" s="188"/>
      <c r="S5" s="149">
        <v>4.3</v>
      </c>
      <c r="T5" s="186">
        <v>0.6</v>
      </c>
      <c r="U5" s="186">
        <v>1.3</v>
      </c>
      <c r="V5" s="146"/>
    </row>
    <row r="6" spans="2:22">
      <c r="B6" s="147">
        <v>2</v>
      </c>
      <c r="C6" s="186">
        <v>5.0999999999999996</v>
      </c>
      <c r="D6" s="146"/>
      <c r="F6" s="146" t="s">
        <v>15</v>
      </c>
      <c r="G6" s="187"/>
      <c r="H6" s="146"/>
      <c r="J6" s="146" t="s">
        <v>15</v>
      </c>
      <c r="K6" s="187"/>
      <c r="L6" s="146"/>
      <c r="N6" s="71">
        <v>-40</v>
      </c>
      <c r="O6" s="72">
        <v>11.3</v>
      </c>
      <c r="P6" s="71">
        <v>-40</v>
      </c>
      <c r="Q6" s="72">
        <v>11.3</v>
      </c>
      <c r="R6" s="188"/>
      <c r="S6" s="149">
        <v>5.3</v>
      </c>
      <c r="T6" s="186">
        <v>1</v>
      </c>
      <c r="U6" s="186">
        <v>1.3</v>
      </c>
      <c r="V6" s="146"/>
    </row>
    <row r="7" spans="2:22">
      <c r="B7" s="147">
        <v>3</v>
      </c>
      <c r="C7" s="186">
        <v>6.3</v>
      </c>
      <c r="D7" s="146"/>
      <c r="F7" s="146" t="s">
        <v>16</v>
      </c>
      <c r="G7" s="187">
        <v>1.4</v>
      </c>
      <c r="H7" s="146" t="s">
        <v>238</v>
      </c>
      <c r="J7" s="146" t="s">
        <v>16</v>
      </c>
      <c r="K7" s="187">
        <v>3.23</v>
      </c>
      <c r="L7" s="146" t="s">
        <v>238</v>
      </c>
      <c r="N7" s="71">
        <v>-20</v>
      </c>
      <c r="O7" s="72">
        <v>11.3</v>
      </c>
      <c r="P7" s="71">
        <v>-20</v>
      </c>
      <c r="Q7" s="72">
        <v>11.3</v>
      </c>
      <c r="R7" s="188"/>
      <c r="S7" s="149">
        <v>6.3</v>
      </c>
      <c r="T7" s="186">
        <v>1.4</v>
      </c>
      <c r="U7" s="186">
        <v>1.4</v>
      </c>
      <c r="V7" s="146"/>
    </row>
    <row r="8" spans="2:22">
      <c r="B8" s="147">
        <v>4</v>
      </c>
      <c r="C8" s="186">
        <v>7.6</v>
      </c>
      <c r="D8" s="146"/>
      <c r="F8" s="146" t="s">
        <v>17</v>
      </c>
      <c r="G8" s="187">
        <v>2.5</v>
      </c>
      <c r="H8" s="146"/>
      <c r="J8" s="146" t="s">
        <v>17</v>
      </c>
      <c r="K8" s="187">
        <v>3.94</v>
      </c>
      <c r="L8" s="146"/>
      <c r="N8" s="71">
        <v>-10</v>
      </c>
      <c r="O8" s="72">
        <v>11.3</v>
      </c>
      <c r="P8" s="71">
        <v>-10</v>
      </c>
      <c r="Q8" s="72">
        <v>11.3</v>
      </c>
      <c r="R8" s="188"/>
      <c r="S8" s="149">
        <v>7.4</v>
      </c>
      <c r="T8" s="186">
        <v>1.8</v>
      </c>
      <c r="U8" s="186">
        <v>1.4</v>
      </c>
      <c r="V8" s="146"/>
    </row>
    <row r="9" spans="2:22">
      <c r="B9" s="147">
        <v>5</v>
      </c>
      <c r="C9" s="186">
        <v>8.8000000000000007</v>
      </c>
      <c r="D9" s="146"/>
      <c r="F9" s="146" t="s">
        <v>108</v>
      </c>
      <c r="G9" s="187">
        <v>3.6</v>
      </c>
      <c r="H9" s="146" t="s">
        <v>108</v>
      </c>
      <c r="J9" s="146" t="s">
        <v>108</v>
      </c>
      <c r="K9" s="187">
        <v>3.38</v>
      </c>
      <c r="L9" s="146" t="s">
        <v>111</v>
      </c>
      <c r="N9" s="71">
        <v>-5</v>
      </c>
      <c r="O9" s="72">
        <v>11.3</v>
      </c>
      <c r="P9" s="71">
        <v>-5</v>
      </c>
      <c r="Q9" s="72">
        <v>11.3</v>
      </c>
      <c r="R9" s="188"/>
      <c r="S9" s="149">
        <v>8.6</v>
      </c>
      <c r="T9" s="186">
        <v>2.1</v>
      </c>
      <c r="U9" s="186">
        <v>1.5</v>
      </c>
      <c r="V9" s="146"/>
    </row>
    <row r="10" spans="2:22">
      <c r="B10" s="147">
        <v>6</v>
      </c>
      <c r="C10" s="186">
        <v>10.1</v>
      </c>
      <c r="D10" s="146"/>
      <c r="F10" s="146" t="s">
        <v>18</v>
      </c>
      <c r="G10" s="187">
        <v>4.7</v>
      </c>
      <c r="H10" s="146"/>
      <c r="I10" s="148"/>
      <c r="J10" s="146" t="s">
        <v>18</v>
      </c>
      <c r="K10" s="187">
        <v>1.71</v>
      </c>
      <c r="L10" s="146"/>
      <c r="N10" s="71">
        <v>0</v>
      </c>
      <c r="O10" s="72">
        <v>11.3</v>
      </c>
      <c r="P10" s="71">
        <v>0</v>
      </c>
      <c r="Q10" s="72">
        <v>11.3</v>
      </c>
      <c r="R10" s="188"/>
      <c r="S10" s="149">
        <v>9.8000000000000007</v>
      </c>
      <c r="T10" s="186">
        <v>2.5</v>
      </c>
      <c r="U10" s="186">
        <v>1.5</v>
      </c>
      <c r="V10" s="146"/>
    </row>
    <row r="11" spans="2:22">
      <c r="B11" s="147">
        <v>7</v>
      </c>
      <c r="C11" s="186">
        <v>11.3</v>
      </c>
      <c r="D11" s="146"/>
      <c r="F11" s="146" t="s">
        <v>19</v>
      </c>
      <c r="G11" s="187"/>
      <c r="H11" s="146"/>
      <c r="I11" s="148"/>
      <c r="J11" s="146" t="s">
        <v>19</v>
      </c>
      <c r="K11" s="186">
        <v>3.39</v>
      </c>
      <c r="L11" s="146"/>
      <c r="N11" s="71">
        <v>8</v>
      </c>
      <c r="O11" s="72">
        <v>9</v>
      </c>
      <c r="P11" s="71">
        <v>8</v>
      </c>
      <c r="Q11" s="72">
        <v>9</v>
      </c>
      <c r="R11" s="188"/>
      <c r="S11" s="149">
        <v>11</v>
      </c>
      <c r="T11" s="186">
        <v>2.9</v>
      </c>
      <c r="U11" s="186">
        <v>1.5</v>
      </c>
      <c r="V11" s="146"/>
    </row>
    <row r="12" spans="2:22">
      <c r="B12" s="147">
        <v>8</v>
      </c>
      <c r="C12" s="186">
        <v>13.5</v>
      </c>
      <c r="D12" s="146"/>
      <c r="F12" s="146" t="s">
        <v>20</v>
      </c>
      <c r="G12" s="187"/>
      <c r="H12" s="146"/>
      <c r="I12" s="148"/>
      <c r="J12" s="146" t="s">
        <v>20</v>
      </c>
      <c r="K12" s="186">
        <v>2.13</v>
      </c>
      <c r="L12" s="146"/>
      <c r="N12" s="71">
        <v>17</v>
      </c>
      <c r="O12" s="72">
        <v>9</v>
      </c>
      <c r="P12" s="71">
        <v>17</v>
      </c>
      <c r="Q12" s="72">
        <v>9</v>
      </c>
      <c r="R12" s="188" t="s">
        <v>806</v>
      </c>
      <c r="S12" s="149">
        <v>12.5</v>
      </c>
      <c r="T12" s="149">
        <v>3.4</v>
      </c>
      <c r="U12" s="149">
        <v>1.6</v>
      </c>
      <c r="V12" s="146"/>
    </row>
    <row r="13" spans="2:22">
      <c r="B13" s="146" t="s">
        <v>21</v>
      </c>
      <c r="C13" s="149">
        <v>3.8</v>
      </c>
      <c r="D13" s="146"/>
      <c r="F13" s="146" t="s">
        <v>288</v>
      </c>
      <c r="G13" s="186">
        <v>4.7</v>
      </c>
      <c r="H13" s="146"/>
      <c r="I13" s="148"/>
      <c r="J13" s="146" t="s">
        <v>288</v>
      </c>
      <c r="K13" s="186">
        <v>1.59</v>
      </c>
      <c r="L13" s="146"/>
      <c r="N13" s="71">
        <v>25</v>
      </c>
      <c r="O13" s="72">
        <v>12.5</v>
      </c>
      <c r="P13" s="71">
        <v>25</v>
      </c>
      <c r="Q13" s="72">
        <v>12.5</v>
      </c>
      <c r="S13" s="149">
        <v>16</v>
      </c>
      <c r="T13" s="149">
        <v>3.4</v>
      </c>
      <c r="U13" s="149">
        <v>1.6</v>
      </c>
      <c r="V13" s="146"/>
    </row>
    <row r="14" spans="2:22">
      <c r="B14" s="146" t="s">
        <v>4</v>
      </c>
      <c r="C14" s="149">
        <v>11.3</v>
      </c>
      <c r="D14" s="146"/>
      <c r="F14" s="146" t="s">
        <v>22</v>
      </c>
      <c r="G14" s="186">
        <v>2.5</v>
      </c>
      <c r="H14" s="146"/>
      <c r="I14" s="148"/>
      <c r="J14" s="146" t="s">
        <v>365</v>
      </c>
      <c r="K14" s="186">
        <v>4.7</v>
      </c>
      <c r="L14" s="146"/>
      <c r="N14" s="71">
        <v>28.9</v>
      </c>
      <c r="O14" s="72">
        <v>12.5</v>
      </c>
      <c r="P14" s="71">
        <v>25.1</v>
      </c>
      <c r="Q14" s="72">
        <v>13.5</v>
      </c>
    </row>
    <row r="15" spans="2:22">
      <c r="B15" s="146" t="s">
        <v>3</v>
      </c>
      <c r="C15" s="149">
        <v>3.8</v>
      </c>
      <c r="D15" s="146"/>
      <c r="F15" s="146" t="s">
        <v>740</v>
      </c>
      <c r="G15" s="186">
        <v>0.9</v>
      </c>
      <c r="H15" s="146"/>
      <c r="I15" s="148"/>
      <c r="J15" s="146" t="s">
        <v>335</v>
      </c>
      <c r="K15" s="186">
        <v>2.52</v>
      </c>
      <c r="L15" s="146"/>
      <c r="N15" s="71">
        <v>29</v>
      </c>
      <c r="O15" s="72">
        <v>13.5</v>
      </c>
      <c r="P15" s="71">
        <v>29</v>
      </c>
      <c r="Q15" s="72">
        <v>13.5</v>
      </c>
    </row>
    <row r="16" spans="2:22">
      <c r="B16" s="146" t="s">
        <v>287</v>
      </c>
      <c r="C16" s="149">
        <v>6.5</v>
      </c>
      <c r="D16" s="146"/>
      <c r="F16" s="146" t="s">
        <v>807</v>
      </c>
      <c r="G16" s="186">
        <v>4.7</v>
      </c>
      <c r="H16" s="146"/>
      <c r="I16" s="148"/>
      <c r="J16" s="146" t="s">
        <v>336</v>
      </c>
      <c r="K16" s="186">
        <v>3.46</v>
      </c>
      <c r="L16" s="146"/>
      <c r="N16" s="71">
        <v>40</v>
      </c>
      <c r="O16" s="72">
        <v>13.5</v>
      </c>
      <c r="P16" s="71">
        <v>40</v>
      </c>
      <c r="Q16" s="72">
        <v>13.5</v>
      </c>
    </row>
    <row r="17" spans="2:17">
      <c r="B17" s="146" t="s">
        <v>362</v>
      </c>
      <c r="C17" s="149">
        <v>4.5</v>
      </c>
      <c r="D17" s="146"/>
      <c r="F17" s="146" t="s">
        <v>808</v>
      </c>
      <c r="G17" s="186">
        <v>1.2</v>
      </c>
      <c r="H17" s="146"/>
      <c r="I17" s="148"/>
      <c r="J17" s="146" t="s">
        <v>740</v>
      </c>
      <c r="K17" s="186">
        <v>0.9</v>
      </c>
      <c r="L17" s="146"/>
      <c r="N17" s="71">
        <v>60</v>
      </c>
      <c r="O17" s="72">
        <v>13.5</v>
      </c>
      <c r="P17" s="71">
        <v>60</v>
      </c>
      <c r="Q17" s="72">
        <v>13.5</v>
      </c>
    </row>
    <row r="18" spans="2:17">
      <c r="B18" s="146"/>
      <c r="C18" s="149"/>
      <c r="D18" s="146"/>
      <c r="F18" s="146"/>
      <c r="G18" s="186"/>
      <c r="H18" s="146"/>
      <c r="I18" s="148"/>
      <c r="J18" s="146" t="s">
        <v>756</v>
      </c>
      <c r="K18" s="186">
        <v>4.7</v>
      </c>
      <c r="L18" s="146" t="s">
        <v>741</v>
      </c>
    </row>
    <row r="19" spans="2:17">
      <c r="B19" s="146"/>
      <c r="C19" s="149"/>
      <c r="D19" s="146"/>
      <c r="F19" s="146"/>
      <c r="G19" s="186"/>
      <c r="H19" s="146"/>
      <c r="I19" s="148"/>
      <c r="J19" s="146"/>
      <c r="K19" s="186"/>
      <c r="L19" s="146"/>
      <c r="N19" s="32" t="s">
        <v>358</v>
      </c>
    </row>
    <row r="20" spans="2:17" ht="13.5">
      <c r="B20" s="146"/>
      <c r="C20" s="149"/>
      <c r="D20" s="146" t="s">
        <v>800</v>
      </c>
      <c r="F20" s="146"/>
      <c r="G20" s="186"/>
      <c r="H20" s="146"/>
      <c r="I20" s="148"/>
      <c r="J20" s="146"/>
      <c r="K20" s="186"/>
      <c r="L20" s="146"/>
      <c r="N20" s="73" t="s">
        <v>354</v>
      </c>
      <c r="O20" s="74"/>
      <c r="P20" s="74"/>
      <c r="Q20" s="75"/>
    </row>
    <row r="21" spans="2:17" ht="13.5">
      <c r="B21" s="146" t="s">
        <v>283</v>
      </c>
      <c r="C21" s="149" t="s">
        <v>284</v>
      </c>
      <c r="D21" s="146"/>
      <c r="F21" s="146"/>
      <c r="G21" s="186"/>
      <c r="H21" s="146"/>
      <c r="I21" s="148"/>
      <c r="J21" s="146"/>
      <c r="K21" s="186"/>
      <c r="L21" s="146"/>
      <c r="N21" s="73" t="s">
        <v>355</v>
      </c>
      <c r="O21" s="74"/>
      <c r="P21" s="74"/>
      <c r="Q21" s="75"/>
    </row>
    <row r="22" spans="2:17">
      <c r="F22" s="148"/>
      <c r="G22" s="150"/>
      <c r="H22" s="148"/>
      <c r="I22" s="148"/>
      <c r="J22" s="148"/>
      <c r="K22" s="148"/>
      <c r="L22" s="148"/>
      <c r="N22" s="73"/>
      <c r="O22" s="76" t="s">
        <v>350</v>
      </c>
      <c r="P22" s="76" t="s">
        <v>351</v>
      </c>
      <c r="Q22" s="76" t="s">
        <v>352</v>
      </c>
    </row>
    <row r="23" spans="2:17" s="33" customFormat="1" ht="13.5">
      <c r="B23" s="32" t="s">
        <v>72</v>
      </c>
      <c r="C23" s="32"/>
      <c r="F23" s="32" t="s">
        <v>76</v>
      </c>
      <c r="G23" s="32"/>
      <c r="I23" s="148"/>
      <c r="J23" s="56" t="s">
        <v>257</v>
      </c>
      <c r="K23" s="56"/>
      <c r="L23" s="57"/>
      <c r="N23" s="100" t="s">
        <v>353</v>
      </c>
      <c r="O23" s="100" t="s">
        <v>594</v>
      </c>
      <c r="P23" s="100" t="s">
        <v>594</v>
      </c>
      <c r="Q23" s="100" t="s">
        <v>594</v>
      </c>
    </row>
    <row r="24" spans="2:17">
      <c r="B24" s="34" t="s">
        <v>73</v>
      </c>
      <c r="C24" s="35" t="s">
        <v>74</v>
      </c>
      <c r="D24" s="34" t="s">
        <v>54</v>
      </c>
      <c r="F24" s="34" t="s">
        <v>77</v>
      </c>
      <c r="G24" s="35" t="s">
        <v>74</v>
      </c>
      <c r="H24" s="34" t="s">
        <v>54</v>
      </c>
      <c r="I24" s="148"/>
      <c r="J24" s="58" t="s">
        <v>258</v>
      </c>
      <c r="K24" s="59" t="s">
        <v>259</v>
      </c>
      <c r="L24" s="58" t="s">
        <v>68</v>
      </c>
      <c r="N24" s="77">
        <v>0</v>
      </c>
      <c r="O24" s="78">
        <v>4.5</v>
      </c>
      <c r="P24" s="78">
        <v>4</v>
      </c>
      <c r="Q24" s="78">
        <v>3.4</v>
      </c>
    </row>
    <row r="25" spans="2:17">
      <c r="B25" s="146" t="s">
        <v>49</v>
      </c>
      <c r="C25" s="149">
        <v>0.3</v>
      </c>
      <c r="D25" s="146" t="s">
        <v>96</v>
      </c>
      <c r="F25" s="146" t="s">
        <v>78</v>
      </c>
      <c r="G25" s="149">
        <v>0.3</v>
      </c>
      <c r="H25" s="146"/>
      <c r="I25" s="148"/>
      <c r="J25" s="151">
        <v>0</v>
      </c>
      <c r="K25" s="60" t="s">
        <v>2</v>
      </c>
      <c r="L25" s="151"/>
      <c r="N25" s="77">
        <v>5</v>
      </c>
      <c r="O25" s="78">
        <v>4.5</v>
      </c>
      <c r="P25" s="78">
        <v>4</v>
      </c>
      <c r="Q25" s="78">
        <v>3.4</v>
      </c>
    </row>
    <row r="26" spans="2:17">
      <c r="B26" s="146" t="s">
        <v>50</v>
      </c>
      <c r="C26" s="149">
        <v>4.7</v>
      </c>
      <c r="D26" s="146" t="s">
        <v>96</v>
      </c>
      <c r="F26" s="146" t="s">
        <v>79</v>
      </c>
      <c r="G26" s="149">
        <v>4.7</v>
      </c>
      <c r="H26" s="146" t="s">
        <v>366</v>
      </c>
      <c r="I26" s="148"/>
      <c r="J26" s="152">
        <v>3</v>
      </c>
      <c r="K26" s="60">
        <v>1</v>
      </c>
      <c r="L26" s="151"/>
      <c r="N26" s="77">
        <v>10</v>
      </c>
      <c r="O26" s="78">
        <v>4.6500000000000004</v>
      </c>
      <c r="P26" s="78">
        <v>4.2</v>
      </c>
      <c r="Q26" s="78">
        <v>3.75</v>
      </c>
    </row>
    <row r="27" spans="2:17">
      <c r="B27" s="146" t="s">
        <v>75</v>
      </c>
      <c r="C27" s="149">
        <v>1.5</v>
      </c>
      <c r="D27" s="146" t="s">
        <v>96</v>
      </c>
      <c r="F27" s="146" t="s">
        <v>80</v>
      </c>
      <c r="G27" s="149"/>
      <c r="H27" s="146"/>
      <c r="I27" s="148"/>
      <c r="J27" s="152">
        <v>5.5</v>
      </c>
      <c r="K27" s="60">
        <v>2</v>
      </c>
      <c r="L27" s="151"/>
      <c r="N27" s="77">
        <v>15</v>
      </c>
      <c r="O27" s="78">
        <v>4.8</v>
      </c>
      <c r="P27" s="78">
        <v>4.4000000000000004</v>
      </c>
      <c r="Q27" s="78">
        <v>4</v>
      </c>
    </row>
    <row r="28" spans="2:17">
      <c r="B28" s="146" t="s">
        <v>715</v>
      </c>
      <c r="C28" s="149">
        <v>2.5</v>
      </c>
      <c r="D28" s="146" t="s">
        <v>716</v>
      </c>
      <c r="F28" s="146" t="s">
        <v>81</v>
      </c>
      <c r="G28" s="149"/>
      <c r="H28" s="146"/>
      <c r="I28" s="148"/>
      <c r="J28" s="152">
        <v>6.3</v>
      </c>
      <c r="K28" s="60">
        <v>3</v>
      </c>
      <c r="L28" s="151"/>
      <c r="N28" s="77">
        <v>20</v>
      </c>
      <c r="O28" s="78">
        <v>4.95</v>
      </c>
      <c r="P28" s="78">
        <v>4.5999999999999996</v>
      </c>
      <c r="Q28" s="78">
        <v>4.25</v>
      </c>
    </row>
    <row r="29" spans="2:17">
      <c r="B29" s="146" t="s">
        <v>717</v>
      </c>
      <c r="C29" s="149">
        <v>2.94</v>
      </c>
      <c r="D29" s="146" t="s">
        <v>718</v>
      </c>
      <c r="F29" s="146" t="s">
        <v>82</v>
      </c>
      <c r="G29" s="149"/>
      <c r="H29" s="146"/>
      <c r="I29" s="148"/>
      <c r="J29" s="152">
        <v>7.1</v>
      </c>
      <c r="K29" s="60">
        <v>4</v>
      </c>
      <c r="L29" s="151"/>
      <c r="N29" s="77">
        <v>25</v>
      </c>
      <c r="O29" s="78">
        <v>5.0999999999999996</v>
      </c>
      <c r="P29" s="78">
        <v>4.8</v>
      </c>
      <c r="Q29" s="78">
        <v>4.5</v>
      </c>
    </row>
    <row r="30" spans="2:17">
      <c r="B30" s="146" t="s">
        <v>719</v>
      </c>
      <c r="C30" s="149">
        <v>3.38</v>
      </c>
      <c r="D30" s="146" t="s">
        <v>720</v>
      </c>
      <c r="F30" s="146" t="s">
        <v>739</v>
      </c>
      <c r="G30" s="149">
        <v>1.7</v>
      </c>
      <c r="H30" s="146" t="s">
        <v>763</v>
      </c>
      <c r="I30" s="148"/>
      <c r="J30" s="152">
        <v>8</v>
      </c>
      <c r="K30" s="60">
        <v>5</v>
      </c>
      <c r="L30" s="151"/>
      <c r="N30" s="77">
        <v>30</v>
      </c>
      <c r="O30" s="78">
        <v>5.0999999999999996</v>
      </c>
      <c r="P30" s="78">
        <v>4.8</v>
      </c>
      <c r="Q30" s="78">
        <v>4.5</v>
      </c>
    </row>
    <row r="31" spans="2:17">
      <c r="B31" s="146" t="s">
        <v>721</v>
      </c>
      <c r="C31" s="149">
        <v>3.82</v>
      </c>
      <c r="D31" s="146" t="s">
        <v>722</v>
      </c>
      <c r="F31" s="146"/>
      <c r="G31" s="149"/>
      <c r="H31" s="146"/>
      <c r="I31" s="148"/>
      <c r="J31" s="152">
        <v>9.4</v>
      </c>
      <c r="K31" s="60">
        <v>6</v>
      </c>
      <c r="L31" s="151"/>
      <c r="N31" s="77">
        <v>30</v>
      </c>
      <c r="O31" s="78">
        <v>5.0999999999999996</v>
      </c>
      <c r="P31" s="78">
        <v>4.8</v>
      </c>
      <c r="Q31" s="78">
        <v>4.5</v>
      </c>
    </row>
    <row r="32" spans="2:17">
      <c r="B32" s="146" t="s">
        <v>320</v>
      </c>
      <c r="C32" s="149">
        <v>2.8</v>
      </c>
      <c r="D32" s="146" t="s">
        <v>95</v>
      </c>
      <c r="F32" s="146"/>
      <c r="G32" s="149"/>
      <c r="H32" s="146"/>
      <c r="I32" s="148"/>
      <c r="J32" s="152">
        <v>10.5</v>
      </c>
      <c r="K32" s="60">
        <v>7</v>
      </c>
      <c r="L32" s="151"/>
    </row>
    <row r="33" spans="2:16">
      <c r="B33" s="146" t="s">
        <v>738</v>
      </c>
      <c r="C33" s="149">
        <v>4.3</v>
      </c>
      <c r="D33" s="146"/>
      <c r="F33" s="146"/>
      <c r="G33" s="149"/>
      <c r="H33" s="146"/>
      <c r="I33" s="148"/>
      <c r="J33" s="152">
        <v>12.5</v>
      </c>
      <c r="K33" s="60">
        <v>8</v>
      </c>
      <c r="L33" s="151"/>
    </row>
    <row r="34" spans="2:16">
      <c r="B34" s="146"/>
      <c r="C34" s="149"/>
      <c r="D34" s="146"/>
      <c r="F34" s="146"/>
      <c r="G34" s="149"/>
      <c r="H34" s="146"/>
      <c r="I34" s="148"/>
      <c r="J34" s="153"/>
      <c r="K34" s="153"/>
      <c r="L34" s="153"/>
    </row>
    <row r="35" spans="2:16">
      <c r="B35" s="146"/>
      <c r="C35" s="149"/>
      <c r="D35" s="146"/>
      <c r="F35" s="146"/>
      <c r="G35" s="149"/>
      <c r="H35" s="146"/>
      <c r="I35" s="148"/>
      <c r="J35" s="56" t="s">
        <v>260</v>
      </c>
      <c r="K35" s="56"/>
      <c r="L35" s="57"/>
    </row>
    <row r="36" spans="2:16">
      <c r="B36" s="146"/>
      <c r="C36" s="149"/>
      <c r="D36" s="146"/>
      <c r="F36" s="146"/>
      <c r="G36" s="149"/>
      <c r="H36" s="146"/>
      <c r="I36" s="148"/>
      <c r="J36" s="58" t="s">
        <v>258</v>
      </c>
      <c r="K36" s="59" t="s">
        <v>259</v>
      </c>
      <c r="L36" s="58" t="s">
        <v>68</v>
      </c>
    </row>
    <row r="37" spans="2:16" ht="13.5">
      <c r="B37" s="146" t="s">
        <v>368</v>
      </c>
      <c r="C37" s="149" t="s">
        <v>369</v>
      </c>
      <c r="D37" s="146"/>
      <c r="F37" s="146" t="s">
        <v>246</v>
      </c>
      <c r="G37" s="149" t="s">
        <v>429</v>
      </c>
      <c r="H37" s="146"/>
      <c r="I37" s="148"/>
      <c r="J37" s="151">
        <v>0</v>
      </c>
      <c r="K37" s="60" t="s">
        <v>2</v>
      </c>
      <c r="L37" s="151"/>
    </row>
    <row r="38" spans="2:16">
      <c r="F38" s="148"/>
      <c r="G38" s="150"/>
      <c r="H38" s="148"/>
      <c r="I38" s="148"/>
      <c r="J38" s="152">
        <v>3</v>
      </c>
      <c r="K38" s="60">
        <v>1</v>
      </c>
      <c r="L38" s="151"/>
    </row>
    <row r="39" spans="2:16">
      <c r="B39" s="88" t="s">
        <v>55</v>
      </c>
      <c r="C39" s="154" t="s">
        <v>8</v>
      </c>
      <c r="D39" s="148"/>
      <c r="E39" s="148"/>
      <c r="F39" s="148"/>
      <c r="G39" s="148"/>
      <c r="H39" s="148"/>
      <c r="I39" s="148"/>
      <c r="J39" s="152">
        <v>5.21</v>
      </c>
      <c r="K39" s="60">
        <v>2</v>
      </c>
      <c r="L39" s="151"/>
    </row>
    <row r="40" spans="2:16">
      <c r="B40" s="88" t="s">
        <v>56</v>
      </c>
      <c r="C40" s="155">
        <f>MATCH(FLAG_Country,list_Country,0)</f>
        <v>1</v>
      </c>
      <c r="D40" s="148"/>
      <c r="E40" s="156" t="s">
        <v>8</v>
      </c>
      <c r="F40" s="156" t="s">
        <v>9</v>
      </c>
      <c r="G40" s="156" t="s">
        <v>10</v>
      </c>
      <c r="H40" s="156" t="s">
        <v>11</v>
      </c>
      <c r="I40" s="148"/>
      <c r="J40" s="152">
        <v>6.11</v>
      </c>
      <c r="K40" s="60">
        <v>3</v>
      </c>
      <c r="L40" s="151"/>
    </row>
    <row r="41" spans="2:16">
      <c r="B41" s="88" t="s">
        <v>57</v>
      </c>
      <c r="C41" s="155">
        <f t="shared" ref="C41:C48" si="0">INDEX(E41:H41,1,col_country)</f>
        <v>0</v>
      </c>
      <c r="D41" s="148"/>
      <c r="E41" s="88">
        <v>0</v>
      </c>
      <c r="F41" s="88">
        <v>1</v>
      </c>
      <c r="G41" s="88">
        <v>0</v>
      </c>
      <c r="H41" s="88">
        <v>0</v>
      </c>
      <c r="I41" s="148"/>
      <c r="J41" s="152">
        <v>6.81</v>
      </c>
      <c r="K41" s="60">
        <v>4</v>
      </c>
      <c r="L41" s="151"/>
    </row>
    <row r="42" spans="2:16">
      <c r="B42" s="88" t="s">
        <v>58</v>
      </c>
      <c r="C42" s="155" t="str">
        <f t="shared" si="0"/>
        <v>degC</v>
      </c>
      <c r="D42" s="148"/>
      <c r="E42" s="88" t="s">
        <v>12</v>
      </c>
      <c r="F42" s="88" t="s">
        <v>13</v>
      </c>
      <c r="G42" s="88" t="s">
        <v>12</v>
      </c>
      <c r="H42" s="88" t="s">
        <v>12</v>
      </c>
      <c r="I42" s="148"/>
      <c r="J42" s="152">
        <v>7.71</v>
      </c>
      <c r="K42" s="60">
        <v>5</v>
      </c>
      <c r="L42" s="151"/>
    </row>
    <row r="43" spans="2:16">
      <c r="B43" s="88" t="s">
        <v>59</v>
      </c>
      <c r="C43" s="155">
        <f t="shared" si="0"/>
        <v>22</v>
      </c>
      <c r="D43" s="148"/>
      <c r="E43" s="88">
        <v>22</v>
      </c>
      <c r="F43" s="88">
        <v>72</v>
      </c>
      <c r="G43" s="88">
        <v>22</v>
      </c>
      <c r="H43" s="88">
        <v>22</v>
      </c>
      <c r="J43" s="152">
        <v>9.11</v>
      </c>
      <c r="K43" s="60">
        <v>6</v>
      </c>
      <c r="L43" s="151"/>
    </row>
    <row r="44" spans="2:16">
      <c r="B44" s="88" t="s">
        <v>60</v>
      </c>
      <c r="C44" s="155">
        <f t="shared" si="0"/>
        <v>14</v>
      </c>
      <c r="D44" s="148"/>
      <c r="E44" s="88">
        <v>14</v>
      </c>
      <c r="F44" s="88">
        <v>56</v>
      </c>
      <c r="G44" s="88">
        <v>14</v>
      </c>
      <c r="H44" s="88">
        <v>14</v>
      </c>
      <c r="J44" s="152">
        <v>10.210000000000001</v>
      </c>
      <c r="K44" s="60">
        <v>7</v>
      </c>
      <c r="L44" s="151"/>
    </row>
    <row r="45" spans="2:16">
      <c r="B45" s="88" t="s">
        <v>61</v>
      </c>
      <c r="C45" s="155">
        <f t="shared" si="0"/>
        <v>17</v>
      </c>
      <c r="D45" s="148"/>
      <c r="E45" s="88">
        <v>17</v>
      </c>
      <c r="F45" s="88">
        <v>62</v>
      </c>
      <c r="G45" s="88">
        <v>17</v>
      </c>
      <c r="H45" s="88">
        <v>17</v>
      </c>
      <c r="J45" s="152">
        <v>12.21</v>
      </c>
      <c r="K45" s="60">
        <v>8</v>
      </c>
      <c r="L45" s="151"/>
    </row>
    <row r="46" spans="2:16">
      <c r="B46" s="88" t="s">
        <v>62</v>
      </c>
      <c r="C46" s="155">
        <f t="shared" si="0"/>
        <v>27</v>
      </c>
      <c r="D46" s="148"/>
      <c r="E46" s="88">
        <v>27</v>
      </c>
      <c r="F46" s="88">
        <v>82</v>
      </c>
      <c r="G46" s="88">
        <v>27</v>
      </c>
      <c r="H46" s="88">
        <v>27</v>
      </c>
      <c r="I46" s="148"/>
      <c r="J46" s="148"/>
      <c r="K46" s="148"/>
      <c r="L46" s="148"/>
    </row>
    <row r="47" spans="2:16">
      <c r="B47" s="88" t="s">
        <v>63</v>
      </c>
      <c r="C47" s="155">
        <f t="shared" si="0"/>
        <v>141.5</v>
      </c>
      <c r="D47" s="148"/>
      <c r="E47" s="88">
        <v>141.5</v>
      </c>
      <c r="F47" s="88">
        <v>311</v>
      </c>
      <c r="G47" s="88">
        <v>141.5</v>
      </c>
      <c r="H47" s="88">
        <v>141.5</v>
      </c>
      <c r="I47" s="148"/>
      <c r="J47" s="56" t="s">
        <v>424</v>
      </c>
      <c r="K47" s="56"/>
      <c r="L47" s="57"/>
      <c r="N47" s="32" t="s">
        <v>561</v>
      </c>
      <c r="O47" s="32"/>
      <c r="P47" s="33"/>
    </row>
    <row r="48" spans="2:16" s="33" customFormat="1">
      <c r="B48" s="88" t="s">
        <v>64</v>
      </c>
      <c r="C48" s="155">
        <f t="shared" si="0"/>
        <v>0.5</v>
      </c>
      <c r="D48" s="148"/>
      <c r="E48" s="88">
        <v>0.5</v>
      </c>
      <c r="F48" s="88">
        <v>1</v>
      </c>
      <c r="G48" s="88">
        <v>0.5</v>
      </c>
      <c r="H48" s="88">
        <v>0.5</v>
      </c>
      <c r="I48" s="157"/>
      <c r="J48" s="58" t="s">
        <v>430</v>
      </c>
      <c r="K48" s="59" t="s">
        <v>374</v>
      </c>
      <c r="L48" s="58" t="s">
        <v>68</v>
      </c>
      <c r="N48" s="34" t="s">
        <v>52</v>
      </c>
      <c r="O48" s="35" t="s">
        <v>562</v>
      </c>
      <c r="P48" s="34" t="s">
        <v>54</v>
      </c>
    </row>
    <row r="49" spans="2:16" ht="13.5">
      <c r="F49" s="157"/>
      <c r="G49" s="148"/>
      <c r="I49" s="157"/>
      <c r="J49" s="151" t="s">
        <v>375</v>
      </c>
      <c r="K49" s="60">
        <v>30</v>
      </c>
      <c r="L49" s="151" t="s">
        <v>376</v>
      </c>
      <c r="N49" s="146" t="s">
        <v>563</v>
      </c>
      <c r="O49" s="149">
        <v>1</v>
      </c>
      <c r="P49" s="146" t="s">
        <v>563</v>
      </c>
    </row>
    <row r="50" spans="2:16" ht="13.5">
      <c r="B50" s="146" t="s">
        <v>145</v>
      </c>
      <c r="C50" s="149" t="str">
        <f>const_TempUnit</f>
        <v>degC</v>
      </c>
      <c r="E50" s="54" t="s">
        <v>253</v>
      </c>
      <c r="F50" s="158"/>
      <c r="I50" s="157"/>
      <c r="J50" s="151" t="s">
        <v>377</v>
      </c>
      <c r="K50" s="60">
        <v>35</v>
      </c>
      <c r="L50" s="151" t="s">
        <v>378</v>
      </c>
      <c r="N50" s="146" t="s">
        <v>564</v>
      </c>
      <c r="O50" s="149">
        <v>4</v>
      </c>
      <c r="P50" s="146" t="s">
        <v>565</v>
      </c>
    </row>
    <row r="51" spans="2:16" ht="13.5">
      <c r="B51" s="146" t="s">
        <v>146</v>
      </c>
      <c r="C51" s="149" t="str">
        <f>IF(FLAG_Country&lt;&gt;"USA",F42,E42)</f>
        <v>degF</v>
      </c>
      <c r="E51" s="55" t="s">
        <v>431</v>
      </c>
      <c r="F51" s="55" t="s">
        <v>254</v>
      </c>
      <c r="I51" s="157"/>
      <c r="J51" s="151" t="s">
        <v>379</v>
      </c>
      <c r="K51" s="60">
        <v>55</v>
      </c>
      <c r="L51" s="151" t="s">
        <v>380</v>
      </c>
      <c r="N51" s="146" t="s">
        <v>566</v>
      </c>
      <c r="O51" s="149">
        <v>3</v>
      </c>
      <c r="P51" s="146" t="s">
        <v>567</v>
      </c>
    </row>
    <row r="52" spans="2:16">
      <c r="B52" s="146" t="s">
        <v>147</v>
      </c>
      <c r="C52" s="149">
        <f>const_Tset_default</f>
        <v>22</v>
      </c>
      <c r="E52" s="149">
        <v>35</v>
      </c>
      <c r="F52" s="159">
        <f>Celo_Blower_Min</f>
        <v>4.5</v>
      </c>
      <c r="I52" s="157"/>
      <c r="N52" s="146" t="s">
        <v>568</v>
      </c>
      <c r="O52" s="149">
        <v>2</v>
      </c>
      <c r="P52" s="146" t="s">
        <v>569</v>
      </c>
    </row>
    <row r="53" spans="2:16">
      <c r="B53" s="146" t="s">
        <v>148</v>
      </c>
      <c r="C53" s="149">
        <f>IF(FLAG_Country&lt;&gt;"USA",F43,E43)</f>
        <v>72</v>
      </c>
      <c r="E53" s="149">
        <v>55</v>
      </c>
      <c r="F53" s="159">
        <f>Celo_Blower_Max</f>
        <v>11.3</v>
      </c>
      <c r="I53" s="157"/>
      <c r="N53" s="148"/>
      <c r="O53" s="148"/>
      <c r="P53" s="148"/>
    </row>
    <row r="54" spans="2:16">
      <c r="B54" s="146" t="s">
        <v>149</v>
      </c>
      <c r="C54" s="149">
        <f>const_Tset_off</f>
        <v>14</v>
      </c>
      <c r="F54" s="157"/>
      <c r="G54" s="148"/>
      <c r="I54" s="157"/>
      <c r="J54" s="32" t="s">
        <v>504</v>
      </c>
      <c r="N54" s="32" t="s">
        <v>570</v>
      </c>
      <c r="O54" s="32"/>
      <c r="P54" s="33"/>
    </row>
    <row r="55" spans="2:16">
      <c r="B55" s="146" t="s">
        <v>150</v>
      </c>
      <c r="C55" s="149">
        <f>IF(FLAG_Country&lt;&gt;"USA",F44,E44)</f>
        <v>56</v>
      </c>
      <c r="E55" s="54" t="s">
        <v>339</v>
      </c>
      <c r="F55" s="158"/>
      <c r="G55" s="54" t="s">
        <v>349</v>
      </c>
      <c r="H55" s="158"/>
      <c r="I55" s="157"/>
      <c r="J55" s="34" t="s">
        <v>581</v>
      </c>
      <c r="K55" s="35" t="s">
        <v>582</v>
      </c>
      <c r="L55" s="34" t="s">
        <v>54</v>
      </c>
      <c r="N55" s="34" t="s">
        <v>52</v>
      </c>
      <c r="O55" s="35" t="s">
        <v>562</v>
      </c>
      <c r="P55" s="34" t="s">
        <v>54</v>
      </c>
    </row>
    <row r="56" spans="2:16">
      <c r="B56" s="146" t="s">
        <v>151</v>
      </c>
      <c r="C56" s="149">
        <f>const_Tset_min</f>
        <v>17</v>
      </c>
      <c r="E56" s="55" t="s">
        <v>338</v>
      </c>
      <c r="F56" s="55" t="s">
        <v>254</v>
      </c>
      <c r="G56" s="55" t="s">
        <v>356</v>
      </c>
      <c r="H56" s="55" t="s">
        <v>254</v>
      </c>
      <c r="I56" s="157"/>
      <c r="J56" s="146">
        <v>0</v>
      </c>
      <c r="K56" s="42">
        <v>0</v>
      </c>
      <c r="L56" s="146"/>
      <c r="N56" s="146" t="s">
        <v>563</v>
      </c>
      <c r="O56" s="149">
        <v>1</v>
      </c>
      <c r="P56" s="146" t="s">
        <v>563</v>
      </c>
    </row>
    <row r="57" spans="2:16">
      <c r="B57" s="146" t="s">
        <v>152</v>
      </c>
      <c r="C57" s="149">
        <f>IF(FLAG_Country&lt;&gt;"USA",F45,E45)</f>
        <v>62</v>
      </c>
      <c r="E57" s="149">
        <v>1.6</v>
      </c>
      <c r="F57" s="159">
        <f>ADS_Min</f>
        <v>4.2</v>
      </c>
      <c r="G57" s="149">
        <v>35</v>
      </c>
      <c r="H57" s="159">
        <f>PM_Blower_Min</f>
        <v>3.8</v>
      </c>
      <c r="I57" s="160"/>
      <c r="J57" s="146">
        <v>400</v>
      </c>
      <c r="K57" s="42">
        <v>0.34</v>
      </c>
      <c r="L57" s="146"/>
      <c r="N57" s="146" t="s">
        <v>564</v>
      </c>
      <c r="O57" s="149">
        <v>2</v>
      </c>
      <c r="P57" s="146" t="s">
        <v>565</v>
      </c>
    </row>
    <row r="58" spans="2:16">
      <c r="B58" s="146" t="s">
        <v>153</v>
      </c>
      <c r="C58" s="149">
        <f>const_Tset_max</f>
        <v>27</v>
      </c>
      <c r="E58" s="149">
        <v>4.2</v>
      </c>
      <c r="F58" s="159">
        <f>ADS_Max</f>
        <v>8</v>
      </c>
      <c r="G58" s="149">
        <v>75</v>
      </c>
      <c r="H58" s="159">
        <f>PM_Blower_Max</f>
        <v>8</v>
      </c>
      <c r="I58" s="157"/>
      <c r="J58" s="146">
        <v>1000</v>
      </c>
      <c r="K58" s="42">
        <v>0.85</v>
      </c>
      <c r="L58" s="146"/>
      <c r="N58" s="146" t="s">
        <v>566</v>
      </c>
      <c r="O58" s="149">
        <v>3</v>
      </c>
      <c r="P58" s="146" t="s">
        <v>567</v>
      </c>
    </row>
    <row r="59" spans="2:16">
      <c r="B59" s="146" t="s">
        <v>154</v>
      </c>
      <c r="C59" s="149">
        <f>IF(FLAG_Country&lt;&gt;"USA",F46,E46)</f>
        <v>82</v>
      </c>
      <c r="F59" s="157"/>
      <c r="H59" s="157"/>
      <c r="I59" s="157"/>
      <c r="J59" s="146">
        <v>2000</v>
      </c>
      <c r="K59" s="42">
        <v>1.7</v>
      </c>
      <c r="L59" s="146"/>
      <c r="N59" s="146" t="s">
        <v>568</v>
      </c>
      <c r="O59" s="149">
        <v>4</v>
      </c>
      <c r="P59" s="146" t="s">
        <v>569</v>
      </c>
    </row>
    <row r="60" spans="2:16">
      <c r="B60" s="146" t="s">
        <v>155</v>
      </c>
      <c r="C60" s="149">
        <f>const_Tset_invalid</f>
        <v>141.5</v>
      </c>
      <c r="E60" s="54" t="s">
        <v>340</v>
      </c>
      <c r="F60" s="158"/>
      <c r="G60" s="54" t="s">
        <v>348</v>
      </c>
      <c r="H60" s="158"/>
      <c r="I60" s="157"/>
      <c r="J60" s="146">
        <v>3000</v>
      </c>
      <c r="K60" s="42">
        <v>2.5499999999999998</v>
      </c>
      <c r="L60" s="146"/>
    </row>
    <row r="61" spans="2:16">
      <c r="B61" s="146" t="s">
        <v>156</v>
      </c>
      <c r="C61" s="149">
        <f>IF(FLAG_Country&lt;&gt;"USA",F47,E47)</f>
        <v>311</v>
      </c>
      <c r="E61" s="55" t="s">
        <v>338</v>
      </c>
      <c r="F61" s="55" t="s">
        <v>254</v>
      </c>
      <c r="G61" s="55" t="s">
        <v>356</v>
      </c>
      <c r="H61" s="55" t="s">
        <v>254</v>
      </c>
      <c r="I61" s="157"/>
      <c r="J61" s="146">
        <v>4000</v>
      </c>
      <c r="K61" s="42">
        <v>3.4</v>
      </c>
      <c r="L61" s="146"/>
    </row>
    <row r="62" spans="2:16">
      <c r="B62" s="146" t="s">
        <v>157</v>
      </c>
      <c r="C62" s="149">
        <f>const_Tset_resolution</f>
        <v>0.5</v>
      </c>
      <c r="E62" s="149">
        <v>1</v>
      </c>
      <c r="F62" s="159">
        <f>ADS_Min</f>
        <v>4.2</v>
      </c>
      <c r="G62" s="149">
        <v>25</v>
      </c>
      <c r="H62" s="159">
        <f>PM_Blower_Min</f>
        <v>3.8</v>
      </c>
      <c r="I62" s="160"/>
      <c r="J62" s="160"/>
    </row>
    <row r="63" spans="2:16">
      <c r="B63" s="146" t="s">
        <v>159</v>
      </c>
      <c r="C63" s="149">
        <f>IF(FLAG_Country&lt;&gt;"USA",F48,E48)</f>
        <v>1</v>
      </c>
      <c r="E63" s="149">
        <v>3.6</v>
      </c>
      <c r="F63" s="159">
        <f>ADS_Max</f>
        <v>8</v>
      </c>
      <c r="G63" s="149">
        <v>65</v>
      </c>
      <c r="H63" s="159">
        <f>PM_Blower_Max</f>
        <v>8</v>
      </c>
      <c r="I63" s="160"/>
      <c r="J63" s="160"/>
    </row>
    <row r="64" spans="2:16">
      <c r="F64" s="160"/>
      <c r="G64" s="148"/>
      <c r="I64" s="160"/>
      <c r="J64" s="160"/>
    </row>
    <row r="65" spans="2:20">
      <c r="F65" s="148"/>
      <c r="G65" s="148"/>
      <c r="I65" s="148"/>
      <c r="J65" s="148"/>
    </row>
    <row r="66" spans="2:20">
      <c r="B66" s="32" t="s">
        <v>163</v>
      </c>
      <c r="F66" s="32" t="s">
        <v>469</v>
      </c>
      <c r="I66" s="148"/>
      <c r="J66" s="32" t="s">
        <v>247</v>
      </c>
      <c r="N66" s="32" t="s">
        <v>499</v>
      </c>
      <c r="O66" s="32"/>
      <c r="P66" s="33"/>
      <c r="R66" s="32" t="s">
        <v>500</v>
      </c>
      <c r="S66" s="32"/>
      <c r="T66" s="33"/>
    </row>
    <row r="67" spans="2:20">
      <c r="B67" s="34" t="s">
        <v>162</v>
      </c>
      <c r="C67" s="35" t="s">
        <v>161</v>
      </c>
      <c r="D67" s="34" t="s">
        <v>54</v>
      </c>
      <c r="F67" s="34" t="s">
        <v>248</v>
      </c>
      <c r="G67" s="35" t="s">
        <v>187</v>
      </c>
      <c r="H67" s="34" t="s">
        <v>54</v>
      </c>
      <c r="J67" s="34" t="s">
        <v>248</v>
      </c>
      <c r="K67" s="35" t="s">
        <v>188</v>
      </c>
      <c r="L67" s="34" t="s">
        <v>54</v>
      </c>
      <c r="N67" s="34" t="s">
        <v>501</v>
      </c>
      <c r="O67" s="35" t="s">
        <v>502</v>
      </c>
      <c r="P67" s="34" t="s">
        <v>503</v>
      </c>
      <c r="R67" s="34" t="s">
        <v>501</v>
      </c>
      <c r="S67" s="35" t="s">
        <v>502</v>
      </c>
      <c r="T67" s="34" t="s">
        <v>503</v>
      </c>
    </row>
    <row r="68" spans="2:20">
      <c r="B68" s="215" t="s">
        <v>580</v>
      </c>
      <c r="C68" s="216"/>
      <c r="D68" s="217"/>
      <c r="F68" s="146" t="s">
        <v>212</v>
      </c>
      <c r="G68" s="42" t="s">
        <v>325</v>
      </c>
      <c r="H68" s="146" t="s">
        <v>809</v>
      </c>
      <c r="J68" s="146" t="s">
        <v>280</v>
      </c>
      <c r="K68" s="43" t="s">
        <v>277</v>
      </c>
      <c r="L68" s="146" t="s">
        <v>281</v>
      </c>
      <c r="N68" s="161">
        <v>0.3</v>
      </c>
      <c r="O68" s="162">
        <v>0.3</v>
      </c>
      <c r="P68" s="162">
        <v>2.15</v>
      </c>
      <c r="Q68" s="163"/>
      <c r="R68" s="161">
        <v>0.3</v>
      </c>
      <c r="S68" s="162">
        <v>0.3</v>
      </c>
      <c r="T68" s="162">
        <v>2.15</v>
      </c>
    </row>
    <row r="69" spans="2:20" ht="14.25">
      <c r="B69" s="146" t="s">
        <v>160</v>
      </c>
      <c r="C69" s="149" t="s">
        <v>417</v>
      </c>
      <c r="D69" s="146" t="s">
        <v>410</v>
      </c>
      <c r="E69" s="145" t="s">
        <v>810</v>
      </c>
      <c r="F69" s="146" t="s">
        <v>211</v>
      </c>
      <c r="G69" s="42" t="s">
        <v>325</v>
      </c>
      <c r="H69" s="146" t="s">
        <v>811</v>
      </c>
      <c r="J69" s="146" t="s">
        <v>290</v>
      </c>
      <c r="K69" s="43" t="s">
        <v>298</v>
      </c>
      <c r="L69" s="146" t="s">
        <v>289</v>
      </c>
      <c r="N69" s="161">
        <v>0.85</v>
      </c>
      <c r="O69" s="162">
        <v>0.3</v>
      </c>
      <c r="P69" s="162">
        <v>4.7</v>
      </c>
      <c r="Q69" s="163"/>
      <c r="R69" s="161">
        <v>0.85</v>
      </c>
      <c r="S69" s="162">
        <v>0.3</v>
      </c>
      <c r="T69" s="162">
        <v>4.7</v>
      </c>
    </row>
    <row r="70" spans="2:20" ht="13.5">
      <c r="B70" s="146" t="s">
        <v>166</v>
      </c>
      <c r="C70" s="149" t="s">
        <v>779</v>
      </c>
      <c r="D70" s="146"/>
      <c r="F70" s="146" t="s">
        <v>299</v>
      </c>
      <c r="G70" s="42" t="s">
        <v>213</v>
      </c>
      <c r="H70" s="146" t="s">
        <v>812</v>
      </c>
      <c r="J70" s="146" t="s">
        <v>292</v>
      </c>
      <c r="K70" s="43" t="s">
        <v>317</v>
      </c>
      <c r="L70" s="146" t="s">
        <v>291</v>
      </c>
      <c r="N70" s="161">
        <v>1.4</v>
      </c>
      <c r="O70" s="162">
        <v>2.6</v>
      </c>
      <c r="P70" s="162">
        <v>4.7</v>
      </c>
      <c r="Q70" s="163"/>
      <c r="R70" s="161">
        <v>1.4</v>
      </c>
      <c r="S70" s="162">
        <v>2.1</v>
      </c>
      <c r="T70" s="162">
        <v>4.7</v>
      </c>
    </row>
    <row r="71" spans="2:20">
      <c r="B71" s="146" t="s">
        <v>167</v>
      </c>
      <c r="C71" s="149" t="s">
        <v>813</v>
      </c>
      <c r="D71" s="146"/>
      <c r="F71" s="146" t="s">
        <v>300</v>
      </c>
      <c r="G71" s="42" t="s">
        <v>213</v>
      </c>
      <c r="H71" s="146" t="s">
        <v>814</v>
      </c>
      <c r="J71" s="146" t="s">
        <v>294</v>
      </c>
      <c r="K71" s="43" t="s">
        <v>297</v>
      </c>
      <c r="L71" s="146" t="s">
        <v>278</v>
      </c>
      <c r="N71" s="161">
        <v>1.95</v>
      </c>
      <c r="O71" s="162">
        <v>2.8</v>
      </c>
      <c r="P71" s="162">
        <v>4.7</v>
      </c>
      <c r="Q71" s="163"/>
      <c r="R71" s="161">
        <v>1.9</v>
      </c>
      <c r="S71" s="162">
        <v>2.8</v>
      </c>
      <c r="T71" s="162">
        <v>4.7</v>
      </c>
    </row>
    <row r="72" spans="2:20" ht="13.5">
      <c r="B72" s="146" t="s">
        <v>168</v>
      </c>
      <c r="C72" s="149" t="s">
        <v>780</v>
      </c>
      <c r="D72" s="146"/>
      <c r="F72" s="146" t="s">
        <v>326</v>
      </c>
      <c r="G72" s="42" t="s">
        <v>325</v>
      </c>
      <c r="H72" s="146" t="s">
        <v>466</v>
      </c>
      <c r="J72" s="146" t="s">
        <v>295</v>
      </c>
      <c r="K72" s="43" t="s">
        <v>296</v>
      </c>
      <c r="L72" s="146" t="s">
        <v>279</v>
      </c>
      <c r="N72" s="161">
        <v>2.5</v>
      </c>
      <c r="O72" s="162">
        <v>3</v>
      </c>
      <c r="P72" s="162">
        <v>4.7</v>
      </c>
      <c r="Q72" s="163"/>
      <c r="R72" s="161">
        <v>2.5</v>
      </c>
      <c r="S72" s="162">
        <v>3</v>
      </c>
      <c r="T72" s="162">
        <v>4.7</v>
      </c>
    </row>
    <row r="73" spans="2:20">
      <c r="B73" s="146" t="s">
        <v>169</v>
      </c>
      <c r="C73" s="149" t="s">
        <v>781</v>
      </c>
      <c r="D73" s="146"/>
      <c r="F73" s="146" t="s">
        <v>381</v>
      </c>
      <c r="G73" s="42" t="s">
        <v>325</v>
      </c>
      <c r="H73" s="146" t="s">
        <v>467</v>
      </c>
      <c r="J73" s="146" t="s">
        <v>293</v>
      </c>
      <c r="K73" s="43" t="s">
        <v>318</v>
      </c>
      <c r="L73" s="146" t="s">
        <v>282</v>
      </c>
      <c r="N73" s="161">
        <v>3.05</v>
      </c>
      <c r="O73" s="162">
        <v>3.1</v>
      </c>
      <c r="P73" s="162">
        <v>4.7</v>
      </c>
      <c r="Q73" s="163"/>
      <c r="R73" s="161">
        <v>2.8</v>
      </c>
      <c r="S73" s="162">
        <v>3.2</v>
      </c>
      <c r="T73" s="162">
        <v>4.7</v>
      </c>
    </row>
    <row r="74" spans="2:20">
      <c r="B74" s="146" t="s">
        <v>165</v>
      </c>
      <c r="C74" s="149" t="s">
        <v>815</v>
      </c>
      <c r="D74" s="146"/>
      <c r="F74" s="146" t="s">
        <v>465</v>
      </c>
      <c r="G74" s="42" t="s">
        <v>213</v>
      </c>
      <c r="H74" s="146" t="s">
        <v>468</v>
      </c>
      <c r="J74" s="146" t="s">
        <v>382</v>
      </c>
      <c r="K74" s="43" t="s">
        <v>383</v>
      </c>
      <c r="L74" s="146" t="s">
        <v>395</v>
      </c>
      <c r="N74" s="161">
        <v>3.5</v>
      </c>
      <c r="O74" s="162">
        <v>3.3</v>
      </c>
      <c r="P74" s="162">
        <v>4.7</v>
      </c>
      <c r="Q74" s="163"/>
      <c r="R74" s="161">
        <v>3.25</v>
      </c>
      <c r="S74" s="162">
        <v>3.3</v>
      </c>
      <c r="T74" s="162">
        <v>4.7</v>
      </c>
    </row>
    <row r="75" spans="2:20" ht="13.5">
      <c r="B75" s="146" t="s">
        <v>170</v>
      </c>
      <c r="C75" s="149" t="s">
        <v>816</v>
      </c>
      <c r="D75" s="146"/>
      <c r="F75" s="146" t="s">
        <v>474</v>
      </c>
      <c r="G75" s="42" t="s">
        <v>213</v>
      </c>
      <c r="H75" s="146" t="s">
        <v>473</v>
      </c>
      <c r="J75" s="146" t="s">
        <v>525</v>
      </c>
      <c r="K75" s="43" t="s">
        <v>752</v>
      </c>
      <c r="L75" s="146" t="s">
        <v>736</v>
      </c>
      <c r="N75" s="161">
        <v>4.1500000000000004</v>
      </c>
      <c r="O75" s="162">
        <v>3.5</v>
      </c>
      <c r="P75" s="162">
        <v>4.7</v>
      </c>
      <c r="Q75" s="163"/>
      <c r="R75" s="161">
        <v>4.1500000000000004</v>
      </c>
      <c r="S75" s="162">
        <v>3.5</v>
      </c>
      <c r="T75" s="162">
        <v>4.7</v>
      </c>
    </row>
    <row r="76" spans="2:20">
      <c r="B76" s="146" t="s">
        <v>171</v>
      </c>
      <c r="C76" s="149" t="s">
        <v>817</v>
      </c>
      <c r="D76" s="146"/>
      <c r="F76" s="146" t="s">
        <v>487</v>
      </c>
      <c r="G76" s="42" t="s">
        <v>325</v>
      </c>
      <c r="H76" s="146" t="s">
        <v>488</v>
      </c>
      <c r="J76" s="146" t="s">
        <v>753</v>
      </c>
      <c r="K76" s="43" t="s">
        <v>754</v>
      </c>
      <c r="L76" s="146" t="s">
        <v>755</v>
      </c>
      <c r="N76" s="161">
        <v>4.7</v>
      </c>
      <c r="O76" s="162">
        <v>3.5</v>
      </c>
      <c r="P76" s="162">
        <v>4.7</v>
      </c>
      <c r="Q76" s="163"/>
      <c r="R76" s="161">
        <v>4.7</v>
      </c>
      <c r="S76" s="162">
        <v>3.5</v>
      </c>
      <c r="T76" s="162">
        <v>4.7</v>
      </c>
    </row>
    <row r="77" spans="2:20">
      <c r="B77" s="146" t="s">
        <v>172</v>
      </c>
      <c r="C77" s="149" t="s">
        <v>818</v>
      </c>
      <c r="D77" s="146"/>
      <c r="F77" s="146" t="s">
        <v>819</v>
      </c>
      <c r="G77" s="42" t="s">
        <v>213</v>
      </c>
      <c r="H77" s="146" t="s">
        <v>820</v>
      </c>
      <c r="J77" s="146"/>
      <c r="K77" s="43"/>
      <c r="L77" s="146"/>
    </row>
    <row r="78" spans="2:20" ht="13.5">
      <c r="B78" s="146" t="s">
        <v>173</v>
      </c>
      <c r="C78" s="149" t="s">
        <v>821</v>
      </c>
      <c r="D78" s="146"/>
      <c r="F78" s="146" t="s">
        <v>822</v>
      </c>
      <c r="G78" s="42" t="s">
        <v>325</v>
      </c>
      <c r="H78" s="146" t="s">
        <v>823</v>
      </c>
      <c r="J78" s="146"/>
      <c r="K78" s="43"/>
      <c r="L78" s="146"/>
      <c r="N78" s="32" t="s">
        <v>824</v>
      </c>
      <c r="O78" s="32"/>
    </row>
    <row r="79" spans="2:20" ht="13.5">
      <c r="B79" s="146" t="s">
        <v>174</v>
      </c>
      <c r="C79" s="149" t="s">
        <v>825</v>
      </c>
      <c r="D79" s="146"/>
      <c r="F79" s="146" t="s">
        <v>826</v>
      </c>
      <c r="G79" s="42" t="s">
        <v>213</v>
      </c>
      <c r="H79" s="146" t="s">
        <v>827</v>
      </c>
      <c r="J79" s="146"/>
      <c r="K79" s="43"/>
      <c r="L79" s="146"/>
      <c r="N79" s="34"/>
      <c r="O79" s="34" t="s">
        <v>828</v>
      </c>
      <c r="P79" s="34" t="s">
        <v>829</v>
      </c>
      <c r="Q79" s="34" t="s">
        <v>830</v>
      </c>
      <c r="R79" s="34" t="s">
        <v>831</v>
      </c>
      <c r="S79" s="34" t="s">
        <v>832</v>
      </c>
    </row>
    <row r="80" spans="2:20">
      <c r="B80" s="146" t="s">
        <v>175</v>
      </c>
      <c r="C80" s="149" t="s">
        <v>778</v>
      </c>
      <c r="D80" s="146" t="s">
        <v>239</v>
      </c>
      <c r="E80" s="145" t="s">
        <v>833</v>
      </c>
      <c r="F80" s="146"/>
      <c r="G80" s="42"/>
      <c r="H80" s="146"/>
      <c r="J80" s="146"/>
      <c r="K80" s="43"/>
      <c r="L80" s="146"/>
      <c r="N80" s="189">
        <v>1</v>
      </c>
      <c r="O80" s="43">
        <v>3.4</v>
      </c>
      <c r="P80" s="146">
        <v>45.6</v>
      </c>
      <c r="Q80" s="146">
        <v>33.299999999999997</v>
      </c>
      <c r="R80" s="146">
        <v>28</v>
      </c>
      <c r="S80" s="146">
        <v>24</v>
      </c>
    </row>
    <row r="81" spans="2:19">
      <c r="B81" s="146" t="s">
        <v>774</v>
      </c>
      <c r="C81" s="149" t="s">
        <v>834</v>
      </c>
      <c r="D81" s="146" t="s">
        <v>835</v>
      </c>
      <c r="F81" s="146"/>
      <c r="G81" s="42"/>
      <c r="H81" s="146"/>
      <c r="J81" s="146"/>
      <c r="K81" s="43"/>
      <c r="L81" s="146"/>
      <c r="N81" s="189">
        <v>1</v>
      </c>
      <c r="O81" s="43">
        <v>4.8</v>
      </c>
      <c r="P81" s="146">
        <v>61.5</v>
      </c>
      <c r="Q81" s="146">
        <v>45.6</v>
      </c>
      <c r="R81" s="146">
        <v>38.5</v>
      </c>
      <c r="S81" s="146">
        <v>33.1</v>
      </c>
    </row>
    <row r="82" spans="2:19">
      <c r="B82" s="146" t="s">
        <v>193</v>
      </c>
      <c r="C82" s="149" t="s">
        <v>836</v>
      </c>
      <c r="D82" s="146" t="s">
        <v>240</v>
      </c>
      <c r="F82" s="146"/>
      <c r="G82" s="42"/>
      <c r="H82" s="146"/>
      <c r="J82" s="146"/>
      <c r="K82" s="43"/>
      <c r="L82" s="146"/>
      <c r="N82" s="189">
        <v>2</v>
      </c>
      <c r="O82" s="43">
        <v>5.8</v>
      </c>
      <c r="P82" s="146">
        <v>72.400000000000006</v>
      </c>
      <c r="Q82" s="146">
        <v>54.4</v>
      </c>
      <c r="R82" s="146">
        <v>45.9</v>
      </c>
      <c r="S82" s="146">
        <v>39.799999999999997</v>
      </c>
    </row>
    <row r="83" spans="2:19">
      <c r="B83" s="146" t="s">
        <v>221</v>
      </c>
      <c r="C83" s="149" t="s">
        <v>837</v>
      </c>
      <c r="D83" s="146" t="s">
        <v>245</v>
      </c>
      <c r="F83" s="146"/>
      <c r="G83" s="42"/>
      <c r="H83" s="146"/>
      <c r="J83" s="146"/>
      <c r="K83" s="43"/>
      <c r="L83" s="146"/>
      <c r="N83" s="189">
        <v>3</v>
      </c>
      <c r="O83" s="43">
        <v>6.8</v>
      </c>
      <c r="P83" s="146">
        <v>82.5</v>
      </c>
      <c r="Q83" s="146">
        <v>62.7</v>
      </c>
      <c r="R83" s="146">
        <v>53.5</v>
      </c>
      <c r="S83" s="146">
        <v>46.6</v>
      </c>
    </row>
    <row r="84" spans="2:19">
      <c r="B84" s="146" t="s">
        <v>571</v>
      </c>
      <c r="C84" s="149" t="s">
        <v>572</v>
      </c>
      <c r="D84" s="146" t="s">
        <v>573</v>
      </c>
      <c r="F84" s="146"/>
      <c r="G84" s="42"/>
      <c r="H84" s="146"/>
      <c r="J84" s="146"/>
      <c r="K84" s="43"/>
      <c r="L84" s="146"/>
      <c r="N84" s="189">
        <v>4</v>
      </c>
      <c r="O84" s="43">
        <v>7.1</v>
      </c>
      <c r="P84" s="146">
        <v>85.1</v>
      </c>
      <c r="Q84" s="146">
        <v>65.400000000000006</v>
      </c>
      <c r="R84" s="146">
        <v>55.9</v>
      </c>
      <c r="S84" s="146">
        <v>48.6</v>
      </c>
    </row>
    <row r="85" spans="2:19">
      <c r="B85" s="146" t="s">
        <v>574</v>
      </c>
      <c r="C85" s="149" t="s">
        <v>575</v>
      </c>
      <c r="D85" s="146" t="s">
        <v>576</v>
      </c>
      <c r="F85" s="146"/>
      <c r="G85" s="42"/>
      <c r="H85" s="146"/>
      <c r="J85" s="146"/>
      <c r="K85" s="43"/>
      <c r="L85" s="146"/>
      <c r="N85" s="189">
        <v>5</v>
      </c>
      <c r="O85" s="43">
        <v>8</v>
      </c>
      <c r="P85" s="146">
        <v>89.7</v>
      </c>
      <c r="Q85" s="146">
        <v>73.3</v>
      </c>
      <c r="R85" s="146">
        <v>62.8</v>
      </c>
      <c r="S85" s="146">
        <v>54.8</v>
      </c>
    </row>
    <row r="86" spans="2:19" ht="13.5">
      <c r="B86" s="146" t="s">
        <v>838</v>
      </c>
      <c r="C86" s="149" t="s">
        <v>839</v>
      </c>
      <c r="D86" s="146" t="s">
        <v>840</v>
      </c>
      <c r="F86" s="146"/>
      <c r="G86" s="42"/>
      <c r="H86" s="146"/>
      <c r="J86" s="146"/>
      <c r="K86" s="43"/>
      <c r="L86" s="146"/>
      <c r="N86" s="189">
        <v>6</v>
      </c>
      <c r="O86" s="43">
        <v>9.1999999999999993</v>
      </c>
      <c r="P86" s="146">
        <v>100</v>
      </c>
      <c r="Q86" s="146">
        <v>81.599999999999994</v>
      </c>
      <c r="R86" s="146">
        <v>71.599999999999994</v>
      </c>
      <c r="S86" s="146">
        <v>62.9</v>
      </c>
    </row>
    <row r="87" spans="2:19">
      <c r="B87" s="146"/>
      <c r="C87" s="149"/>
      <c r="D87" s="146"/>
      <c r="F87" s="146"/>
      <c r="G87" s="42"/>
      <c r="H87" s="146"/>
      <c r="J87" s="146"/>
      <c r="K87" s="43"/>
      <c r="L87" s="146"/>
      <c r="N87" s="189">
        <v>7</v>
      </c>
      <c r="O87" s="43">
        <v>11</v>
      </c>
      <c r="P87" s="146">
        <v>100</v>
      </c>
      <c r="Q87" s="146">
        <v>90.9</v>
      </c>
      <c r="R87" s="146">
        <v>82.8</v>
      </c>
      <c r="S87" s="146">
        <v>74.5</v>
      </c>
    </row>
    <row r="88" spans="2:19">
      <c r="B88" s="215" t="s">
        <v>583</v>
      </c>
      <c r="C88" s="216"/>
      <c r="D88" s="217"/>
      <c r="F88" s="146"/>
      <c r="G88" s="42"/>
      <c r="H88" s="146"/>
      <c r="J88" s="146"/>
      <c r="K88" s="43"/>
      <c r="L88" s="146"/>
      <c r="N88" s="189">
        <v>7</v>
      </c>
      <c r="O88" s="43">
        <v>12.5</v>
      </c>
      <c r="P88" s="146">
        <v>100</v>
      </c>
      <c r="Q88" s="146">
        <v>100</v>
      </c>
      <c r="R88" s="146">
        <v>89.1</v>
      </c>
      <c r="S88" s="146">
        <v>82.6</v>
      </c>
    </row>
    <row r="89" spans="2:19">
      <c r="B89" s="146" t="s">
        <v>195</v>
      </c>
      <c r="C89" s="149" t="s">
        <v>199</v>
      </c>
      <c r="D89" s="146" t="s">
        <v>404</v>
      </c>
      <c r="F89" s="146"/>
      <c r="G89" s="42"/>
      <c r="H89" s="146"/>
      <c r="J89" s="146"/>
      <c r="K89" s="43"/>
      <c r="L89" s="146"/>
      <c r="N89" s="189">
        <v>8</v>
      </c>
      <c r="O89" s="43">
        <v>13.5</v>
      </c>
      <c r="P89" s="146">
        <v>100</v>
      </c>
      <c r="Q89" s="146">
        <v>100</v>
      </c>
      <c r="R89" s="146">
        <v>100</v>
      </c>
      <c r="S89" s="146">
        <v>100</v>
      </c>
    </row>
    <row r="90" spans="2:19">
      <c r="B90" s="146" t="s">
        <v>196</v>
      </c>
      <c r="C90" s="149" t="s">
        <v>200</v>
      </c>
      <c r="D90" s="146" t="s">
        <v>403</v>
      </c>
      <c r="N90" s="190"/>
    </row>
    <row r="91" spans="2:19">
      <c r="B91" s="146" t="s">
        <v>197</v>
      </c>
      <c r="C91" s="149" t="s">
        <v>201</v>
      </c>
      <c r="D91" s="146" t="s">
        <v>402</v>
      </c>
      <c r="N91" s="165" t="s">
        <v>841</v>
      </c>
    </row>
    <row r="92" spans="2:19">
      <c r="B92" s="146" t="s">
        <v>198</v>
      </c>
      <c r="C92" s="149" t="s">
        <v>202</v>
      </c>
      <c r="D92" s="146" t="s">
        <v>401</v>
      </c>
      <c r="N92" s="146"/>
      <c r="O92" s="146"/>
      <c r="P92" s="146"/>
    </row>
    <row r="93" spans="2:19">
      <c r="B93" s="146" t="s">
        <v>176</v>
      </c>
      <c r="C93" s="149" t="s">
        <v>177</v>
      </c>
      <c r="D93" s="146" t="s">
        <v>400</v>
      </c>
      <c r="N93" s="191">
        <v>0</v>
      </c>
      <c r="O93" s="191" t="s">
        <v>842</v>
      </c>
      <c r="P93" s="146"/>
    </row>
    <row r="94" spans="2:19">
      <c r="B94" s="146" t="s">
        <v>205</v>
      </c>
      <c r="C94" s="149" t="s">
        <v>203</v>
      </c>
      <c r="D94" s="146" t="s">
        <v>422</v>
      </c>
      <c r="N94" s="191">
        <v>1</v>
      </c>
      <c r="O94" s="191" t="s">
        <v>843</v>
      </c>
      <c r="P94" s="146"/>
    </row>
    <row r="95" spans="2:19">
      <c r="B95" s="146" t="s">
        <v>206</v>
      </c>
      <c r="C95" s="149" t="s">
        <v>204</v>
      </c>
      <c r="D95" s="146" t="s">
        <v>423</v>
      </c>
    </row>
    <row r="96" spans="2:19">
      <c r="B96" s="146" t="s">
        <v>505</v>
      </c>
      <c r="C96" s="149" t="s">
        <v>507</v>
      </c>
      <c r="D96" s="146" t="s">
        <v>509</v>
      </c>
      <c r="N96" s="32" t="s">
        <v>844</v>
      </c>
      <c r="O96" s="145" t="s">
        <v>845</v>
      </c>
    </row>
    <row r="97" spans="2:15">
      <c r="B97" s="146" t="s">
        <v>506</v>
      </c>
      <c r="C97" s="149" t="s">
        <v>508</v>
      </c>
      <c r="D97" s="146" t="s">
        <v>510</v>
      </c>
      <c r="N97" s="34"/>
      <c r="O97" s="35"/>
    </row>
    <row r="98" spans="2:15">
      <c r="B98" s="146"/>
      <c r="C98" s="149"/>
      <c r="D98" s="146"/>
      <c r="N98" s="191">
        <v>0</v>
      </c>
      <c r="O98" s="191" t="s">
        <v>846</v>
      </c>
    </row>
    <row r="99" spans="2:15">
      <c r="B99" s="215" t="s">
        <v>584</v>
      </c>
      <c r="C99" s="216"/>
      <c r="D99" s="217"/>
      <c r="N99" s="191">
        <v>1</v>
      </c>
      <c r="O99" s="191" t="s">
        <v>847</v>
      </c>
    </row>
    <row r="100" spans="2:15">
      <c r="B100" s="146" t="s">
        <v>848</v>
      </c>
      <c r="C100" s="149" t="s">
        <v>849</v>
      </c>
      <c r="D100" s="146" t="s">
        <v>850</v>
      </c>
      <c r="N100" s="191">
        <v>2</v>
      </c>
      <c r="O100" s="191" t="s">
        <v>851</v>
      </c>
    </row>
    <row r="101" spans="2:15">
      <c r="B101" s="146" t="s">
        <v>475</v>
      </c>
      <c r="C101" s="149" t="s">
        <v>479</v>
      </c>
      <c r="D101" s="146" t="s">
        <v>595</v>
      </c>
      <c r="N101" s="191">
        <v>3</v>
      </c>
      <c r="O101" s="191" t="s">
        <v>852</v>
      </c>
    </row>
    <row r="102" spans="2:15">
      <c r="B102" s="146" t="s">
        <v>476</v>
      </c>
      <c r="C102" s="149" t="s">
        <v>480</v>
      </c>
      <c r="D102" s="146" t="s">
        <v>596</v>
      </c>
      <c r="N102" s="191">
        <v>4</v>
      </c>
      <c r="O102" s="191" t="s">
        <v>853</v>
      </c>
    </row>
    <row r="103" spans="2:15">
      <c r="B103" s="146" t="s">
        <v>477</v>
      </c>
      <c r="C103" s="149" t="s">
        <v>481</v>
      </c>
      <c r="D103" s="146" t="s">
        <v>597</v>
      </c>
      <c r="N103" s="191">
        <v>5</v>
      </c>
      <c r="O103" s="191" t="s">
        <v>854</v>
      </c>
    </row>
    <row r="104" spans="2:15">
      <c r="B104" s="146" t="s">
        <v>478</v>
      </c>
      <c r="C104" s="149" t="s">
        <v>482</v>
      </c>
      <c r="D104" s="146" t="s">
        <v>598</v>
      </c>
      <c r="N104" s="191">
        <v>6</v>
      </c>
      <c r="O104" s="191" t="s">
        <v>855</v>
      </c>
    </row>
    <row r="105" spans="2:15">
      <c r="B105" s="146" t="s">
        <v>539</v>
      </c>
      <c r="C105" s="149" t="s">
        <v>538</v>
      </c>
      <c r="D105" s="146" t="s">
        <v>540</v>
      </c>
      <c r="N105" s="191">
        <v>7</v>
      </c>
      <c r="O105" s="191" t="s">
        <v>856</v>
      </c>
    </row>
    <row r="106" spans="2:15">
      <c r="B106" s="146" t="s">
        <v>857</v>
      </c>
      <c r="C106" s="149" t="s">
        <v>858</v>
      </c>
      <c r="D106" s="146" t="s">
        <v>859</v>
      </c>
      <c r="N106" s="191">
        <v>8</v>
      </c>
      <c r="O106" s="191" t="s">
        <v>860</v>
      </c>
    </row>
    <row r="107" spans="2:15">
      <c r="B107" s="146" t="s">
        <v>861</v>
      </c>
      <c r="C107" s="149" t="s">
        <v>862</v>
      </c>
      <c r="D107" s="146" t="s">
        <v>863</v>
      </c>
      <c r="N107" s="191">
        <v>9</v>
      </c>
      <c r="O107" s="191" t="s">
        <v>864</v>
      </c>
    </row>
    <row r="108" spans="2:15">
      <c r="B108" s="146" t="s">
        <v>865</v>
      </c>
      <c r="C108" s="149" t="s">
        <v>866</v>
      </c>
      <c r="D108" s="146" t="s">
        <v>867</v>
      </c>
      <c r="N108" s="191">
        <v>10</v>
      </c>
      <c r="O108" s="191" t="s">
        <v>868</v>
      </c>
    </row>
    <row r="109" spans="2:15">
      <c r="B109" s="146" t="s">
        <v>869</v>
      </c>
      <c r="C109" s="149" t="s">
        <v>870</v>
      </c>
      <c r="D109" s="146" t="s">
        <v>871</v>
      </c>
    </row>
    <row r="110" spans="2:15">
      <c r="B110" s="146" t="s">
        <v>872</v>
      </c>
      <c r="C110" s="149" t="s">
        <v>873</v>
      </c>
      <c r="D110" s="146" t="s">
        <v>874</v>
      </c>
    </row>
    <row r="111" spans="2:15">
      <c r="B111" s="146" t="s">
        <v>542</v>
      </c>
      <c r="C111" s="149" t="s">
        <v>541</v>
      </c>
      <c r="D111" s="146" t="s">
        <v>589</v>
      </c>
    </row>
    <row r="112" spans="2:15">
      <c r="B112" s="146" t="s">
        <v>544</v>
      </c>
      <c r="C112" s="149" t="s">
        <v>543</v>
      </c>
      <c r="D112" s="146" t="s">
        <v>546</v>
      </c>
    </row>
    <row r="113" spans="2:5">
      <c r="B113" s="146" t="s">
        <v>545</v>
      </c>
      <c r="C113" s="149" t="s">
        <v>104</v>
      </c>
      <c r="D113" s="146" t="s">
        <v>547</v>
      </c>
    </row>
    <row r="114" spans="2:5">
      <c r="B114" s="146" t="s">
        <v>311</v>
      </c>
      <c r="C114" s="149" t="s">
        <v>372</v>
      </c>
      <c r="D114" s="146" t="s">
        <v>405</v>
      </c>
    </row>
    <row r="115" spans="2:5">
      <c r="B115" s="146" t="s">
        <v>313</v>
      </c>
      <c r="C115" s="149" t="s">
        <v>312</v>
      </c>
      <c r="D115" s="146" t="s">
        <v>433</v>
      </c>
    </row>
    <row r="116" spans="2:5">
      <c r="B116" s="146" t="s">
        <v>315</v>
      </c>
      <c r="C116" s="149" t="s">
        <v>314</v>
      </c>
      <c r="D116" s="146" t="s">
        <v>434</v>
      </c>
    </row>
    <row r="117" spans="2:5" ht="13.5">
      <c r="B117" s="146" t="s">
        <v>875</v>
      </c>
      <c r="C117" s="149" t="s">
        <v>876</v>
      </c>
      <c r="D117" s="146" t="s">
        <v>877</v>
      </c>
    </row>
    <row r="118" spans="2:5" ht="13.5">
      <c r="B118" s="146" t="s">
        <v>878</v>
      </c>
      <c r="C118" s="149" t="s">
        <v>879</v>
      </c>
      <c r="D118" s="146" t="s">
        <v>880</v>
      </c>
    </row>
    <row r="119" spans="2:5" ht="13.5">
      <c r="B119" s="146" t="s">
        <v>881</v>
      </c>
      <c r="C119" s="149" t="s">
        <v>882</v>
      </c>
      <c r="D119" s="146" t="s">
        <v>883</v>
      </c>
    </row>
    <row r="120" spans="2:5" ht="14.25">
      <c r="B120" s="146" t="s">
        <v>884</v>
      </c>
      <c r="C120" s="149" t="s">
        <v>885</v>
      </c>
      <c r="D120" s="146" t="s">
        <v>886</v>
      </c>
    </row>
    <row r="121" spans="2:5">
      <c r="B121" s="146"/>
      <c r="C121" s="149"/>
      <c r="D121" s="146"/>
    </row>
    <row r="122" spans="2:5">
      <c r="B122" s="146"/>
      <c r="C122" s="149"/>
      <c r="D122" s="146"/>
    </row>
    <row r="123" spans="2:5" ht="13.5">
      <c r="B123" s="146" t="s">
        <v>178</v>
      </c>
      <c r="C123" s="149" t="s">
        <v>887</v>
      </c>
      <c r="D123" s="146" t="s">
        <v>483</v>
      </c>
      <c r="E123" s="145" t="s">
        <v>888</v>
      </c>
    </row>
    <row r="124" spans="2:5">
      <c r="B124" s="146" t="s">
        <v>179</v>
      </c>
      <c r="C124" s="149" t="s">
        <v>777</v>
      </c>
      <c r="D124" s="146" t="s">
        <v>484</v>
      </c>
    </row>
    <row r="125" spans="2:5">
      <c r="B125" s="146" t="s">
        <v>180</v>
      </c>
      <c r="C125" s="149" t="s">
        <v>889</v>
      </c>
      <c r="D125" s="146" t="s">
        <v>485</v>
      </c>
    </row>
    <row r="126" spans="2:5">
      <c r="B126" s="146" t="s">
        <v>181</v>
      </c>
      <c r="C126" s="149"/>
      <c r="D126" s="146" t="s">
        <v>486</v>
      </c>
    </row>
    <row r="127" spans="2:5">
      <c r="B127" s="146" t="s">
        <v>890</v>
      </c>
      <c r="C127" s="149" t="s">
        <v>891</v>
      </c>
      <c r="D127" s="146" t="s">
        <v>859</v>
      </c>
    </row>
    <row r="128" spans="2:5">
      <c r="B128" s="146" t="s">
        <v>892</v>
      </c>
      <c r="C128" s="149" t="s">
        <v>893</v>
      </c>
      <c r="D128" s="146" t="s">
        <v>863</v>
      </c>
    </row>
    <row r="129" spans="2:7" ht="13.5">
      <c r="B129" s="146" t="s">
        <v>894</v>
      </c>
      <c r="C129" s="149" t="s">
        <v>895</v>
      </c>
      <c r="D129" s="146" t="s">
        <v>867</v>
      </c>
      <c r="G129" s="192"/>
    </row>
    <row r="130" spans="2:7">
      <c r="B130" s="146" t="s">
        <v>896</v>
      </c>
      <c r="C130" s="149" t="s">
        <v>897</v>
      </c>
      <c r="D130" s="146" t="s">
        <v>871</v>
      </c>
      <c r="E130" s="193"/>
    </row>
    <row r="131" spans="2:7">
      <c r="B131" s="146" t="s">
        <v>898</v>
      </c>
      <c r="C131" s="149" t="s">
        <v>899</v>
      </c>
      <c r="D131" s="146" t="s">
        <v>874</v>
      </c>
    </row>
    <row r="132" spans="2:7">
      <c r="B132" s="146"/>
      <c r="C132" s="149"/>
      <c r="D132" s="146"/>
    </row>
    <row r="133" spans="2:7">
      <c r="B133" s="146"/>
      <c r="C133" s="149"/>
      <c r="D133" s="146"/>
    </row>
    <row r="134" spans="2:7">
      <c r="B134" s="215" t="s">
        <v>599</v>
      </c>
      <c r="C134" s="216"/>
      <c r="D134" s="217"/>
    </row>
    <row r="135" spans="2:7">
      <c r="B135" s="146" t="s">
        <v>241</v>
      </c>
      <c r="C135" s="149" t="s">
        <v>900</v>
      </c>
      <c r="D135" s="146" t="s">
        <v>255</v>
      </c>
      <c r="E135" s="145" t="s">
        <v>901</v>
      </c>
    </row>
    <row r="136" spans="2:7">
      <c r="B136" s="146" t="s">
        <v>492</v>
      </c>
      <c r="C136" s="149" t="s">
        <v>782</v>
      </c>
      <c r="D136" s="146" t="s">
        <v>587</v>
      </c>
    </row>
    <row r="137" spans="2:7">
      <c r="B137" s="146" t="s">
        <v>902</v>
      </c>
      <c r="C137" s="149" t="s">
        <v>903</v>
      </c>
      <c r="D137" s="146"/>
      <c r="E137" s="145" t="s">
        <v>904</v>
      </c>
    </row>
    <row r="138" spans="2:7">
      <c r="B138" s="146" t="s">
        <v>905</v>
      </c>
      <c r="C138" s="149" t="s">
        <v>906</v>
      </c>
      <c r="D138" s="146"/>
      <c r="E138" s="145" t="s">
        <v>904</v>
      </c>
    </row>
    <row r="139" spans="2:7">
      <c r="B139" s="146" t="s">
        <v>907</v>
      </c>
      <c r="C139" s="149" t="s">
        <v>908</v>
      </c>
      <c r="D139" s="146"/>
      <c r="E139" s="145" t="s">
        <v>904</v>
      </c>
    </row>
    <row r="140" spans="2:7">
      <c r="B140" s="146" t="s">
        <v>909</v>
      </c>
      <c r="C140" s="149" t="s">
        <v>910</v>
      </c>
      <c r="D140" s="146"/>
      <c r="E140" s="145" t="s">
        <v>904</v>
      </c>
    </row>
    <row r="141" spans="2:7">
      <c r="B141" s="146"/>
      <c r="C141" s="149"/>
      <c r="D141" s="146"/>
    </row>
    <row r="142" spans="2:7" ht="13.5">
      <c r="B142" s="146" t="s">
        <v>244</v>
      </c>
      <c r="C142" s="149" t="s">
        <v>243</v>
      </c>
      <c r="D142" s="146" t="s">
        <v>396</v>
      </c>
      <c r="E142" s="145" t="s">
        <v>390</v>
      </c>
    </row>
    <row r="143" spans="2:7">
      <c r="B143" s="146" t="s">
        <v>252</v>
      </c>
      <c r="C143" s="149">
        <v>4.5</v>
      </c>
      <c r="D143" s="146" t="s">
        <v>432</v>
      </c>
    </row>
    <row r="144" spans="2:7">
      <c r="B144" s="146" t="s">
        <v>256</v>
      </c>
      <c r="C144" s="149">
        <v>11.3</v>
      </c>
      <c r="D144" s="146" t="s">
        <v>432</v>
      </c>
    </row>
    <row r="145" spans="2:5">
      <c r="B145" s="146"/>
      <c r="C145" s="149"/>
      <c r="D145" s="146"/>
    </row>
    <row r="146" spans="2:5">
      <c r="B146" s="146" t="s">
        <v>270</v>
      </c>
      <c r="C146" s="149" t="s">
        <v>269</v>
      </c>
      <c r="D146" s="146" t="s">
        <v>585</v>
      </c>
      <c r="E146" s="145" t="s">
        <v>265</v>
      </c>
    </row>
    <row r="147" spans="2:5">
      <c r="B147" s="146" t="s">
        <v>272</v>
      </c>
      <c r="C147" s="149" t="s">
        <v>271</v>
      </c>
      <c r="D147" s="146" t="s">
        <v>585</v>
      </c>
      <c r="E147" s="145" t="s">
        <v>266</v>
      </c>
    </row>
    <row r="148" spans="2:5">
      <c r="B148" s="146" t="s">
        <v>274</v>
      </c>
      <c r="C148" s="149" t="s">
        <v>273</v>
      </c>
      <c r="D148" s="164" t="s">
        <v>397</v>
      </c>
      <c r="E148" s="145" t="s">
        <v>267</v>
      </c>
    </row>
    <row r="149" spans="2:5">
      <c r="B149" s="146" t="s">
        <v>276</v>
      </c>
      <c r="C149" s="149" t="s">
        <v>275</v>
      </c>
      <c r="D149" s="164" t="s">
        <v>418</v>
      </c>
      <c r="E149" s="145" t="s">
        <v>268</v>
      </c>
    </row>
    <row r="150" spans="2:5">
      <c r="B150" s="146"/>
      <c r="C150" s="149"/>
      <c r="D150" s="146"/>
    </row>
    <row r="151" spans="2:5">
      <c r="B151" s="146" t="s">
        <v>286</v>
      </c>
      <c r="C151" s="149">
        <v>4.2</v>
      </c>
      <c r="D151" s="146" t="s">
        <v>911</v>
      </c>
    </row>
    <row r="152" spans="2:5">
      <c r="B152" s="146" t="s">
        <v>285</v>
      </c>
      <c r="C152" s="149">
        <v>8</v>
      </c>
      <c r="D152" s="146" t="s">
        <v>911</v>
      </c>
    </row>
    <row r="153" spans="2:5">
      <c r="B153" s="146"/>
      <c r="C153" s="149"/>
      <c r="D153" s="146"/>
    </row>
    <row r="154" spans="2:5">
      <c r="B154" s="146" t="s">
        <v>319</v>
      </c>
      <c r="C154" s="149" t="s">
        <v>912</v>
      </c>
      <c r="D154" s="146" t="s">
        <v>398</v>
      </c>
      <c r="E154" s="145" t="s">
        <v>391</v>
      </c>
    </row>
    <row r="155" spans="2:5">
      <c r="B155" s="146" t="s">
        <v>324</v>
      </c>
      <c r="C155" s="149" t="s">
        <v>913</v>
      </c>
      <c r="D155" s="146" t="s">
        <v>398</v>
      </c>
      <c r="E155" s="145" t="s">
        <v>323</v>
      </c>
    </row>
    <row r="156" spans="2:5">
      <c r="B156" s="146" t="s">
        <v>329</v>
      </c>
      <c r="C156" s="149" t="s">
        <v>328</v>
      </c>
      <c r="D156" s="146" t="s">
        <v>399</v>
      </c>
      <c r="E156" s="145" t="s">
        <v>327</v>
      </c>
    </row>
    <row r="157" spans="2:5">
      <c r="B157" s="146" t="s">
        <v>331</v>
      </c>
      <c r="C157" s="149" t="s">
        <v>330</v>
      </c>
      <c r="D157" s="146" t="s">
        <v>399</v>
      </c>
      <c r="E157" s="145" t="s">
        <v>266</v>
      </c>
    </row>
    <row r="158" spans="2:5">
      <c r="B158" s="146" t="s">
        <v>333</v>
      </c>
      <c r="C158" s="149" t="s">
        <v>394</v>
      </c>
      <c r="D158" s="146" t="s">
        <v>357</v>
      </c>
      <c r="E158" s="145" t="s">
        <v>337</v>
      </c>
    </row>
    <row r="159" spans="2:5">
      <c r="B159" s="146"/>
      <c r="C159" s="149"/>
      <c r="D159" s="146"/>
    </row>
    <row r="160" spans="2:5">
      <c r="B160" s="146" t="s">
        <v>341</v>
      </c>
      <c r="C160" s="149" t="s">
        <v>341</v>
      </c>
      <c r="D160" s="146" t="s">
        <v>406</v>
      </c>
      <c r="E160" s="145" t="s">
        <v>392</v>
      </c>
    </row>
    <row r="161" spans="2:5">
      <c r="B161" s="146" t="s">
        <v>342</v>
      </c>
      <c r="C161" s="149" t="s">
        <v>342</v>
      </c>
      <c r="D161" s="146" t="s">
        <v>406</v>
      </c>
      <c r="E161" s="145" t="s">
        <v>489</v>
      </c>
    </row>
    <row r="162" spans="2:5">
      <c r="B162" s="146" t="s">
        <v>343</v>
      </c>
      <c r="C162" s="149" t="s">
        <v>343</v>
      </c>
      <c r="D162" s="146" t="s">
        <v>406</v>
      </c>
      <c r="E162" s="145" t="s">
        <v>393</v>
      </c>
    </row>
    <row r="163" spans="2:5">
      <c r="B163" s="146" t="s">
        <v>346</v>
      </c>
      <c r="C163" s="149">
        <v>3.8</v>
      </c>
      <c r="D163" s="146" t="s">
        <v>406</v>
      </c>
    </row>
    <row r="164" spans="2:5">
      <c r="B164" s="146" t="s">
        <v>347</v>
      </c>
      <c r="C164" s="149">
        <v>8</v>
      </c>
      <c r="D164" s="146" t="s">
        <v>406</v>
      </c>
    </row>
    <row r="165" spans="2:5">
      <c r="B165" s="146"/>
      <c r="C165" s="149" t="s">
        <v>914</v>
      </c>
      <c r="D165" s="146"/>
    </row>
    <row r="166" spans="2:5">
      <c r="B166" s="146"/>
      <c r="C166" s="149" t="s">
        <v>915</v>
      </c>
      <c r="D166" s="146"/>
    </row>
    <row r="167" spans="2:5">
      <c r="B167" s="146"/>
      <c r="C167" s="149" t="s">
        <v>916</v>
      </c>
      <c r="D167" s="146"/>
      <c r="E167" s="145" t="s">
        <v>917</v>
      </c>
    </row>
    <row r="168" spans="2:5">
      <c r="B168" s="146"/>
      <c r="C168" s="149"/>
      <c r="D168" s="146"/>
    </row>
    <row r="169" spans="2:5">
      <c r="B169" s="146"/>
      <c r="C169" s="149"/>
      <c r="D169" s="146"/>
    </row>
    <row r="170" spans="2:5">
      <c r="B170" s="146" t="s">
        <v>359</v>
      </c>
      <c r="C170" s="149">
        <v>4.5</v>
      </c>
      <c r="D170" s="146" t="s">
        <v>558</v>
      </c>
    </row>
    <row r="171" spans="2:5">
      <c r="B171" s="146" t="s">
        <v>360</v>
      </c>
      <c r="C171" s="149">
        <v>4</v>
      </c>
      <c r="D171" s="146" t="s">
        <v>559</v>
      </c>
    </row>
    <row r="172" spans="2:5">
      <c r="B172" s="146" t="s">
        <v>361</v>
      </c>
      <c r="C172" s="149">
        <v>3.4</v>
      </c>
      <c r="D172" s="146" t="s">
        <v>560</v>
      </c>
    </row>
    <row r="173" spans="2:5">
      <c r="B173" s="146" t="s">
        <v>552</v>
      </c>
      <c r="C173" s="149">
        <v>13.5</v>
      </c>
      <c r="D173" s="146" t="s">
        <v>555</v>
      </c>
      <c r="E173" s="165" t="s">
        <v>586</v>
      </c>
    </row>
    <row r="174" spans="2:5">
      <c r="B174" s="146" t="s">
        <v>553</v>
      </c>
      <c r="C174" s="149">
        <v>10</v>
      </c>
      <c r="D174" s="146" t="s">
        <v>556</v>
      </c>
    </row>
    <row r="175" spans="2:5">
      <c r="B175" s="146" t="s">
        <v>554</v>
      </c>
      <c r="C175" s="149">
        <v>8</v>
      </c>
      <c r="D175" s="146" t="s">
        <v>557</v>
      </c>
    </row>
    <row r="176" spans="2:5">
      <c r="B176" s="146"/>
      <c r="C176" s="149"/>
      <c r="D176" s="146"/>
    </row>
    <row r="177" spans="2:5">
      <c r="B177" s="146" t="s">
        <v>419</v>
      </c>
      <c r="C177" s="149" t="s">
        <v>414</v>
      </c>
      <c r="D177" s="146" t="s">
        <v>407</v>
      </c>
      <c r="E177" s="145" t="s">
        <v>411</v>
      </c>
    </row>
    <row r="178" spans="2:5">
      <c r="B178" s="146" t="s">
        <v>420</v>
      </c>
      <c r="C178" s="149" t="s">
        <v>415</v>
      </c>
      <c r="D178" s="146" t="s">
        <v>408</v>
      </c>
      <c r="E178" s="145" t="s">
        <v>412</v>
      </c>
    </row>
    <row r="179" spans="2:5">
      <c r="B179" s="146" t="s">
        <v>421</v>
      </c>
      <c r="C179" s="149" t="s">
        <v>416</v>
      </c>
      <c r="D179" s="146" t="s">
        <v>409</v>
      </c>
      <c r="E179" s="145" t="s">
        <v>413</v>
      </c>
    </row>
    <row r="180" spans="2:5">
      <c r="B180" s="146"/>
      <c r="C180" s="149"/>
      <c r="D180" s="146"/>
    </row>
    <row r="181" spans="2:5">
      <c r="B181" s="146" t="s">
        <v>428</v>
      </c>
      <c r="C181" s="149" t="s">
        <v>918</v>
      </c>
      <c r="D181" s="194" t="s">
        <v>919</v>
      </c>
      <c r="E181" s="145" t="s">
        <v>436</v>
      </c>
    </row>
    <row r="182" spans="2:5">
      <c r="B182" s="146" t="s">
        <v>427</v>
      </c>
      <c r="C182" s="149" t="s">
        <v>920</v>
      </c>
      <c r="D182" s="194" t="s">
        <v>921</v>
      </c>
      <c r="E182" s="145" t="s">
        <v>451</v>
      </c>
    </row>
    <row r="183" spans="2:5">
      <c r="B183" s="146" t="s">
        <v>425</v>
      </c>
      <c r="C183" s="149" t="s">
        <v>922</v>
      </c>
      <c r="D183" s="194" t="s">
        <v>923</v>
      </c>
      <c r="E183" s="145" t="s">
        <v>437</v>
      </c>
    </row>
    <row r="184" spans="2:5">
      <c r="B184" s="146" t="s">
        <v>426</v>
      </c>
      <c r="C184" s="149" t="s">
        <v>924</v>
      </c>
      <c r="D184" s="194" t="s">
        <v>925</v>
      </c>
      <c r="E184" s="145" t="s">
        <v>435</v>
      </c>
    </row>
    <row r="185" spans="2:5" ht="13.5">
      <c r="B185" s="146" t="s">
        <v>926</v>
      </c>
      <c r="C185" s="149" t="s">
        <v>927</v>
      </c>
      <c r="D185" s="194" t="s">
        <v>928</v>
      </c>
      <c r="E185" s="145" t="s">
        <v>929</v>
      </c>
    </row>
    <row r="186" spans="2:5" ht="13.5">
      <c r="B186" s="146" t="s">
        <v>798</v>
      </c>
      <c r="C186" s="149" t="s">
        <v>798</v>
      </c>
      <c r="D186" s="184" t="s">
        <v>930</v>
      </c>
      <c r="E186" s="145" t="s">
        <v>799</v>
      </c>
    </row>
    <row r="187" spans="2:5">
      <c r="B187" s="146" t="s">
        <v>931</v>
      </c>
      <c r="C187" s="149" t="s">
        <v>931</v>
      </c>
      <c r="D187" s="146"/>
      <c r="E187" s="145" t="s">
        <v>932</v>
      </c>
    </row>
    <row r="188" spans="2:5">
      <c r="B188" s="146"/>
      <c r="C188" s="149"/>
      <c r="D188" s="146"/>
    </row>
    <row r="189" spans="2:5">
      <c r="B189" s="146" t="s">
        <v>439</v>
      </c>
      <c r="C189" s="149" t="s">
        <v>438</v>
      </c>
      <c r="D189" s="146" t="s">
        <v>440</v>
      </c>
      <c r="E189" s="145" t="s">
        <v>441</v>
      </c>
    </row>
    <row r="190" spans="2:5">
      <c r="B190" s="146" t="s">
        <v>442</v>
      </c>
      <c r="C190" s="149" t="s">
        <v>442</v>
      </c>
      <c r="D190" s="146" t="s">
        <v>452</v>
      </c>
      <c r="E190" s="145" t="s">
        <v>443</v>
      </c>
    </row>
    <row r="191" spans="2:5">
      <c r="B191" s="146" t="s">
        <v>933</v>
      </c>
      <c r="C191" s="149" t="s">
        <v>934</v>
      </c>
      <c r="D191" s="146"/>
    </row>
    <row r="192" spans="2:5">
      <c r="B192" s="146"/>
      <c r="C192" s="149"/>
      <c r="D192" s="146"/>
    </row>
    <row r="193" spans="2:5">
      <c r="B193" s="146" t="s">
        <v>462</v>
      </c>
      <c r="C193" s="149" t="s">
        <v>444</v>
      </c>
      <c r="D193" s="146" t="s">
        <v>457</v>
      </c>
    </row>
    <row r="194" spans="2:5">
      <c r="B194" s="146" t="s">
        <v>463</v>
      </c>
      <c r="C194" s="149" t="s">
        <v>445</v>
      </c>
      <c r="D194" s="146" t="s">
        <v>457</v>
      </c>
      <c r="E194" s="145" t="s">
        <v>450</v>
      </c>
    </row>
    <row r="195" spans="2:5">
      <c r="B195" s="146" t="s">
        <v>464</v>
      </c>
      <c r="C195" s="149" t="s">
        <v>446</v>
      </c>
      <c r="D195" s="146" t="s">
        <v>723</v>
      </c>
    </row>
    <row r="196" spans="2:5">
      <c r="B196" s="146" t="s">
        <v>448</v>
      </c>
      <c r="C196" s="149" t="s">
        <v>447</v>
      </c>
      <c r="D196" s="146" t="s">
        <v>449</v>
      </c>
    </row>
    <row r="197" spans="2:5">
      <c r="B197" s="146" t="s">
        <v>459</v>
      </c>
      <c r="C197" s="149" t="s">
        <v>458</v>
      </c>
      <c r="D197" s="146" t="s">
        <v>456</v>
      </c>
      <c r="E197" s="145" t="s">
        <v>454</v>
      </c>
    </row>
    <row r="198" spans="2:5">
      <c r="B198" s="146" t="s">
        <v>461</v>
      </c>
      <c r="C198" s="149" t="s">
        <v>460</v>
      </c>
      <c r="D198" s="146" t="s">
        <v>453</v>
      </c>
      <c r="E198" s="145" t="s">
        <v>455</v>
      </c>
    </row>
    <row r="199" spans="2:5">
      <c r="B199" s="146"/>
      <c r="C199" s="149"/>
      <c r="D199" s="146"/>
    </row>
    <row r="200" spans="2:5">
      <c r="B200" s="146" t="s">
        <v>498</v>
      </c>
      <c r="C200" s="149" t="s">
        <v>495</v>
      </c>
      <c r="D200" s="146" t="s">
        <v>534</v>
      </c>
    </row>
    <row r="201" spans="2:5">
      <c r="B201" s="146" t="s">
        <v>496</v>
      </c>
      <c r="C201" s="149" t="s">
        <v>497</v>
      </c>
      <c r="D201" s="146" t="s">
        <v>533</v>
      </c>
    </row>
    <row r="202" spans="2:5">
      <c r="B202" s="146" t="s">
        <v>531</v>
      </c>
      <c r="C202" s="149" t="s">
        <v>526</v>
      </c>
      <c r="D202" s="146" t="s">
        <v>529</v>
      </c>
      <c r="E202" s="145" t="s">
        <v>696</v>
      </c>
    </row>
    <row r="203" spans="2:5">
      <c r="B203" s="146" t="s">
        <v>530</v>
      </c>
      <c r="C203" s="149" t="s">
        <v>527</v>
      </c>
      <c r="D203" s="146" t="s">
        <v>528</v>
      </c>
      <c r="E203" s="145" t="s">
        <v>524</v>
      </c>
    </row>
    <row r="204" spans="2:5">
      <c r="B204" s="146" t="s">
        <v>493</v>
      </c>
      <c r="C204" s="149" t="s">
        <v>494</v>
      </c>
      <c r="D204" s="146" t="s">
        <v>588</v>
      </c>
    </row>
    <row r="205" spans="2:5">
      <c r="B205" s="146"/>
      <c r="C205" s="149"/>
      <c r="D205" s="146"/>
    </row>
    <row r="206" spans="2:5">
      <c r="B206" s="146" t="s">
        <v>548</v>
      </c>
      <c r="C206" s="149" t="s">
        <v>578</v>
      </c>
      <c r="D206" s="146" t="s">
        <v>550</v>
      </c>
    </row>
    <row r="207" spans="2:5">
      <c r="B207" s="146" t="s">
        <v>549</v>
      </c>
      <c r="C207" s="149" t="s">
        <v>577</v>
      </c>
      <c r="D207" s="146" t="s">
        <v>590</v>
      </c>
    </row>
    <row r="208" spans="2:5">
      <c r="B208" s="146" t="s">
        <v>551</v>
      </c>
      <c r="C208" s="149" t="s">
        <v>725</v>
      </c>
      <c r="D208" s="146" t="s">
        <v>724</v>
      </c>
    </row>
    <row r="209" spans="2:5">
      <c r="B209" s="146"/>
      <c r="C209" s="149"/>
      <c r="D209" s="146"/>
    </row>
    <row r="210" spans="2:5">
      <c r="B210" s="146" t="s">
        <v>775</v>
      </c>
      <c r="C210" s="149" t="s">
        <v>935</v>
      </c>
      <c r="D210" s="146" t="s">
        <v>579</v>
      </c>
    </row>
    <row r="211" spans="2:5">
      <c r="B211" s="146" t="s">
        <v>601</v>
      </c>
      <c r="C211" s="149" t="s">
        <v>600</v>
      </c>
      <c r="D211" s="146" t="s">
        <v>602</v>
      </c>
      <c r="E211" s="145" t="s">
        <v>603</v>
      </c>
    </row>
    <row r="212" spans="2:5">
      <c r="B212" s="146"/>
      <c r="C212" s="149"/>
      <c r="D212" s="146"/>
    </row>
    <row r="213" spans="2:5">
      <c r="B213" s="146" t="s">
        <v>605</v>
      </c>
      <c r="C213" s="149" t="s">
        <v>604</v>
      </c>
      <c r="D213" s="146" t="s">
        <v>606</v>
      </c>
    </row>
    <row r="214" spans="2:5">
      <c r="B214" s="146"/>
      <c r="C214" s="149"/>
      <c r="D214" s="146"/>
    </row>
    <row r="215" spans="2:5">
      <c r="B215" s="146" t="s">
        <v>699</v>
      </c>
      <c r="C215" s="149" t="s">
        <v>705</v>
      </c>
      <c r="D215" s="146" t="s">
        <v>709</v>
      </c>
      <c r="E215" s="145" t="s">
        <v>711</v>
      </c>
    </row>
    <row r="216" spans="2:5">
      <c r="B216" s="146" t="s">
        <v>700</v>
      </c>
      <c r="C216" s="149" t="s">
        <v>706</v>
      </c>
      <c r="D216" s="146" t="s">
        <v>708</v>
      </c>
      <c r="E216" s="145" t="s">
        <v>712</v>
      </c>
    </row>
    <row r="217" spans="2:5">
      <c r="B217" s="146" t="s">
        <v>701</v>
      </c>
      <c r="C217" s="149" t="s">
        <v>704</v>
      </c>
      <c r="D217" s="146" t="s">
        <v>707</v>
      </c>
      <c r="E217" s="145" t="s">
        <v>713</v>
      </c>
    </row>
    <row r="218" spans="2:5">
      <c r="B218" s="146" t="s">
        <v>702</v>
      </c>
      <c r="C218" s="149" t="s">
        <v>703</v>
      </c>
      <c r="D218" s="146" t="s">
        <v>710</v>
      </c>
      <c r="E218" s="145" t="s">
        <v>714</v>
      </c>
    </row>
    <row r="219" spans="2:5">
      <c r="B219" s="146"/>
      <c r="C219" s="149"/>
      <c r="D219" s="146"/>
    </row>
    <row r="220" spans="2:5">
      <c r="B220" s="146" t="s">
        <v>743</v>
      </c>
      <c r="C220" s="149" t="s">
        <v>742</v>
      </c>
      <c r="D220" s="146" t="s">
        <v>936</v>
      </c>
    </row>
    <row r="221" spans="2:5" ht="13.15" customHeight="1">
      <c r="B221" s="146" t="s">
        <v>608</v>
      </c>
      <c r="C221" s="149" t="s">
        <v>609</v>
      </c>
      <c r="D221" s="146" t="s">
        <v>937</v>
      </c>
    </row>
    <row r="222" spans="2:5">
      <c r="B222" s="146"/>
      <c r="C222" s="149"/>
      <c r="D222" s="146"/>
    </row>
    <row r="223" spans="2:5">
      <c r="B223" s="146" t="s">
        <v>610</v>
      </c>
      <c r="C223" s="149" t="s">
        <v>611</v>
      </c>
      <c r="D223" s="146" t="s">
        <v>612</v>
      </c>
    </row>
    <row r="224" spans="2:5">
      <c r="B224" s="146" t="s">
        <v>613</v>
      </c>
      <c r="C224" s="149" t="s">
        <v>614</v>
      </c>
      <c r="D224" s="146" t="s">
        <v>615</v>
      </c>
    </row>
    <row r="225" spans="2:5">
      <c r="B225" s="146" t="s">
        <v>938</v>
      </c>
      <c r="C225" s="149" t="s">
        <v>798</v>
      </c>
      <c r="D225" s="146"/>
    </row>
    <row r="226" spans="2:5">
      <c r="B226" s="146"/>
      <c r="C226" s="149"/>
      <c r="D226" s="146"/>
    </row>
    <row r="227" spans="2:5">
      <c r="B227" s="146" t="s">
        <v>737</v>
      </c>
      <c r="C227" s="149" t="s">
        <v>939</v>
      </c>
      <c r="D227" s="146" t="s">
        <v>764</v>
      </c>
    </row>
    <row r="228" spans="2:5">
      <c r="B228" s="146" t="s">
        <v>616</v>
      </c>
      <c r="C228" s="149" t="s">
        <v>617</v>
      </c>
      <c r="D228" s="146" t="s">
        <v>663</v>
      </c>
    </row>
    <row r="229" spans="2:5">
      <c r="B229" s="146" t="s">
        <v>618</v>
      </c>
      <c r="C229" s="149" t="s">
        <v>619</v>
      </c>
      <c r="D229" s="146" t="s">
        <v>664</v>
      </c>
    </row>
    <row r="230" spans="2:5">
      <c r="B230" s="146"/>
      <c r="C230" s="149"/>
      <c r="D230" s="146"/>
    </row>
    <row r="231" spans="2:5">
      <c r="B231" s="146" t="s">
        <v>620</v>
      </c>
      <c r="C231" s="149" t="s">
        <v>621</v>
      </c>
      <c r="D231" s="146" t="s">
        <v>665</v>
      </c>
    </row>
    <row r="232" spans="2:5">
      <c r="B232" s="146" t="s">
        <v>622</v>
      </c>
      <c r="C232" s="149" t="s">
        <v>623</v>
      </c>
      <c r="D232" s="146" t="s">
        <v>624</v>
      </c>
    </row>
    <row r="233" spans="2:5">
      <c r="B233" s="146"/>
      <c r="C233" s="149"/>
      <c r="D233" s="146"/>
    </row>
    <row r="234" spans="2:5">
      <c r="B234" s="146" t="s">
        <v>940</v>
      </c>
      <c r="C234" s="149" t="s">
        <v>941</v>
      </c>
      <c r="D234" s="146" t="s">
        <v>942</v>
      </c>
    </row>
    <row r="235" spans="2:5">
      <c r="B235" s="146"/>
      <c r="C235" s="149"/>
      <c r="D235" s="146"/>
    </row>
    <row r="236" spans="2:5">
      <c r="B236" s="146" t="s">
        <v>625</v>
      </c>
      <c r="C236" s="149" t="s">
        <v>626</v>
      </c>
      <c r="D236" s="146" t="s">
        <v>666</v>
      </c>
    </row>
    <row r="237" spans="2:5">
      <c r="B237" s="146" t="s">
        <v>627</v>
      </c>
      <c r="C237" s="149" t="s">
        <v>628</v>
      </c>
      <c r="D237" s="146" t="s">
        <v>667</v>
      </c>
    </row>
    <row r="238" spans="2:5">
      <c r="B238" s="146" t="s">
        <v>629</v>
      </c>
      <c r="C238" s="149" t="s">
        <v>630</v>
      </c>
      <c r="D238" s="146" t="s">
        <v>668</v>
      </c>
    </row>
    <row r="239" spans="2:5">
      <c r="B239" s="146"/>
      <c r="C239" s="149"/>
      <c r="D239" s="146"/>
    </row>
    <row r="240" spans="2:5">
      <c r="B240" s="146" t="s">
        <v>943</v>
      </c>
      <c r="C240" s="149" t="s">
        <v>944</v>
      </c>
      <c r="D240" s="146" t="s">
        <v>945</v>
      </c>
      <c r="E240" s="145" t="s">
        <v>946</v>
      </c>
    </row>
    <row r="241" spans="2:5">
      <c r="B241" s="146" t="s">
        <v>947</v>
      </c>
      <c r="C241" s="149" t="s">
        <v>948</v>
      </c>
      <c r="D241" s="146"/>
      <c r="E241" s="145" t="s">
        <v>949</v>
      </c>
    </row>
    <row r="242" spans="2:5">
      <c r="B242" s="146" t="s">
        <v>950</v>
      </c>
      <c r="C242" s="149" t="s">
        <v>951</v>
      </c>
      <c r="D242" s="146"/>
      <c r="E242" s="145" t="s">
        <v>952</v>
      </c>
    </row>
    <row r="243" spans="2:5">
      <c r="B243" s="146" t="s">
        <v>953</v>
      </c>
      <c r="C243" s="149" t="s">
        <v>954</v>
      </c>
      <c r="D243" s="146"/>
      <c r="E243" s="145" t="s">
        <v>955</v>
      </c>
    </row>
    <row r="244" spans="2:5">
      <c r="B244" s="146" t="s">
        <v>956</v>
      </c>
      <c r="C244" s="149" t="s">
        <v>957</v>
      </c>
      <c r="D244" s="146"/>
      <c r="E244" s="145" t="s">
        <v>958</v>
      </c>
    </row>
    <row r="245" spans="2:5">
      <c r="B245" s="146" t="s">
        <v>959</v>
      </c>
      <c r="C245" s="149" t="s">
        <v>960</v>
      </c>
      <c r="D245" s="146"/>
      <c r="E245" s="145" t="s">
        <v>961</v>
      </c>
    </row>
    <row r="246" spans="2:5">
      <c r="B246" s="146" t="s">
        <v>962</v>
      </c>
      <c r="C246" s="149" t="s">
        <v>963</v>
      </c>
      <c r="D246" s="146"/>
      <c r="E246" s="145" t="s">
        <v>964</v>
      </c>
    </row>
    <row r="247" spans="2:5">
      <c r="B247" s="146" t="s">
        <v>965</v>
      </c>
      <c r="C247" s="149" t="s">
        <v>966</v>
      </c>
      <c r="D247" s="146"/>
      <c r="E247" s="145" t="s">
        <v>967</v>
      </c>
    </row>
    <row r="248" spans="2:5">
      <c r="B248" s="146" t="s">
        <v>968</v>
      </c>
      <c r="C248" s="149" t="s">
        <v>969</v>
      </c>
      <c r="D248" s="146"/>
      <c r="E248" s="145" t="s">
        <v>952</v>
      </c>
    </row>
    <row r="249" spans="2:5">
      <c r="B249" s="146" t="s">
        <v>970</v>
      </c>
      <c r="C249" s="149" t="s">
        <v>971</v>
      </c>
      <c r="D249" s="146"/>
      <c r="E249" s="145" t="s">
        <v>972</v>
      </c>
    </row>
    <row r="250" spans="2:5">
      <c r="B250" s="146" t="s">
        <v>973</v>
      </c>
      <c r="C250" s="149" t="s">
        <v>974</v>
      </c>
      <c r="D250" s="146"/>
      <c r="E250" s="145" t="s">
        <v>975</v>
      </c>
    </row>
    <row r="251" spans="2:5">
      <c r="B251" s="146" t="s">
        <v>976</v>
      </c>
      <c r="C251" s="149" t="s">
        <v>977</v>
      </c>
      <c r="D251" s="146"/>
      <c r="E251" s="145" t="s">
        <v>978</v>
      </c>
    </row>
    <row r="252" spans="2:5">
      <c r="B252" s="146"/>
      <c r="C252" s="149"/>
      <c r="D252" s="146"/>
    </row>
    <row r="253" spans="2:5">
      <c r="B253" s="146" t="s">
        <v>979</v>
      </c>
      <c r="C253" s="149" t="s">
        <v>980</v>
      </c>
      <c r="D253" s="146" t="s">
        <v>981</v>
      </c>
      <c r="E253" s="145" t="s">
        <v>982</v>
      </c>
    </row>
    <row r="254" spans="2:5">
      <c r="B254" s="146"/>
      <c r="C254" s="149"/>
      <c r="D254" s="146"/>
    </row>
    <row r="255" spans="2:5">
      <c r="B255" s="146" t="s">
        <v>631</v>
      </c>
      <c r="C255" s="149" t="s">
        <v>632</v>
      </c>
      <c r="D255" s="146" t="s">
        <v>633</v>
      </c>
    </row>
    <row r="256" spans="2:5">
      <c r="B256" s="146" t="s">
        <v>634</v>
      </c>
      <c r="C256" s="149" t="s">
        <v>635</v>
      </c>
      <c r="D256" s="146" t="s">
        <v>636</v>
      </c>
    </row>
    <row r="257" spans="2:4">
      <c r="B257" s="146"/>
      <c r="C257" s="149"/>
      <c r="D257" s="146"/>
    </row>
    <row r="258" spans="2:4">
      <c r="B258" s="146" t="s">
        <v>637</v>
      </c>
      <c r="C258" s="149" t="s">
        <v>638</v>
      </c>
      <c r="D258" s="146" t="s">
        <v>639</v>
      </c>
    </row>
    <row r="259" spans="2:4">
      <c r="B259" s="146"/>
      <c r="C259" s="149"/>
      <c r="D259" s="146"/>
    </row>
    <row r="260" spans="2:4">
      <c r="B260" s="146" t="s">
        <v>640</v>
      </c>
      <c r="C260" s="149" t="s">
        <v>641</v>
      </c>
      <c r="D260" s="146" t="s">
        <v>669</v>
      </c>
    </row>
    <row r="261" spans="2:4">
      <c r="B261" s="146"/>
      <c r="C261" s="149"/>
      <c r="D261" s="146"/>
    </row>
    <row r="262" spans="2:4">
      <c r="B262" s="146" t="s">
        <v>642</v>
      </c>
      <c r="C262" s="149" t="s">
        <v>643</v>
      </c>
      <c r="D262" s="146" t="s">
        <v>670</v>
      </c>
    </row>
    <row r="263" spans="2:4">
      <c r="B263" s="146" t="s">
        <v>644</v>
      </c>
      <c r="C263" s="149" t="s">
        <v>645</v>
      </c>
      <c r="D263" s="146" t="s">
        <v>671</v>
      </c>
    </row>
    <row r="264" spans="2:4">
      <c r="B264" s="146"/>
      <c r="C264" s="149"/>
      <c r="D264" s="146"/>
    </row>
    <row r="265" spans="2:4">
      <c r="B265" s="146" t="s">
        <v>983</v>
      </c>
      <c r="C265" s="149" t="s">
        <v>984</v>
      </c>
      <c r="D265" s="146"/>
    </row>
    <row r="266" spans="2:4">
      <c r="B266" s="146" t="s">
        <v>985</v>
      </c>
      <c r="C266" s="149" t="s">
        <v>986</v>
      </c>
      <c r="D266" s="146"/>
    </row>
    <row r="267" spans="2:4">
      <c r="B267" s="146"/>
      <c r="C267" s="149"/>
      <c r="D267" s="146"/>
    </row>
    <row r="268" spans="2:4">
      <c r="B268" s="146" t="s">
        <v>646</v>
      </c>
      <c r="C268" s="149" t="s">
        <v>734</v>
      </c>
      <c r="D268" s="146" t="s">
        <v>726</v>
      </c>
    </row>
    <row r="269" spans="2:4">
      <c r="B269" s="146" t="s">
        <v>647</v>
      </c>
      <c r="C269" s="149" t="s">
        <v>735</v>
      </c>
      <c r="D269" s="146" t="s">
        <v>726</v>
      </c>
    </row>
    <row r="270" spans="2:4">
      <c r="B270" s="146"/>
      <c r="C270" s="149"/>
      <c r="D270" s="146"/>
    </row>
    <row r="271" spans="2:4">
      <c r="B271" s="146" t="s">
        <v>648</v>
      </c>
      <c r="C271" s="149" t="s">
        <v>649</v>
      </c>
      <c r="D271" s="146" t="s">
        <v>672</v>
      </c>
    </row>
    <row r="272" spans="2:4">
      <c r="B272" s="146" t="s">
        <v>650</v>
      </c>
      <c r="C272" s="149" t="s">
        <v>651</v>
      </c>
      <c r="D272" s="146" t="s">
        <v>673</v>
      </c>
    </row>
    <row r="273" spans="2:5">
      <c r="B273" s="146" t="s">
        <v>652</v>
      </c>
      <c r="C273" s="149" t="s">
        <v>653</v>
      </c>
      <c r="D273" s="146" t="s">
        <v>674</v>
      </c>
    </row>
    <row r="274" spans="2:5">
      <c r="B274" s="146"/>
      <c r="C274" s="149"/>
      <c r="D274" s="146"/>
    </row>
    <row r="275" spans="2:5">
      <c r="B275" s="146" t="s">
        <v>744</v>
      </c>
      <c r="C275" s="149" t="s">
        <v>745</v>
      </c>
      <c r="D275" s="146"/>
      <c r="E275" s="145" t="s">
        <v>455</v>
      </c>
    </row>
    <row r="276" spans="2:5">
      <c r="B276" s="146" t="s">
        <v>746</v>
      </c>
      <c r="C276" s="149" t="s">
        <v>747</v>
      </c>
      <c r="D276" s="146"/>
      <c r="E276" s="145" t="s">
        <v>748</v>
      </c>
    </row>
    <row r="277" spans="2:5">
      <c r="B277" s="146" t="s">
        <v>654</v>
      </c>
      <c r="C277" s="149" t="s">
        <v>655</v>
      </c>
      <c r="D277" s="146" t="s">
        <v>675</v>
      </c>
    </row>
    <row r="278" spans="2:5" ht="13.5">
      <c r="B278" s="146" t="s">
        <v>656</v>
      </c>
      <c r="C278" s="149" t="s">
        <v>657</v>
      </c>
      <c r="D278" s="146" t="s">
        <v>676</v>
      </c>
    </row>
    <row r="279" spans="2:5">
      <c r="B279" s="146" t="s">
        <v>987</v>
      </c>
      <c r="C279" s="149" t="s">
        <v>988</v>
      </c>
      <c r="D279" s="146" t="s">
        <v>989</v>
      </c>
    </row>
    <row r="280" spans="2:5">
      <c r="B280" s="146" t="s">
        <v>658</v>
      </c>
      <c r="C280" s="149" t="s">
        <v>659</v>
      </c>
      <c r="D280" s="146" t="s">
        <v>677</v>
      </c>
    </row>
    <row r="281" spans="2:5">
      <c r="B281" s="146" t="s">
        <v>660</v>
      </c>
      <c r="C281" s="149" t="s">
        <v>661</v>
      </c>
      <c r="D281" s="146" t="s">
        <v>662</v>
      </c>
    </row>
    <row r="282" spans="2:5">
      <c r="B282" s="146" t="s">
        <v>749</v>
      </c>
      <c r="C282" s="149" t="s">
        <v>750</v>
      </c>
      <c r="D282" s="146"/>
    </row>
    <row r="283" spans="2:5">
      <c r="B283" s="146"/>
      <c r="C283" s="149"/>
      <c r="D283" s="146"/>
    </row>
    <row r="284" spans="2:5">
      <c r="B284" s="166" t="s">
        <v>678</v>
      </c>
      <c r="C284" s="167" t="s">
        <v>697</v>
      </c>
      <c r="D284" s="166" t="s">
        <v>765</v>
      </c>
      <c r="E284" s="145" t="s">
        <v>698</v>
      </c>
    </row>
    <row r="285" spans="2:5">
      <c r="B285" s="166" t="s">
        <v>679</v>
      </c>
      <c r="C285" s="167" t="s">
        <v>680</v>
      </c>
      <c r="D285" s="166" t="s">
        <v>766</v>
      </c>
      <c r="E285" s="145" t="s">
        <v>698</v>
      </c>
    </row>
    <row r="286" spans="2:5">
      <c r="B286" s="166" t="s">
        <v>681</v>
      </c>
      <c r="C286" s="167" t="s">
        <v>727</v>
      </c>
      <c r="D286" s="166" t="s">
        <v>767</v>
      </c>
      <c r="E286" s="145" t="s">
        <v>751</v>
      </c>
    </row>
    <row r="287" spans="2:5">
      <c r="B287" s="166" t="s">
        <v>682</v>
      </c>
      <c r="C287" s="167" t="s">
        <v>683</v>
      </c>
      <c r="D287" s="166" t="s">
        <v>768</v>
      </c>
      <c r="E287" s="145" t="s">
        <v>728</v>
      </c>
    </row>
    <row r="288" spans="2:5">
      <c r="B288" s="166" t="s">
        <v>695</v>
      </c>
      <c r="C288" s="167" t="s">
        <v>684</v>
      </c>
      <c r="D288" s="195" t="s">
        <v>776</v>
      </c>
      <c r="E288" s="145" t="s">
        <v>729</v>
      </c>
    </row>
    <row r="289" spans="2:5">
      <c r="B289" s="166" t="s">
        <v>685</v>
      </c>
      <c r="C289" s="167" t="s">
        <v>686</v>
      </c>
      <c r="D289" s="166" t="s">
        <v>769</v>
      </c>
      <c r="E289" s="145" t="s">
        <v>730</v>
      </c>
    </row>
    <row r="290" spans="2:5">
      <c r="B290" s="166" t="s">
        <v>687</v>
      </c>
      <c r="C290" s="167" t="s">
        <v>688</v>
      </c>
      <c r="D290" s="166" t="s">
        <v>770</v>
      </c>
      <c r="E290" s="145" t="s">
        <v>731</v>
      </c>
    </row>
    <row r="291" spans="2:5">
      <c r="B291" s="166" t="s">
        <v>689</v>
      </c>
      <c r="C291" s="167" t="s">
        <v>690</v>
      </c>
      <c r="D291" s="166" t="s">
        <v>771</v>
      </c>
      <c r="E291" s="145" t="s">
        <v>732</v>
      </c>
    </row>
    <row r="292" spans="2:5">
      <c r="B292" s="166" t="s">
        <v>691</v>
      </c>
      <c r="C292" s="167" t="s">
        <v>692</v>
      </c>
      <c r="D292" s="166" t="s">
        <v>771</v>
      </c>
      <c r="E292" s="145" t="s">
        <v>732</v>
      </c>
    </row>
    <row r="293" spans="2:5">
      <c r="B293" s="166" t="s">
        <v>693</v>
      </c>
      <c r="C293" s="167" t="s">
        <v>694</v>
      </c>
      <c r="D293" s="166" t="s">
        <v>771</v>
      </c>
      <c r="E293" s="145" t="s">
        <v>733</v>
      </c>
    </row>
    <row r="294" spans="2:5">
      <c r="B294" s="146"/>
      <c r="C294" s="149"/>
      <c r="D294" s="146"/>
    </row>
    <row r="295" spans="2:5">
      <c r="B295" s="146" t="s">
        <v>990</v>
      </c>
      <c r="C295" s="149" t="s">
        <v>991</v>
      </c>
      <c r="D295" s="146"/>
      <c r="E295" s="145" t="s">
        <v>991</v>
      </c>
    </row>
    <row r="296" spans="2:5">
      <c r="B296" s="146" t="s">
        <v>992</v>
      </c>
      <c r="C296" s="149" t="s">
        <v>993</v>
      </c>
      <c r="D296" s="146"/>
    </row>
    <row r="297" spans="2:5">
      <c r="B297" s="146"/>
      <c r="C297" s="149"/>
      <c r="D297" s="146"/>
    </row>
    <row r="298" spans="2:5">
      <c r="B298" s="146" t="s">
        <v>994</v>
      </c>
      <c r="C298" s="149" t="s">
        <v>995</v>
      </c>
      <c r="D298" s="146" t="s">
        <v>996</v>
      </c>
    </row>
    <row r="299" spans="2:5">
      <c r="B299" s="146" t="s">
        <v>943</v>
      </c>
      <c r="C299" s="149" t="s">
        <v>944</v>
      </c>
      <c r="D299" s="164" t="s">
        <v>945</v>
      </c>
      <c r="E299" s="145" t="s">
        <v>997</v>
      </c>
    </row>
    <row r="300" spans="2:5">
      <c r="B300" s="146" t="s">
        <v>998</v>
      </c>
      <c r="C300" s="149" t="s">
        <v>999</v>
      </c>
      <c r="D300" s="146"/>
    </row>
    <row r="301" spans="2:5">
      <c r="B301" s="146" t="s">
        <v>1000</v>
      </c>
      <c r="C301" s="149" t="s">
        <v>1001</v>
      </c>
      <c r="D301" s="146"/>
    </row>
    <row r="302" spans="2:5">
      <c r="B302" s="146" t="s">
        <v>947</v>
      </c>
      <c r="C302" s="149" t="s">
        <v>948</v>
      </c>
      <c r="D302" s="164"/>
      <c r="E302" s="145" t="s">
        <v>949</v>
      </c>
    </row>
    <row r="303" spans="2:5">
      <c r="B303" s="146" t="s">
        <v>1002</v>
      </c>
      <c r="C303" s="149" t="s">
        <v>1003</v>
      </c>
      <c r="D303" s="146" t="s">
        <v>1004</v>
      </c>
    </row>
    <row r="304" spans="2:5">
      <c r="B304" s="146" t="s">
        <v>1005</v>
      </c>
      <c r="C304" s="149" t="s">
        <v>1006</v>
      </c>
      <c r="D304" s="146" t="s">
        <v>1007</v>
      </c>
    </row>
    <row r="305" spans="2:5">
      <c r="B305" s="146" t="s">
        <v>1008</v>
      </c>
      <c r="C305" s="149" t="s">
        <v>1009</v>
      </c>
      <c r="D305" s="146" t="s">
        <v>1010</v>
      </c>
    </row>
    <row r="306" spans="2:5">
      <c r="B306" s="146" t="s">
        <v>950</v>
      </c>
      <c r="C306" s="149" t="s">
        <v>951</v>
      </c>
      <c r="D306" s="146"/>
      <c r="E306" s="145" t="s">
        <v>952</v>
      </c>
    </row>
    <row r="307" spans="2:5">
      <c r="B307" s="146" t="s">
        <v>1011</v>
      </c>
      <c r="C307" s="149" t="s">
        <v>954</v>
      </c>
      <c r="D307" s="146"/>
      <c r="E307" s="145" t="s">
        <v>955</v>
      </c>
    </row>
    <row r="308" spans="2:5">
      <c r="B308" s="146" t="s">
        <v>1012</v>
      </c>
      <c r="C308" s="149" t="s">
        <v>1013</v>
      </c>
      <c r="D308" s="146"/>
      <c r="E308" s="145" t="s">
        <v>958</v>
      </c>
    </row>
    <row r="309" spans="2:5">
      <c r="B309" s="146" t="s">
        <v>956</v>
      </c>
      <c r="C309" s="149" t="s">
        <v>957</v>
      </c>
      <c r="D309" s="146"/>
      <c r="E309" s="145" t="s">
        <v>958</v>
      </c>
    </row>
    <row r="310" spans="2:5">
      <c r="B310" s="146" t="s">
        <v>1014</v>
      </c>
      <c r="C310" s="149" t="s">
        <v>1015</v>
      </c>
      <c r="D310" s="146"/>
      <c r="E310" s="145" t="s">
        <v>967</v>
      </c>
    </row>
    <row r="311" spans="2:5">
      <c r="B311" s="146" t="s">
        <v>959</v>
      </c>
      <c r="C311" s="149" t="s">
        <v>960</v>
      </c>
      <c r="D311" s="146"/>
      <c r="E311" s="145" t="s">
        <v>961</v>
      </c>
    </row>
    <row r="312" spans="2:5">
      <c r="B312" s="146" t="s">
        <v>962</v>
      </c>
      <c r="C312" s="149" t="s">
        <v>963</v>
      </c>
      <c r="D312" s="146"/>
      <c r="E312" s="145" t="s">
        <v>964</v>
      </c>
    </row>
    <row r="313" spans="2:5">
      <c r="B313" s="146" t="s">
        <v>965</v>
      </c>
      <c r="C313" s="149" t="s">
        <v>966</v>
      </c>
      <c r="D313" s="146"/>
      <c r="E313" s="145" t="s">
        <v>967</v>
      </c>
    </row>
    <row r="314" spans="2:5">
      <c r="B314" s="146" t="s">
        <v>970</v>
      </c>
      <c r="C314" s="149" t="s">
        <v>971</v>
      </c>
      <c r="D314" s="146"/>
      <c r="E314" s="145" t="s">
        <v>972</v>
      </c>
    </row>
    <row r="315" spans="2:5">
      <c r="B315" s="146"/>
      <c r="C315" s="149"/>
      <c r="D315" s="146"/>
    </row>
    <row r="316" spans="2:5">
      <c r="B316" s="146" t="s">
        <v>1016</v>
      </c>
      <c r="C316" s="149" t="s">
        <v>1017</v>
      </c>
      <c r="D316" s="146"/>
      <c r="E316" s="145" t="s">
        <v>1018</v>
      </c>
    </row>
    <row r="317" spans="2:5">
      <c r="B317" s="146" t="s">
        <v>1019</v>
      </c>
      <c r="C317" s="149" t="s">
        <v>1020</v>
      </c>
      <c r="D317" s="146"/>
      <c r="E317" s="145" t="s">
        <v>1018</v>
      </c>
    </row>
    <row r="318" spans="2:5">
      <c r="B318" s="146" t="s">
        <v>1021</v>
      </c>
      <c r="C318" s="149" t="s">
        <v>1022</v>
      </c>
      <c r="D318" s="146"/>
      <c r="E318" s="145" t="s">
        <v>1023</v>
      </c>
    </row>
    <row r="319" spans="2:5">
      <c r="B319" s="146" t="s">
        <v>1024</v>
      </c>
      <c r="C319" s="149" t="s">
        <v>1025</v>
      </c>
      <c r="D319" s="146"/>
      <c r="E319" s="145" t="s">
        <v>1023</v>
      </c>
    </row>
    <row r="320" spans="2:5">
      <c r="B320" s="146"/>
      <c r="C320" s="149"/>
      <c r="D320" s="146"/>
    </row>
    <row r="321" spans="2:5">
      <c r="B321" s="146"/>
      <c r="C321" s="149"/>
      <c r="D321" s="146"/>
    </row>
    <row r="322" spans="2:5">
      <c r="B322" s="146"/>
      <c r="C322" s="149"/>
      <c r="D322" s="146"/>
    </row>
    <row r="323" spans="2:5">
      <c r="B323" s="146"/>
      <c r="C323" s="149"/>
      <c r="D323" s="146"/>
    </row>
    <row r="324" spans="2:5">
      <c r="B324" s="146"/>
      <c r="C324" s="149"/>
      <c r="D324" s="146"/>
    </row>
    <row r="325" spans="2:5">
      <c r="B325" s="146"/>
      <c r="C325" s="149"/>
      <c r="D325" s="146"/>
    </row>
    <row r="326" spans="2:5">
      <c r="B326" s="215" t="s">
        <v>1026</v>
      </c>
      <c r="C326" s="216"/>
      <c r="D326" s="217"/>
    </row>
    <row r="327" spans="2:5">
      <c r="B327" s="146" t="s">
        <v>1027</v>
      </c>
      <c r="C327" s="149" t="s">
        <v>1028</v>
      </c>
      <c r="D327" s="146"/>
      <c r="E327" s="145" t="s">
        <v>845</v>
      </c>
    </row>
    <row r="328" spans="2:5">
      <c r="B328" s="146"/>
      <c r="C328" s="149"/>
      <c r="D328" s="146"/>
    </row>
    <row r="329" spans="2:5" ht="13.5">
      <c r="B329" s="146" t="s">
        <v>1029</v>
      </c>
      <c r="C329" s="149" t="s">
        <v>1030</v>
      </c>
      <c r="D329" s="146" t="s">
        <v>1031</v>
      </c>
      <c r="E329" s="196"/>
    </row>
    <row r="330" spans="2:5">
      <c r="B330" s="146" t="s">
        <v>1032</v>
      </c>
      <c r="C330" s="149" t="s">
        <v>1033</v>
      </c>
      <c r="D330" s="146"/>
      <c r="E330" s="196" t="s">
        <v>1034</v>
      </c>
    </row>
    <row r="331" spans="2:5">
      <c r="B331" s="146" t="s">
        <v>1035</v>
      </c>
      <c r="C331" s="149" t="s">
        <v>1036</v>
      </c>
      <c r="D331" s="146"/>
      <c r="E331" s="145" t="s">
        <v>1037</v>
      </c>
    </row>
    <row r="332" spans="2:5">
      <c r="B332" s="146"/>
      <c r="C332" s="149"/>
      <c r="D332" s="146"/>
    </row>
    <row r="333" spans="2:5" ht="13.5">
      <c r="B333" s="146" t="s">
        <v>1038</v>
      </c>
      <c r="C333" s="149" t="s">
        <v>1039</v>
      </c>
      <c r="D333" s="184" t="s">
        <v>1040</v>
      </c>
      <c r="E333" s="145" t="s">
        <v>1041</v>
      </c>
    </row>
    <row r="334" spans="2:5">
      <c r="B334" s="146"/>
      <c r="C334" s="149"/>
      <c r="D334" s="146"/>
    </row>
    <row r="335" spans="2:5" ht="13.5">
      <c r="B335" s="146" t="s">
        <v>1042</v>
      </c>
      <c r="C335" s="149" t="s">
        <v>1043</v>
      </c>
      <c r="D335" s="146" t="s">
        <v>1044</v>
      </c>
      <c r="E335" s="145" t="s">
        <v>1045</v>
      </c>
    </row>
    <row r="336" spans="2:5">
      <c r="B336" s="146" t="s">
        <v>1046</v>
      </c>
      <c r="C336" s="149" t="s">
        <v>1047</v>
      </c>
      <c r="D336" s="146" t="s">
        <v>1048</v>
      </c>
    </row>
    <row r="337" spans="2:6">
      <c r="B337" s="146"/>
      <c r="C337" s="149"/>
      <c r="D337" s="146"/>
    </row>
    <row r="338" spans="2:6" ht="13.5">
      <c r="B338" s="146" t="s">
        <v>1049</v>
      </c>
      <c r="C338" s="149" t="s">
        <v>1050</v>
      </c>
      <c r="D338" s="184" t="s">
        <v>1051</v>
      </c>
      <c r="E338" s="145" t="s">
        <v>1052</v>
      </c>
    </row>
    <row r="339" spans="2:6" ht="13.5">
      <c r="B339" s="146" t="s">
        <v>1053</v>
      </c>
      <c r="C339" s="149" t="s">
        <v>1054</v>
      </c>
      <c r="D339" s="146"/>
      <c r="E339" s="145" t="s">
        <v>1055</v>
      </c>
    </row>
    <row r="340" spans="2:6">
      <c r="B340" s="146"/>
      <c r="C340" s="149"/>
      <c r="D340" s="146"/>
    </row>
    <row r="341" spans="2:6">
      <c r="B341" s="146" t="s">
        <v>1056</v>
      </c>
      <c r="C341" s="149" t="s">
        <v>1057</v>
      </c>
      <c r="D341" s="146"/>
    </row>
    <row r="342" spans="2:6">
      <c r="B342" s="146" t="s">
        <v>1058</v>
      </c>
      <c r="C342" s="149" t="s">
        <v>1059</v>
      </c>
      <c r="D342" s="146"/>
    </row>
    <row r="343" spans="2:6">
      <c r="B343" s="146"/>
      <c r="C343" s="149"/>
      <c r="D343" s="146"/>
    </row>
    <row r="344" spans="2:6" ht="13.5">
      <c r="B344" s="146" t="s">
        <v>1060</v>
      </c>
      <c r="C344" s="149" t="s">
        <v>1061</v>
      </c>
      <c r="D344" s="184" t="s">
        <v>1062</v>
      </c>
      <c r="E344" s="145" t="s">
        <v>1063</v>
      </c>
    </row>
    <row r="345" spans="2:6">
      <c r="B345" s="146"/>
      <c r="C345" s="149"/>
      <c r="D345" s="146"/>
    </row>
    <row r="346" spans="2:6" ht="13.5">
      <c r="B346" s="146"/>
      <c r="C346" s="149"/>
      <c r="D346" s="146"/>
      <c r="E346" s="192" t="s">
        <v>1064</v>
      </c>
    </row>
    <row r="347" spans="2:6" ht="13.5">
      <c r="B347" s="146" t="s">
        <v>1065</v>
      </c>
      <c r="C347" s="149" t="s">
        <v>1066</v>
      </c>
      <c r="D347" s="146" t="s">
        <v>1067</v>
      </c>
      <c r="E347" s="197">
        <v>6027</v>
      </c>
      <c r="F347" s="192" t="s">
        <v>1068</v>
      </c>
    </row>
    <row r="348" spans="2:6">
      <c r="B348" s="146" t="s">
        <v>1069</v>
      </c>
      <c r="C348" s="149" t="s">
        <v>1070</v>
      </c>
      <c r="D348" s="146" t="s">
        <v>1071</v>
      </c>
      <c r="E348" s="165">
        <v>0</v>
      </c>
    </row>
    <row r="349" spans="2:6">
      <c r="B349" s="146" t="s">
        <v>1072</v>
      </c>
      <c r="C349" s="149" t="s">
        <v>1073</v>
      </c>
      <c r="D349" s="146" t="s">
        <v>1074</v>
      </c>
      <c r="E349" s="165">
        <v>0</v>
      </c>
    </row>
    <row r="350" spans="2:6">
      <c r="B350" s="146" t="s">
        <v>1075</v>
      </c>
      <c r="C350" s="149" t="s">
        <v>1076</v>
      </c>
      <c r="D350" s="146" t="s">
        <v>1077</v>
      </c>
      <c r="E350" s="165">
        <v>0</v>
      </c>
    </row>
    <row r="351" spans="2:6" ht="13.5">
      <c r="B351" s="146" t="s">
        <v>1078</v>
      </c>
      <c r="C351" s="149" t="s">
        <v>1079</v>
      </c>
      <c r="D351" s="146" t="s">
        <v>1067</v>
      </c>
      <c r="E351" s="145" t="s">
        <v>1080</v>
      </c>
    </row>
    <row r="352" spans="2:6">
      <c r="B352" s="146" t="s">
        <v>1081</v>
      </c>
      <c r="C352" s="149" t="s">
        <v>1082</v>
      </c>
      <c r="D352" s="146" t="s">
        <v>1067</v>
      </c>
    </row>
    <row r="353" spans="2:5">
      <c r="B353" s="146" t="s">
        <v>1083</v>
      </c>
      <c r="C353" s="149" t="s">
        <v>1084</v>
      </c>
      <c r="D353" s="146" t="s">
        <v>1071</v>
      </c>
    </row>
    <row r="354" spans="2:5">
      <c r="B354" s="146" t="s">
        <v>1085</v>
      </c>
      <c r="C354" s="149" t="s">
        <v>1086</v>
      </c>
      <c r="D354" s="146" t="s">
        <v>1071</v>
      </c>
    </row>
    <row r="355" spans="2:5">
      <c r="B355" s="146" t="s">
        <v>1087</v>
      </c>
      <c r="C355" s="149" t="s">
        <v>1088</v>
      </c>
      <c r="D355" s="146" t="s">
        <v>1074</v>
      </c>
    </row>
    <row r="356" spans="2:5">
      <c r="B356" s="146" t="s">
        <v>1089</v>
      </c>
      <c r="C356" s="149" t="s">
        <v>1090</v>
      </c>
      <c r="D356" s="146" t="s">
        <v>1074</v>
      </c>
    </row>
    <row r="357" spans="2:5">
      <c r="B357" s="146" t="s">
        <v>1091</v>
      </c>
      <c r="C357" s="149" t="s">
        <v>1091</v>
      </c>
      <c r="D357" s="146" t="s">
        <v>1077</v>
      </c>
    </row>
    <row r="358" spans="2:5">
      <c r="B358" s="146" t="s">
        <v>1092</v>
      </c>
      <c r="C358" s="149" t="s">
        <v>1093</v>
      </c>
      <c r="D358" s="146" t="s">
        <v>1077</v>
      </c>
    </row>
    <row r="359" spans="2:5">
      <c r="B359" s="146"/>
      <c r="C359" s="149"/>
      <c r="D359" s="146"/>
    </row>
    <row r="360" spans="2:5" ht="13.5">
      <c r="B360" s="146" t="s">
        <v>1094</v>
      </c>
      <c r="C360" s="149" t="s">
        <v>1095</v>
      </c>
      <c r="D360" s="146" t="s">
        <v>1096</v>
      </c>
      <c r="E360" s="192" t="s">
        <v>1097</v>
      </c>
    </row>
    <row r="361" spans="2:5">
      <c r="B361" s="146"/>
      <c r="C361" s="149"/>
      <c r="D361" s="146"/>
    </row>
    <row r="362" spans="2:5" ht="13.5">
      <c r="B362" s="146" t="s">
        <v>1098</v>
      </c>
      <c r="C362" s="149" t="s">
        <v>1099</v>
      </c>
      <c r="D362" s="146"/>
      <c r="E362" s="145" t="s">
        <v>1100</v>
      </c>
    </row>
    <row r="363" spans="2:5">
      <c r="B363" s="146" t="s">
        <v>1101</v>
      </c>
      <c r="C363" s="149" t="s">
        <v>1102</v>
      </c>
      <c r="D363" s="146" t="s">
        <v>1103</v>
      </c>
    </row>
    <row r="364" spans="2:5">
      <c r="B364" s="146"/>
      <c r="C364" s="149"/>
      <c r="D364" s="146"/>
    </row>
    <row r="365" spans="2:5" ht="13.5">
      <c r="B365" s="146"/>
      <c r="C365" s="149"/>
      <c r="D365" s="146"/>
      <c r="E365" s="192"/>
    </row>
    <row r="366" spans="2:5">
      <c r="B366" s="146" t="s">
        <v>1104</v>
      </c>
      <c r="C366" s="149" t="s">
        <v>1105</v>
      </c>
      <c r="D366" s="164"/>
      <c r="E366" s="145" t="s">
        <v>978</v>
      </c>
    </row>
    <row r="367" spans="2:5" ht="13.5">
      <c r="B367" s="146" t="s">
        <v>1106</v>
      </c>
      <c r="C367" s="149" t="s">
        <v>1107</v>
      </c>
      <c r="D367" s="184" t="s">
        <v>1108</v>
      </c>
    </row>
    <row r="368" spans="2:5">
      <c r="B368" s="146" t="s">
        <v>1109</v>
      </c>
      <c r="C368" s="149" t="s">
        <v>1110</v>
      </c>
      <c r="D368" s="146"/>
    </row>
    <row r="369" spans="2:5">
      <c r="B369" s="146" t="s">
        <v>1111</v>
      </c>
      <c r="C369" s="149" t="s">
        <v>1112</v>
      </c>
      <c r="D369" s="146"/>
    </row>
    <row r="370" spans="2:5">
      <c r="B370" s="146" t="s">
        <v>1113</v>
      </c>
      <c r="C370" s="149" t="s">
        <v>1114</v>
      </c>
      <c r="D370" s="146"/>
    </row>
    <row r="371" spans="2:5">
      <c r="B371" s="146" t="s">
        <v>1115</v>
      </c>
      <c r="C371" s="149" t="s">
        <v>1116</v>
      </c>
      <c r="D371" s="146"/>
    </row>
    <row r="372" spans="2:5">
      <c r="B372" s="146" t="s">
        <v>1117</v>
      </c>
      <c r="C372" s="149" t="s">
        <v>1118</v>
      </c>
      <c r="D372" s="146"/>
    </row>
    <row r="373" spans="2:5">
      <c r="B373" s="146" t="s">
        <v>1119</v>
      </c>
      <c r="C373" s="149" t="s">
        <v>1120</v>
      </c>
      <c r="D373" s="146"/>
    </row>
    <row r="374" spans="2:5">
      <c r="B374" s="146" t="s">
        <v>1121</v>
      </c>
      <c r="C374" s="149" t="s">
        <v>1122</v>
      </c>
      <c r="D374" s="146"/>
    </row>
    <row r="375" spans="2:5">
      <c r="B375" s="146" t="s">
        <v>1123</v>
      </c>
      <c r="C375" s="149" t="s">
        <v>1124</v>
      </c>
      <c r="D375" s="146"/>
    </row>
    <row r="376" spans="2:5">
      <c r="B376" s="146"/>
      <c r="C376" s="149"/>
      <c r="D376" s="146"/>
    </row>
    <row r="377" spans="2:5" ht="13.5">
      <c r="B377" s="146" t="s">
        <v>1125</v>
      </c>
      <c r="C377" s="149" t="s">
        <v>1126</v>
      </c>
      <c r="D377" s="146" t="s">
        <v>1127</v>
      </c>
      <c r="E377" s="145" t="s">
        <v>1128</v>
      </c>
    </row>
    <row r="378" spans="2:5">
      <c r="B378" s="146" t="s">
        <v>1129</v>
      </c>
      <c r="C378" s="149" t="s">
        <v>1130</v>
      </c>
      <c r="D378" s="146"/>
    </row>
    <row r="379" spans="2:5">
      <c r="B379" s="146"/>
      <c r="C379" s="149"/>
      <c r="D379" s="146"/>
    </row>
    <row r="380" spans="2:5" ht="13.5">
      <c r="B380" s="198" t="s">
        <v>1131</v>
      </c>
      <c r="C380" s="199" t="s">
        <v>1132</v>
      </c>
      <c r="D380" s="200" t="s">
        <v>1133</v>
      </c>
      <c r="E380" s="145" t="s">
        <v>1134</v>
      </c>
    </row>
    <row r="381" spans="2:5">
      <c r="B381" s="146"/>
      <c r="C381" s="149"/>
      <c r="D381" s="146"/>
    </row>
    <row r="382" spans="2:5">
      <c r="B382" s="146"/>
      <c r="C382" s="149"/>
      <c r="D382" s="146"/>
    </row>
    <row r="383" spans="2:5">
      <c r="B383" s="146"/>
      <c r="C383" s="149"/>
      <c r="D383" s="146"/>
    </row>
    <row r="384" spans="2:5">
      <c r="B384" s="146"/>
      <c r="C384" s="149"/>
      <c r="D384" s="146"/>
    </row>
    <row r="385" spans="2:5">
      <c r="B385" s="146"/>
      <c r="C385" s="149"/>
      <c r="D385" s="146"/>
    </row>
    <row r="386" spans="2:5">
      <c r="B386" s="146"/>
      <c r="C386" s="149"/>
      <c r="D386" s="146"/>
    </row>
    <row r="387" spans="2:5">
      <c r="B387" s="146"/>
      <c r="C387" s="149"/>
      <c r="D387" s="146"/>
    </row>
    <row r="388" spans="2:5" ht="13.5">
      <c r="B388" s="146" t="s">
        <v>1135</v>
      </c>
      <c r="C388" s="149" t="s">
        <v>1136</v>
      </c>
      <c r="D388" s="201" t="s">
        <v>1137</v>
      </c>
      <c r="E388" s="145" t="s">
        <v>1138</v>
      </c>
    </row>
    <row r="389" spans="2:5" ht="13.5">
      <c r="B389" s="146" t="s">
        <v>1139</v>
      </c>
      <c r="C389" s="149" t="s">
        <v>1140</v>
      </c>
      <c r="D389" s="201" t="s">
        <v>1137</v>
      </c>
    </row>
    <row r="390" spans="2:5" ht="13.5">
      <c r="B390" s="146" t="s">
        <v>1141</v>
      </c>
      <c r="C390" s="149" t="s">
        <v>1118</v>
      </c>
      <c r="D390" s="201" t="s">
        <v>1137</v>
      </c>
    </row>
    <row r="391" spans="2:5" ht="13.5">
      <c r="B391" s="146" t="s">
        <v>1142</v>
      </c>
      <c r="C391" s="149" t="s">
        <v>1120</v>
      </c>
      <c r="D391" s="201" t="s">
        <v>1137</v>
      </c>
    </row>
    <row r="392" spans="2:5">
      <c r="B392" s="146" t="s">
        <v>1143</v>
      </c>
      <c r="C392" s="149" t="s">
        <v>1144</v>
      </c>
      <c r="D392" s="146" t="s">
        <v>1145</v>
      </c>
    </row>
    <row r="393" spans="2:5">
      <c r="B393" s="146" t="s">
        <v>1146</v>
      </c>
      <c r="C393" s="149" t="s">
        <v>1147</v>
      </c>
      <c r="D393" s="146" t="s">
        <v>1145</v>
      </c>
    </row>
    <row r="394" spans="2:5" ht="13.5">
      <c r="B394" s="146" t="s">
        <v>1148</v>
      </c>
      <c r="C394" s="149" t="s">
        <v>1149</v>
      </c>
      <c r="D394" s="146" t="s">
        <v>1145</v>
      </c>
      <c r="E394" s="192" t="s">
        <v>1150</v>
      </c>
    </row>
    <row r="395" spans="2:5">
      <c r="B395" s="146" t="s">
        <v>1151</v>
      </c>
      <c r="C395" s="149" t="s">
        <v>1152</v>
      </c>
      <c r="D395" s="146"/>
    </row>
    <row r="396" spans="2:5">
      <c r="B396" s="146" t="s">
        <v>1153</v>
      </c>
      <c r="C396" s="149" t="s">
        <v>1154</v>
      </c>
      <c r="D396" s="146"/>
    </row>
    <row r="397" spans="2:5">
      <c r="B397" s="146" t="s">
        <v>1155</v>
      </c>
      <c r="C397" s="149" t="s">
        <v>1156</v>
      </c>
      <c r="D397" s="146"/>
    </row>
    <row r="398" spans="2:5">
      <c r="B398" s="146" t="s">
        <v>1157</v>
      </c>
      <c r="C398" s="149" t="s">
        <v>1158</v>
      </c>
      <c r="D398" s="146"/>
    </row>
    <row r="399" spans="2:5" ht="13.5">
      <c r="B399" s="146" t="s">
        <v>1159</v>
      </c>
      <c r="C399" s="149" t="s">
        <v>1160</v>
      </c>
      <c r="D399" s="201" t="s">
        <v>1161</v>
      </c>
    </row>
    <row r="400" spans="2:5" ht="13.5">
      <c r="B400" s="146" t="s">
        <v>1162</v>
      </c>
      <c r="C400" s="149" t="s">
        <v>1163</v>
      </c>
      <c r="D400" s="146" t="s">
        <v>1164</v>
      </c>
    </row>
    <row r="401" spans="2:4">
      <c r="B401" s="146"/>
      <c r="C401" s="149"/>
      <c r="D401" s="146"/>
    </row>
    <row r="402" spans="2:4">
      <c r="B402" s="146"/>
      <c r="C402" s="149"/>
      <c r="D402" s="146"/>
    </row>
    <row r="403" spans="2:4">
      <c r="B403" s="146"/>
      <c r="C403" s="149"/>
      <c r="D403" s="146"/>
    </row>
    <row r="404" spans="2:4">
      <c r="B404" s="146"/>
      <c r="C404" s="149"/>
      <c r="D404" s="146"/>
    </row>
    <row r="405" spans="2:4">
      <c r="B405" s="146"/>
      <c r="C405" s="149"/>
      <c r="D405" s="146"/>
    </row>
    <row r="406" spans="2:4">
      <c r="B406" s="146"/>
      <c r="C406" s="149"/>
      <c r="D406" s="146"/>
    </row>
    <row r="407" spans="2:4">
      <c r="B407" s="146"/>
      <c r="C407" s="149"/>
      <c r="D407" s="146"/>
    </row>
    <row r="408" spans="2:4">
      <c r="B408" s="146"/>
      <c r="C408" s="149"/>
      <c r="D408" s="146"/>
    </row>
    <row r="409" spans="2:4">
      <c r="B409" s="146"/>
      <c r="C409" s="149"/>
      <c r="D409" s="146"/>
    </row>
    <row r="410" spans="2:4">
      <c r="B410" s="146"/>
      <c r="C410" s="149"/>
      <c r="D410" s="146"/>
    </row>
    <row r="411" spans="2:4">
      <c r="B411" s="146"/>
      <c r="C411" s="149"/>
      <c r="D411" s="146"/>
    </row>
    <row r="412" spans="2:4">
      <c r="B412" s="146"/>
      <c r="C412" s="149"/>
      <c r="D412" s="146"/>
    </row>
    <row r="413" spans="2:4">
      <c r="B413" s="146"/>
      <c r="C413" s="149"/>
      <c r="D413" s="146"/>
    </row>
    <row r="414" spans="2:4">
      <c r="B414" s="146"/>
      <c r="C414" s="149"/>
      <c r="D414" s="146"/>
    </row>
    <row r="415" spans="2:4">
      <c r="B415" s="146"/>
      <c r="C415" s="149"/>
      <c r="D415" s="146"/>
    </row>
    <row r="416" spans="2:4">
      <c r="B416" s="146"/>
      <c r="C416" s="149"/>
      <c r="D416" s="146"/>
    </row>
    <row r="417" spans="2:4">
      <c r="B417" s="146"/>
      <c r="C417" s="149"/>
      <c r="D417" s="146"/>
    </row>
    <row r="418" spans="2:4">
      <c r="B418" s="146"/>
      <c r="C418" s="149"/>
      <c r="D418" s="146"/>
    </row>
    <row r="419" spans="2:4">
      <c r="B419" s="146"/>
      <c r="C419" s="149"/>
      <c r="D419" s="146"/>
    </row>
    <row r="420" spans="2:4">
      <c r="B420" s="146"/>
      <c r="C420" s="149"/>
      <c r="D420" s="146"/>
    </row>
    <row r="421" spans="2:4">
      <c r="B421" s="146"/>
      <c r="C421" s="149"/>
      <c r="D421" s="146"/>
    </row>
    <row r="422" spans="2:4">
      <c r="B422" s="146"/>
      <c r="C422" s="149"/>
      <c r="D422" s="146"/>
    </row>
    <row r="423" spans="2:4">
      <c r="B423" s="146"/>
      <c r="C423" s="149"/>
      <c r="D423" s="146"/>
    </row>
    <row r="424" spans="2:4">
      <c r="B424" s="146"/>
      <c r="C424" s="149"/>
      <c r="D424" s="146"/>
    </row>
    <row r="425" spans="2:4">
      <c r="B425" s="146"/>
      <c r="C425" s="149"/>
      <c r="D425" s="146"/>
    </row>
    <row r="426" spans="2:4">
      <c r="B426" s="146"/>
      <c r="C426" s="149"/>
      <c r="D426" s="146"/>
    </row>
    <row r="427" spans="2:4">
      <c r="B427" s="146"/>
      <c r="C427" s="149"/>
      <c r="D427" s="146"/>
    </row>
    <row r="428" spans="2:4">
      <c r="B428" s="146"/>
      <c r="C428" s="149"/>
      <c r="D428" s="146"/>
    </row>
    <row r="429" spans="2:4">
      <c r="B429" s="146"/>
      <c r="C429" s="149"/>
      <c r="D429" s="146"/>
    </row>
    <row r="430" spans="2:4">
      <c r="B430" s="146"/>
      <c r="C430" s="149"/>
      <c r="D430" s="146"/>
    </row>
    <row r="431" spans="2:4">
      <c r="B431" s="146"/>
      <c r="C431" s="149"/>
      <c r="D431" s="146"/>
    </row>
    <row r="432" spans="2:4">
      <c r="B432" s="146"/>
      <c r="C432" s="149"/>
      <c r="D432" s="146"/>
    </row>
    <row r="433" spans="2:4">
      <c r="B433" s="146"/>
      <c r="C433" s="149"/>
      <c r="D433" s="146"/>
    </row>
    <row r="434" spans="2:4">
      <c r="B434" s="146"/>
      <c r="C434" s="149"/>
      <c r="D434" s="146"/>
    </row>
    <row r="435" spans="2:4">
      <c r="B435" s="146"/>
      <c r="C435" s="149"/>
      <c r="D435" s="146"/>
    </row>
    <row r="436" spans="2:4">
      <c r="B436" s="146"/>
      <c r="C436" s="149"/>
      <c r="D436" s="146"/>
    </row>
    <row r="437" spans="2:4">
      <c r="B437" s="146"/>
      <c r="C437" s="149"/>
      <c r="D437" s="146"/>
    </row>
    <row r="438" spans="2:4">
      <c r="B438" s="146"/>
      <c r="C438" s="149"/>
      <c r="D438" s="146"/>
    </row>
    <row r="439" spans="2:4">
      <c r="B439" s="146"/>
      <c r="C439" s="149"/>
      <c r="D439" s="146"/>
    </row>
    <row r="440" spans="2:4">
      <c r="B440" s="146"/>
      <c r="C440" s="149"/>
      <c r="D440" s="146"/>
    </row>
    <row r="441" spans="2:4">
      <c r="B441" s="146"/>
      <c r="C441" s="149"/>
      <c r="D441" s="146"/>
    </row>
    <row r="442" spans="2:4">
      <c r="B442" s="146"/>
      <c r="C442" s="149"/>
      <c r="D442" s="146"/>
    </row>
    <row r="443" spans="2:4">
      <c r="B443" s="146"/>
      <c r="C443" s="149"/>
      <c r="D443" s="146"/>
    </row>
    <row r="444" spans="2:4">
      <c r="B444" s="146"/>
      <c r="C444" s="149"/>
      <c r="D444" s="146"/>
    </row>
    <row r="445" spans="2:4">
      <c r="B445" s="146"/>
      <c r="C445" s="149"/>
      <c r="D445" s="146"/>
    </row>
    <row r="446" spans="2:4">
      <c r="B446" s="146"/>
      <c r="C446" s="149"/>
      <c r="D446" s="146"/>
    </row>
    <row r="447" spans="2:4">
      <c r="B447" s="146"/>
      <c r="C447" s="149"/>
      <c r="D447" s="146"/>
    </row>
    <row r="448" spans="2:4">
      <c r="B448" s="146"/>
      <c r="C448" s="149"/>
      <c r="D448" s="146"/>
    </row>
    <row r="449" spans="2:4">
      <c r="B449" s="146"/>
      <c r="C449" s="149"/>
      <c r="D449" s="146"/>
    </row>
    <row r="450" spans="2:4">
      <c r="B450" s="146"/>
      <c r="C450" s="149"/>
      <c r="D450" s="146"/>
    </row>
    <row r="451" spans="2:4">
      <c r="B451" s="146"/>
      <c r="C451" s="149"/>
      <c r="D451" s="146"/>
    </row>
    <row r="452" spans="2:4">
      <c r="B452" s="146"/>
      <c r="C452" s="149"/>
      <c r="D452" s="146"/>
    </row>
    <row r="453" spans="2:4">
      <c r="B453" s="146"/>
      <c r="C453" s="149"/>
      <c r="D453" s="146"/>
    </row>
    <row r="454" spans="2:4">
      <c r="B454" s="146"/>
      <c r="C454" s="149"/>
      <c r="D454" s="146"/>
    </row>
    <row r="455" spans="2:4">
      <c r="B455" s="146"/>
      <c r="C455" s="149"/>
      <c r="D455" s="146"/>
    </row>
    <row r="456" spans="2:4">
      <c r="B456" s="146"/>
      <c r="C456" s="149"/>
      <c r="D456" s="146"/>
    </row>
    <row r="457" spans="2:4">
      <c r="B457" s="146"/>
      <c r="C457" s="149"/>
      <c r="D457" s="146"/>
    </row>
  </sheetData>
  <mergeCells count="10">
    <mergeCell ref="B88:D88"/>
    <mergeCell ref="B99:D99"/>
    <mergeCell ref="B134:D134"/>
    <mergeCell ref="B326:D326"/>
    <mergeCell ref="N3:Q3"/>
    <mergeCell ref="N4:N5"/>
    <mergeCell ref="O4:O5"/>
    <mergeCell ref="P4:P5"/>
    <mergeCell ref="Q4:Q5"/>
    <mergeCell ref="B68:D68"/>
  </mergeCells>
  <phoneticPr fontId="9" type="noConversion"/>
  <dataValidations count="3">
    <dataValidation showDropDown="1" showInputMessage="1" showErrorMessage="1" sqref="K57:K61"/>
    <dataValidation type="list" allowBlank="1" showInputMessage="1" showErrorMessage="1" sqref="G68:G89">
      <formula1>"O,X"</formula1>
    </dataValidation>
    <dataValidation type="list" allowBlank="1" showInputMessage="1" showErrorMessage="1" sqref="C39">
      <formula1>"DOM,USA,CHN,EUR"</formula1>
    </dataValidation>
  </dataValidations>
  <pageMargins left="0.7" right="0.7" top="0.75" bottom="0.75" header="0.3" footer="0.3"/>
  <pageSetup paperSize="0" orientation="portrait" horizontalDpi="0" verticalDpi="0" copies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255"/>
  <sheetViews>
    <sheetView topLeftCell="H1" workbookViewId="0">
      <pane ySplit="4" topLeftCell="A5" activePane="bottomLeft" state="frozen"/>
      <selection pane="bottomLeft" activeCell="H1" sqref="A1:XFD1"/>
    </sheetView>
  </sheetViews>
  <sheetFormatPr defaultColWidth="8.7109375" defaultRowHeight="12.75"/>
  <cols>
    <col min="1" max="3" width="8.7109375" style="48"/>
    <col min="4" max="5" width="0" style="48" hidden="1" customWidth="1"/>
    <col min="6" max="6" width="9.7109375" style="48" hidden="1" customWidth="1"/>
    <col min="7" max="7" width="0" style="48" hidden="1" customWidth="1"/>
    <col min="8" max="11" width="8.7109375" style="48"/>
    <col min="12" max="13" width="0" style="48" hidden="1" customWidth="1"/>
    <col min="14" max="14" width="9.7109375" style="48" hidden="1" customWidth="1"/>
    <col min="15" max="15" width="0" style="48" hidden="1" customWidth="1"/>
    <col min="16" max="19" width="8.7109375" style="48"/>
    <col min="20" max="21" width="0" style="48" hidden="1" customWidth="1"/>
    <col min="22" max="22" width="9.7109375" style="48" hidden="1" customWidth="1"/>
    <col min="23" max="23" width="0" style="48" hidden="1" customWidth="1"/>
    <col min="24" max="27" width="8.7109375" style="48"/>
    <col min="28" max="29" width="8.7109375" style="48" hidden="1" customWidth="1"/>
    <col min="30" max="30" width="9.7109375" style="48" hidden="1" customWidth="1"/>
    <col min="31" max="31" width="8.7109375" style="48" hidden="1" customWidth="1"/>
    <col min="32" max="35" width="8.7109375" style="48"/>
    <col min="36" max="37" width="8.7109375" style="48" hidden="1" customWidth="1"/>
    <col min="38" max="38" width="9.7109375" style="48" hidden="1" customWidth="1"/>
    <col min="39" max="39" width="8.7109375" style="48" hidden="1" customWidth="1"/>
    <col min="40" max="16384" width="8.7109375" style="48"/>
  </cols>
  <sheetData>
    <row r="1" spans="1:39" s="203" customFormat="1">
      <c r="A1" s="223" t="s">
        <v>304</v>
      </c>
      <c r="B1" s="223"/>
      <c r="C1" s="223"/>
      <c r="I1" s="223" t="s">
        <v>305</v>
      </c>
      <c r="J1" s="223"/>
      <c r="K1" s="223"/>
      <c r="Q1" s="223" t="s">
        <v>306</v>
      </c>
      <c r="R1" s="223"/>
      <c r="S1" s="223"/>
      <c r="Y1" s="223" t="s">
        <v>307</v>
      </c>
      <c r="Z1" s="223"/>
      <c r="AA1" s="223"/>
      <c r="AG1" s="223" t="s">
        <v>367</v>
      </c>
      <c r="AH1" s="223"/>
      <c r="AI1" s="223"/>
    </row>
    <row r="2" spans="1:39" ht="13.5" thickBot="1">
      <c r="A2" s="224"/>
      <c r="B2" s="224"/>
      <c r="C2" s="224"/>
      <c r="I2" s="224"/>
      <c r="J2" s="224"/>
      <c r="K2" s="224"/>
      <c r="Q2" s="224"/>
      <c r="R2" s="224"/>
      <c r="S2" s="224"/>
      <c r="Y2" s="224"/>
      <c r="Z2" s="224"/>
      <c r="AA2" s="224"/>
      <c r="AG2" s="224"/>
      <c r="AH2" s="224"/>
      <c r="AI2" s="224"/>
    </row>
    <row r="3" spans="1:39" ht="14.25" thickTop="1">
      <c r="A3" s="106" t="s">
        <v>760</v>
      </c>
      <c r="B3" s="107" t="s">
        <v>761</v>
      </c>
      <c r="C3" s="108" t="s">
        <v>301</v>
      </c>
      <c r="I3" s="106" t="s">
        <v>760</v>
      </c>
      <c r="J3" s="107" t="s">
        <v>761</v>
      </c>
      <c r="K3" s="108" t="s">
        <v>301</v>
      </c>
      <c r="Q3" s="106" t="s">
        <v>760</v>
      </c>
      <c r="R3" s="107" t="s">
        <v>761</v>
      </c>
      <c r="S3" s="108" t="s">
        <v>301</v>
      </c>
      <c r="Y3" s="106" t="s">
        <v>760</v>
      </c>
      <c r="Z3" s="107" t="s">
        <v>761</v>
      </c>
      <c r="AA3" s="108" t="s">
        <v>301</v>
      </c>
      <c r="AG3" s="106" t="s">
        <v>760</v>
      </c>
      <c r="AH3" s="107" t="s">
        <v>761</v>
      </c>
      <c r="AI3" s="108" t="s">
        <v>301</v>
      </c>
    </row>
    <row r="4" spans="1:39" ht="14.25" thickBot="1">
      <c r="A4" s="109" t="s">
        <v>762</v>
      </c>
      <c r="B4" s="110" t="s">
        <v>302</v>
      </c>
      <c r="C4" s="111" t="s">
        <v>303</v>
      </c>
      <c r="I4" s="109" t="s">
        <v>762</v>
      </c>
      <c r="J4" s="110" t="s">
        <v>302</v>
      </c>
      <c r="K4" s="111" t="s">
        <v>303</v>
      </c>
      <c r="Q4" s="109" t="s">
        <v>762</v>
      </c>
      <c r="R4" s="110" t="s">
        <v>302</v>
      </c>
      <c r="S4" s="111" t="s">
        <v>303</v>
      </c>
      <c r="Y4" s="109" t="s">
        <v>762</v>
      </c>
      <c r="Z4" s="110" t="s">
        <v>302</v>
      </c>
      <c r="AA4" s="111" t="s">
        <v>303</v>
      </c>
      <c r="AG4" s="109" t="s">
        <v>762</v>
      </c>
      <c r="AH4" s="110" t="s">
        <v>302</v>
      </c>
      <c r="AI4" s="111" t="s">
        <v>303</v>
      </c>
    </row>
    <row r="5" spans="1:39" ht="13.5" thickTop="1">
      <c r="A5" s="112">
        <v>60</v>
      </c>
      <c r="B5" s="113">
        <v>7.4626425597732222</v>
      </c>
      <c r="C5" s="114">
        <v>0.99601123277225601</v>
      </c>
      <c r="E5" s="48">
        <f>A205</f>
        <v>-40</v>
      </c>
      <c r="F5" s="61">
        <f t="shared" ref="F5:G5" si="0">B205</f>
        <v>933.13728156145191</v>
      </c>
      <c r="G5" s="62">
        <f t="shared" si="0"/>
        <v>4.8442589619656111</v>
      </c>
      <c r="I5" s="112">
        <v>60</v>
      </c>
      <c r="J5" s="113">
        <v>7.5789999999999997</v>
      </c>
      <c r="K5" s="114">
        <v>1.0084089518081907</v>
      </c>
      <c r="M5" s="48">
        <f>I205</f>
        <v>-40</v>
      </c>
      <c r="N5" s="61">
        <f t="shared" ref="N5" si="1">J205</f>
        <v>881.03</v>
      </c>
      <c r="O5" s="62">
        <f t="shared" ref="O5" si="2">K205</f>
        <v>4.8353511958991469</v>
      </c>
      <c r="Q5" s="112">
        <v>50</v>
      </c>
      <c r="R5" s="113">
        <v>4.1459999999999999</v>
      </c>
      <c r="S5" s="114">
        <v>0.6070989281321385</v>
      </c>
      <c r="U5" s="48">
        <f>Q145</f>
        <v>-20</v>
      </c>
      <c r="V5" s="61">
        <f>R145</f>
        <v>70.040000000000006</v>
      </c>
      <c r="W5" s="62">
        <f>S145</f>
        <v>3.500599760095962</v>
      </c>
      <c r="Y5" s="115">
        <v>85</v>
      </c>
      <c r="Z5" s="116">
        <v>0.3209209991701934</v>
      </c>
      <c r="AA5" s="117">
        <v>0.29600228376259158</v>
      </c>
      <c r="AC5" s="48">
        <f>Y255</f>
        <v>-40</v>
      </c>
      <c r="AD5" s="61">
        <f t="shared" ref="AD5:AE5" si="3">Z255</f>
        <v>87.715389505627513</v>
      </c>
      <c r="AE5" s="62">
        <f t="shared" si="3"/>
        <v>4.7252610786225935</v>
      </c>
      <c r="AG5" s="115">
        <v>80</v>
      </c>
      <c r="AH5" s="116">
        <v>1.6574088400433546</v>
      </c>
      <c r="AI5" s="117">
        <v>0.71088217921556174</v>
      </c>
      <c r="AK5" s="48">
        <f>AG244</f>
        <v>-39.5</v>
      </c>
      <c r="AL5" s="61">
        <f>AH244</f>
        <v>197.74516034608368</v>
      </c>
      <c r="AM5" s="62">
        <f>AI244</f>
        <v>4.7593205063516058</v>
      </c>
    </row>
    <row r="6" spans="1:39">
      <c r="A6" s="118">
        <v>59.5</v>
      </c>
      <c r="B6" s="119">
        <v>7.5985654903640008</v>
      </c>
      <c r="C6" s="120">
        <v>1.0104860905280295</v>
      </c>
      <c r="E6" s="48">
        <f>A204</f>
        <v>-39.5</v>
      </c>
      <c r="F6" s="61">
        <f t="shared" ref="F6:G6" si="4">B204</f>
        <v>904.82002138938697</v>
      </c>
      <c r="G6" s="62">
        <f t="shared" si="4"/>
        <v>4.8395413057402639</v>
      </c>
      <c r="I6" s="118">
        <v>59.5</v>
      </c>
      <c r="J6" s="119">
        <v>7.7169999999999996</v>
      </c>
      <c r="K6" s="120">
        <v>1.0230134952408729</v>
      </c>
      <c r="M6" s="48">
        <f>I204</f>
        <v>-39.5</v>
      </c>
      <c r="N6" s="61">
        <f t="shared" ref="N6" si="5">J204</f>
        <v>853.98</v>
      </c>
      <c r="O6" s="62">
        <f t="shared" ref="O6" si="6">K204</f>
        <v>4.8303129030068552</v>
      </c>
      <c r="Q6" s="118">
        <v>49.5</v>
      </c>
      <c r="R6" s="119">
        <v>4.2149999999999999</v>
      </c>
      <c r="S6" s="120">
        <v>0.6159579131959666</v>
      </c>
      <c r="U6" s="48">
        <f>Q144</f>
        <v>-19.5</v>
      </c>
      <c r="V6" s="61">
        <f>R144</f>
        <v>68.33</v>
      </c>
      <c r="W6" s="62">
        <f>S144</f>
        <v>3.4745245601545816</v>
      </c>
      <c r="Y6" s="121">
        <v>84.5</v>
      </c>
      <c r="Z6" s="122">
        <v>0.32601078140660411</v>
      </c>
      <c r="AA6" s="123">
        <v>0.3004147932434546</v>
      </c>
      <c r="AC6" s="48">
        <f>Y254</f>
        <v>-39.5</v>
      </c>
      <c r="AD6" s="61">
        <f t="shared" ref="AD6:AE6" si="7">Z254</f>
        <v>85.192237955333596</v>
      </c>
      <c r="AE6" s="62">
        <f t="shared" si="7"/>
        <v>4.7175836973648337</v>
      </c>
      <c r="AG6" s="121">
        <v>79.5</v>
      </c>
      <c r="AH6" s="122">
        <v>1.6808741168561849</v>
      </c>
      <c r="AI6" s="123">
        <v>0.71949842967256417</v>
      </c>
      <c r="AK6" s="48">
        <f>AG243</f>
        <v>-39</v>
      </c>
      <c r="AL6" s="61">
        <f>AH243</f>
        <v>192.28526531169578</v>
      </c>
      <c r="AM6" s="62">
        <f>AI243</f>
        <v>4.7528243101495482</v>
      </c>
    </row>
    <row r="7" spans="1:39">
      <c r="A7" s="118">
        <v>59</v>
      </c>
      <c r="B7" s="119">
        <v>7.7373289242327132</v>
      </c>
      <c r="C7" s="120">
        <v>1.0251558794433184</v>
      </c>
      <c r="E7" s="48">
        <f>A203</f>
        <v>-39</v>
      </c>
      <c r="F7" s="61">
        <f t="shared" ref="F7:G7" si="8">B203</f>
        <v>877.4117107269177</v>
      </c>
      <c r="G7" s="62">
        <f t="shared" si="8"/>
        <v>4.8346946615006363</v>
      </c>
      <c r="I7" s="118">
        <v>59</v>
      </c>
      <c r="J7" s="119">
        <v>7.8570000000000002</v>
      </c>
      <c r="K7" s="120">
        <v>1.0377208970599889</v>
      </c>
      <c r="M7" s="48">
        <f>I203</f>
        <v>-39</v>
      </c>
      <c r="N7" s="61">
        <f t="shared" ref="N7" si="9">J203</f>
        <v>827.84</v>
      </c>
      <c r="O7" s="62">
        <f t="shared" ref="O7" si="10">K203</f>
        <v>4.8251422176629672</v>
      </c>
      <c r="Q7" s="118">
        <v>49</v>
      </c>
      <c r="R7" s="119">
        <v>4.2850000000000001</v>
      </c>
      <c r="S7" s="120">
        <v>0.62490885226775561</v>
      </c>
      <c r="U7" s="48">
        <f>Q143</f>
        <v>-19</v>
      </c>
      <c r="V7" s="61">
        <f>R143</f>
        <v>66.67</v>
      </c>
      <c r="W7" s="62">
        <f>S143</f>
        <v>3.4483293679528293</v>
      </c>
      <c r="Y7" s="121">
        <v>84</v>
      </c>
      <c r="Z7" s="122">
        <v>0.33119521834913379</v>
      </c>
      <c r="AA7" s="123">
        <v>0.30490085978699538</v>
      </c>
      <c r="AC7" s="48">
        <f>Y253</f>
        <v>-39</v>
      </c>
      <c r="AD7" s="61">
        <f t="shared" ref="AD7:AE7" si="11">Z253</f>
        <v>82.743099985907321</v>
      </c>
      <c r="AE7" s="62">
        <f t="shared" si="11"/>
        <v>4.7097096982678099</v>
      </c>
      <c r="AG7" s="121">
        <v>79</v>
      </c>
      <c r="AH7" s="122">
        <v>1.7047340020511903</v>
      </c>
      <c r="AI7" s="123">
        <v>0.72822415347176839</v>
      </c>
      <c r="AK7" s="48">
        <f>AG242</f>
        <v>-38.5</v>
      </c>
      <c r="AL7" s="61">
        <f>AH242</f>
        <v>186.99271251222339</v>
      </c>
      <c r="AM7" s="62">
        <f>AI242</f>
        <v>4.7461835041390303</v>
      </c>
    </row>
    <row r="8" spans="1:39">
      <c r="A8" s="118">
        <v>58.5</v>
      </c>
      <c r="B8" s="119">
        <v>7.8789999273785547</v>
      </c>
      <c r="C8" s="120">
        <v>1.0400221682837638</v>
      </c>
      <c r="E8" s="48">
        <f>A202</f>
        <v>-38.5</v>
      </c>
      <c r="F8" s="61">
        <f t="shared" ref="F8:G8" si="12">B202</f>
        <v>850.88225589209651</v>
      </c>
      <c r="G8" s="62">
        <f t="shared" si="12"/>
        <v>4.8297161748954851</v>
      </c>
      <c r="I8" s="118">
        <v>58.5</v>
      </c>
      <c r="J8" s="119">
        <v>8</v>
      </c>
      <c r="K8" s="120">
        <v>1.0526315789473684</v>
      </c>
      <c r="M8" s="48">
        <f>I202</f>
        <v>-38.5</v>
      </c>
      <c r="N8" s="61">
        <f t="shared" ref="N8" si="13">J202</f>
        <v>802.57</v>
      </c>
      <c r="O8" s="62">
        <f t="shared" ref="O8" si="14">K202</f>
        <v>4.8198349688314499</v>
      </c>
      <c r="Q8" s="118">
        <v>48.5</v>
      </c>
      <c r="R8" s="119">
        <v>4.3559999999999999</v>
      </c>
      <c r="S8" s="120">
        <v>0.63395040167656302</v>
      </c>
      <c r="U8" s="48">
        <f>Q142</f>
        <v>-18.5</v>
      </c>
      <c r="V8" s="61">
        <f>R142</f>
        <v>65.05</v>
      </c>
      <c r="W8" s="62">
        <f>S142</f>
        <v>3.4218832193582327</v>
      </c>
      <c r="Y8" s="121">
        <v>83.5</v>
      </c>
      <c r="Z8" s="122">
        <v>0.33647630703610693</v>
      </c>
      <c r="AA8" s="123">
        <v>0.30946176165674238</v>
      </c>
      <c r="AC8" s="48">
        <f>Y252</f>
        <v>-38.5</v>
      </c>
      <c r="AD8" s="61">
        <f t="shared" ref="AD8:AE8" si="15">Z252</f>
        <v>80.365891017465884</v>
      </c>
      <c r="AE8" s="62">
        <f t="shared" si="15"/>
        <v>4.7016353577266417</v>
      </c>
      <c r="AG8" s="121">
        <v>78.5</v>
      </c>
      <c r="AH8" s="122">
        <v>1.7289960807724467</v>
      </c>
      <c r="AI8" s="123">
        <v>0.73706055866401932</v>
      </c>
      <c r="AK8" s="48">
        <f>AG241</f>
        <v>-38</v>
      </c>
      <c r="AL8" s="61">
        <f>AH241</f>
        <v>181.86190895851212</v>
      </c>
      <c r="AM8" s="62">
        <f>AI241</f>
        <v>4.7393959005650679</v>
      </c>
    </row>
    <row r="9" spans="1:39">
      <c r="A9" s="118">
        <v>58</v>
      </c>
      <c r="B9" s="119">
        <v>8.02364732014669</v>
      </c>
      <c r="C9" s="120">
        <v>1.0550864903345805</v>
      </c>
      <c r="E9" s="48">
        <f>A201</f>
        <v>-38</v>
      </c>
      <c r="F9" s="61">
        <f t="shared" ref="F9:G9" si="16">B201</f>
        <v>825.20256497681555</v>
      </c>
      <c r="G9" s="62">
        <f t="shared" si="16"/>
        <v>4.8246029582429202</v>
      </c>
      <c r="I9" s="118">
        <v>58</v>
      </c>
      <c r="J9" s="119">
        <v>8.1460000000000008</v>
      </c>
      <c r="K9" s="120">
        <v>1.0677397368007131</v>
      </c>
      <c r="M9" s="48">
        <f>I201</f>
        <v>-38</v>
      </c>
      <c r="N9" s="61">
        <f t="shared" ref="N9" si="17">J201</f>
        <v>778.14</v>
      </c>
      <c r="O9" s="62">
        <f t="shared" ref="O9" si="18">K201</f>
        <v>4.8143885960353403</v>
      </c>
      <c r="Q9" s="118">
        <v>48</v>
      </c>
      <c r="R9" s="119">
        <v>4.4290000000000003</v>
      </c>
      <c r="S9" s="120">
        <v>0.64320776089924192</v>
      </c>
      <c r="U9" s="48">
        <f>Q141</f>
        <v>-18</v>
      </c>
      <c r="V9" s="61">
        <f>R141</f>
        <v>63.48</v>
      </c>
      <c r="W9" s="62">
        <f>S141</f>
        <v>3.3953786906290118</v>
      </c>
      <c r="Y9" s="121">
        <v>83</v>
      </c>
      <c r="Z9" s="122">
        <v>0.34185609126724681</v>
      </c>
      <c r="AA9" s="123">
        <v>0.31409879784935535</v>
      </c>
      <c r="AC9" s="48">
        <f>Y251</f>
        <v>-38</v>
      </c>
      <c r="AD9" s="61">
        <f t="shared" ref="AD9:AE9" si="19">Z251</f>
        <v>78.058575905485839</v>
      </c>
      <c r="AE9" s="62">
        <f t="shared" si="19"/>
        <v>4.6933569421753676</v>
      </c>
      <c r="AG9" s="121">
        <v>78</v>
      </c>
      <c r="AH9" s="122">
        <v>1.7536681010014268</v>
      </c>
      <c r="AI9" s="123">
        <v>0.74600885695079822</v>
      </c>
      <c r="AK9" s="48">
        <f>AG240</f>
        <v>-37.5</v>
      </c>
      <c r="AL9" s="61">
        <f>AH240</f>
        <v>176.88746299449971</v>
      </c>
      <c r="AM9" s="62">
        <f>AI240</f>
        <v>4.7324593142908062</v>
      </c>
    </row>
    <row r="10" spans="1:39">
      <c r="A10" s="118">
        <v>57.5</v>
      </c>
      <c r="B10" s="119">
        <v>8.1713417271322779</v>
      </c>
      <c r="C10" s="120">
        <v>1.0703503410418593</v>
      </c>
      <c r="E10" s="48">
        <f>A200</f>
        <v>-37.5</v>
      </c>
      <c r="F10" s="61">
        <f t="shared" ref="F10:G10" si="20">B200</f>
        <v>800.34451542486693</v>
      </c>
      <c r="G10" s="62">
        <f t="shared" si="20"/>
        <v>4.8193520915553361</v>
      </c>
      <c r="I10" s="118">
        <v>57.5</v>
      </c>
      <c r="J10" s="119">
        <v>8.2949999999999999</v>
      </c>
      <c r="K10" s="120">
        <v>1.0830395613004309</v>
      </c>
      <c r="M10" s="48">
        <f>I200</f>
        <v>-37.5</v>
      </c>
      <c r="N10" s="61">
        <f t="shared" ref="N10" si="21">J200</f>
        <v>754.53</v>
      </c>
      <c r="O10" s="62">
        <f t="shared" ref="O10" si="22">K200</f>
        <v>4.8088027226492294</v>
      </c>
      <c r="Q10" s="118">
        <v>47.5</v>
      </c>
      <c r="R10" s="119">
        <v>4.5030000000000001</v>
      </c>
      <c r="S10" s="120">
        <v>0.6525519520041736</v>
      </c>
      <c r="U10" s="48">
        <f>Q140</f>
        <v>-17.5</v>
      </c>
      <c r="V10" s="61">
        <f>R140</f>
        <v>61.95</v>
      </c>
      <c r="W10" s="62">
        <f>S140</f>
        <v>3.3686786296900491</v>
      </c>
      <c r="Y10" s="121">
        <v>82.5</v>
      </c>
      <c r="Z10" s="122">
        <v>0.34733666279943415</v>
      </c>
      <c r="AA10" s="123">
        <v>0.31881328830971756</v>
      </c>
      <c r="AC10" s="48">
        <f>Y250</f>
        <v>-37.5</v>
      </c>
      <c r="AD10" s="61">
        <f t="shared" ref="AD10:AE10" si="23">Z250</f>
        <v>75.819168465991453</v>
      </c>
      <c r="AE10" s="62">
        <f t="shared" si="23"/>
        <v>4.6848707113109169</v>
      </c>
      <c r="AG10" s="121">
        <v>77.5</v>
      </c>
      <c r="AH10" s="122">
        <v>1.7787579774003373</v>
      </c>
      <c r="AI10" s="123">
        <v>0.75507026327105287</v>
      </c>
      <c r="AK10" s="48">
        <f>AG239</f>
        <v>-37</v>
      </c>
      <c r="AL10" s="61">
        <f>AH239</f>
        <v>172.0641765636237</v>
      </c>
      <c r="AM10" s="62">
        <f>AI239</f>
        <v>4.7253715643366716</v>
      </c>
    </row>
    <row r="11" spans="1:39">
      <c r="A11" s="118">
        <v>57</v>
      </c>
      <c r="B11" s="119">
        <v>8.3221556286063354</v>
      </c>
      <c r="C11" s="120">
        <v>1.0858151755944148</v>
      </c>
      <c r="E11" s="48">
        <f>A199</f>
        <v>-37</v>
      </c>
      <c r="F11" s="61">
        <f t="shared" ref="F11:G11" si="24">B199</f>
        <v>776.28092257066669</v>
      </c>
      <c r="G11" s="62">
        <f t="shared" si="24"/>
        <v>4.813960623647457</v>
      </c>
      <c r="I11" s="118">
        <v>57</v>
      </c>
      <c r="J11" s="119">
        <v>8.4469999999999992</v>
      </c>
      <c r="K11" s="120">
        <v>1.0985252425416807</v>
      </c>
      <c r="M11" s="48">
        <f>I199</f>
        <v>-37</v>
      </c>
      <c r="N11" s="61">
        <f t="shared" ref="N11" si="25">J199</f>
        <v>731.7</v>
      </c>
      <c r="O11" s="62">
        <f t="shared" ref="O11" si="26">K199</f>
        <v>4.8030720756203227</v>
      </c>
      <c r="Q11" s="118">
        <v>47</v>
      </c>
      <c r="R11" s="119">
        <v>4.5789999999999997</v>
      </c>
      <c r="S11" s="120">
        <v>0.66210705919777901</v>
      </c>
      <c r="U11" s="48">
        <f>Q139</f>
        <v>-17</v>
      </c>
      <c r="V11" s="61">
        <f>R139</f>
        <v>60.46</v>
      </c>
      <c r="W11" s="62">
        <f>S139</f>
        <v>3.3418085341587442</v>
      </c>
      <c r="Y11" s="121">
        <v>82</v>
      </c>
      <c r="Z11" s="122">
        <v>0.35292016257544911</v>
      </c>
      <c r="AA11" s="123">
        <v>0.32360657414133376</v>
      </c>
      <c r="AC11" s="48">
        <f>Y249</f>
        <v>-37</v>
      </c>
      <c r="AD11" s="61">
        <f t="shared" ref="AD11:AE11" si="27">Z249</f>
        <v>73.645730949050986</v>
      </c>
      <c r="AE11" s="62">
        <f t="shared" si="27"/>
        <v>4.676172921469246</v>
      </c>
      <c r="AG11" s="121">
        <v>77</v>
      </c>
      <c r="AH11" s="122">
        <v>1.8042737952538148</v>
      </c>
      <c r="AI11" s="123">
        <v>0.76424599536960303</v>
      </c>
      <c r="AK11" s="48">
        <f>AG238</f>
        <v>-36.5</v>
      </c>
      <c r="AL11" s="61">
        <f>AH238</f>
        <v>167.38703778992914</v>
      </c>
      <c r="AM11" s="62">
        <f>AI238</f>
        <v>4.7181304754679276</v>
      </c>
    </row>
    <row r="12" spans="1:39">
      <c r="A12" s="118">
        <v>56.5</v>
      </c>
      <c r="B12" s="119">
        <v>8.4761634135126265</v>
      </c>
      <c r="C12" s="120">
        <v>1.1014824064469799</v>
      </c>
      <c r="E12" s="48">
        <f>A198</f>
        <v>-36.5</v>
      </c>
      <c r="F12" s="61">
        <f t="shared" ref="F12:G12" si="28">B198</f>
        <v>752.98550911660493</v>
      </c>
      <c r="G12" s="62">
        <f t="shared" si="28"/>
        <v>4.808425573329913</v>
      </c>
      <c r="I12" s="118">
        <v>56.5</v>
      </c>
      <c r="J12" s="119">
        <v>8.6029999999999998</v>
      </c>
      <c r="K12" s="120">
        <v>1.1142916353651271</v>
      </c>
      <c r="M12" s="48">
        <f>I198</f>
        <v>-36.5</v>
      </c>
      <c r="N12" s="61">
        <f t="shared" ref="N12" si="29">J198</f>
        <v>709.63</v>
      </c>
      <c r="O12" s="62">
        <f t="shared" ref="O12" si="30">K198</f>
        <v>4.7971958952449203</v>
      </c>
      <c r="Q12" s="118">
        <v>46.5</v>
      </c>
      <c r="R12" s="119">
        <v>4.6559999999999997</v>
      </c>
      <c r="S12" s="120">
        <v>0.67174515235457055</v>
      </c>
      <c r="U12" s="48">
        <f>Q138</f>
        <v>-16.5</v>
      </c>
      <c r="V12" s="61">
        <f>R138</f>
        <v>59.01</v>
      </c>
      <c r="W12" s="62">
        <f>S138</f>
        <v>3.3147960903269302</v>
      </c>
      <c r="Y12" s="121">
        <v>81.5</v>
      </c>
      <c r="Z12" s="122">
        <v>0.35860878198664442</v>
      </c>
      <c r="AA12" s="123">
        <v>0.32848001781154373</v>
      </c>
      <c r="AC12" s="48">
        <f>Y248</f>
        <v>-36.5</v>
      </c>
      <c r="AD12" s="61">
        <f t="shared" ref="AD12:AE12" si="31">Z248</f>
        <v>71.536373465888744</v>
      </c>
      <c r="AE12" s="62">
        <f t="shared" si="31"/>
        <v>4.6672598291547533</v>
      </c>
      <c r="AG12" s="121">
        <v>76.5</v>
      </c>
      <c r="AH12" s="122">
        <v>1.830223814512058</v>
      </c>
      <c r="AI12" s="123">
        <v>0.77353727334682143</v>
      </c>
      <c r="AK12" s="48">
        <f>AG237</f>
        <v>-36</v>
      </c>
      <c r="AL12" s="61">
        <f>AH237</f>
        <v>162.8512138603358</v>
      </c>
      <c r="AM12" s="62">
        <f>AI237</f>
        <v>4.7107338798303138</v>
      </c>
    </row>
    <row r="13" spans="1:39">
      <c r="A13" s="118">
        <v>56</v>
      </c>
      <c r="B13" s="119">
        <v>8.633441434086718</v>
      </c>
      <c r="C13" s="120">
        <v>1.117353400785742</v>
      </c>
      <c r="E13" s="48">
        <f>A197</f>
        <v>-36</v>
      </c>
      <c r="F13" s="61">
        <f t="shared" ref="F13:G13" si="32">B197</f>
        <v>730.43287552697643</v>
      </c>
      <c r="G13" s="62">
        <f t="shared" si="32"/>
        <v>4.8027439306907258</v>
      </c>
      <c r="I13" s="118">
        <v>56</v>
      </c>
      <c r="J13" s="119">
        <v>8.7609999999999992</v>
      </c>
      <c r="K13" s="120">
        <v>1.1301308015789067</v>
      </c>
      <c r="M13" s="48">
        <f>I197</f>
        <v>-36</v>
      </c>
      <c r="N13" s="61">
        <f t="shared" ref="N13" si="33">J197</f>
        <v>688.28</v>
      </c>
      <c r="O13" s="62">
        <f t="shared" ref="O13" si="34">K197</f>
        <v>4.7911677897198857</v>
      </c>
      <c r="Q13" s="118">
        <v>46</v>
      </c>
      <c r="R13" s="119">
        <v>4.7350000000000003</v>
      </c>
      <c r="S13" s="120">
        <v>0.68158917518353246</v>
      </c>
      <c r="U13" s="48">
        <f>Q137</f>
        <v>-16</v>
      </c>
      <c r="V13" s="61">
        <f>R137</f>
        <v>57.6</v>
      </c>
      <c r="W13" s="62">
        <f>S137</f>
        <v>3.2876712328767126</v>
      </c>
      <c r="Y13" s="121">
        <v>81</v>
      </c>
      <c r="Z13" s="122">
        <v>0.36440476417058099</v>
      </c>
      <c r="AA13" s="123">
        <v>0.33343500335108545</v>
      </c>
      <c r="AC13" s="48">
        <f>Y247</f>
        <v>-36</v>
      </c>
      <c r="AD13" s="61">
        <f t="shared" ref="AD13:AE13" si="35">Z247</f>
        <v>69.489253374587761</v>
      </c>
      <c r="AE13" s="62">
        <f t="shared" si="35"/>
        <v>4.6581276947238122</v>
      </c>
      <c r="AG13" s="121">
        <v>76</v>
      </c>
      <c r="AH13" s="122">
        <v>1.8566164739379136</v>
      </c>
      <c r="AI13" s="123">
        <v>0.78294531918905841</v>
      </c>
      <c r="AK13" s="48">
        <f>AG236</f>
        <v>-35.5</v>
      </c>
      <c r="AL13" s="61">
        <f>AH236</f>
        <v>158.45204419524401</v>
      </c>
      <c r="AM13" s="62">
        <f>AI236</f>
        <v>4.7031796186334933</v>
      </c>
    </row>
    <row r="14" spans="1:39">
      <c r="A14" s="118">
        <v>55.5</v>
      </c>
      <c r="B14" s="119">
        <v>8.794068062149373</v>
      </c>
      <c r="C14" s="120">
        <v>1.1334294779373211</v>
      </c>
      <c r="E14" s="48">
        <f>A196</f>
        <v>-35.5</v>
      </c>
      <c r="F14" s="61">
        <f t="shared" ref="F14:G14" si="36">B196</f>
        <v>708.59847131654442</v>
      </c>
      <c r="G14" s="62">
        <f t="shared" si="36"/>
        <v>4.7969126584670203</v>
      </c>
      <c r="I14" s="118">
        <v>55.5</v>
      </c>
      <c r="J14" s="119">
        <v>8.923</v>
      </c>
      <c r="K14" s="120">
        <v>1.1462374431570024</v>
      </c>
      <c r="M14" s="48">
        <f>I196</f>
        <v>-35.5</v>
      </c>
      <c r="N14" s="61">
        <f t="shared" ref="N14" si="37">J196</f>
        <v>667.64</v>
      </c>
      <c r="O14" s="62">
        <f t="shared" ref="O14" si="38">K196</f>
        <v>4.7849893928100453</v>
      </c>
      <c r="Q14" s="118">
        <v>45.5</v>
      </c>
      <c r="R14" s="119">
        <v>4.8150000000000004</v>
      </c>
      <c r="S14" s="120">
        <v>0.69151227919000446</v>
      </c>
      <c r="U14" s="48">
        <f>Q136</f>
        <v>-15.5</v>
      </c>
      <c r="V14" s="61">
        <f>R136</f>
        <v>56.23</v>
      </c>
      <c r="W14" s="62">
        <f>S136</f>
        <v>3.260466195059724</v>
      </c>
      <c r="Y14" s="121">
        <v>80.5</v>
      </c>
      <c r="Z14" s="122">
        <v>0.37031040534461324</v>
      </c>
      <c r="AA14" s="123">
        <v>0.3384729365474507</v>
      </c>
      <c r="AC14" s="48">
        <f>Y246</f>
        <v>-35.5</v>
      </c>
      <c r="AD14" s="61">
        <f t="shared" ref="AD14:AE14" si="39">Z246</f>
        <v>67.502574629044673</v>
      </c>
      <c r="AE14" s="62">
        <f t="shared" si="39"/>
        <v>4.6487727862229464</v>
      </c>
      <c r="AG14" s="121">
        <v>75.5</v>
      </c>
      <c r="AH14" s="122">
        <v>1.8834603953611426</v>
      </c>
      <c r="AI14" s="123">
        <v>0.79247135627951226</v>
      </c>
      <c r="AK14" s="48">
        <f>AG235</f>
        <v>-35</v>
      </c>
      <c r="AL14" s="61">
        <f>AH235</f>
        <v>154.18503389513509</v>
      </c>
      <c r="AM14" s="62">
        <f>AI235</f>
        <v>4.69546554388182</v>
      </c>
    </row>
    <row r="15" spans="1:39">
      <c r="A15" s="118">
        <v>55</v>
      </c>
      <c r="B15" s="119">
        <v>8.9581237471290613</v>
      </c>
      <c r="C15" s="120">
        <v>1.1497119067225627</v>
      </c>
      <c r="E15" s="48">
        <f>A195</f>
        <v>-35</v>
      </c>
      <c r="F15" s="61">
        <f t="shared" ref="F15:G15" si="40">B195</f>
        <v>687.45856721197117</v>
      </c>
      <c r="G15" s="62">
        <f t="shared" si="40"/>
        <v>4.7909286935092332</v>
      </c>
      <c r="I15" s="118">
        <v>55</v>
      </c>
      <c r="J15" s="119">
        <v>9.0890000000000004</v>
      </c>
      <c r="K15" s="120">
        <v>1.1626032899281129</v>
      </c>
      <c r="M15" s="48">
        <f>I195</f>
        <v>-35</v>
      </c>
      <c r="N15" s="61">
        <f t="shared" ref="N15" si="41">J195</f>
        <v>647.66999999999996</v>
      </c>
      <c r="O15" s="62">
        <f t="shared" ref="O15" si="42">K195</f>
        <v>4.778653326840498</v>
      </c>
      <c r="Q15" s="118">
        <v>45</v>
      </c>
      <c r="R15" s="119">
        <v>4.8970000000000002</v>
      </c>
      <c r="S15" s="120">
        <v>0.70163624380319223</v>
      </c>
      <c r="U15" s="48">
        <f>Q135</f>
        <v>-15</v>
      </c>
      <c r="V15" s="61">
        <f>R135</f>
        <v>54.9</v>
      </c>
      <c r="W15" s="62">
        <f>S135</f>
        <v>3.2332155477031801</v>
      </c>
      <c r="Y15" s="121">
        <v>80</v>
      </c>
      <c r="Z15" s="122">
        <v>0.37632805617654069</v>
      </c>
      <c r="AA15" s="123">
        <v>0.34359524513153911</v>
      </c>
      <c r="AC15" s="48">
        <f>Y245</f>
        <v>-35</v>
      </c>
      <c r="AD15" s="61">
        <f t="shared" ref="AD15:AE15" si="43">Z245</f>
        <v>65.574587095502324</v>
      </c>
      <c r="AE15" s="62">
        <f t="shared" si="43"/>
        <v>4.6391913833816689</v>
      </c>
      <c r="AG15" s="121">
        <v>75</v>
      </c>
      <c r="AH15" s="122">
        <v>1.9107643880425134</v>
      </c>
      <c r="AI15" s="123">
        <v>0.80211660888900338</v>
      </c>
      <c r="AK15" s="48">
        <f>AG234</f>
        <v>-34.5</v>
      </c>
      <c r="AL15" s="61">
        <f>AH234</f>
        <v>150.04584745144885</v>
      </c>
      <c r="AM15" s="62">
        <f>AI234</f>
        <v>4.687589520151918</v>
      </c>
    </row>
    <row r="16" spans="1:39">
      <c r="A16" s="118">
        <v>54.5</v>
      </c>
      <c r="B16" s="119">
        <v>9.1256910758697227</v>
      </c>
      <c r="C16" s="120">
        <v>1.1662019027566619</v>
      </c>
      <c r="E16" s="48">
        <f>A194</f>
        <v>-34.5</v>
      </c>
      <c r="F16" s="61">
        <f t="shared" ref="F16:G16" si="44">B194</f>
        <v>666.99022816442118</v>
      </c>
      <c r="G16" s="62">
        <f t="shared" si="44"/>
        <v>4.7847889483400126</v>
      </c>
      <c r="I16" s="118">
        <v>54.5</v>
      </c>
      <c r="J16" s="119">
        <v>9.2579999999999991</v>
      </c>
      <c r="K16" s="120">
        <v>1.1791227265780222</v>
      </c>
      <c r="M16" s="48">
        <f>I194</f>
        <v>-34.5</v>
      </c>
      <c r="N16" s="61">
        <f t="shared" ref="N16" si="45">J194</f>
        <v>628.36</v>
      </c>
      <c r="O16" s="62">
        <f t="shared" ref="O16" si="46">K194</f>
        <v>4.7721611276505254</v>
      </c>
      <c r="Q16" s="118">
        <v>44.5</v>
      </c>
      <c r="R16" s="119">
        <v>4.9809999999999999</v>
      </c>
      <c r="S16" s="120">
        <v>0.71195792001372171</v>
      </c>
      <c r="U16" s="48">
        <f>Q134</f>
        <v>-14.5</v>
      </c>
      <c r="V16" s="61">
        <f>R134</f>
        <v>53.6</v>
      </c>
      <c r="W16" s="62">
        <f>S134</f>
        <v>3.2057416267942584</v>
      </c>
      <c r="Y16" s="121">
        <v>79.5</v>
      </c>
      <c r="Z16" s="122">
        <v>0.38246012319337452</v>
      </c>
      <c r="AA16" s="123">
        <v>0.34880337895700242</v>
      </c>
      <c r="AC16" s="48">
        <f>Y244</f>
        <v>-34.5</v>
      </c>
      <c r="AD16" s="61">
        <f t="shared" ref="AD16:AE16" si="47">Z244</f>
        <v>63.703585840722702</v>
      </c>
      <c r="AE16" s="62">
        <f t="shared" si="47"/>
        <v>4.6293797817597557</v>
      </c>
      <c r="AG16" s="121">
        <v>74.5</v>
      </c>
      <c r="AH16" s="122">
        <v>1.9385374531509092</v>
      </c>
      <c r="AI16" s="123">
        <v>0.81188230164628583</v>
      </c>
      <c r="AK16" s="48">
        <f>AG233</f>
        <v>-34</v>
      </c>
      <c r="AL16" s="61">
        <f>AH233</f>
        <v>146.03030271049741</v>
      </c>
      <c r="AM16" s="62">
        <f>AI233</f>
        <v>4.6795494264164104</v>
      </c>
    </row>
    <row r="17" spans="1:39">
      <c r="A17" s="118">
        <v>54</v>
      </c>
      <c r="B17" s="119">
        <v>9.2968548342817812</v>
      </c>
      <c r="C17" s="120">
        <v>1.182900625697326</v>
      </c>
      <c r="E17" s="48">
        <f>A193</f>
        <v>-34</v>
      </c>
      <c r="F17" s="61">
        <f t="shared" ref="F17:G17" si="48">B193</f>
        <v>647.17128719193647</v>
      </c>
      <c r="G17" s="62">
        <f t="shared" si="48"/>
        <v>4.7784903128099048</v>
      </c>
      <c r="I17" s="118">
        <v>54</v>
      </c>
      <c r="J17" s="119">
        <v>9.43</v>
      </c>
      <c r="K17" s="120">
        <v>1.19579000760842</v>
      </c>
      <c r="M17" s="48">
        <f>I193</f>
        <v>-34</v>
      </c>
      <c r="N17" s="61">
        <f t="shared" ref="N17" si="49">J193</f>
        <v>609.66999999999996</v>
      </c>
      <c r="O17" s="62">
        <f t="shared" ref="O17" si="50">K193</f>
        <v>4.7655040880453985</v>
      </c>
      <c r="Q17" s="118">
        <v>44</v>
      </c>
      <c r="R17" s="119">
        <v>5.0659999999999998</v>
      </c>
      <c r="S17" s="120">
        <v>0.72235213597216663</v>
      </c>
      <c r="U17" s="48">
        <f>Q133</f>
        <v>-14</v>
      </c>
      <c r="V17" s="61">
        <f>R133</f>
        <v>52.33</v>
      </c>
      <c r="W17" s="62">
        <f>S133</f>
        <v>3.1780638892262845</v>
      </c>
      <c r="Y17" s="121">
        <v>79</v>
      </c>
      <c r="Z17" s="122">
        <v>0.3887090702293845</v>
      </c>
      <c r="AA17" s="123">
        <v>0.35409881017171452</v>
      </c>
      <c r="AC17" s="48">
        <f>Y243</f>
        <v>-34</v>
      </c>
      <c r="AD17" s="61">
        <f t="shared" ref="AD17:AE17" si="51">Z243</f>
        <v>61.887910395555537</v>
      </c>
      <c r="AE17" s="62">
        <f t="shared" si="51"/>
        <v>4.6193342970481455</v>
      </c>
      <c r="AG17" s="121">
        <v>74</v>
      </c>
      <c r="AH17" s="122">
        <v>1.9667887883567232</v>
      </c>
      <c r="AI17" s="123">
        <v>0.82176965898752286</v>
      </c>
      <c r="AK17" s="48">
        <f>AG232</f>
        <v>-33.5</v>
      </c>
      <c r="AL17" s="61">
        <f>AH232</f>
        <v>142.13436507968302</v>
      </c>
      <c r="AM17" s="62">
        <f>AI232</f>
        <v>4.6713431579129958</v>
      </c>
    </row>
    <row r="18" spans="1:39">
      <c r="A18" s="118">
        <v>53.5</v>
      </c>
      <c r="B18" s="119">
        <v>9.471702070896864</v>
      </c>
      <c r="C18" s="120">
        <v>1.1998091764429517</v>
      </c>
      <c r="E18" s="48">
        <f>A192</f>
        <v>-33.5</v>
      </c>
      <c r="F18" s="61">
        <f t="shared" ref="F18:G18" si="52">B192</f>
        <v>627.98032003032233</v>
      </c>
      <c r="G18" s="62">
        <f t="shared" si="52"/>
        <v>4.7720296558518838</v>
      </c>
      <c r="I18" s="118">
        <v>53.5</v>
      </c>
      <c r="J18" s="119">
        <v>9.6069999999999993</v>
      </c>
      <c r="K18" s="120">
        <v>1.2127906683162066</v>
      </c>
      <c r="M18" s="48">
        <f>I192</f>
        <v>-33.5</v>
      </c>
      <c r="N18" s="61">
        <f t="shared" ref="N18" si="53">J192</f>
        <v>591.6</v>
      </c>
      <c r="O18" s="62">
        <f t="shared" ref="O18" si="54">K192</f>
        <v>4.7586872586872584</v>
      </c>
      <c r="Q18" s="118">
        <v>43.5</v>
      </c>
      <c r="R18" s="119">
        <v>5.1529999999999996</v>
      </c>
      <c r="S18" s="120">
        <v>0.73293886723750457</v>
      </c>
      <c r="U18" s="48">
        <f>Q132</f>
        <v>-13.5</v>
      </c>
      <c r="V18" s="61">
        <f>R132</f>
        <v>51.1</v>
      </c>
      <c r="W18" s="62">
        <f>S132</f>
        <v>3.1504315659679412</v>
      </c>
      <c r="Y18" s="121">
        <v>78.5</v>
      </c>
      <c r="Z18" s="122">
        <v>0.39507741991456585</v>
      </c>
      <c r="AA18" s="123">
        <v>0.3594830333807274</v>
      </c>
      <c r="AC18" s="48">
        <f>Y242</f>
        <v>-33.5</v>
      </c>
      <c r="AD18" s="61">
        <f t="shared" ref="AD18:AE18" si="55">Z242</f>
        <v>60.125943997420222</v>
      </c>
      <c r="AE18" s="62">
        <f t="shared" si="55"/>
        <v>4.6090512695223156</v>
      </c>
      <c r="AG18" s="121">
        <v>73.5</v>
      </c>
      <c r="AH18" s="122">
        <v>1.9955277925445651</v>
      </c>
      <c r="AI18" s="123">
        <v>0.83177990458444906</v>
      </c>
      <c r="AK18" s="48">
        <f>AG231</f>
        <v>-33</v>
      </c>
      <c r="AL18" s="61">
        <f>AH231</f>
        <v>138.35414196578668</v>
      </c>
      <c r="AM18" s="62">
        <f>AI231</f>
        <v>4.6629686280580493</v>
      </c>
    </row>
    <row r="19" spans="1:39">
      <c r="A19" s="118">
        <v>53</v>
      </c>
      <c r="B19" s="119">
        <v>9.6503221623881696</v>
      </c>
      <c r="C19" s="120">
        <v>1.2169285942829429</v>
      </c>
      <c r="E19" s="48">
        <f>A191</f>
        <v>-33</v>
      </c>
      <c r="F19" s="61">
        <f t="shared" ref="F19:G19" si="56">B191</f>
        <v>609.39662057156147</v>
      </c>
      <c r="G19" s="62">
        <f t="shared" si="56"/>
        <v>4.7654038273366011</v>
      </c>
      <c r="I19" s="118">
        <v>53</v>
      </c>
      <c r="J19" s="119">
        <v>9.7870000000000008</v>
      </c>
      <c r="K19" s="120">
        <v>1.2299243471485661</v>
      </c>
      <c r="M19" s="48">
        <f>I191</f>
        <v>-33</v>
      </c>
      <c r="N19" s="61">
        <f t="shared" ref="N19" si="57">J191</f>
        <v>574.11</v>
      </c>
      <c r="O19" s="62">
        <f t="shared" ref="O19" si="58">K191</f>
        <v>4.7517008491830959</v>
      </c>
      <c r="Q19" s="118">
        <v>43</v>
      </c>
      <c r="R19" s="119">
        <v>5.2409999999999997</v>
      </c>
      <c r="S19" s="120">
        <v>0.74359410913424695</v>
      </c>
      <c r="U19" s="48">
        <f>Q131</f>
        <v>-13</v>
      </c>
      <c r="V19" s="61">
        <f>R131</f>
        <v>49.91</v>
      </c>
      <c r="W19" s="62">
        <f>S131</f>
        <v>3.1228882492804404</v>
      </c>
      <c r="Y19" s="121">
        <v>78</v>
      </c>
      <c r="Z19" s="122">
        <v>0.4015677552047644</v>
      </c>
      <c r="AA19" s="123">
        <v>0.3649575658000947</v>
      </c>
      <c r="AC19" s="48">
        <f>Y241</f>
        <v>-33</v>
      </c>
      <c r="AD19" s="61">
        <f t="shared" ref="AD19:AE19" si="59">Z241</f>
        <v>58.416112814948335</v>
      </c>
      <c r="AE19" s="62">
        <f t="shared" si="59"/>
        <v>4.5985270686464519</v>
      </c>
      <c r="AG19" s="121">
        <v>73</v>
      </c>
      <c r="AH19" s="122">
        <v>2.0247640706487497</v>
      </c>
      <c r="AI19" s="123">
        <v>0.8419142607508604</v>
      </c>
      <c r="AK19" s="48">
        <f>AG230</f>
        <v>-32.5</v>
      </c>
      <c r="AL19" s="61">
        <f>AH230</f>
        <v>134.68587743552899</v>
      </c>
      <c r="AM19" s="62">
        <f>AI230</f>
        <v>4.6544237704037172</v>
      </c>
    </row>
    <row r="20" spans="1:39">
      <c r="A20" s="118">
        <v>52.5</v>
      </c>
      <c r="B20" s="119">
        <v>9.8328068811210638</v>
      </c>
      <c r="C20" s="120">
        <v>1.2342598540025767</v>
      </c>
      <c r="E20" s="48">
        <f>A190</f>
        <v>-32.5</v>
      </c>
      <c r="F20" s="61">
        <f t="shared" ref="F20:G20" si="60">B190</f>
        <v>591.4001770690362</v>
      </c>
      <c r="G20" s="62">
        <f t="shared" si="60"/>
        <v>4.7586096600301815</v>
      </c>
      <c r="I20" s="118">
        <v>52.5</v>
      </c>
      <c r="J20" s="119">
        <v>9.9700000000000006</v>
      </c>
      <c r="K20" s="120">
        <v>1.2471853890417814</v>
      </c>
      <c r="M20" s="48">
        <f>I190</f>
        <v>-32.5</v>
      </c>
      <c r="N20" s="61">
        <f t="shared" ref="N20" si="61">J190</f>
        <v>557.19000000000005</v>
      </c>
      <c r="O20" s="62">
        <f t="shared" ref="O20" si="62">K190</f>
        <v>4.74454605834568</v>
      </c>
      <c r="Q20" s="118">
        <v>42.5</v>
      </c>
      <c r="R20" s="119">
        <v>5.3319999999999999</v>
      </c>
      <c r="S20" s="120">
        <v>0.75455677572738589</v>
      </c>
      <c r="U20" s="48">
        <f>Q130</f>
        <v>-12.5</v>
      </c>
      <c r="V20" s="61">
        <f>R130</f>
        <v>48.74</v>
      </c>
      <c r="W20" s="62">
        <f>S130</f>
        <v>3.0949961899923797</v>
      </c>
      <c r="Y20" s="121">
        <v>77.5</v>
      </c>
      <c r="Z20" s="122">
        <v>0.40818272095465846</v>
      </c>
      <c r="AA20" s="123">
        <v>0.37052394740085326</v>
      </c>
      <c r="AC20" s="48">
        <f>Y240</f>
        <v>-32.5</v>
      </c>
      <c r="AD20" s="61">
        <f t="shared" ref="AD20:AE20" si="63">Z240</f>
        <v>56.756885157809897</v>
      </c>
      <c r="AE20" s="62">
        <f t="shared" si="63"/>
        <v>4.5877580978262298</v>
      </c>
      <c r="AG20" s="121">
        <v>72.5</v>
      </c>
      <c r="AH20" s="122">
        <v>2.0545074386150559</v>
      </c>
      <c r="AI20" s="123">
        <v>0.85217394782706213</v>
      </c>
      <c r="AK20" s="48">
        <f>AG229</f>
        <v>-32</v>
      </c>
      <c r="AL20" s="61">
        <f>AH229</f>
        <v>131.12594708901892</v>
      </c>
      <c r="AM20" s="62">
        <f>AI229</f>
        <v>4.6457065406373417</v>
      </c>
    </row>
    <row r="21" spans="1:39">
      <c r="A21" s="118">
        <v>52</v>
      </c>
      <c r="B21" s="119">
        <v>10.019250464800328</v>
      </c>
      <c r="C21" s="120">
        <v>1.2518038629450274</v>
      </c>
      <c r="E21" s="48">
        <f>A189</f>
        <v>-32</v>
      </c>
      <c r="F21" s="61">
        <f t="shared" ref="F21:G21" si="64">B189</f>
        <v>573.97164908910383</v>
      </c>
      <c r="G21" s="62">
        <f t="shared" si="64"/>
        <v>4.7516439716562413</v>
      </c>
      <c r="I21" s="118">
        <v>52</v>
      </c>
      <c r="J21" s="119">
        <v>10.157999999999999</v>
      </c>
      <c r="K21" s="120">
        <v>1.2647542208277305</v>
      </c>
      <c r="M21" s="48">
        <f>I189</f>
        <v>-32</v>
      </c>
      <c r="N21" s="61">
        <f t="shared" ref="N21" si="65">J189</f>
        <v>540.80999999999995</v>
      </c>
      <c r="O21" s="62">
        <f t="shared" ref="O21" si="66">K189</f>
        <v>4.7372155358175227</v>
      </c>
      <c r="Q21" s="118">
        <v>42</v>
      </c>
      <c r="R21" s="119">
        <v>5.4240000000000004</v>
      </c>
      <c r="S21" s="120">
        <v>0.76558265582655827</v>
      </c>
      <c r="U21" s="48">
        <f>Q129</f>
        <v>-12</v>
      </c>
      <c r="V21" s="61">
        <f>R129</f>
        <v>47.6</v>
      </c>
      <c r="W21" s="62">
        <f>S129</f>
        <v>3.0670103092783507</v>
      </c>
      <c r="Y21" s="121">
        <v>77</v>
      </c>
      <c r="Z21" s="122">
        <v>0.41492502553491517</v>
      </c>
      <c r="AA21" s="123">
        <v>0.37618374104249042</v>
      </c>
      <c r="AC21" s="48">
        <f>Y239</f>
        <v>-32</v>
      </c>
      <c r="AD21" s="61">
        <f t="shared" ref="AD21:AE21" si="67">Z239</f>
        <v>55.146770674519459</v>
      </c>
      <c r="AE21" s="62">
        <f t="shared" si="67"/>
        <v>4.5767407993075242</v>
      </c>
      <c r="AG21" s="121">
        <v>72</v>
      </c>
      <c r="AH21" s="122">
        <v>2.0847679284921687</v>
      </c>
      <c r="AI21" s="123">
        <v>0.86256018354184805</v>
      </c>
      <c r="AK21" s="48">
        <f>AG228</f>
        <v>-31.5</v>
      </c>
      <c r="AL21" s="61">
        <f>AH228</f>
        <v>127.67085313718384</v>
      </c>
      <c r="AM21" s="62">
        <f>AI228</f>
        <v>4.6368149186220498</v>
      </c>
    </row>
    <row r="22" spans="1:39">
      <c r="A22" s="118">
        <v>51.5</v>
      </c>
      <c r="B22" s="119">
        <v>10.209749688282766</v>
      </c>
      <c r="C22" s="120">
        <v>1.2695614580333878</v>
      </c>
      <c r="E22" s="48">
        <f>A188</f>
        <v>-31.5</v>
      </c>
      <c r="F22" s="61">
        <f t="shared" ref="F22:G22" si="68">B188</f>
        <v>557.09234518889582</v>
      </c>
      <c r="G22" s="62">
        <f t="shared" si="68"/>
        <v>4.7445035670636484</v>
      </c>
      <c r="I22" s="118">
        <v>51.5</v>
      </c>
      <c r="J22" s="119">
        <v>10.35</v>
      </c>
      <c r="K22" s="120">
        <v>1.2825278810408922</v>
      </c>
      <c r="M22" s="48">
        <f>I188</f>
        <v>-31.5</v>
      </c>
      <c r="N22" s="61">
        <f t="shared" ref="N22" si="69">J188</f>
        <v>524.97</v>
      </c>
      <c r="O22" s="62">
        <f t="shared" ref="O22" si="70">K188</f>
        <v>4.729715119736202</v>
      </c>
      <c r="Q22" s="118">
        <v>41.5</v>
      </c>
      <c r="R22" s="119">
        <v>5.5179999999999998</v>
      </c>
      <c r="S22" s="120">
        <v>0.77678923362801955</v>
      </c>
      <c r="U22" s="48">
        <f>Q128</f>
        <v>-11.5</v>
      </c>
      <c r="V22" s="61">
        <f>R128</f>
        <v>46.5</v>
      </c>
      <c r="W22" s="62">
        <f>S128</f>
        <v>3.0392156862745097</v>
      </c>
      <c r="Y22" s="121">
        <v>76.5</v>
      </c>
      <c r="Z22" s="122">
        <v>0.42179744249480772</v>
      </c>
      <c r="AA22" s="123">
        <v>0.38193853259513549</v>
      </c>
      <c r="AC22" s="48">
        <f>Y238</f>
        <v>-31.5</v>
      </c>
      <c r="AD22" s="61">
        <f t="shared" ref="AD22:AE22" si="71">Z238</f>
        <v>53.584319540802973</v>
      </c>
      <c r="AE22" s="62">
        <f t="shared" si="71"/>
        <v>4.5654716592177582</v>
      </c>
      <c r="AG22" s="121">
        <v>71.5</v>
      </c>
      <c r="AH22" s="122">
        <v>2.1155557936565361</v>
      </c>
      <c r="AI22" s="123">
        <v>0.87307418235166689</v>
      </c>
      <c r="AK22" s="48">
        <f>AG227</f>
        <v>-31</v>
      </c>
      <c r="AL22" s="61">
        <f>AH227</f>
        <v>124.31721967459063</v>
      </c>
      <c r="AM22" s="62">
        <f>AI227</f>
        <v>4.6277469104770441</v>
      </c>
    </row>
    <row r="23" spans="1:39">
      <c r="A23" s="118">
        <v>51</v>
      </c>
      <c r="B23" s="119">
        <v>10.404403937626901</v>
      </c>
      <c r="C23" s="120">
        <v>1.2875334027558469</v>
      </c>
      <c r="E23" s="48">
        <f>A187</f>
        <v>-31</v>
      </c>
      <c r="F23" s="61">
        <f t="shared" ref="F23:G23" si="72">B187</f>
        <v>540.74420130048816</v>
      </c>
      <c r="G23" s="62">
        <f t="shared" si="72"/>
        <v>4.7371852405014154</v>
      </c>
      <c r="I23" s="118">
        <v>51</v>
      </c>
      <c r="J23" s="119">
        <v>10.545999999999999</v>
      </c>
      <c r="K23" s="120">
        <v>1.3004981995757905</v>
      </c>
      <c r="M23" s="48">
        <f>I187</f>
        <v>-31</v>
      </c>
      <c r="N23" s="61">
        <f t="shared" ref="N23" si="73">J187</f>
        <v>509.63</v>
      </c>
      <c r="O23" s="62">
        <f t="shared" ref="O23" si="74">K187</f>
        <v>4.7220317625039385</v>
      </c>
      <c r="Q23" s="118">
        <v>41</v>
      </c>
      <c r="R23" s="119">
        <v>5.6139999999999999</v>
      </c>
      <c r="S23" s="120">
        <v>0.78817319031841415</v>
      </c>
      <c r="U23" s="48">
        <f>Q127</f>
        <v>-11</v>
      </c>
      <c r="V23" s="61">
        <f>R127</f>
        <v>45.42</v>
      </c>
      <c r="W23" s="62">
        <f>S127</f>
        <v>3.0111376292760546</v>
      </c>
      <c r="Y23" s="121">
        <v>76</v>
      </c>
      <c r="Z23" s="122">
        <v>0.42880281227169859</v>
      </c>
      <c r="AA23" s="123">
        <v>0.38778993104974763</v>
      </c>
      <c r="AC23" s="48">
        <f>Y237</f>
        <v>-31</v>
      </c>
      <c r="AD23" s="61">
        <f t="shared" ref="AD23:AE23" si="75">Z237</f>
        <v>52.068121640916388</v>
      </c>
      <c r="AE23" s="62">
        <f t="shared" si="75"/>
        <v>4.5539472127461131</v>
      </c>
      <c r="AG23" s="121">
        <v>71</v>
      </c>
      <c r="AH23" s="122">
        <v>2.1468815141744479</v>
      </c>
      <c r="AI23" s="123">
        <v>0.88371715475663748</v>
      </c>
      <c r="AK23" s="48">
        <f>AG226</f>
        <v>-30.5</v>
      </c>
      <c r="AL23" s="61">
        <f>AH226</f>
        <v>121.06178813949494</v>
      </c>
      <c r="AM23" s="62">
        <f>AI226</f>
        <v>4.6185005506961136</v>
      </c>
    </row>
    <row r="24" spans="1:39">
      <c r="A24" s="118">
        <v>50.5</v>
      </c>
      <c r="B24" s="119">
        <v>10.603315286452615</v>
      </c>
      <c r="C24" s="120">
        <v>1.305720384117308</v>
      </c>
      <c r="E24" s="48">
        <f>A186</f>
        <v>-30.5</v>
      </c>
      <c r="F24" s="61">
        <f t="shared" ref="F24:G24" si="76">B186</f>
        <v>524.90975980196527</v>
      </c>
      <c r="G24" s="62">
        <f t="shared" si="76"/>
        <v>4.7296857780019375</v>
      </c>
      <c r="I24" s="118">
        <v>50.5</v>
      </c>
      <c r="J24" s="119">
        <v>10.746</v>
      </c>
      <c r="K24" s="120">
        <v>1.3186570460904139</v>
      </c>
      <c r="M24" s="48">
        <f>I186</f>
        <v>-30.5</v>
      </c>
      <c r="N24" s="61">
        <f t="shared" ref="N24" si="77">J186</f>
        <v>494.78</v>
      </c>
      <c r="O24" s="62">
        <f t="shared" ref="O24" si="78">K186</f>
        <v>4.7141659362018364</v>
      </c>
      <c r="Q24" s="118">
        <v>40.5</v>
      </c>
      <c r="R24" s="119">
        <v>5.7110000000000003</v>
      </c>
      <c r="S24" s="120">
        <v>0.79961356444792919</v>
      </c>
      <c r="U24" s="48">
        <f>Q126</f>
        <v>-10.5</v>
      </c>
      <c r="V24" s="61">
        <f>R126</f>
        <v>44.37</v>
      </c>
      <c r="W24" s="62">
        <f>S126</f>
        <v>2.9830576845502215</v>
      </c>
      <c r="Y24" s="121">
        <v>75.5</v>
      </c>
      <c r="Z24" s="122">
        <v>0.43594404394874975</v>
      </c>
      <c r="AA24" s="123">
        <v>0.39373956861546777</v>
      </c>
      <c r="AC24" s="48">
        <f>Y236</f>
        <v>-30.5</v>
      </c>
      <c r="AD24" s="61">
        <f t="shared" ref="AD24:AE24" si="79">Z236</f>
        <v>50.596805744111663</v>
      </c>
      <c r="AE24" s="62">
        <f t="shared" si="79"/>
        <v>4.5421640494581519</v>
      </c>
      <c r="AG24" s="121">
        <v>70.5</v>
      </c>
      <c r="AH24" s="122">
        <v>2.1787558023050799</v>
      </c>
      <c r="AI24" s="123">
        <v>0.89449030659302065</v>
      </c>
      <c r="AK24" s="48">
        <f>AG225</f>
        <v>-30</v>
      </c>
      <c r="AL24" s="61">
        <f>AH225</f>
        <v>117.90141295330618</v>
      </c>
      <c r="AM24" s="62">
        <f>AI225</f>
        <v>4.6090739043027318</v>
      </c>
    </row>
    <row r="25" spans="1:39">
      <c r="A25" s="118">
        <v>50</v>
      </c>
      <c r="B25" s="119">
        <v>10.806588574687787</v>
      </c>
      <c r="C25" s="120">
        <v>1.3241230095611427</v>
      </c>
      <c r="E25" s="48">
        <f>A185</f>
        <v>-30</v>
      </c>
      <c r="F25" s="61">
        <f t="shared" ref="F25:G25" si="80">B185</f>
        <v>509.57214925617967</v>
      </c>
      <c r="G25" s="62">
        <f t="shared" si="80"/>
        <v>4.7220019598736132</v>
      </c>
      <c r="I25" s="118">
        <v>50</v>
      </c>
      <c r="J25" s="119">
        <v>10.95</v>
      </c>
      <c r="K25" s="120">
        <v>1.3369963369963369</v>
      </c>
      <c r="M25" s="48">
        <f>I185</f>
        <v>-30</v>
      </c>
      <c r="N25" s="61">
        <f t="shared" ref="N25" si="81">J185</f>
        <v>480.41</v>
      </c>
      <c r="O25" s="62">
        <f t="shared" ref="O25" si="82">K185</f>
        <v>4.7061186105287911</v>
      </c>
      <c r="Q25" s="118">
        <v>40</v>
      </c>
      <c r="R25" s="119">
        <v>5.8109999999999999</v>
      </c>
      <c r="S25" s="120">
        <v>0.81134288347155903</v>
      </c>
      <c r="U25" s="48">
        <f>Q125</f>
        <v>-10</v>
      </c>
      <c r="V25" s="61">
        <f>R125</f>
        <v>43.35</v>
      </c>
      <c r="W25" s="62">
        <f>S125</f>
        <v>2.9550102249488757</v>
      </c>
      <c r="Y25" s="121">
        <v>75</v>
      </c>
      <c r="Z25" s="122">
        <v>0.44322411706232878</v>
      </c>
      <c r="AA25" s="123">
        <v>0.39978910080332325</v>
      </c>
      <c r="AC25" s="48">
        <f>Y235</f>
        <v>-30</v>
      </c>
      <c r="AD25" s="61">
        <f t="shared" ref="AD25:AE25" si="83">Z235</f>
        <v>49.169038678272742</v>
      </c>
      <c r="AE25" s="62">
        <f t="shared" si="83"/>
        <v>4.530118818739842</v>
      </c>
      <c r="AG25" s="121">
        <v>70</v>
      </c>
      <c r="AH25" s="122">
        <v>2.2111896081486195</v>
      </c>
      <c r="AI25" s="123">
        <v>0.90539483830186207</v>
      </c>
      <c r="AK25" s="48">
        <f>AG224</f>
        <v>-29.5</v>
      </c>
      <c r="AL25" s="61">
        <f>AH224</f>
        <v>114.83305733198102</v>
      </c>
      <c r="AM25" s="62">
        <f>AI224</f>
        <v>4.5994650690399261</v>
      </c>
    </row>
    <row r="26" spans="1:39">
      <c r="A26" s="118">
        <v>49.5</v>
      </c>
      <c r="B26" s="119">
        <v>11.014331489780144</v>
      </c>
      <c r="C26" s="120">
        <v>1.3427418038649086</v>
      </c>
      <c r="E26" s="48">
        <f>A184</f>
        <v>-29.5</v>
      </c>
      <c r="F26" s="61">
        <f t="shared" ref="F26:G26" si="84">B184</f>
        <v>494.7150647984185</v>
      </c>
      <c r="G26" s="62">
        <f t="shared" si="84"/>
        <v>4.714130563303673</v>
      </c>
      <c r="I26" s="118">
        <v>49.5</v>
      </c>
      <c r="J26" s="119">
        <v>11.159000000000001</v>
      </c>
      <c r="K26" s="120">
        <v>1.3555965888384072</v>
      </c>
      <c r="M26" s="48">
        <f>I184</f>
        <v>-29.5</v>
      </c>
      <c r="N26" s="61">
        <f t="shared" ref="N26" si="85">J184</f>
        <v>466.49</v>
      </c>
      <c r="O26" s="62">
        <f t="shared" ref="O26" si="86">K184</f>
        <v>4.6978791113617593</v>
      </c>
      <c r="Q26" s="118">
        <v>39.5</v>
      </c>
      <c r="R26" s="119">
        <v>5.9130000000000003</v>
      </c>
      <c r="S26" s="120">
        <v>0.82323949544733122</v>
      </c>
      <c r="U26" s="48">
        <f>Q124</f>
        <v>-9.5</v>
      </c>
      <c r="V26" s="61">
        <f>R124</f>
        <v>42.36</v>
      </c>
      <c r="W26" s="62">
        <f>S124</f>
        <v>2.9270315091210617</v>
      </c>
      <c r="Y26" s="121">
        <v>74.5</v>
      </c>
      <c r="Z26" s="122">
        <v>0.45064608346061852</v>
      </c>
      <c r="AA26" s="123">
        <v>0.40594020649543716</v>
      </c>
      <c r="AC26" s="48">
        <f>Y234</f>
        <v>-29.5</v>
      </c>
      <c r="AD26" s="61">
        <f t="shared" ref="AD26:AE26" si="87">Z234</f>
        <v>47.783524502576405</v>
      </c>
      <c r="AE26" s="62">
        <f t="shared" si="87"/>
        <v>4.517808235365294</v>
      </c>
      <c r="AG26" s="121">
        <v>69.5</v>
      </c>
      <c r="AH26" s="122">
        <v>2.2441941254435318</v>
      </c>
      <c r="AI26" s="123">
        <v>0.91643194417347518</v>
      </c>
      <c r="AK26" s="48">
        <f>AG223</f>
        <v>-29</v>
      </c>
      <c r="AL26" s="61">
        <f>AH223</f>
        <v>111.85378926219936</v>
      </c>
      <c r="AM26" s="62">
        <f>AI223</f>
        <v>4.5896721775929974</v>
      </c>
    </row>
    <row r="27" spans="1:39">
      <c r="A27" s="118">
        <v>49</v>
      </c>
      <c r="B27" s="119">
        <v>11.226654650456096</v>
      </c>
      <c r="C27" s="120">
        <v>1.3615772060142035</v>
      </c>
      <c r="E27" s="48">
        <f>A183</f>
        <v>-29</v>
      </c>
      <c r="F27" s="61">
        <f t="shared" ref="F27:G27" si="88">B183</f>
        <v>480.32274915448545</v>
      </c>
      <c r="G27" s="62">
        <f t="shared" si="88"/>
        <v>4.7060683650718618</v>
      </c>
      <c r="I27" s="118">
        <v>49</v>
      </c>
      <c r="J27" s="119">
        <v>11.372</v>
      </c>
      <c r="K27" s="120">
        <v>1.3743594701730639</v>
      </c>
      <c r="M27" s="48">
        <f>I183</f>
        <v>-29</v>
      </c>
      <c r="N27" s="61">
        <f t="shared" ref="N27" si="89">J183</f>
        <v>456.02</v>
      </c>
      <c r="O27" s="62">
        <f t="shared" ref="O27" si="90">K183</f>
        <v>4.691370725484548</v>
      </c>
      <c r="Q27" s="118">
        <v>39</v>
      </c>
      <c r="R27" s="119">
        <v>6.0170000000000003</v>
      </c>
      <c r="S27" s="120">
        <v>0.83529999722353332</v>
      </c>
      <c r="U27" s="48">
        <f>Q123</f>
        <v>-9</v>
      </c>
      <c r="V27" s="61">
        <f>R123</f>
        <v>41.39</v>
      </c>
      <c r="W27" s="62">
        <f>S123</f>
        <v>2.8988653873091468</v>
      </c>
      <c r="Y27" s="121">
        <v>74</v>
      </c>
      <c r="Z27" s="122">
        <v>0.45821306921495975</v>
      </c>
      <c r="AA27" s="123">
        <v>0.41219458799883468</v>
      </c>
      <c r="AC27" s="48">
        <f>Y233</f>
        <v>-29</v>
      </c>
      <c r="AD27" s="61">
        <f t="shared" ref="AD27:AE27" si="91">Z233</f>
        <v>46.439003680879523</v>
      </c>
      <c r="AE27" s="62">
        <f t="shared" si="91"/>
        <v>4.5052290851819423</v>
      </c>
      <c r="AG27" s="121">
        <v>69</v>
      </c>
      <c r="AH27" s="122">
        <v>2.2777807975172486</v>
      </c>
      <c r="AI27" s="123">
        <v>0.92760281156748214</v>
      </c>
      <c r="AK27" s="48">
        <f>AG222</f>
        <v>-28.5</v>
      </c>
      <c r="AL27" s="61">
        <f>AH222</f>
        <v>108.96077763548658</v>
      </c>
      <c r="AM27" s="62">
        <f>AI222</f>
        <v>4.5796933998430358</v>
      </c>
    </row>
    <row r="28" spans="1:39">
      <c r="A28" s="118">
        <v>48.5</v>
      </c>
      <c r="B28" s="119">
        <v>11.443671693111078</v>
      </c>
      <c r="C28" s="120">
        <v>1.3806295660590913</v>
      </c>
      <c r="E28" s="48">
        <f>A182</f>
        <v>-28.5</v>
      </c>
      <c r="F28" s="61">
        <f t="shared" ref="F28:G28" si="92">B182</f>
        <v>466.37997427110605</v>
      </c>
      <c r="G28" s="62">
        <f t="shared" si="92"/>
        <v>4.6978121443753587</v>
      </c>
      <c r="I28" s="118">
        <v>48.5</v>
      </c>
      <c r="J28" s="119">
        <v>11.590999999999999</v>
      </c>
      <c r="K28" s="120">
        <v>1.3934505061191123</v>
      </c>
      <c r="M28" s="48">
        <f>I182</f>
        <v>-28.5</v>
      </c>
      <c r="N28" s="61">
        <f t="shared" ref="N28" si="93">J182</f>
        <v>439.97</v>
      </c>
      <c r="O28" s="62">
        <f t="shared" ref="O28" si="94">K182</f>
        <v>4.6808306913207227</v>
      </c>
      <c r="Q28" s="118">
        <v>38.5</v>
      </c>
      <c r="R28" s="119">
        <v>6.1230000000000002</v>
      </c>
      <c r="S28" s="120">
        <v>0.84752097001910154</v>
      </c>
      <c r="U28" s="48">
        <f>Q122</f>
        <v>-8.5</v>
      </c>
      <c r="V28" s="61">
        <f>R122</f>
        <v>40.450000000000003</v>
      </c>
      <c r="W28" s="62">
        <f>S122</f>
        <v>2.8708303761533003</v>
      </c>
      <c r="Y28" s="121">
        <v>73.5</v>
      </c>
      <c r="Z28" s="122">
        <v>0.46592827658549452</v>
      </c>
      <c r="AA28" s="123">
        <v>0.41855397108290215</v>
      </c>
      <c r="AC28" s="48">
        <f>Y232</f>
        <v>-28.5</v>
      </c>
      <c r="AD28" s="61">
        <f t="shared" ref="AD28:AE28" si="95">Z232</f>
        <v>45.134252257385633</v>
      </c>
      <c r="AE28" s="62">
        <f t="shared" si="95"/>
        <v>4.4923782309061666</v>
      </c>
      <c r="AG28" s="121">
        <v>68.5</v>
      </c>
      <c r="AH28" s="122">
        <v>2.3119613233945526</v>
      </c>
      <c r="AI28" s="123">
        <v>0.93890862010810705</v>
      </c>
      <c r="AK28" s="48">
        <f>AG221</f>
        <v>-28</v>
      </c>
      <c r="AL28" s="61">
        <f>AH221</f>
        <v>106.15128853374992</v>
      </c>
      <c r="AM28" s="62">
        <f>AI221</f>
        <v>4.5695269451490281</v>
      </c>
    </row>
    <row r="29" spans="1:39">
      <c r="A29" s="118">
        <v>48</v>
      </c>
      <c r="B29" s="119">
        <v>11.665499360918469</v>
      </c>
      <c r="C29" s="120">
        <v>1.3998991419577835</v>
      </c>
      <c r="E29" s="48">
        <f>A181</f>
        <v>-28</v>
      </c>
      <c r="F29" s="61">
        <f t="shared" ref="F29:G29" si="96">B181</f>
        <v>452.87202354092375</v>
      </c>
      <c r="G29" s="62">
        <f t="shared" si="96"/>
        <v>4.6893586857651375</v>
      </c>
      <c r="I29" s="118">
        <v>48</v>
      </c>
      <c r="J29" s="119">
        <v>11.813000000000001</v>
      </c>
      <c r="K29" s="120">
        <v>1.4125989524788942</v>
      </c>
      <c r="M29" s="48">
        <f>I181</f>
        <v>-28</v>
      </c>
      <c r="N29" s="61">
        <f t="shared" ref="N29" si="97">J181</f>
        <v>427.33</v>
      </c>
      <c r="O29" s="62">
        <f t="shared" ref="O29" si="98">K181</f>
        <v>4.6720092712046011</v>
      </c>
      <c r="Q29" s="118">
        <v>38</v>
      </c>
      <c r="R29" s="119">
        <v>6.2309999999999999</v>
      </c>
      <c r="S29" s="120">
        <v>0.85989898153514943</v>
      </c>
      <c r="U29" s="48">
        <f>Q121</f>
        <v>-8</v>
      </c>
      <c r="V29" s="61">
        <f>R121</f>
        <v>39.53</v>
      </c>
      <c r="W29" s="62">
        <f>S121</f>
        <v>2.8426578455343017</v>
      </c>
      <c r="Y29" s="121">
        <v>73</v>
      </c>
      <c r="Z29" s="122">
        <v>0.47379498604282666</v>
      </c>
      <c r="AA29" s="123">
        <v>0.42502010499959414</v>
      </c>
      <c r="AC29" s="48">
        <f>Y231</f>
        <v>-28</v>
      </c>
      <c r="AD29" s="61">
        <f t="shared" ref="AD29:AE29" si="99">Z231</f>
        <v>43.868081036003822</v>
      </c>
      <c r="AE29" s="62">
        <f t="shared" si="99"/>
        <v>4.4792526180217047</v>
      </c>
      <c r="AG29" s="121">
        <v>68</v>
      </c>
      <c r="AH29" s="122">
        <v>2.346747664068221</v>
      </c>
      <c r="AI29" s="123">
        <v>0.95035054085448678</v>
      </c>
      <c r="AK29" s="48">
        <f>AG220</f>
        <v>-27.5</v>
      </c>
      <c r="AL29" s="61">
        <f>AH220</f>
        <v>103.42268165995598</v>
      </c>
      <c r="AM29" s="62">
        <f>AI220</f>
        <v>4.5591710646561756</v>
      </c>
    </row>
    <row r="30" spans="1:39">
      <c r="A30" s="118">
        <v>47.5</v>
      </c>
      <c r="B30" s="119">
        <v>11.892257595747539</v>
      </c>
      <c r="C30" s="120">
        <v>1.4193860964125644</v>
      </c>
      <c r="E30" s="48">
        <f>A180</f>
        <v>-27.5</v>
      </c>
      <c r="F30" s="61">
        <f t="shared" ref="F30:G30" si="100">B180</f>
        <v>439.78467460469824</v>
      </c>
      <c r="G30" s="62">
        <f t="shared" si="100"/>
        <v>4.680704782193633</v>
      </c>
      <c r="I30" s="118">
        <v>47.5</v>
      </c>
      <c r="J30" s="119">
        <v>12.041</v>
      </c>
      <c r="K30" s="120">
        <v>1.4320544230632002</v>
      </c>
      <c r="M30" s="48">
        <f>I180</f>
        <v>-27.5</v>
      </c>
      <c r="N30" s="61">
        <f t="shared" ref="N30" si="101">J180</f>
        <v>415.1</v>
      </c>
      <c r="O30" s="62">
        <f t="shared" ref="O30" si="102">K180</f>
        <v>4.6629970793080204</v>
      </c>
      <c r="Q30" s="118">
        <v>37.5</v>
      </c>
      <c r="R30" s="119">
        <v>6.3419999999999996</v>
      </c>
      <c r="S30" s="120">
        <v>0.87254416377744759</v>
      </c>
      <c r="U30" s="48">
        <f>Q120</f>
        <v>-7.5</v>
      </c>
      <c r="V30" s="61">
        <f>R120</f>
        <v>38.630000000000003</v>
      </c>
      <c r="W30" s="62">
        <f>S120</f>
        <v>2.8143668949439022</v>
      </c>
      <c r="Y30" s="121">
        <v>72.5</v>
      </c>
      <c r="Z30" s="122">
        <v>0.48181655834729586</v>
      </c>
      <c r="AA30" s="123">
        <v>0.43159476248531137</v>
      </c>
      <c r="AC30" s="48">
        <f>Y230</f>
        <v>-27.5</v>
      </c>
      <c r="AD30" s="61">
        <f t="shared" ref="AD30:AE30" si="103">Z230</f>
        <v>42.639334764692592</v>
      </c>
      <c r="AE30" s="62">
        <f t="shared" si="103"/>
        <v>4.4658492807725612</v>
      </c>
      <c r="AG30" s="121">
        <v>67.5</v>
      </c>
      <c r="AH30" s="122">
        <v>2.3821520489366592</v>
      </c>
      <c r="AI30" s="123">
        <v>0.96192973544579874</v>
      </c>
      <c r="AK30" s="48">
        <f>AG219</f>
        <v>-27</v>
      </c>
      <c r="AL30" s="61">
        <f>AH219</f>
        <v>100.77240690798193</v>
      </c>
      <c r="AM30" s="62">
        <f>AI219</f>
        <v>4.5486240536279512</v>
      </c>
    </row>
    <row r="31" spans="1:39">
      <c r="A31" s="118">
        <v>47</v>
      </c>
      <c r="B31" s="119">
        <v>12.124069632983852</v>
      </c>
      <c r="C31" s="120">
        <v>1.4390904937032132</v>
      </c>
      <c r="E31" s="48">
        <f>A179</f>
        <v>-27</v>
      </c>
      <c r="F31" s="61">
        <f t="shared" ref="F31:G31" si="104">B179</f>
        <v>427.10418271373203</v>
      </c>
      <c r="G31" s="62">
        <f t="shared" si="104"/>
        <v>4.6718472381734042</v>
      </c>
      <c r="I31" s="118">
        <v>47</v>
      </c>
      <c r="J31" s="119">
        <v>12.273999999999999</v>
      </c>
      <c r="K31" s="120">
        <v>1.4517197331693239</v>
      </c>
      <c r="M31" s="48">
        <f>I179</f>
        <v>-27</v>
      </c>
      <c r="N31" s="61">
        <f t="shared" ref="N31" si="105">J179</f>
        <v>403.24</v>
      </c>
      <c r="O31" s="62">
        <f t="shared" ref="O31" si="106">K179</f>
        <v>4.6537715815714158</v>
      </c>
      <c r="Q31" s="118">
        <v>37</v>
      </c>
      <c r="R31" s="119">
        <v>6.4539999999999997</v>
      </c>
      <c r="S31" s="120">
        <v>0.8852252153398803</v>
      </c>
      <c r="U31" s="48">
        <f>Q119</f>
        <v>-7</v>
      </c>
      <c r="V31" s="61">
        <f>R119</f>
        <v>37.76</v>
      </c>
      <c r="W31" s="62">
        <f>S119</f>
        <v>2.7863046044864226</v>
      </c>
      <c r="Y31" s="121">
        <v>72</v>
      </c>
      <c r="Z31" s="122">
        <v>0.48999643668770321</v>
      </c>
      <c r="AA31" s="123">
        <v>0.43827973974348877</v>
      </c>
      <c r="AC31" s="48">
        <f>Y229</f>
        <v>-27</v>
      </c>
      <c r="AD31" s="61">
        <f t="shared" ref="AD31:AE31" si="107">Z229</f>
        <v>41.446891325949423</v>
      </c>
      <c r="AE31" s="62">
        <f t="shared" si="107"/>
        <v>4.4521653482413335</v>
      </c>
      <c r="AG31" s="121">
        <v>67</v>
      </c>
      <c r="AH31" s="122">
        <v>2.4181869824130908</v>
      </c>
      <c r="AI31" s="123">
        <v>0.97364735522092727</v>
      </c>
      <c r="AK31" s="48">
        <f>AG218</f>
        <v>-26.5</v>
      </c>
      <c r="AL31" s="61">
        <f>AH218</f>
        <v>98.19800106590624</v>
      </c>
      <c r="AM31" s="62">
        <f>AI218</f>
        <v>4.5378842537992572</v>
      </c>
    </row>
    <row r="32" spans="1:39">
      <c r="A32" s="118">
        <v>46.5</v>
      </c>
      <c r="B32" s="119">
        <v>12.361062099348965</v>
      </c>
      <c r="C32" s="120">
        <v>1.4590122965234786</v>
      </c>
      <c r="E32" s="48">
        <f>A178</f>
        <v>-26.5</v>
      </c>
      <c r="F32" s="61">
        <f t="shared" ref="F32:G32" si="108">B178</f>
        <v>414.81726463589382</v>
      </c>
      <c r="G32" s="62">
        <f t="shared" si="108"/>
        <v>4.6627828730461198</v>
      </c>
      <c r="I32" s="118">
        <v>46.5</v>
      </c>
      <c r="J32" s="119">
        <v>12.510999999999999</v>
      </c>
      <c r="K32" s="120">
        <v>1.4715014937310342</v>
      </c>
      <c r="M32" s="48">
        <f>I178</f>
        <v>-26.5</v>
      </c>
      <c r="N32" s="61">
        <f t="shared" ref="N32" si="109">J178</f>
        <v>391.76</v>
      </c>
      <c r="O32" s="62">
        <f t="shared" ref="O32" si="110">K178</f>
        <v>4.6443474962063735</v>
      </c>
      <c r="Q32" s="118">
        <v>36.5</v>
      </c>
      <c r="R32" s="119">
        <v>6.569</v>
      </c>
      <c r="S32" s="120">
        <v>0.89816511252700371</v>
      </c>
      <c r="U32" s="48">
        <f>Q118</f>
        <v>-6.5</v>
      </c>
      <c r="V32" s="61">
        <f>R118</f>
        <v>36.909999999999997</v>
      </c>
      <c r="W32" s="62">
        <f>S118</f>
        <v>2.7581826333881332</v>
      </c>
      <c r="Y32" s="121">
        <v>71.5</v>
      </c>
      <c r="Z32" s="122">
        <v>0.49833814888122957</v>
      </c>
      <c r="AA32" s="123">
        <v>0.44507685640676903</v>
      </c>
      <c r="AC32" s="48">
        <f>Y228</f>
        <v>-26.5</v>
      </c>
      <c r="AD32" s="61">
        <f t="shared" ref="AD32:AE32" si="111">Z228</f>
        <v>40.289660934501242</v>
      </c>
      <c r="AE32" s="62">
        <f t="shared" si="111"/>
        <v>4.4381980505032335</v>
      </c>
      <c r="AG32" s="121">
        <v>66.5</v>
      </c>
      <c r="AH32" s="122">
        <v>2.4548652507114452</v>
      </c>
      <c r="AI32" s="123">
        <v>0.9855045403125573</v>
      </c>
      <c r="AK32" s="48">
        <f>AG217</f>
        <v>-26</v>
      </c>
      <c r="AL32" s="61">
        <f>AH217</f>
        <v>95.69708464726375</v>
      </c>
      <c r="AM32" s="62">
        <f>AI217</f>
        <v>4.5269500557478777</v>
      </c>
    </row>
    <row r="33" spans="1:39">
      <c r="A33" s="118">
        <v>46</v>
      </c>
      <c r="B33" s="119">
        <v>12.603365113819367</v>
      </c>
      <c r="C33" s="120">
        <v>1.479151362826405</v>
      </c>
      <c r="E33" s="48">
        <f>A177</f>
        <v>-26</v>
      </c>
      <c r="F33" s="61">
        <f t="shared" ref="F33:G33" si="112">B177</f>
        <v>402.91108308899283</v>
      </c>
      <c r="G33" s="62">
        <f t="shared" si="112"/>
        <v>4.6535085243609604</v>
      </c>
      <c r="I33" s="118">
        <v>46</v>
      </c>
      <c r="J33" s="119">
        <v>12.754</v>
      </c>
      <c r="K33" s="120">
        <v>1.4915563456050895</v>
      </c>
      <c r="M33" s="48">
        <f>I177</f>
        <v>-26</v>
      </c>
      <c r="N33" s="61">
        <f t="shared" ref="N33" si="113">J177</f>
        <v>380.64</v>
      </c>
      <c r="O33" s="62">
        <f t="shared" ref="O33" si="114">K177</f>
        <v>4.6347165400350665</v>
      </c>
      <c r="Q33" s="118">
        <v>36</v>
      </c>
      <c r="R33" s="119">
        <v>6.6870000000000003</v>
      </c>
      <c r="S33" s="120">
        <v>0.91135824679041633</v>
      </c>
      <c r="U33" s="48">
        <f>Q117</f>
        <v>-6</v>
      </c>
      <c r="V33" s="61">
        <f>R117</f>
        <v>36.08</v>
      </c>
      <c r="W33" s="62">
        <f>S117</f>
        <v>2.73002421307506</v>
      </c>
      <c r="Y33" s="121">
        <v>71</v>
      </c>
      <c r="Z33" s="122">
        <v>0.5068453096364478</v>
      </c>
      <c r="AA33" s="123">
        <v>0.45198795547768739</v>
      </c>
      <c r="AC33" s="48">
        <f>Y227</f>
        <v>-26</v>
      </c>
      <c r="AD33" s="61">
        <f t="shared" ref="AD33:AE33" si="115">Z227</f>
        <v>39.166585343148071</v>
      </c>
      <c r="AE33" s="62">
        <f t="shared" si="115"/>
        <v>4.4239447248454393</v>
      </c>
      <c r="AG33" s="121">
        <v>66</v>
      </c>
      <c r="AH33" s="122">
        <v>2.4921999288137582</v>
      </c>
      <c r="AI33" s="123">
        <v>0.99750241871545764</v>
      </c>
      <c r="AK33" s="48">
        <f>AG216</f>
        <v>-25.5</v>
      </c>
      <c r="AL33" s="61">
        <f>AH216</f>
        <v>93.26735884502294</v>
      </c>
      <c r="AM33" s="62">
        <f>AI216</f>
        <v>4.5158199012813256</v>
      </c>
    </row>
    <row r="34" spans="1:39">
      <c r="A34" s="118">
        <v>45.5</v>
      </c>
      <c r="B34" s="119">
        <v>12.851112391748249</v>
      </c>
      <c r="C34" s="120">
        <v>1.4995074426846107</v>
      </c>
      <c r="E34" s="48">
        <f>A176</f>
        <v>-25.5</v>
      </c>
      <c r="F34" s="61">
        <f t="shared" ref="F34:G34" si="116">B176</f>
        <v>391.37323168564649</v>
      </c>
      <c r="G34" s="62">
        <f t="shared" si="116"/>
        <v>4.6440210513611762</v>
      </c>
      <c r="I34" s="118">
        <v>45.5</v>
      </c>
      <c r="J34" s="119">
        <v>13.003</v>
      </c>
      <c r="K34" s="120">
        <v>1.5118712647954793</v>
      </c>
      <c r="M34" s="48">
        <f>I176</f>
        <v>-25.5</v>
      </c>
      <c r="N34" s="61">
        <f t="shared" ref="N34" si="117">J176</f>
        <v>369.87</v>
      </c>
      <c r="O34" s="62">
        <f t="shared" ref="O34" si="118">K176</f>
        <v>4.6248780853777474</v>
      </c>
      <c r="Q34" s="118">
        <v>35.5</v>
      </c>
      <c r="R34" s="119">
        <v>6.8070000000000004</v>
      </c>
      <c r="S34" s="120">
        <v>0.92468823865025684</v>
      </c>
      <c r="U34" s="48">
        <f>Q116</f>
        <v>-5.5</v>
      </c>
      <c r="V34" s="61">
        <f>R116</f>
        <v>35.270000000000003</v>
      </c>
      <c r="W34" s="62">
        <f>S116</f>
        <v>2.7018538379040908</v>
      </c>
      <c r="Y34" s="121">
        <v>70.5</v>
      </c>
      <c r="Z34" s="122">
        <v>0.51552162288134307</v>
      </c>
      <c r="AA34" s="123">
        <v>0.45901490324671501</v>
      </c>
      <c r="AC34" s="48">
        <f>Y226</f>
        <v>-25.5</v>
      </c>
      <c r="AD34" s="61">
        <f t="shared" ref="AD34:AE34" si="119">Z226</f>
        <v>38.076637057603293</v>
      </c>
      <c r="AE34" s="62">
        <f t="shared" si="119"/>
        <v>4.4094028220405486</v>
      </c>
      <c r="AG34" s="121">
        <v>65.5</v>
      </c>
      <c r="AH34" s="122">
        <v>2.5302043876246967</v>
      </c>
      <c r="AI34" s="123">
        <v>1.009642105328953</v>
      </c>
      <c r="AK34" s="48">
        <f>AG215</f>
        <v>-25</v>
      </c>
      <c r="AL34" s="61">
        <f>AH215</f>
        <v>90.906602603266563</v>
      </c>
      <c r="AM34" s="62">
        <f>AI215</f>
        <v>4.5044922858359975</v>
      </c>
    </row>
    <row r="35" spans="1:39">
      <c r="A35" s="118">
        <v>45</v>
      </c>
      <c r="B35" s="119">
        <v>13.1044413522974</v>
      </c>
      <c r="C35" s="120">
        <v>1.5200801751718971</v>
      </c>
      <c r="E35" s="48">
        <f>A175</f>
        <v>-25</v>
      </c>
      <c r="F35" s="61">
        <f t="shared" ref="F35:G35" si="120">B175</f>
        <v>380.19172037412289</v>
      </c>
      <c r="G35" s="62">
        <f t="shared" si="120"/>
        <v>4.6343173385772154</v>
      </c>
      <c r="I35" s="118">
        <v>45</v>
      </c>
      <c r="J35" s="119">
        <v>13.257</v>
      </c>
      <c r="K35" s="120">
        <v>1.5323531451556973</v>
      </c>
      <c r="M35" s="48">
        <f>I175</f>
        <v>-25</v>
      </c>
      <c r="N35" s="61">
        <f t="shared" ref="N35" si="121">J175</f>
        <v>359.43</v>
      </c>
      <c r="O35" s="62">
        <f t="shared" ref="O35" si="122">K175</f>
        <v>4.6148216624297049</v>
      </c>
      <c r="Q35" s="118">
        <v>35</v>
      </c>
      <c r="R35" s="119">
        <v>6.9290000000000003</v>
      </c>
      <c r="S35" s="120">
        <v>0.93815158818272903</v>
      </c>
      <c r="U35" s="48">
        <f>Q115</f>
        <v>-5</v>
      </c>
      <c r="V35" s="61">
        <f>R115</f>
        <v>34.479999999999997</v>
      </c>
      <c r="W35" s="62">
        <f>S115</f>
        <v>2.6736972704714641</v>
      </c>
      <c r="Y35" s="121">
        <v>70</v>
      </c>
      <c r="Z35" s="122">
        <v>0.52437088415829236</v>
      </c>
      <c r="AA35" s="123">
        <v>0.46615958918645034</v>
      </c>
      <c r="AC35" s="48">
        <f>Y225</f>
        <v>-25</v>
      </c>
      <c r="AD35" s="61">
        <f t="shared" ref="AD35:AE35" si="123">Z225</f>
        <v>37.018818561091258</v>
      </c>
      <c r="AE35" s="62">
        <f t="shared" si="123"/>
        <v>4.3945699126623525</v>
      </c>
      <c r="AG35" s="121">
        <v>65</v>
      </c>
      <c r="AH35" s="122">
        <v>2.5688923013183036</v>
      </c>
      <c r="AI35" s="123">
        <v>1.0219247009733954</v>
      </c>
      <c r="AK35" s="48">
        <f>AG214</f>
        <v>-24.5</v>
      </c>
      <c r="AL35" s="61">
        <f>AH214</f>
        <v>88.612669801779248</v>
      </c>
      <c r="AM35" s="62">
        <f>AI214</f>
        <v>4.4929657608854452</v>
      </c>
    </row>
    <row r="36" spans="1:39">
      <c r="A36" s="118">
        <v>44.5</v>
      </c>
      <c r="B36" s="119">
        <v>13.363493229290125</v>
      </c>
      <c r="C36" s="120">
        <v>1.5408690852728251</v>
      </c>
      <c r="E36" s="48">
        <f>A174</f>
        <v>-24.5</v>
      </c>
      <c r="F36" s="61">
        <f t="shared" ref="F36:G36" si="124">B174</f>
        <v>369.3549613600718</v>
      </c>
      <c r="G36" s="62">
        <f t="shared" si="124"/>
        <v>4.62439429952454</v>
      </c>
      <c r="I36" s="118">
        <v>44.5</v>
      </c>
      <c r="J36" s="119">
        <v>13.516</v>
      </c>
      <c r="K36" s="120">
        <v>1.5529920029414468</v>
      </c>
      <c r="M36" s="48">
        <f>I174</f>
        <v>-24.5</v>
      </c>
      <c r="N36" s="61">
        <f t="shared" ref="N36" si="125">J174</f>
        <v>349.32</v>
      </c>
      <c r="O36" s="62">
        <f t="shared" ref="O36" si="126">K174</f>
        <v>4.6045555204049347</v>
      </c>
      <c r="Q36" s="118">
        <v>34.5</v>
      </c>
      <c r="R36" s="119">
        <v>7.0540000000000003</v>
      </c>
      <c r="S36" s="120">
        <v>0.9518540508447132</v>
      </c>
      <c r="U36" s="48">
        <f>Q114</f>
        <v>-4.5</v>
      </c>
      <c r="V36" s="61">
        <f>R114</f>
        <v>33.72</v>
      </c>
      <c r="W36" s="62">
        <f>S114</f>
        <v>2.6459510357815441</v>
      </c>
      <c r="Y36" s="121">
        <v>69.5</v>
      </c>
      <c r="Z36" s="122">
        <v>0.53339698308811667</v>
      </c>
      <c r="AA36" s="123">
        <v>0.47342392582079224</v>
      </c>
      <c r="AC36" s="48">
        <f>Y224</f>
        <v>-24.5</v>
      </c>
      <c r="AD36" s="61">
        <f t="shared" ref="AD36:AE36" si="127">Z224</f>
        <v>35.992161549378146</v>
      </c>
      <c r="AE36" s="62">
        <f t="shared" si="127"/>
        <v>4.3794436934314573</v>
      </c>
      <c r="AG36" s="121">
        <v>64.5</v>
      </c>
      <c r="AH36" s="122">
        <v>2.6082776548824351</v>
      </c>
      <c r="AI36" s="123">
        <v>1.0343512913805497</v>
      </c>
      <c r="AK36" s="48">
        <f>AG213</f>
        <v>-24</v>
      </c>
      <c r="AL36" s="61">
        <f>AH213</f>
        <v>86.383486548941931</v>
      </c>
      <c r="AM36" s="62">
        <f>AI213</f>
        <v>4.4812389363544058</v>
      </c>
    </row>
    <row r="37" spans="1:39">
      <c r="A37" s="118">
        <v>44</v>
      </c>
      <c r="B37" s="119">
        <v>13.628413185599875</v>
      </c>
      <c r="C37" s="120">
        <v>1.5618735808271511</v>
      </c>
      <c r="E37" s="48">
        <f>A173</f>
        <v>-24</v>
      </c>
      <c r="F37" s="61">
        <f t="shared" ref="F37:G37" si="128">B173</f>
        <v>358.85175549436093</v>
      </c>
      <c r="G37" s="62">
        <f t="shared" si="128"/>
        <v>4.6142488805038315</v>
      </c>
      <c r="I37" s="118">
        <v>44</v>
      </c>
      <c r="J37" s="119">
        <v>13.731999999999999</v>
      </c>
      <c r="K37" s="120">
        <v>1.5700173785786151</v>
      </c>
      <c r="M37" s="48">
        <f>I173</f>
        <v>-24</v>
      </c>
      <c r="N37" s="61">
        <f t="shared" ref="N37" si="129">J173</f>
        <v>339.52</v>
      </c>
      <c r="O37" s="62">
        <f t="shared" ref="O37" si="130">K173</f>
        <v>4.5940679800822686</v>
      </c>
      <c r="Q37" s="118">
        <v>34</v>
      </c>
      <c r="R37" s="119">
        <v>7.181</v>
      </c>
      <c r="S37" s="120">
        <v>0.96568139641214612</v>
      </c>
      <c r="U37" s="48">
        <f>Q113</f>
        <v>-4</v>
      </c>
      <c r="V37" s="61">
        <f>R113</f>
        <v>32.97</v>
      </c>
      <c r="W37" s="62">
        <f>S113</f>
        <v>2.6179132920438302</v>
      </c>
      <c r="Y37" s="121">
        <v>69</v>
      </c>
      <c r="Z37" s="122">
        <v>0.54260390590525565</v>
      </c>
      <c r="AA37" s="123">
        <v>0.48080984856778147</v>
      </c>
      <c r="AC37" s="48">
        <f>Y223</f>
        <v>-24</v>
      </c>
      <c r="AD37" s="61">
        <f t="shared" ref="AD37:AE37" si="131">Z223</f>
        <v>34.995726176822409</v>
      </c>
      <c r="AE37" s="62">
        <f t="shared" si="131"/>
        <v>4.3640219935774489</v>
      </c>
      <c r="AG37" s="121">
        <v>64</v>
      </c>
      <c r="AH37" s="122">
        <v>2.6483747518670855</v>
      </c>
      <c r="AI37" s="123">
        <v>1.0469229461580218</v>
      </c>
      <c r="AK37" s="48">
        <f>AG212</f>
        <v>-23.5</v>
      </c>
      <c r="AL37" s="61">
        <f>AH212</f>
        <v>84.217048578535781</v>
      </c>
      <c r="AM37" s="62">
        <f>AI212</f>
        <v>4.4693104830351178</v>
      </c>
    </row>
    <row r="38" spans="1:39">
      <c r="A38" s="118">
        <v>43.5</v>
      </c>
      <c r="B38" s="119">
        <v>13.899350431193739</v>
      </c>
      <c r="C38" s="120">
        <v>1.5830929495163124</v>
      </c>
      <c r="E38" s="48">
        <f>A172</f>
        <v>-23.5</v>
      </c>
      <c r="F38" s="61">
        <f t="shared" ref="F38:G38" si="132">B172</f>
        <v>348.67127911265652</v>
      </c>
      <c r="G38" s="62">
        <f t="shared" si="132"/>
        <v>4.6038780645009671</v>
      </c>
      <c r="I38" s="118">
        <v>43.5</v>
      </c>
      <c r="J38" s="119">
        <v>14.053000000000001</v>
      </c>
      <c r="K38" s="120">
        <v>1.5950105554672782</v>
      </c>
      <c r="M38" s="48">
        <f>I172</f>
        <v>-23.5</v>
      </c>
      <c r="N38" s="61">
        <f t="shared" ref="N38" si="133">J172</f>
        <v>330.02</v>
      </c>
      <c r="O38" s="62">
        <f t="shared" ref="O38" si="134">K172</f>
        <v>4.5833564801955449</v>
      </c>
      <c r="Q38" s="118">
        <v>33.5</v>
      </c>
      <c r="R38" s="119">
        <v>7.3120000000000003</v>
      </c>
      <c r="S38" s="120">
        <v>0.97984562607204129</v>
      </c>
      <c r="U38" s="48">
        <f>Q112</f>
        <v>-3.5</v>
      </c>
      <c r="V38" s="61">
        <f>R112</f>
        <v>32.24</v>
      </c>
      <c r="W38" s="62">
        <f>S112</f>
        <v>2.5899742930591261</v>
      </c>
      <c r="Y38" s="121">
        <v>68.5</v>
      </c>
      <c r="Z38" s="122">
        <v>0.55199573806627567</v>
      </c>
      <c r="AA38" s="123">
        <v>0.48831931555483682</v>
      </c>
      <c r="AC38" s="48">
        <f>Y222</f>
        <v>-23.5</v>
      </c>
      <c r="AD38" s="61">
        <f t="shared" ref="AD38:AE38" si="135">Z222</f>
        <v>34.028600313969768</v>
      </c>
      <c r="AE38" s="62">
        <f t="shared" si="135"/>
        <v>4.3483027812038566</v>
      </c>
      <c r="AG38" s="121">
        <v>63.5</v>
      </c>
      <c r="AH38" s="122">
        <v>2.6891982223419402</v>
      </c>
      <c r="AI38" s="123">
        <v>1.0596407177275606</v>
      </c>
      <c r="AK38" s="48">
        <f>AG211</f>
        <v>-23</v>
      </c>
      <c r="AL38" s="61">
        <f>AH211</f>
        <v>82.111418746246883</v>
      </c>
      <c r="AM38" s="62">
        <f>AI211</f>
        <v>4.4571791350023338</v>
      </c>
    </row>
    <row r="39" spans="1:39">
      <c r="A39" s="118">
        <v>43</v>
      </c>
      <c r="B39" s="119">
        <v>14.176458344953367</v>
      </c>
      <c r="C39" s="120">
        <v>1.6045263558993361</v>
      </c>
      <c r="E39" s="48">
        <f>A171</f>
        <v>-23</v>
      </c>
      <c r="F39" s="61">
        <f t="shared" ref="F39:G39" si="136">B171</f>
        <v>338.80307131272843</v>
      </c>
      <c r="G39" s="62">
        <f t="shared" si="136"/>
        <v>4.5932788751837519</v>
      </c>
      <c r="I39" s="118">
        <v>43</v>
      </c>
      <c r="J39" s="119">
        <v>14.33</v>
      </c>
      <c r="K39" s="120">
        <v>1.6162869388675842</v>
      </c>
      <c r="M39" s="48">
        <f>I171</f>
        <v>-23</v>
      </c>
      <c r="N39" s="61">
        <f t="shared" ref="N39" si="137">J171</f>
        <v>320.82</v>
      </c>
      <c r="O39" s="62">
        <f t="shared" ref="O39" si="138">K171</f>
        <v>4.5724303061399008</v>
      </c>
      <c r="Q39" s="118">
        <v>33</v>
      </c>
      <c r="R39" s="119">
        <v>7.4450000000000003</v>
      </c>
      <c r="S39" s="120">
        <v>0.99412471625050081</v>
      </c>
      <c r="U39" s="48">
        <f>Q111</f>
        <v>-3</v>
      </c>
      <c r="V39" s="61">
        <f>R111</f>
        <v>31.53</v>
      </c>
      <c r="W39" s="62">
        <f>S111</f>
        <v>2.5621647976596784</v>
      </c>
      <c r="Y39" s="121">
        <v>68</v>
      </c>
      <c r="Z39" s="122">
        <v>0.56157666693396469</v>
      </c>
      <c r="AA39" s="123">
        <v>0.49595430740504959</v>
      </c>
      <c r="AC39" s="48">
        <f>Y221</f>
        <v>-23</v>
      </c>
      <c r="AD39" s="61">
        <f t="shared" ref="AD39:AE39" si="139">Z221</f>
        <v>33.089898817140934</v>
      </c>
      <c r="AE39" s="62">
        <f t="shared" si="139"/>
        <v>4.3322841696413521</v>
      </c>
      <c r="AG39" s="121">
        <v>63</v>
      </c>
      <c r="AH39" s="122">
        <v>2.7307630310697291</v>
      </c>
      <c r="AI39" s="123">
        <v>1.0725056402374458</v>
      </c>
      <c r="AK39" s="48">
        <f>AG210</f>
        <v>-22.5</v>
      </c>
      <c r="AL39" s="61">
        <f>AH210</f>
        <v>80.064724621830223</v>
      </c>
      <c r="AM39" s="62">
        <f>AI210</f>
        <v>4.4448436920232277</v>
      </c>
    </row>
    <row r="40" spans="1:39">
      <c r="A40" s="118">
        <v>42.5</v>
      </c>
      <c r="B40" s="119">
        <v>14.459894600401057</v>
      </c>
      <c r="C40" s="120">
        <v>1.6261728385058543</v>
      </c>
      <c r="E40" s="48">
        <f>A170</f>
        <v>-22.5</v>
      </c>
      <c r="F40" s="61">
        <f t="shared" ref="F40:G40" si="140">B170</f>
        <v>329.23702165581977</v>
      </c>
      <c r="G40" s="62">
        <f t="shared" si="140"/>
        <v>4.5824483809919982</v>
      </c>
      <c r="I40" s="118">
        <v>42.5</v>
      </c>
      <c r="J40" s="119">
        <v>14.614000000000001</v>
      </c>
      <c r="K40" s="120">
        <v>1.6378266911731743</v>
      </c>
      <c r="M40" s="48">
        <f>I170</f>
        <v>-22.5</v>
      </c>
      <c r="N40" s="61">
        <f t="shared" ref="N40" si="141">J170</f>
        <v>311.89</v>
      </c>
      <c r="O40" s="62">
        <f t="shared" ref="O40" si="142">K170</f>
        <v>4.5612623943373594</v>
      </c>
      <c r="Q40" s="118">
        <v>32.5</v>
      </c>
      <c r="R40" s="119">
        <v>7.58</v>
      </c>
      <c r="S40" s="120">
        <v>1.0085151676423629</v>
      </c>
      <c r="U40" s="48">
        <f>Q110</f>
        <v>-2.5</v>
      </c>
      <c r="V40" s="61">
        <f>R110</f>
        <v>30.84</v>
      </c>
      <c r="W40" s="62">
        <f>S110</f>
        <v>2.5345167652859959</v>
      </c>
      <c r="Y40" s="121">
        <v>67.5</v>
      </c>
      <c r="Z40" s="122">
        <v>0.57135098453933164</v>
      </c>
      <c r="AA40" s="123">
        <v>0.50371682699315512</v>
      </c>
      <c r="AC40" s="48">
        <f>Y220</f>
        <v>-22.5</v>
      </c>
      <c r="AD40" s="61">
        <f t="shared" ref="AD40:AE40" si="143">Z220</f>
        <v>32.178762810397288</v>
      </c>
      <c r="AE40" s="62">
        <f t="shared" si="143"/>
        <v>4.3159644237740666</v>
      </c>
      <c r="AG40" s="121">
        <v>62.5</v>
      </c>
      <c r="AH40" s="122">
        <v>2.7730844859012644</v>
      </c>
      <c r="AI40" s="123">
        <v>1.085518728448932</v>
      </c>
      <c r="AK40" s="48">
        <f>AG209</f>
        <v>-22</v>
      </c>
      <c r="AL40" s="61">
        <f>AH209</f>
        <v>78.075156173089269</v>
      </c>
      <c r="AM40" s="62">
        <f>AI209</f>
        <v>4.4323030219584538</v>
      </c>
    </row>
    <row r="41" spans="1:39">
      <c r="A41" s="118">
        <v>42</v>
      </c>
      <c r="B41" s="119">
        <v>14.749821295462505</v>
      </c>
      <c r="C41" s="120">
        <v>1.6480313069940786</v>
      </c>
      <c r="E41" s="48">
        <f>A169</f>
        <v>-22</v>
      </c>
      <c r="F41" s="61">
        <f t="shared" ref="F41:G41" si="144">B169</f>
        <v>319.96335827879693</v>
      </c>
      <c r="G41" s="62">
        <f t="shared" si="144"/>
        <v>4.5713836993171633</v>
      </c>
      <c r="I41" s="118">
        <v>42</v>
      </c>
      <c r="J41" s="119">
        <v>14.903</v>
      </c>
      <c r="K41" s="120">
        <v>1.6594659599581321</v>
      </c>
      <c r="M41" s="48">
        <f>I169</f>
        <v>-22</v>
      </c>
      <c r="N41" s="61">
        <f t="shared" ref="N41" si="145">J169</f>
        <v>303.25</v>
      </c>
      <c r="O41" s="62">
        <f t="shared" ref="O41" si="146">K169</f>
        <v>4.5498874718679669</v>
      </c>
      <c r="Q41" s="118">
        <v>32</v>
      </c>
      <c r="R41" s="119">
        <v>7.7190000000000003</v>
      </c>
      <c r="S41" s="120">
        <v>1.0232243696810626</v>
      </c>
      <c r="U41" s="48">
        <f>Q109</f>
        <v>-2</v>
      </c>
      <c r="V41" s="61">
        <f>R109</f>
        <v>30.16</v>
      </c>
      <c r="W41" s="62">
        <f>S109</f>
        <v>2.5066489361702131</v>
      </c>
      <c r="Y41" s="121">
        <v>67</v>
      </c>
      <c r="Z41" s="122">
        <v>0.58132309042390307</v>
      </c>
      <c r="AA41" s="123">
        <v>0.5116088991697606</v>
      </c>
      <c r="AC41" s="48">
        <f>Y219</f>
        <v>-22</v>
      </c>
      <c r="AD41" s="61">
        <f t="shared" ref="AD41:AE41" si="147">Z219</f>
        <v>31.294358980216025</v>
      </c>
      <c r="AE41" s="62">
        <f t="shared" si="147"/>
        <v>4.2993419663233583</v>
      </c>
      <c r="AG41" s="121">
        <v>62</v>
      </c>
      <c r="AH41" s="122">
        <v>2.8161782463990161</v>
      </c>
      <c r="AI41" s="123">
        <v>1.0986809765970142</v>
      </c>
      <c r="AK41" s="48">
        <f>AG208</f>
        <v>-21.5</v>
      </c>
      <c r="AL41" s="61">
        <f>AH208</f>
        <v>76.140963537953226</v>
      </c>
      <c r="AM41" s="62">
        <f>AI208</f>
        <v>4.419556063150254</v>
      </c>
    </row>
    <row r="42" spans="1:39">
      <c r="A42" s="118">
        <v>41.5</v>
      </c>
      <c r="B42" s="119">
        <v>15.046405086402913</v>
      </c>
      <c r="C42" s="120">
        <v>1.6701005393818444</v>
      </c>
      <c r="E42" s="48">
        <f>A168</f>
        <v>-21.5</v>
      </c>
      <c r="F42" s="61">
        <f t="shared" ref="F42:G42" si="148">B168</f>
        <v>310.97263640412581</v>
      </c>
      <c r="G42" s="62">
        <f t="shared" si="148"/>
        <v>4.5600820007673057</v>
      </c>
      <c r="I42" s="118">
        <v>41.5</v>
      </c>
      <c r="J42" s="119">
        <v>15.2</v>
      </c>
      <c r="K42" s="120">
        <v>1.6814159292035398</v>
      </c>
      <c r="M42" s="48">
        <f>I168</f>
        <v>-21.5</v>
      </c>
      <c r="N42" s="61">
        <f t="shared" ref="N42" si="149">J168</f>
        <v>294.86</v>
      </c>
      <c r="O42" s="62">
        <f t="shared" ref="O42" si="150">K168</f>
        <v>4.5382626362125231</v>
      </c>
      <c r="Q42" s="118">
        <v>31.5</v>
      </c>
      <c r="R42" s="119">
        <v>7.86</v>
      </c>
      <c r="S42" s="120">
        <v>1.0380348652931854</v>
      </c>
      <c r="U42" s="48">
        <f>Q108</f>
        <v>-1.5</v>
      </c>
      <c r="V42" s="61">
        <f>R108</f>
        <v>29.5</v>
      </c>
      <c r="W42" s="62">
        <f>S108</f>
        <v>2.4789915966386555</v>
      </c>
      <c r="Y42" s="121">
        <v>66.5</v>
      </c>
      <c r="Z42" s="122">
        <v>0.59149749456481371</v>
      </c>
      <c r="AA42" s="123">
        <v>0.51963257045239297</v>
      </c>
      <c r="AC42" s="48">
        <f>Y218</f>
        <v>-21.5</v>
      </c>
      <c r="AD42" s="61">
        <f t="shared" ref="AD42:AE42" si="151">Z218</f>
        <v>30.435878883146444</v>
      </c>
      <c r="AE42" s="62">
        <f t="shared" si="151"/>
        <v>4.2824153840727472</v>
      </c>
      <c r="AG42" s="121">
        <v>61.5</v>
      </c>
      <c r="AH42" s="122">
        <v>2.8600603326955416</v>
      </c>
      <c r="AI42" s="123">
        <v>1.1119933572255865</v>
      </c>
      <c r="AK42" s="48">
        <f>AG207</f>
        <v>-21</v>
      </c>
      <c r="AL42" s="61">
        <f>AH207</f>
        <v>74.260454881128183</v>
      </c>
      <c r="AM42" s="62">
        <f>AI207</f>
        <v>4.4066018267936204</v>
      </c>
    </row>
    <row r="43" spans="1:39">
      <c r="A43" s="118">
        <v>41</v>
      </c>
      <c r="B43" s="119">
        <v>15.34981732607738</v>
      </c>
      <c r="C43" s="120">
        <v>1.6923791793589891</v>
      </c>
      <c r="E43" s="48">
        <f>A167</f>
        <v>-21</v>
      </c>
      <c r="F43" s="61">
        <f t="shared" ref="F43:G43" si="152">B167</f>
        <v>302.25572723508014</v>
      </c>
      <c r="G43" s="62">
        <f t="shared" si="152"/>
        <v>4.5485405135127408</v>
      </c>
      <c r="I43" s="118">
        <v>41</v>
      </c>
      <c r="J43" s="119">
        <v>15.503</v>
      </c>
      <c r="K43" s="120">
        <v>1.7035140540184164</v>
      </c>
      <c r="M43" s="48">
        <f>I167</f>
        <v>-21</v>
      </c>
      <c r="N43" s="61">
        <f t="shared" ref="N43" si="153">J167</f>
        <v>286.73</v>
      </c>
      <c r="O43" s="62">
        <f t="shared" ref="O43" si="154">K167</f>
        <v>4.5264105073722094</v>
      </c>
      <c r="Q43" s="118">
        <v>31</v>
      </c>
      <c r="R43" s="119">
        <v>8.0050000000000008</v>
      </c>
      <c r="S43" s="120">
        <v>1.0531509011972109</v>
      </c>
      <c r="U43" s="48">
        <f>Q107</f>
        <v>-1</v>
      </c>
      <c r="V43" s="61">
        <f>R107</f>
        <v>28.86</v>
      </c>
      <c r="W43" s="62">
        <f>S107</f>
        <v>2.4515800203873601</v>
      </c>
      <c r="Y43" s="121">
        <v>66</v>
      </c>
      <c r="Z43" s="122">
        <v>0.60187882038523421</v>
      </c>
      <c r="AA43" s="123">
        <v>0.52778990868186293</v>
      </c>
      <c r="AC43" s="48">
        <f>Y217</f>
        <v>-21</v>
      </c>
      <c r="AD43" s="61">
        <f t="shared" ref="AD43:AE43" si="155">Z217</f>
        <v>29.602538266668958</v>
      </c>
      <c r="AE43" s="62">
        <f t="shared" si="155"/>
        <v>4.265183434017211</v>
      </c>
      <c r="AG43" s="121">
        <v>61</v>
      </c>
      <c r="AH43" s="122">
        <v>2.9047471345939386</v>
      </c>
      <c r="AI43" s="123">
        <v>1.1254568199973256</v>
      </c>
      <c r="AK43" s="48">
        <f>AG206</f>
        <v>-20.5</v>
      </c>
      <c r="AL43" s="61">
        <f>AH206</f>
        <v>72.431994331922766</v>
      </c>
      <c r="AM43" s="62">
        <f>AI206</f>
        <v>4.3934393992862919</v>
      </c>
    </row>
    <row r="44" spans="1:39" ht="13.5" thickBot="1">
      <c r="A44" s="118">
        <v>40.5</v>
      </c>
      <c r="B44" s="119">
        <v>15.660234206642031</v>
      </c>
      <c r="C44" s="120">
        <v>1.7148657336895561</v>
      </c>
      <c r="E44" s="48">
        <f>A166</f>
        <v>-20.5</v>
      </c>
      <c r="F44" s="61">
        <f t="shared" ref="F44:G44" si="156">B166</f>
        <v>293.80380722393937</v>
      </c>
      <c r="G44" s="62">
        <f t="shared" si="156"/>
        <v>4.5367565277073423</v>
      </c>
      <c r="I44" s="118">
        <v>40.5</v>
      </c>
      <c r="J44" s="119">
        <v>15.813000000000001</v>
      </c>
      <c r="K44" s="120">
        <v>1.7258201820443977</v>
      </c>
      <c r="M44" s="48">
        <f>I166</f>
        <v>-20.5</v>
      </c>
      <c r="N44" s="61">
        <f t="shared" ref="N44" si="157">J166</f>
        <v>278.85000000000002</v>
      </c>
      <c r="O44" s="62">
        <f t="shared" ref="O44" si="158">K166</f>
        <v>4.5143273433705682</v>
      </c>
      <c r="Q44" s="124">
        <v>30.5</v>
      </c>
      <c r="R44" s="125">
        <v>8.1519999999999992</v>
      </c>
      <c r="S44" s="126">
        <v>1.0683581463619207</v>
      </c>
      <c r="U44" s="48">
        <f>Q106</f>
        <v>-0.5</v>
      </c>
      <c r="V44" s="61">
        <f>R106</f>
        <v>28.23</v>
      </c>
      <c r="W44" s="62">
        <f>S106</f>
        <v>2.4240082431736218</v>
      </c>
      <c r="Y44" s="121">
        <v>65.5</v>
      </c>
      <c r="Z44" s="122">
        <v>0.61247180785277322</v>
      </c>
      <c r="AA44" s="123">
        <v>0.53608300264241626</v>
      </c>
      <c r="AC44" s="48">
        <f>Y216</f>
        <v>-20.5</v>
      </c>
      <c r="AD44" s="61">
        <f t="shared" ref="AD44:AE44" si="159">Z216</f>
        <v>28.793576403436553</v>
      </c>
      <c r="AE44" s="62">
        <f t="shared" si="159"/>
        <v>4.2476450494196154</v>
      </c>
      <c r="AG44" s="121">
        <v>60.5</v>
      </c>
      <c r="AH44" s="122">
        <v>2.9502554209172978</v>
      </c>
      <c r="AI44" s="123">
        <v>1.1390722904785473</v>
      </c>
      <c r="AK44" s="48">
        <f>AG205</f>
        <v>-20</v>
      </c>
      <c r="AL44" s="61">
        <f>AH205</f>
        <v>70.653999999999058</v>
      </c>
      <c r="AM44" s="62">
        <f>AI205</f>
        <v>4.3800679445532698</v>
      </c>
    </row>
    <row r="45" spans="1:39" ht="13.5" thickTop="1">
      <c r="A45" s="118">
        <v>40</v>
      </c>
      <c r="B45" s="119">
        <v>15.977836906877176</v>
      </c>
      <c r="C45" s="120">
        <v>1.7375585697124518</v>
      </c>
      <c r="E45" s="48">
        <f>A165</f>
        <v>-20</v>
      </c>
      <c r="F45" s="61">
        <f t="shared" ref="F45:G45" si="160">B165</f>
        <v>285.60834770125172</v>
      </c>
      <c r="G45" s="62">
        <f t="shared" si="160"/>
        <v>4.5247273999799686</v>
      </c>
      <c r="I45" s="118">
        <v>40</v>
      </c>
      <c r="J45" s="119">
        <v>16.13</v>
      </c>
      <c r="K45" s="120">
        <v>1.7483199653154129</v>
      </c>
      <c r="M45" s="48">
        <f>I165</f>
        <v>-20</v>
      </c>
      <c r="N45" s="61">
        <f t="shared" ref="N45" si="161">J165</f>
        <v>271.20999999999998</v>
      </c>
      <c r="O45" s="62">
        <f t="shared" ref="O45" si="162">K165</f>
        <v>4.502008565452674</v>
      </c>
      <c r="Q45" s="112">
        <v>30</v>
      </c>
      <c r="R45" s="113">
        <v>8.3030000000000008</v>
      </c>
      <c r="S45" s="114">
        <v>1.0838576612797954</v>
      </c>
      <c r="U45" s="48">
        <f>Q105</f>
        <v>0</v>
      </c>
      <c r="V45" s="61">
        <f>R105</f>
        <v>27.62</v>
      </c>
      <c r="W45" s="62">
        <f>S105</f>
        <v>2.3967372440124954</v>
      </c>
      <c r="Y45" s="121">
        <v>65</v>
      </c>
      <c r="Z45" s="122">
        <v>0.62328131666858311</v>
      </c>
      <c r="AA45" s="123">
        <v>0.54451396164410781</v>
      </c>
      <c r="AC45" s="48">
        <f>Y215</f>
        <v>-20</v>
      </c>
      <c r="AD45" s="61">
        <f t="shared" ref="AD45:AE45" si="163">Z215</f>
        <v>28.008255439031274</v>
      </c>
      <c r="AE45" s="62">
        <f t="shared" si="163"/>
        <v>4.2297993457565841</v>
      </c>
      <c r="AG45" s="121">
        <v>60</v>
      </c>
      <c r="AH45" s="122">
        <v>2.9966023491143678</v>
      </c>
      <c r="AI45" s="123">
        <v>1.1528406688993476</v>
      </c>
      <c r="AK45" s="48">
        <f>AG204</f>
        <v>-19.5</v>
      </c>
      <c r="AL45" s="61">
        <f>AH204</f>
        <v>68.92494206594705</v>
      </c>
      <c r="AM45" s="62">
        <f>AI204</f>
        <v>4.366486706341556</v>
      </c>
    </row>
    <row r="46" spans="1:39">
      <c r="A46" s="118">
        <v>39.5</v>
      </c>
      <c r="B46" s="119">
        <v>16.302811744279129</v>
      </c>
      <c r="C46" s="120">
        <v>1.7604559129493251</v>
      </c>
      <c r="E46" s="48">
        <f>A164</f>
        <v>-19.5</v>
      </c>
      <c r="F46" s="61">
        <f t="shared" ref="F46:G46" si="164">B164</f>
        <v>277.66110485459154</v>
      </c>
      <c r="G46" s="62">
        <f t="shared" si="164"/>
        <v>4.5124505579901175</v>
      </c>
      <c r="I46" s="118">
        <v>39.5</v>
      </c>
      <c r="J46" s="119">
        <v>16.454000000000001</v>
      </c>
      <c r="K46" s="120">
        <v>1.7709992680931677</v>
      </c>
      <c r="M46" s="48">
        <f>I164</f>
        <v>-19.5</v>
      </c>
      <c r="N46" s="61">
        <f t="shared" ref="N46" si="165">J164</f>
        <v>263.79000000000002</v>
      </c>
      <c r="O46" s="62">
        <f t="shared" ref="O46" si="166">K164</f>
        <v>4.489431226386194</v>
      </c>
      <c r="Q46" s="118">
        <v>29.5</v>
      </c>
      <c r="R46" s="119">
        <v>8.4570000000000007</v>
      </c>
      <c r="S46" s="120">
        <v>1.0995397456899916</v>
      </c>
      <c r="U46" s="48">
        <f>Q104</f>
        <v>0.5</v>
      </c>
      <c r="V46" s="61">
        <f>R104</f>
        <v>27.02</v>
      </c>
      <c r="W46" s="62">
        <f>S104</f>
        <v>2.3693440897930551</v>
      </c>
      <c r="Y46" s="121">
        <v>64.5</v>
      </c>
      <c r="Z46" s="122">
        <v>0.63431232955000794</v>
      </c>
      <c r="AA46" s="123">
        <v>0.55308491506581814</v>
      </c>
      <c r="AC46" s="48">
        <f>Y214</f>
        <v>-19.5</v>
      </c>
      <c r="AD46" s="61">
        <f t="shared" ref="AD46:AE46" si="167">Z214</f>
        <v>27.245859753331654</v>
      </c>
      <c r="AE46" s="62">
        <f t="shared" si="167"/>
        <v>4.2116456265357591</v>
      </c>
      <c r="AG46" s="121">
        <v>59.5</v>
      </c>
      <c r="AH46" s="122">
        <v>3.0438054751294197</v>
      </c>
      <c r="AI46" s="123">
        <v>1.1667628288895573</v>
      </c>
      <c r="AK46" s="48">
        <f>AG203</f>
        <v>-19</v>
      </c>
      <c r="AL46" s="61">
        <f>AH203</f>
        <v>67.243340943685581</v>
      </c>
      <c r="AM46" s="62">
        <f>AI203</f>
        <v>4.352695010480546</v>
      </c>
    </row>
    <row r="47" spans="1:39">
      <c r="A47" s="118">
        <v>39</v>
      </c>
      <c r="B47" s="119">
        <v>16.635350332083178</v>
      </c>
      <c r="C47" s="120">
        <v>1.7835558448285902</v>
      </c>
      <c r="E47" s="48">
        <f>A163</f>
        <v>-19</v>
      </c>
      <c r="F47" s="61">
        <f t="shared" ref="F47:G47" si="168">B163</f>
        <v>269.95411004553921</v>
      </c>
      <c r="G47" s="62">
        <f t="shared" si="168"/>
        <v>4.4999235050413979</v>
      </c>
      <c r="I47" s="118">
        <v>39</v>
      </c>
      <c r="J47" s="119">
        <v>16.786000000000001</v>
      </c>
      <c r="K47" s="120">
        <v>1.793912708930022</v>
      </c>
      <c r="M47" s="48">
        <f>I163</f>
        <v>-19</v>
      </c>
      <c r="N47" s="61">
        <f t="shared" ref="N47" si="169">J163</f>
        <v>256.60000000000002</v>
      </c>
      <c r="O47" s="62">
        <f t="shared" ref="O47" si="170">K163</f>
        <v>4.4766224703419395</v>
      </c>
      <c r="Q47" s="118">
        <v>29</v>
      </c>
      <c r="R47" s="119">
        <v>8.6140000000000008</v>
      </c>
      <c r="S47" s="120">
        <v>1.115398560107733</v>
      </c>
      <c r="U47" s="48">
        <f>Q103</f>
        <v>1</v>
      </c>
      <c r="V47" s="61">
        <f>R103</f>
        <v>26.44</v>
      </c>
      <c r="W47" s="62">
        <f>S103</f>
        <v>2.3423104181431613</v>
      </c>
      <c r="Y47" s="121">
        <v>64</v>
      </c>
      <c r="Z47" s="122">
        <v>0.64556995560963581</v>
      </c>
      <c r="AA47" s="123">
        <v>0.56179801185723921</v>
      </c>
      <c r="AC47" s="48">
        <f>Y213</f>
        <v>-19</v>
      </c>
      <c r="AD47" s="61">
        <f t="shared" ref="AD47:AE47" si="171">Z213</f>
        <v>26.505695335547038</v>
      </c>
      <c r="AE47" s="62">
        <f t="shared" si="171"/>
        <v>4.1931833889659735</v>
      </c>
      <c r="AG47" s="121">
        <v>59</v>
      </c>
      <c r="AH47" s="122">
        <v>3.0918827635433628</v>
      </c>
      <c r="AI47" s="123">
        <v>1.180839616190748</v>
      </c>
      <c r="AK47" s="48">
        <f>AG202</f>
        <v>-18.5</v>
      </c>
      <c r="AL47" s="61">
        <f>AH202</f>
        <v>65.607765511848228</v>
      </c>
      <c r="AM47" s="62">
        <f>AI202</f>
        <v>4.3386922671036396</v>
      </c>
    </row>
    <row r="48" spans="1:39">
      <c r="A48" s="118">
        <v>38.5</v>
      </c>
      <c r="B48" s="119">
        <v>16.975649741385325</v>
      </c>
      <c r="C48" s="120">
        <v>1.8068563005345575</v>
      </c>
      <c r="E48" s="48">
        <f>A162</f>
        <v>-18.5</v>
      </c>
      <c r="F48" s="61">
        <f t="shared" ref="F48:G48" si="172">B162</f>
        <v>262.47966045396834</v>
      </c>
      <c r="G48" s="62">
        <f t="shared" si="172"/>
        <v>4.4871438247460373</v>
      </c>
      <c r="I48" s="118">
        <v>38.5</v>
      </c>
      <c r="J48" s="119">
        <v>17.125</v>
      </c>
      <c r="K48" s="120">
        <v>1.8169761273209548</v>
      </c>
      <c r="M48" s="48">
        <f>I162</f>
        <v>-18.5</v>
      </c>
      <c r="N48" s="61">
        <f t="shared" ref="N48" si="173">J162</f>
        <v>249.63</v>
      </c>
      <c r="O48" s="62">
        <f t="shared" ref="O48" si="174">K162</f>
        <v>4.4635768694346103</v>
      </c>
      <c r="Q48" s="118">
        <v>28.5</v>
      </c>
      <c r="R48" s="119">
        <v>8.7750000000000004</v>
      </c>
      <c r="S48" s="120">
        <v>1.1315280464216635</v>
      </c>
      <c r="U48" s="48">
        <f>Q102</f>
        <v>1.5</v>
      </c>
      <c r="V48" s="61">
        <f>R102</f>
        <v>25.87</v>
      </c>
      <c r="W48" s="62">
        <f>S102</f>
        <v>2.3151959906926791</v>
      </c>
      <c r="Y48" s="121">
        <v>63.5</v>
      </c>
      <c r="Z48" s="122">
        <v>0.65705943383378795</v>
      </c>
      <c r="AA48" s="123">
        <v>0.57065541999818614</v>
      </c>
      <c r="AC48" s="48">
        <f>Y212</f>
        <v>-18.5</v>
      </c>
      <c r="AD48" s="61">
        <f t="shared" ref="AD48:AE48" si="175">Z212</f>
        <v>25.78708917294901</v>
      </c>
      <c r="AE48" s="62">
        <f t="shared" si="175"/>
        <v>4.1744123294618198</v>
      </c>
      <c r="AG48" s="121">
        <v>58.5</v>
      </c>
      <c r="AH48" s="122">
        <v>3.1408525979949733</v>
      </c>
      <c r="AI48" s="123">
        <v>1.195071847345051</v>
      </c>
      <c r="AK48" s="48">
        <f>AG201</f>
        <v>-18</v>
      </c>
      <c r="AL48" s="61">
        <f>AH201</f>
        <v>64.016831411410308</v>
      </c>
      <c r="AM48" s="62">
        <f>AI201</f>
        <v>4.3244779728264335</v>
      </c>
    </row>
    <row r="49" spans="1:39">
      <c r="A49" s="118">
        <v>38</v>
      </c>
      <c r="B49" s="119">
        <v>17.323912668537233</v>
      </c>
      <c r="C49" s="120">
        <v>1.8303550669907773</v>
      </c>
      <c r="E49" s="48">
        <f>A161</f>
        <v>-18</v>
      </c>
      <c r="F49" s="61">
        <f t="shared" ref="F49:G49" si="176">B161</f>
        <v>255.23031003900456</v>
      </c>
      <c r="G49" s="62">
        <f t="shared" si="176"/>
        <v>4.4741091857331439</v>
      </c>
      <c r="I49" s="118">
        <v>38</v>
      </c>
      <c r="J49" s="119">
        <v>17.472000000000001</v>
      </c>
      <c r="K49" s="120">
        <v>1.8402426693629932</v>
      </c>
      <c r="M49" s="48">
        <f>I161</f>
        <v>-18</v>
      </c>
      <c r="N49" s="61">
        <f t="shared" ref="N49" si="177">J161</f>
        <v>242.87</v>
      </c>
      <c r="O49" s="62">
        <f t="shared" ref="O49" si="178">K161</f>
        <v>4.4502876827793454</v>
      </c>
      <c r="Q49" s="118">
        <v>28</v>
      </c>
      <c r="R49" s="119">
        <v>8.9390000000000001</v>
      </c>
      <c r="S49" s="120">
        <v>1.1478209507177894</v>
      </c>
      <c r="U49" s="48">
        <f>Q101</f>
        <v>2</v>
      </c>
      <c r="V49" s="61">
        <f>R101</f>
        <v>25.32</v>
      </c>
      <c r="W49" s="62">
        <f>S101</f>
        <v>2.2885032537960952</v>
      </c>
      <c r="Y49" s="121">
        <v>63</v>
      </c>
      <c r="Z49" s="122">
        <v>0.66878613666353703</v>
      </c>
      <c r="AA49" s="123">
        <v>0.57965932591352698</v>
      </c>
      <c r="AC49" s="48">
        <f>Y211</f>
        <v>-18</v>
      </c>
      <c r="AD49" s="61">
        <f t="shared" ref="AD49:AE49" si="179">Z211</f>
        <v>25.089388653292517</v>
      </c>
      <c r="AE49" s="62">
        <f t="shared" si="179"/>
        <v>4.1553323489636504</v>
      </c>
      <c r="AG49" s="121">
        <v>58</v>
      </c>
      <c r="AH49" s="122">
        <v>3.1907337918899499</v>
      </c>
      <c r="AI49" s="123">
        <v>1.2094603083612023</v>
      </c>
      <c r="AK49" s="48">
        <f>AG200</f>
        <v>-17.5</v>
      </c>
      <c r="AL49" s="61">
        <f>AH200</f>
        <v>62.469199406933704</v>
      </c>
      <c r="AM49" s="62">
        <f>AI200</f>
        <v>4.3100517128768487</v>
      </c>
    </row>
    <row r="50" spans="1:39">
      <c r="A50" s="118">
        <v>37.5</v>
      </c>
      <c r="B50" s="119">
        <v>17.680347607993887</v>
      </c>
      <c r="C50" s="120">
        <v>1.8540497809866718</v>
      </c>
      <c r="E50" s="48">
        <f>A160</f>
        <v>-17.5</v>
      </c>
      <c r="F50" s="61">
        <f t="shared" ref="F50:G50" si="180">B160</f>
        <v>248.19886080634797</v>
      </c>
      <c r="G50" s="62">
        <f t="shared" si="180"/>
        <v>4.4608173463930401</v>
      </c>
      <c r="I50" s="118">
        <v>37.5</v>
      </c>
      <c r="J50" s="119">
        <v>17.827000000000002</v>
      </c>
      <c r="K50" s="120">
        <v>1.8636962385263556</v>
      </c>
      <c r="M50" s="48">
        <f>I160</f>
        <v>-17.5</v>
      </c>
      <c r="N50" s="61">
        <f t="shared" ref="N50" si="181">J160</f>
        <v>236.31</v>
      </c>
      <c r="O50" s="62">
        <f t="shared" ref="O50" si="182">K160</f>
        <v>4.4367466486425595</v>
      </c>
      <c r="Q50" s="118">
        <v>27.5</v>
      </c>
      <c r="R50" s="119">
        <v>9.1069999999999993</v>
      </c>
      <c r="S50" s="120">
        <v>1.1643695502084026</v>
      </c>
      <c r="U50" s="48">
        <f>Q100</f>
        <v>2.5</v>
      </c>
      <c r="V50" s="61">
        <f>R100</f>
        <v>24.78</v>
      </c>
      <c r="W50" s="62">
        <f>S100</f>
        <v>2.261774370208105</v>
      </c>
      <c r="Y50" s="121">
        <v>62.5</v>
      </c>
      <c r="Z50" s="122">
        <v>0.68075557368145334</v>
      </c>
      <c r="AA50" s="123">
        <v>0.58881193384199493</v>
      </c>
      <c r="AC50" s="48">
        <f>Y210</f>
        <v>-17.5</v>
      </c>
      <c r="AD50" s="61">
        <f t="shared" ref="AD50:AE50" si="183">Z210</f>
        <v>24.411960980896815</v>
      </c>
      <c r="AE50" s="62">
        <f t="shared" si="183"/>
        <v>4.1359435580540982</v>
      </c>
      <c r="AG50" s="121">
        <v>57.5</v>
      </c>
      <c r="AH50" s="122">
        <v>3.241545599406535</v>
      </c>
      <c r="AI50" s="123">
        <v>1.2240057533585111</v>
      </c>
      <c r="AK50" s="48">
        <f>AG199</f>
        <v>-17</v>
      </c>
      <c r="AL50" s="61">
        <f>AH199</f>
        <v>60.963573808921069</v>
      </c>
      <c r="AM50" s="62">
        <f>AI199</f>
        <v>4.2954131631725359</v>
      </c>
    </row>
    <row r="51" spans="1:39">
      <c r="A51" s="118">
        <v>37</v>
      </c>
      <c r="B51" s="119">
        <v>18.045169030801258</v>
      </c>
      <c r="C51" s="120">
        <v>1.8779379274566281</v>
      </c>
      <c r="E51" s="48">
        <f>A159</f>
        <v>-17</v>
      </c>
      <c r="F51" s="61">
        <f t="shared" ref="F51:G51" si="184">B159</f>
        <v>241.37835437195281</v>
      </c>
      <c r="G51" s="62">
        <f t="shared" si="184"/>
        <v>4.4472661596495309</v>
      </c>
      <c r="I51" s="118">
        <v>37</v>
      </c>
      <c r="J51" s="119">
        <v>18.190000000000001</v>
      </c>
      <c r="K51" s="120">
        <v>1.8873210209587052</v>
      </c>
      <c r="M51" s="48">
        <f>I159</f>
        <v>-17</v>
      </c>
      <c r="N51" s="61">
        <f t="shared" ref="N51" si="185">J159</f>
        <v>229.94</v>
      </c>
      <c r="O51" s="62">
        <f t="shared" ref="O51" si="186">K159</f>
        <v>4.4229437562514429</v>
      </c>
      <c r="Q51" s="118">
        <v>27</v>
      </c>
      <c r="R51" s="119">
        <v>9.2780000000000005</v>
      </c>
      <c r="S51" s="120">
        <v>1.181068282499109</v>
      </c>
      <c r="U51" s="48">
        <f>Q99</f>
        <v>3</v>
      </c>
      <c r="V51" s="61">
        <f>R99</f>
        <v>24.25</v>
      </c>
      <c r="W51" s="62">
        <f>S99</f>
        <v>2.2350230414746544</v>
      </c>
      <c r="Y51" s="121">
        <v>62</v>
      </c>
      <c r="Z51" s="122">
        <v>0.69297339540738667</v>
      </c>
      <c r="AA51" s="123">
        <v>0.59811546515712399</v>
      </c>
      <c r="AC51" s="48">
        <f>Y209</f>
        <v>-17</v>
      </c>
      <c r="AD51" s="61">
        <f t="shared" ref="AD51:AE51" si="187">Z209</f>
        <v>23.75419260632837</v>
      </c>
      <c r="AE51" s="62">
        <f t="shared" si="187"/>
        <v>4.1162462818520433</v>
      </c>
      <c r="AG51" s="121">
        <v>57</v>
      </c>
      <c r="AH51" s="122">
        <v>3.2933077268066335</v>
      </c>
      <c r="AI51" s="123">
        <v>1.2387089031895013</v>
      </c>
      <c r="AK51" s="48">
        <f>AG198</f>
        <v>-16.5</v>
      </c>
      <c r="AL51" s="61">
        <f>AH198</f>
        <v>59.498700954864212</v>
      </c>
      <c r="AM51" s="62">
        <f>AI198</f>
        <v>4.2805620923407997</v>
      </c>
    </row>
    <row r="52" spans="1:39">
      <c r="A52" s="118">
        <v>36.5</v>
      </c>
      <c r="B52" s="119">
        <v>18.41859756891624</v>
      </c>
      <c r="C52" s="120">
        <v>1.9020168379206224</v>
      </c>
      <c r="E52" s="48">
        <f>A158</f>
        <v>-16.5</v>
      </c>
      <c r="F52" s="61">
        <f t="shared" ref="F52:G52" si="188">B158</f>
        <v>234.76206381233948</v>
      </c>
      <c r="G52" s="62">
        <f t="shared" si="188"/>
        <v>4.4334535777515374</v>
      </c>
      <c r="I52" s="118">
        <v>36.5</v>
      </c>
      <c r="J52" s="119">
        <v>18.561</v>
      </c>
      <c r="K52" s="120">
        <v>1.9111015012046706</v>
      </c>
      <c r="M52" s="48">
        <f>I158</f>
        <v>-16.5</v>
      </c>
      <c r="N52" s="61">
        <f t="shared" ref="N52" si="189">J158</f>
        <v>223.76</v>
      </c>
      <c r="O52" s="62">
        <f t="shared" ref="O52" si="190">K158</f>
        <v>4.4088902900378306</v>
      </c>
      <c r="Q52" s="118">
        <v>26.5</v>
      </c>
      <c r="R52" s="119">
        <v>9.4529999999999994</v>
      </c>
      <c r="S52" s="120">
        <v>1.1980077560641775</v>
      </c>
      <c r="U52" s="48">
        <f>Q98</f>
        <v>3.5</v>
      </c>
      <c r="V52" s="61">
        <f>R98</f>
        <v>23.74</v>
      </c>
      <c r="W52" s="62">
        <f>S98</f>
        <v>2.2087830294008186</v>
      </c>
      <c r="Y52" s="121">
        <v>61.5</v>
      </c>
      <c r="Z52" s="122">
        <v>0.70544539720668098</v>
      </c>
      <c r="AA52" s="123">
        <v>0.60757215763850747</v>
      </c>
      <c r="AC52" s="48">
        <f>Y208</f>
        <v>-16.5</v>
      </c>
      <c r="AD52" s="61">
        <f t="shared" ref="AD52:AE52" si="191">Z208</f>
        <v>23.115488669607398</v>
      </c>
      <c r="AE52" s="62">
        <f t="shared" si="191"/>
        <v>4.0962410646650405</v>
      </c>
      <c r="AG52" s="121">
        <v>56.5</v>
      </c>
      <c r="AH52" s="122">
        <v>3.3460403440612989</v>
      </c>
      <c r="AI52" s="123">
        <v>1.2535704440419346</v>
      </c>
      <c r="AK52" s="48">
        <f>AG197</f>
        <v>-16</v>
      </c>
      <c r="AL52" s="61">
        <f>AH197</f>
        <v>58.073367746683218</v>
      </c>
      <c r="AM52" s="62">
        <f>AI197</f>
        <v>4.2654983636763557</v>
      </c>
    </row>
    <row r="53" spans="1:39">
      <c r="A53" s="118">
        <v>36</v>
      </c>
      <c r="B53" s="119">
        <v>18.800860205559601</v>
      </c>
      <c r="C53" s="120">
        <v>1.9262836890954771</v>
      </c>
      <c r="E53" s="48">
        <f>A157</f>
        <v>-16</v>
      </c>
      <c r="F53" s="61">
        <f t="shared" ref="F53:G53" si="192">B157</f>
        <v>228.34348579212153</v>
      </c>
      <c r="G53" s="62">
        <f t="shared" si="192"/>
        <v>4.4193776570751275</v>
      </c>
      <c r="I53" s="118">
        <v>36</v>
      </c>
      <c r="J53" s="119">
        <v>18.940999999999999</v>
      </c>
      <c r="K53" s="120">
        <v>1.9350851024703213</v>
      </c>
      <c r="M53" s="48">
        <f>I157</f>
        <v>-16</v>
      </c>
      <c r="N53" s="61">
        <f t="shared" ref="N53" si="193">J157</f>
        <v>217.77</v>
      </c>
      <c r="O53" s="62">
        <f t="shared" ref="O53" si="194">K157</f>
        <v>4.3945998304879526</v>
      </c>
      <c r="Q53" s="118">
        <v>26</v>
      </c>
      <c r="R53" s="119">
        <v>9.6319999999999997</v>
      </c>
      <c r="S53" s="120">
        <v>1.2151796528058134</v>
      </c>
      <c r="U53" s="48">
        <f>Q97</f>
        <v>4</v>
      </c>
      <c r="V53" s="61">
        <f>R97</f>
        <v>23.24</v>
      </c>
      <c r="W53" s="62">
        <f>S97</f>
        <v>2.1825694966190832</v>
      </c>
      <c r="Y53" s="121">
        <v>61</v>
      </c>
      <c r="Z53" s="122">
        <v>0.71817752331438789</v>
      </c>
      <c r="AA53" s="123">
        <v>0.61718426469159227</v>
      </c>
      <c r="AC53" s="48">
        <f>Y207</f>
        <v>-16</v>
      </c>
      <c r="AD53" s="61">
        <f t="shared" ref="AD53:AE53" si="195">Z207</f>
        <v>22.495272456838237</v>
      </c>
      <c r="AE53" s="62">
        <f t="shared" si="195"/>
        <v>4.0759286743812897</v>
      </c>
      <c r="AG53" s="121">
        <v>56</v>
      </c>
      <c r="AH53" s="122">
        <v>3.3997640968001992</v>
      </c>
      <c r="AI53" s="123">
        <v>1.2685910260211397</v>
      </c>
      <c r="AK53" s="48">
        <f>AG196</f>
        <v>-15.5</v>
      </c>
      <c r="AL53" s="61">
        <f>AH196</f>
        <v>56.68640024233742</v>
      </c>
      <c r="AM53" s="62">
        <f>AI196</f>
        <v>4.2502219370321281</v>
      </c>
    </row>
    <row r="54" spans="1:39">
      <c r="A54" s="118">
        <v>35.5</v>
      </c>
      <c r="B54" s="119">
        <v>19.192190471808594</v>
      </c>
      <c r="C54" s="120">
        <v>1.9507355016857189</v>
      </c>
      <c r="E54" s="48">
        <f>A156</f>
        <v>-15.5</v>
      </c>
      <c r="F54" s="61">
        <f t="shared" ref="F54:G54" si="196">B156</f>
        <v>222.11633295959609</v>
      </c>
      <c r="G54" s="62">
        <f t="shared" si="196"/>
        <v>4.4050365629265329</v>
      </c>
      <c r="I54" s="118">
        <v>35.5</v>
      </c>
      <c r="J54" s="119">
        <v>19.329999999999998</v>
      </c>
      <c r="K54" s="120">
        <v>1.959254003648895</v>
      </c>
      <c r="M54" s="48">
        <f>I156</f>
        <v>-15.5</v>
      </c>
      <c r="N54" s="61">
        <f t="shared" ref="N54" si="197">J156</f>
        <v>211.95</v>
      </c>
      <c r="O54" s="62">
        <f t="shared" ref="O54" si="198">K156</f>
        <v>4.380037197768134</v>
      </c>
      <c r="Q54" s="118">
        <v>25.5</v>
      </c>
      <c r="R54" s="119">
        <v>9.8149999999999995</v>
      </c>
      <c r="S54" s="120">
        <v>1.2325756624387794</v>
      </c>
      <c r="U54" s="48">
        <f>Q96</f>
        <v>4.5</v>
      </c>
      <c r="V54" s="61">
        <f>R96</f>
        <v>22.75</v>
      </c>
      <c r="W54" s="62">
        <f>S96</f>
        <v>2.1563981042654028</v>
      </c>
      <c r="Y54" s="121">
        <v>60.5</v>
      </c>
      <c r="Z54" s="122">
        <v>0.7311758709790519</v>
      </c>
      <c r="AA54" s="123">
        <v>0.62695405451412656</v>
      </c>
      <c r="AC54" s="48">
        <f>Y206</f>
        <v>-15.5</v>
      </c>
      <c r="AD54" s="61">
        <f t="shared" ref="AD54:AE54" si="199">Z206</f>
        <v>21.892984870145256</v>
      </c>
      <c r="AE54" s="62">
        <f t="shared" si="199"/>
        <v>4.0553101065824153</v>
      </c>
      <c r="AG54" s="121">
        <v>55.5</v>
      </c>
      <c r="AH54" s="122">
        <v>3.4545001185947721</v>
      </c>
      <c r="AI54" s="123">
        <v>1.2837712617135753</v>
      </c>
      <c r="AK54" s="48">
        <f>AG195</f>
        <v>-15</v>
      </c>
      <c r="AL54" s="61">
        <f>AH195</f>
        <v>55.336662299491152</v>
      </c>
      <c r="AM54" s="62">
        <f>AI195</f>
        <v>4.234732870638398</v>
      </c>
    </row>
    <row r="55" spans="1:39">
      <c r="A55" s="118">
        <v>35</v>
      </c>
      <c r="B55" s="119">
        <v>19.592828649644026</v>
      </c>
      <c r="C55" s="120">
        <v>1.9753691393629209</v>
      </c>
      <c r="E55" s="48">
        <f>A155</f>
        <v>-15</v>
      </c>
      <c r="F55" s="61">
        <f t="shared" ref="F55:G55" si="200">B155</f>
        <v>216.07452660153459</v>
      </c>
      <c r="G55" s="62">
        <f t="shared" si="200"/>
        <v>4.3904285743363713</v>
      </c>
      <c r="I55" s="118">
        <v>35</v>
      </c>
      <c r="J55" s="119">
        <v>19.728000000000002</v>
      </c>
      <c r="K55" s="120">
        <v>1.9835907335907339</v>
      </c>
      <c r="M55" s="48">
        <f>I155</f>
        <v>-15</v>
      </c>
      <c r="N55" s="61">
        <f t="shared" ref="N55" si="201">J155</f>
        <v>206.31</v>
      </c>
      <c r="O55" s="62">
        <f t="shared" ref="O55" si="202">K155</f>
        <v>4.3652405738225211</v>
      </c>
      <c r="Q55" s="118">
        <v>25</v>
      </c>
      <c r="R55" s="119">
        <v>10</v>
      </c>
      <c r="S55" s="120">
        <v>1.25</v>
      </c>
      <c r="U55" s="48">
        <f>Q95</f>
        <v>5</v>
      </c>
      <c r="V55" s="61">
        <f>R95</f>
        <v>22.27</v>
      </c>
      <c r="W55" s="62">
        <f>S95</f>
        <v>2.1302850583508706</v>
      </c>
      <c r="Y55" s="121">
        <v>60</v>
      </c>
      <c r="Z55" s="122">
        <v>0.74444669472990876</v>
      </c>
      <c r="AA55" s="123">
        <v>0.63688380920746179</v>
      </c>
      <c r="AC55" s="48">
        <f>Y205</f>
        <v>-15</v>
      </c>
      <c r="AD55" s="61">
        <f t="shared" ref="AD55:AE55" si="203">Z205</f>
        <v>21.308083910779253</v>
      </c>
      <c r="AE55" s="62">
        <f t="shared" si="203"/>
        <v>4.034386588358597</v>
      </c>
      <c r="AG55" s="121">
        <v>55</v>
      </c>
      <c r="AH55" s="122">
        <v>3.5102700435846632</v>
      </c>
      <c r="AI55" s="123">
        <v>1.2991117247325159</v>
      </c>
      <c r="AK55" s="48">
        <f>AG194</f>
        <v>-14.5</v>
      </c>
      <c r="AL55" s="61">
        <f>AH194</f>
        <v>54.023054269195875</v>
      </c>
      <c r="AM55" s="62">
        <f>AI194</f>
        <v>4.2190313228455718</v>
      </c>
    </row>
    <row r="56" spans="1:39">
      <c r="A56" s="118">
        <v>34.5</v>
      </c>
      <c r="B56" s="119">
        <v>20.003021981673712</v>
      </c>
      <c r="C56" s="120">
        <v>2.000181307942237</v>
      </c>
      <c r="E56" s="48">
        <f>A154</f>
        <v>-14.5</v>
      </c>
      <c r="F56" s="61">
        <f t="shared" ref="F56:G56" si="204">B154</f>
        <v>210.21218954857383</v>
      </c>
      <c r="G56" s="62">
        <f t="shared" si="204"/>
        <v>4.3755520888349082</v>
      </c>
      <c r="I56" s="118">
        <v>34.5</v>
      </c>
      <c r="J56" s="119">
        <v>20.135000000000002</v>
      </c>
      <c r="K56" s="120">
        <v>2.0080781888899972</v>
      </c>
      <c r="M56" s="48">
        <f>I154</f>
        <v>-14.5</v>
      </c>
      <c r="N56" s="61">
        <f t="shared" ref="N56" si="205">J154</f>
        <v>200.83</v>
      </c>
      <c r="O56" s="62">
        <f t="shared" ref="O56" si="206">K154</f>
        <v>4.3501711216046441</v>
      </c>
      <c r="Q56" s="118">
        <v>24.5</v>
      </c>
      <c r="R56" s="119">
        <v>10.19</v>
      </c>
      <c r="S56" s="120">
        <v>1.2677282906195571</v>
      </c>
      <c r="U56" s="48">
        <f>Q94</f>
        <v>5.5</v>
      </c>
      <c r="V56" s="61">
        <f>R94</f>
        <v>21.8</v>
      </c>
      <c r="W56" s="62">
        <f>S94</f>
        <v>2.1042471042471043</v>
      </c>
      <c r="Y56" s="121">
        <v>59.5</v>
      </c>
      <c r="Z56" s="122">
        <v>0.75799641077130453</v>
      </c>
      <c r="AA56" s="123">
        <v>0.646975823830781</v>
      </c>
      <c r="AC56" s="48">
        <f>Y204</f>
        <v>-14.5</v>
      </c>
      <c r="AD56" s="61">
        <f t="shared" ref="AD56:AE56" si="207">Z204</f>
        <v>20.740044175246581</v>
      </c>
      <c r="AE56" s="62">
        <f t="shared" si="207"/>
        <v>4.0131595818080035</v>
      </c>
      <c r="AG56" s="121">
        <v>54.5</v>
      </c>
      <c r="AH56" s="122">
        <v>3.5670960194584782</v>
      </c>
      <c r="AI56" s="123">
        <v>1.3146129482471431</v>
      </c>
      <c r="AK56" s="48">
        <f>AG193</f>
        <v>-14</v>
      </c>
      <c r="AL56" s="61">
        <f>AH193</f>
        <v>52.744511737638213</v>
      </c>
      <c r="AM56" s="62">
        <f>AI193</f>
        <v>4.2031175537858747</v>
      </c>
    </row>
    <row r="57" spans="1:39">
      <c r="A57" s="118">
        <v>34</v>
      </c>
      <c r="B57" s="119">
        <v>20.423024887762569</v>
      </c>
      <c r="C57" s="120">
        <v>2.0251685547646647</v>
      </c>
      <c r="E57" s="48">
        <f>A153</f>
        <v>-14</v>
      </c>
      <c r="F57" s="61">
        <f t="shared" ref="F57:G57" si="208">B153</f>
        <v>204.52363932286843</v>
      </c>
      <c r="G57" s="62">
        <f t="shared" si="208"/>
        <v>4.3604056271977978</v>
      </c>
      <c r="I57" s="118">
        <v>34</v>
      </c>
      <c r="J57" s="119">
        <v>20.552</v>
      </c>
      <c r="K57" s="120">
        <v>2.0327583478398479</v>
      </c>
      <c r="M57" s="48">
        <f>I153</f>
        <v>-14</v>
      </c>
      <c r="N57" s="61">
        <f t="shared" ref="N57" si="209">J153</f>
        <v>195.51</v>
      </c>
      <c r="O57" s="62">
        <f t="shared" ref="O57" si="210">K153</f>
        <v>4.3348410270054547</v>
      </c>
      <c r="Q57" s="118">
        <v>24</v>
      </c>
      <c r="R57" s="119">
        <v>10.39</v>
      </c>
      <c r="S57" s="120">
        <v>1.2862094577865808</v>
      </c>
      <c r="U57" s="48">
        <f>Q93</f>
        <v>6</v>
      </c>
      <c r="V57" s="61">
        <f>R93</f>
        <v>21.35</v>
      </c>
      <c r="W57" s="62">
        <f>S93</f>
        <v>2.0788704965920157</v>
      </c>
      <c r="Y57" s="121">
        <v>59</v>
      </c>
      <c r="Z57" s="122">
        <v>0.77183160150840635</v>
      </c>
      <c r="AA57" s="123">
        <v>0.65723240539641126</v>
      </c>
      <c r="AC57" s="48">
        <f>Y203</f>
        <v>-14</v>
      </c>
      <c r="AD57" s="61">
        <f t="shared" ref="AD57:AE57" si="211">Z203</f>
        <v>20.188356364295206</v>
      </c>
      <c r="AE57" s="62">
        <f t="shared" si="211"/>
        <v>3.9916307872027774</v>
      </c>
      <c r="AG57" s="121">
        <v>54</v>
      </c>
      <c r="AH57" s="122">
        <v>3.6250007207987767</v>
      </c>
      <c r="AI57" s="123">
        <v>1.3302754234959988</v>
      </c>
      <c r="AK57" s="48">
        <f>AG192</f>
        <v>-13.5</v>
      </c>
      <c r="AL57" s="61">
        <f>AH192</f>
        <v>51.50000431408445</v>
      </c>
      <c r="AM57" s="62">
        <f>AI192</f>
        <v>4.1869919269493572</v>
      </c>
    </row>
    <row r="58" spans="1:39">
      <c r="A58" s="118">
        <v>33.5</v>
      </c>
      <c r="B58" s="119">
        <v>20.85309918880764</v>
      </c>
      <c r="C58" s="120">
        <v>2.0503272682933393</v>
      </c>
      <c r="E58" s="48">
        <f>A152</f>
        <v>-13.5</v>
      </c>
      <c r="F58" s="61">
        <f t="shared" ref="F58:G58" si="212">B152</f>
        <v>199.00338151993205</v>
      </c>
      <c r="G58" s="62">
        <f t="shared" si="212"/>
        <v>4.3449878381514457</v>
      </c>
      <c r="I58" s="118">
        <v>33.5</v>
      </c>
      <c r="J58" s="119">
        <v>20.978999999999999</v>
      </c>
      <c r="K58" s="120">
        <v>2.0576119578650034</v>
      </c>
      <c r="M58" s="48">
        <f>I152</f>
        <v>-13.5</v>
      </c>
      <c r="N58" s="61">
        <f t="shared" ref="N58" si="213">J152</f>
        <v>190.35</v>
      </c>
      <c r="O58" s="62">
        <f t="shared" ref="O58" si="214">K152</f>
        <v>4.3192648059904695</v>
      </c>
      <c r="Q58" s="118">
        <v>23.5</v>
      </c>
      <c r="R58" s="119">
        <v>10.59</v>
      </c>
      <c r="S58" s="120">
        <v>1.3045084996304508</v>
      </c>
      <c r="U58" s="48">
        <f>Q92</f>
        <v>6.5</v>
      </c>
      <c r="V58" s="61">
        <f>R92</f>
        <v>20.9</v>
      </c>
      <c r="W58" s="62">
        <f>S92</f>
        <v>2.0530451866404715</v>
      </c>
      <c r="Y58" s="121">
        <v>58.5</v>
      </c>
      <c r="Z58" s="122">
        <v>0.78595902020832908</v>
      </c>
      <c r="AA58" s="123">
        <v>0.66765587180431196</v>
      </c>
      <c r="AC58" s="48">
        <f>Y202</f>
        <v>-13.5</v>
      </c>
      <c r="AD58" s="61">
        <f t="shared" ref="AD58:AE58" si="215">Z202</f>
        <v>19.652526804586852</v>
      </c>
      <c r="AE58" s="62">
        <f t="shared" si="215"/>
        <v>3.96980214580458</v>
      </c>
      <c r="AG58" s="121">
        <v>53.5</v>
      </c>
      <c r="AH58" s="122">
        <v>3.6840073628029266</v>
      </c>
      <c r="AI58" s="123">
        <v>1.3460995982862154</v>
      </c>
      <c r="AK58" s="48">
        <f>AG191</f>
        <v>-13</v>
      </c>
      <c r="AL58" s="61">
        <f>AH191</f>
        <v>50.288534463226327</v>
      </c>
      <c r="AM58" s="62">
        <f>AI191</f>
        <v>4.1706549106696551</v>
      </c>
    </row>
    <row r="59" spans="1:39">
      <c r="A59" s="118">
        <v>33</v>
      </c>
      <c r="B59" s="119">
        <v>21.293514337904604</v>
      </c>
      <c r="C59" s="120">
        <v>2.0756536779318746</v>
      </c>
      <c r="E59" s="48">
        <f>A151</f>
        <v>-13</v>
      </c>
      <c r="F59" s="61">
        <f t="shared" ref="F59:G59" si="216">B151</f>
        <v>193.64610341683309</v>
      </c>
      <c r="G59" s="62">
        <f t="shared" si="216"/>
        <v>4.3292975030267842</v>
      </c>
      <c r="I59" s="118">
        <v>33</v>
      </c>
      <c r="J59" s="119">
        <v>21.414999999999999</v>
      </c>
      <c r="K59" s="120">
        <v>2.0825634542448701</v>
      </c>
      <c r="M59" s="48">
        <f>I151</f>
        <v>-13</v>
      </c>
      <c r="N59" s="61">
        <f t="shared" ref="N59" si="217">J151</f>
        <v>185.34</v>
      </c>
      <c r="O59" s="62">
        <f t="shared" ref="O59" si="218">K151</f>
        <v>4.3034271384786846</v>
      </c>
      <c r="Q59" s="118">
        <v>23</v>
      </c>
      <c r="R59" s="119">
        <v>10.79</v>
      </c>
      <c r="S59" s="120">
        <v>1.3226280951213532</v>
      </c>
      <c r="U59" s="48">
        <f>Q91</f>
        <v>7</v>
      </c>
      <c r="V59" s="61">
        <f>R91</f>
        <v>20.47</v>
      </c>
      <c r="W59" s="62">
        <f>S91</f>
        <v>2.0279373885476519</v>
      </c>
      <c r="Y59" s="121">
        <v>58</v>
      </c>
      <c r="Z59" s="122">
        <v>0.80038559580092428</v>
      </c>
      <c r="AA59" s="123">
        <v>0.67824855071381074</v>
      </c>
      <c r="AC59" s="48">
        <f>Y201</f>
        <v>-13</v>
      </c>
      <c r="AD59" s="61">
        <f t="shared" ref="AD59:AE59" si="219">Z201</f>
        <v>19.132076982868764</v>
      </c>
      <c r="AE59" s="62">
        <f t="shared" si="219"/>
        <v>3.9476758423131622</v>
      </c>
      <c r="AG59" s="121">
        <v>53</v>
      </c>
      <c r="AH59" s="122">
        <v>3.7441397153906268</v>
      </c>
      <c r="AI59" s="123">
        <v>1.3620858754796983</v>
      </c>
      <c r="AK59" s="48">
        <f>AG190</f>
        <v>-12.5</v>
      </c>
      <c r="AL59" s="61">
        <f>AH190</f>
        <v>49.109136380206586</v>
      </c>
      <c r="AM59" s="62">
        <f>AI190</f>
        <v>4.1541070795149855</v>
      </c>
    </row>
    <row r="60" spans="1:39">
      <c r="A60" s="118">
        <v>32.5</v>
      </c>
      <c r="B60" s="119">
        <v>21.7445476591618</v>
      </c>
      <c r="C60" s="120">
        <v>2.1011438540724927</v>
      </c>
      <c r="E60" s="48">
        <f>A150</f>
        <v>-12.5</v>
      </c>
      <c r="F60" s="61">
        <f t="shared" ref="F60:G60" si="220">B150</f>
        <v>188.44666779916517</v>
      </c>
      <c r="G60" s="62">
        <f t="shared" si="220"/>
        <v>4.3133335403499657</v>
      </c>
      <c r="I60" s="118">
        <v>32.5</v>
      </c>
      <c r="J60" s="119">
        <v>21.861999999999998</v>
      </c>
      <c r="K60" s="120">
        <v>2.1077089198256913</v>
      </c>
      <c r="M60" s="48">
        <f>I150</f>
        <v>-12.5</v>
      </c>
      <c r="N60" s="61">
        <f t="shared" ref="N60" si="221">J150</f>
        <v>180.48</v>
      </c>
      <c r="O60" s="62">
        <f t="shared" ref="O60" si="222">K150</f>
        <v>4.2873432155074118</v>
      </c>
      <c r="Q60" s="118">
        <v>22.5</v>
      </c>
      <c r="R60" s="119">
        <v>11</v>
      </c>
      <c r="S60" s="120">
        <v>1.3414634146341464</v>
      </c>
      <c r="U60" s="48">
        <f>Q90</f>
        <v>7.5</v>
      </c>
      <c r="V60" s="61">
        <f>R90</f>
        <v>20.04</v>
      </c>
      <c r="W60" s="62">
        <f>S90</f>
        <v>2.0023980815347722</v>
      </c>
      <c r="Y60" s="121">
        <v>57.5</v>
      </c>
      <c r="Z60" s="122">
        <v>0.81511843782370907</v>
      </c>
      <c r="AA60" s="123">
        <v>0.68901277835073038</v>
      </c>
      <c r="AC60" s="48">
        <f>Y200</f>
        <v>-12.5</v>
      </c>
      <c r="AD60" s="61">
        <f t="shared" ref="AD60:AE60" si="223">Z200</f>
        <v>18.626543092451442</v>
      </c>
      <c r="AE60" s="62">
        <f t="shared" si="223"/>
        <v>3.9252543069321892</v>
      </c>
      <c r="AG60" s="121">
        <v>52.5</v>
      </c>
      <c r="AH60" s="122">
        <v>3.8054221177102594</v>
      </c>
      <c r="AI60" s="123">
        <v>1.3782346114677944</v>
      </c>
      <c r="AK60" s="48">
        <f>AG189</f>
        <v>-12</v>
      </c>
      <c r="AL60" s="61">
        <f>AH189</f>
        <v>47.960874906672984</v>
      </c>
      <c r="AM60" s="62">
        <f>AI189</f>
        <v>4.1373491155799726</v>
      </c>
    </row>
    <row r="61" spans="1:39">
      <c r="A61" s="118">
        <v>32</v>
      </c>
      <c r="B61" s="119">
        <v>22.20648459442641</v>
      </c>
      <c r="C61" s="120">
        <v>2.1267937083813133</v>
      </c>
      <c r="E61" s="48">
        <f>A149</f>
        <v>-12</v>
      </c>
      <c r="F61" s="61">
        <f t="shared" ref="F61:G61" si="224">B149</f>
        <v>183.40010699944045</v>
      </c>
      <c r="G61" s="62">
        <f t="shared" si="224"/>
        <v>4.2970950103582037</v>
      </c>
      <c r="I61" s="118">
        <v>32</v>
      </c>
      <c r="J61" s="119">
        <v>22.318999999999999</v>
      </c>
      <c r="K61" s="120">
        <v>2.132972725013857</v>
      </c>
      <c r="M61" s="48">
        <f>I149</f>
        <v>-12</v>
      </c>
      <c r="N61" s="61">
        <f t="shared" ref="N61" si="225">J149</f>
        <v>175.75</v>
      </c>
      <c r="O61" s="62">
        <f t="shared" ref="O61" si="226">K149</f>
        <v>4.2709599027946537</v>
      </c>
      <c r="Q61" s="118">
        <v>22</v>
      </c>
      <c r="R61" s="119">
        <v>11.21</v>
      </c>
      <c r="S61" s="120">
        <v>1.3601067702014076</v>
      </c>
      <c r="U61" s="48">
        <f>Q89</f>
        <v>8</v>
      </c>
      <c r="V61" s="61">
        <f>R89</f>
        <v>19.63</v>
      </c>
      <c r="W61" s="62">
        <f>S89</f>
        <v>1.9776344952649607</v>
      </c>
      <c r="Y61" s="121">
        <v>57</v>
      </c>
      <c r="Z61" s="122">
        <v>0.83016484151547609</v>
      </c>
      <c r="AA61" s="123">
        <v>0.69995089824798562</v>
      </c>
      <c r="AC61" s="48">
        <f>Y199</f>
        <v>-12</v>
      </c>
      <c r="AD61" s="61">
        <f t="shared" ref="AD61:AE61" si="227">Z199</f>
        <v>18.135475591792563</v>
      </c>
      <c r="AE61" s="62">
        <f t="shared" si="227"/>
        <v>3.9025402170374619</v>
      </c>
      <c r="AG61" s="121">
        <v>52</v>
      </c>
      <c r="AH61" s="122">
        <v>3.8678794930558618</v>
      </c>
      <c r="AI61" s="123">
        <v>1.3945461146358555</v>
      </c>
      <c r="AK61" s="48">
        <f>AG188</f>
        <v>-11.5</v>
      </c>
      <c r="AL61" s="61">
        <f>AH188</f>
        <v>46.842844486280391</v>
      </c>
      <c r="AM61" s="62">
        <f>AI188</f>
        <v>4.1203818096740745</v>
      </c>
    </row>
    <row r="62" spans="1:39">
      <c r="A62" s="118">
        <v>31.5</v>
      </c>
      <c r="B62" s="119">
        <v>22.679618958197103</v>
      </c>
      <c r="C62" s="120">
        <v>2.1525989943277755</v>
      </c>
      <c r="E62" s="48">
        <f>A148</f>
        <v>-11.5</v>
      </c>
      <c r="F62" s="61">
        <f t="shared" ref="F62:G62" si="228">B148</f>
        <v>178.50161713979412</v>
      </c>
      <c r="G62" s="62">
        <f t="shared" si="228"/>
        <v>4.2805811194287786</v>
      </c>
      <c r="I62" s="118">
        <v>31.5</v>
      </c>
      <c r="J62" s="119">
        <v>22.786999999999999</v>
      </c>
      <c r="K62" s="120">
        <v>2.1583912705779831</v>
      </c>
      <c r="M62" s="48">
        <f>I148</f>
        <v>-11.5</v>
      </c>
      <c r="N62" s="61">
        <f t="shared" ref="N62" si="229">J148</f>
        <v>171.16</v>
      </c>
      <c r="O62" s="62">
        <f t="shared" ref="O62" si="230">K148</f>
        <v>4.254324915490157</v>
      </c>
      <c r="Q62" s="118">
        <v>21.5</v>
      </c>
      <c r="R62" s="119">
        <v>11.43</v>
      </c>
      <c r="S62" s="120">
        <v>1.3794351918899348</v>
      </c>
      <c r="U62" s="48">
        <f>Q88</f>
        <v>8.5</v>
      </c>
      <c r="V62" s="61">
        <f>R88</f>
        <v>19.23</v>
      </c>
      <c r="W62" s="62">
        <f>S88</f>
        <v>1.9530773918342474</v>
      </c>
      <c r="Y62" s="121">
        <v>56.5</v>
      </c>
      <c r="Z62" s="122">
        <v>0.84553229306330135</v>
      </c>
      <c r="AA62" s="123">
        <v>0.71106525991776248</v>
      </c>
      <c r="AC62" s="48">
        <f>Y198</f>
        <v>-11.5</v>
      </c>
      <c r="AD62" s="61">
        <f t="shared" ref="AD62:AE62" si="231">Z198</f>
        <v>17.658438774977114</v>
      </c>
      <c r="AE62" s="62">
        <f t="shared" si="231"/>
        <v>3.8795364984333971</v>
      </c>
      <c r="AG62" s="121">
        <v>51.5</v>
      </c>
      <c r="AH62" s="122">
        <v>3.9315373642075593</v>
      </c>
      <c r="AI62" s="123">
        <v>1.4110206438193726</v>
      </c>
      <c r="AK62" s="48">
        <f>AG187</f>
        <v>-11</v>
      </c>
      <c r="AL62" s="61">
        <f>AH187</f>
        <v>45.754168158116777</v>
      </c>
      <c r="AM62" s="62">
        <f>AI187</f>
        <v>4.1032060624023332</v>
      </c>
    </row>
    <row r="63" spans="1:39">
      <c r="A63" s="118">
        <v>31</v>
      </c>
      <c r="B63" s="119">
        <v>23.164253201007043</v>
      </c>
      <c r="C63" s="120">
        <v>2.178555307964738</v>
      </c>
      <c r="E63" s="48">
        <f>A147</f>
        <v>-11</v>
      </c>
      <c r="F63" s="61">
        <f t="shared" ref="F63:G63" si="232">B147</f>
        <v>173.74655257210964</v>
      </c>
      <c r="G63" s="62">
        <f t="shared" si="232"/>
        <v>4.263791224409001</v>
      </c>
      <c r="I63" s="118">
        <v>31</v>
      </c>
      <c r="J63" s="119">
        <v>23.266999999999999</v>
      </c>
      <c r="K63" s="120">
        <v>2.1839975970112828</v>
      </c>
      <c r="M63" s="48">
        <f>I147</f>
        <v>-11</v>
      </c>
      <c r="N63" s="61">
        <f t="shared" ref="N63" si="233">J147</f>
        <v>166.71</v>
      </c>
      <c r="O63" s="62">
        <f t="shared" ref="O63" si="234">K147</f>
        <v>4.2374561537288393</v>
      </c>
      <c r="Q63" s="118">
        <v>21</v>
      </c>
      <c r="R63" s="119">
        <v>11.65</v>
      </c>
      <c r="S63" s="120">
        <v>1.3985594237695078</v>
      </c>
      <c r="U63" s="48">
        <f>Q87</f>
        <v>9</v>
      </c>
      <c r="V63" s="61">
        <f>R87</f>
        <v>18.829999999999998</v>
      </c>
      <c r="W63" s="62">
        <f>S87</f>
        <v>1.9281179602703256</v>
      </c>
      <c r="Y63" s="121">
        <v>56</v>
      </c>
      <c r="Z63" s="122">
        <v>0.86122847500781741</v>
      </c>
      <c r="AA63" s="123">
        <v>0.72235821745339834</v>
      </c>
      <c r="AC63" s="48">
        <f>Y197</f>
        <v>-11</v>
      </c>
      <c r="AD63" s="61">
        <f t="shared" ref="AD63:AE63" si="235">Z197</f>
        <v>17.195010353882978</v>
      </c>
      <c r="AE63" s="62">
        <f t="shared" si="235"/>
        <v>3.8562463261848707</v>
      </c>
      <c r="AG63" s="121">
        <v>51</v>
      </c>
      <c r="AH63" s="122">
        <v>3.9964218692076612</v>
      </c>
      <c r="AI63" s="123">
        <v>1.427658406753175</v>
      </c>
      <c r="AK63" s="48">
        <f>AG186</f>
        <v>-10.5</v>
      </c>
      <c r="AL63" s="61">
        <f>AH186</f>
        <v>44.693996586600136</v>
      </c>
      <c r="AM63" s="62">
        <f>AI186</f>
        <v>4.0858228851345295</v>
      </c>
    </row>
    <row r="64" spans="1:39" ht="13.5" thickBot="1">
      <c r="A64" s="124">
        <v>30.5</v>
      </c>
      <c r="B64" s="125">
        <v>23.660698681572121</v>
      </c>
      <c r="C64" s="126">
        <v>2.2046580889653562</v>
      </c>
      <c r="E64" s="48">
        <f>A146</f>
        <v>-10.5</v>
      </c>
      <c r="F64" s="61">
        <f t="shared" ref="F64:G64" si="236">B146</f>
        <v>169.1304205088922</v>
      </c>
      <c r="G64" s="62">
        <f t="shared" si="236"/>
        <v>4.246724836834753</v>
      </c>
      <c r="I64" s="124">
        <v>30.5</v>
      </c>
      <c r="J64" s="125">
        <v>23.757000000000001</v>
      </c>
      <c r="K64" s="126">
        <v>2.2096657179530106</v>
      </c>
      <c r="M64" s="48">
        <f>I146</f>
        <v>-10.5</v>
      </c>
      <c r="N64" s="61">
        <f t="shared" ref="N64" si="237">J146</f>
        <v>162.38</v>
      </c>
      <c r="O64" s="62">
        <f t="shared" ref="O64" si="238">K146</f>
        <v>4.2202931697681674</v>
      </c>
      <c r="Q64" s="118">
        <v>20.5</v>
      </c>
      <c r="R64" s="119">
        <v>11.88</v>
      </c>
      <c r="S64" s="120">
        <v>1.4183381088825215</v>
      </c>
      <c r="U64" s="48">
        <f>Q86</f>
        <v>9.5</v>
      </c>
      <c r="V64" s="61">
        <f>R86</f>
        <v>18.45</v>
      </c>
      <c r="W64" s="62">
        <f>S86</f>
        <v>1.9040247678018574</v>
      </c>
      <c r="Y64" s="121">
        <v>55.5</v>
      </c>
      <c r="Z64" s="122">
        <v>0.8772612718118411</v>
      </c>
      <c r="AA64" s="123">
        <v>0.73383212805914688</v>
      </c>
      <c r="AC64" s="48">
        <f>Y196</f>
        <v>-10.5</v>
      </c>
      <c r="AD64" s="61">
        <f t="shared" ref="AD64:AE64" si="239">Z196</f>
        <v>16.744781051811092</v>
      </c>
      <c r="AE64" s="62">
        <f t="shared" si="239"/>
        <v>3.8326731250123536</v>
      </c>
      <c r="AG64" s="121">
        <v>50.5</v>
      </c>
      <c r="AH64" s="122">
        <v>4.0625597775867881</v>
      </c>
      <c r="AI64" s="123">
        <v>1.4444595585157205</v>
      </c>
      <c r="AK64" s="48">
        <f>AG185</f>
        <v>-10</v>
      </c>
      <c r="AL64" s="61">
        <f>AH185</f>
        <v>43.661507126443723</v>
      </c>
      <c r="AM64" s="62">
        <f>AI185</f>
        <v>4.068233400858758</v>
      </c>
    </row>
    <row r="65" spans="1:39" ht="13.5" thickTop="1">
      <c r="A65" s="112">
        <v>30</v>
      </c>
      <c r="B65" s="113">
        <v>24.169275948008831</v>
      </c>
      <c r="C65" s="114">
        <v>2.2309026219222754</v>
      </c>
      <c r="E65" s="48">
        <f>A145</f>
        <v>-10</v>
      </c>
      <c r="F65" s="61">
        <f t="shared" ref="F65:G65" si="240">B145</f>
        <v>164.64887583843239</v>
      </c>
      <c r="G65" s="62">
        <f t="shared" si="240"/>
        <v>4.2293816270251314</v>
      </c>
      <c r="I65" s="112">
        <v>30</v>
      </c>
      <c r="J65" s="113">
        <v>24.26</v>
      </c>
      <c r="K65" s="114">
        <v>2.2355326207150754</v>
      </c>
      <c r="M65" s="48">
        <f>I145</f>
        <v>-10</v>
      </c>
      <c r="N65" s="61">
        <f t="shared" ref="N65" si="241">J145</f>
        <v>158.18</v>
      </c>
      <c r="O65" s="62">
        <f t="shared" ref="O65" si="242">K145</f>
        <v>4.2028908491869492</v>
      </c>
      <c r="Q65" s="118">
        <v>20</v>
      </c>
      <c r="R65" s="119">
        <v>12.11</v>
      </c>
      <c r="S65" s="120">
        <v>1.4379007361671812</v>
      </c>
      <c r="U65" s="48">
        <f>Q85</f>
        <v>10</v>
      </c>
      <c r="V65" s="61">
        <f>R85</f>
        <v>18.07</v>
      </c>
      <c r="W65" s="62">
        <f>S85</f>
        <v>1.8795506552943622</v>
      </c>
      <c r="Y65" s="121">
        <v>55</v>
      </c>
      <c r="Z65" s="122">
        <v>0.89363877559746929</v>
      </c>
      <c r="AA65" s="123">
        <v>0.74548935050593534</v>
      </c>
      <c r="AC65" s="48">
        <f>Y195</f>
        <v>-10</v>
      </c>
      <c r="AD65" s="61">
        <f t="shared" ref="AD65:AE65" si="243">Z195</f>
        <v>16.307354208359989</v>
      </c>
      <c r="AE65" s="62">
        <f t="shared" si="243"/>
        <v>3.8088205692396229</v>
      </c>
      <c r="AG65" s="121">
        <v>50</v>
      </c>
      <c r="AH65" s="122">
        <v>4.1299785070527353</v>
      </c>
      <c r="AI65" s="123">
        <v>1.4614241999700592</v>
      </c>
      <c r="AK65" s="48">
        <f>AG184</f>
        <v>-9.5</v>
      </c>
      <c r="AL65" s="61">
        <f>AH184</f>
        <v>42.655902921350801</v>
      </c>
      <c r="AM65" s="62">
        <f>AI184</f>
        <v>4.0504388449157878</v>
      </c>
    </row>
    <row r="66" spans="1:39">
      <c r="A66" s="118">
        <v>29.5</v>
      </c>
      <c r="B66" s="119">
        <v>24.690315028437993</v>
      </c>
      <c r="C66" s="120">
        <v>2.2572840379141597</v>
      </c>
      <c r="E66" s="48">
        <f>A144</f>
        <v>-9.5</v>
      </c>
      <c r="F66" s="61">
        <f t="shared" ref="F66:G66" si="244">B144</f>
        <v>160.29771611801385</v>
      </c>
      <c r="G66" s="62">
        <f t="shared" si="244"/>
        <v>4.2117614280405924</v>
      </c>
      <c r="I66" s="118">
        <v>29.5</v>
      </c>
      <c r="J66" s="119">
        <v>24.774000000000001</v>
      </c>
      <c r="K66" s="120">
        <v>2.2614744221711032</v>
      </c>
      <c r="M66" s="48">
        <f>I144</f>
        <v>-9.5</v>
      </c>
      <c r="N66" s="61">
        <f t="shared" ref="N66" si="245">J144</f>
        <v>154.1</v>
      </c>
      <c r="O66" s="62">
        <f t="shared" ref="O66" si="246">K144</f>
        <v>4.1852254209668658</v>
      </c>
      <c r="Q66" s="118">
        <v>19.5</v>
      </c>
      <c r="R66" s="119">
        <v>12.35</v>
      </c>
      <c r="S66" s="120">
        <v>1.4580873671782761</v>
      </c>
      <c r="U66" s="48">
        <f>Q84</f>
        <v>10.5</v>
      </c>
      <c r="V66" s="61">
        <f>R84</f>
        <v>17.7</v>
      </c>
      <c r="W66" s="62">
        <f>S84</f>
        <v>1.8553459119496853</v>
      </c>
      <c r="Y66" s="121">
        <v>54.5</v>
      </c>
      <c r="Z66" s="122">
        <v>0.91036929205713346</v>
      </c>
      <c r="AA66" s="123">
        <v>0.75733224351140238</v>
      </c>
      <c r="AC66" s="48">
        <f>Y194</f>
        <v>-9.5</v>
      </c>
      <c r="AD66" s="61">
        <f t="shared" ref="AD66:AE66" si="247">Z194</f>
        <v>15.882345395320179</v>
      </c>
      <c r="AE66" s="62">
        <f t="shared" si="247"/>
        <v>3.7846925822845612</v>
      </c>
      <c r="AG66" s="121">
        <v>49.5</v>
      </c>
      <c r="AH66" s="122">
        <v>4.1987061406568316</v>
      </c>
      <c r="AI66" s="123">
        <v>1.4785523762035544</v>
      </c>
      <c r="AK66" s="48">
        <f>AG183</f>
        <v>-9</v>
      </c>
      <c r="AL66" s="61">
        <f>AH183</f>
        <v>41.676412035148751</v>
      </c>
      <c r="AM66" s="62">
        <f>AI183</f>
        <v>4.0324405656106412</v>
      </c>
    </row>
    <row r="67" spans="1:39">
      <c r="A67" s="118">
        <v>29</v>
      </c>
      <c r="B67" s="119">
        <v>25.224155731301323</v>
      </c>
      <c r="C67" s="120">
        <v>2.2837973163439553</v>
      </c>
      <c r="E67" s="48">
        <f>A143</f>
        <v>-9</v>
      </c>
      <c r="F67" s="61">
        <f t="shared" ref="F67:G67" si="248">B143</f>
        <v>156.07287673911196</v>
      </c>
      <c r="G67" s="62">
        <f t="shared" si="248"/>
        <v>4.1938642394919752</v>
      </c>
      <c r="I67" s="118">
        <v>29</v>
      </c>
      <c r="J67" s="119">
        <v>25.300999999999998</v>
      </c>
      <c r="K67" s="120">
        <v>2.2875716533154913</v>
      </c>
      <c r="M67" s="48">
        <f>I143</f>
        <v>-9</v>
      </c>
      <c r="N67" s="61">
        <f t="shared" ref="N67" si="249">J143</f>
        <v>150.13</v>
      </c>
      <c r="O67" s="62">
        <f t="shared" ref="O67" si="250">K143</f>
        <v>4.1672680841614387</v>
      </c>
      <c r="Q67" s="118">
        <v>19</v>
      </c>
      <c r="R67" s="119">
        <v>12.59</v>
      </c>
      <c r="S67" s="120">
        <v>1.4780464897863348</v>
      </c>
      <c r="U67" s="48">
        <f>Q83</f>
        <v>11</v>
      </c>
      <c r="V67" s="61">
        <f>R83</f>
        <v>17.34</v>
      </c>
      <c r="W67" s="62">
        <f>S83</f>
        <v>1.8314321926489225</v>
      </c>
      <c r="Y67" s="121">
        <v>54</v>
      </c>
      <c r="Z67" s="122">
        <v>0.92746134654404477</v>
      </c>
      <c r="AA67" s="123">
        <v>0.76936316404237226</v>
      </c>
      <c r="AC67" s="48">
        <f>Y193</f>
        <v>-9</v>
      </c>
      <c r="AD67" s="61">
        <f t="shared" ref="AD67:AE67" si="251">Z193</f>
        <v>15.469382043359182</v>
      </c>
      <c r="AE67" s="62">
        <f t="shared" si="251"/>
        <v>3.7602933356846924</v>
      </c>
      <c r="AG67" s="121">
        <v>49</v>
      </c>
      <c r="AH67" s="122">
        <v>4.2687714444524785</v>
      </c>
      <c r="AI67" s="123">
        <v>1.4958440749683897</v>
      </c>
      <c r="AK67" s="48">
        <f>AG182</f>
        <v>-8.5</v>
      </c>
      <c r="AL67" s="61">
        <f>AH182</f>
        <v>40.722286614126496</v>
      </c>
      <c r="AM67" s="62">
        <f>AI182</f>
        <v>4.0142400246980454</v>
      </c>
    </row>
    <row r="68" spans="1:39">
      <c r="A68" s="118">
        <v>28.5</v>
      </c>
      <c r="B68" s="119">
        <v>25.771147955729983</v>
      </c>
      <c r="C68" s="120">
        <v>2.3104372870526708</v>
      </c>
      <c r="E68" s="48">
        <f>A142</f>
        <v>-8.5</v>
      </c>
      <c r="F68" s="61">
        <f t="shared" ref="F68:G68" si="252">B142</f>
        <v>151.97042625873289</v>
      </c>
      <c r="G68" s="62">
        <f t="shared" si="252"/>
        <v>4.1756902311877653</v>
      </c>
      <c r="I68" s="118">
        <v>28.5</v>
      </c>
      <c r="J68" s="119">
        <v>25.84</v>
      </c>
      <c r="K68" s="120">
        <v>2.3137535816618908</v>
      </c>
      <c r="M68" s="48">
        <f>I142</f>
        <v>-8.5</v>
      </c>
      <c r="N68" s="61">
        <f t="shared" ref="N68" si="253">J142</f>
        <v>146.28</v>
      </c>
      <c r="O68" s="62">
        <f t="shared" ref="O68" si="254">K142</f>
        <v>4.1490810074880873</v>
      </c>
      <c r="Q68" s="118">
        <v>18.5</v>
      </c>
      <c r="R68" s="119">
        <v>12.84</v>
      </c>
      <c r="S68" s="120">
        <v>1.4985994397759104</v>
      </c>
      <c r="U68" s="48">
        <f>Q82</f>
        <v>11.5</v>
      </c>
      <c r="V68" s="61">
        <f>R82</f>
        <v>16.989999999999998</v>
      </c>
      <c r="W68" s="62">
        <f>S82</f>
        <v>1.8078314535007447</v>
      </c>
      <c r="Y68" s="121">
        <v>53.5</v>
      </c>
      <c r="Z68" s="122">
        <v>0.94492369034789458</v>
      </c>
      <c r="AA68" s="123">
        <v>0.78158446553815208</v>
      </c>
      <c r="AC68" s="48">
        <f>Y192</f>
        <v>-8.5</v>
      </c>
      <c r="AD68" s="61">
        <f t="shared" ref="AD68:AE68" si="255">Z192</f>
        <v>15.068103079271372</v>
      </c>
      <c r="AE68" s="62">
        <f t="shared" si="255"/>
        <v>3.7356272476508359</v>
      </c>
      <c r="AG68" s="121">
        <v>48.5</v>
      </c>
      <c r="AH68" s="122">
        <v>4.3402038856606833</v>
      </c>
      <c r="AI68" s="123">
        <v>1.5132992251249018</v>
      </c>
      <c r="AK68" s="48">
        <f>AG181</f>
        <v>-8</v>
      </c>
      <c r="AL68" s="61">
        <f>AH181</f>
        <v>39.792802079388814</v>
      </c>
      <c r="AM68" s="62">
        <f>AI181</f>
        <v>3.9958387977386605</v>
      </c>
    </row>
    <row r="69" spans="1:39">
      <c r="A69" s="118">
        <v>28</v>
      </c>
      <c r="B69" s="119">
        <v>26.331652012316315</v>
      </c>
      <c r="C69" s="120">
        <v>2.337198632711782</v>
      </c>
      <c r="E69" s="48">
        <f>A141</f>
        <v>-8</v>
      </c>
      <c r="F69" s="61">
        <f t="shared" ref="F69:G69" si="256">B141</f>
        <v>147.98656189123034</v>
      </c>
      <c r="G69" s="62">
        <f t="shared" si="256"/>
        <v>4.1572397466070123</v>
      </c>
      <c r="I69" s="118">
        <v>28</v>
      </c>
      <c r="J69" s="119">
        <v>26.393000000000001</v>
      </c>
      <c r="K69" s="120">
        <v>2.3400954019115847</v>
      </c>
      <c r="M69" s="48">
        <f>I141</f>
        <v>-8</v>
      </c>
      <c r="N69" s="61">
        <f t="shared" ref="N69" si="257">J141</f>
        <v>142.54</v>
      </c>
      <c r="O69" s="62">
        <f t="shared" ref="O69" si="258">K141</f>
        <v>4.1306363741741041</v>
      </c>
      <c r="Q69" s="118">
        <v>18</v>
      </c>
      <c r="R69" s="119">
        <v>13.1</v>
      </c>
      <c r="S69" s="120">
        <v>1.5197215777262181</v>
      </c>
      <c r="U69" s="48">
        <f>Q81</f>
        <v>12</v>
      </c>
      <c r="V69" s="61">
        <f>R81</f>
        <v>16.649999999999999</v>
      </c>
      <c r="W69" s="62">
        <f>S81</f>
        <v>1.784565916398714</v>
      </c>
      <c r="Y69" s="121">
        <v>53</v>
      </c>
      <c r="Z69" s="122">
        <v>0.96276530716164088</v>
      </c>
      <c r="AA69" s="123">
        <v>0.79399849605292694</v>
      </c>
      <c r="AC69" s="48">
        <f>Y191</f>
        <v>-8</v>
      </c>
      <c r="AD69" s="61">
        <f t="shared" ref="AD69:AE69" si="259">Z191</f>
        <v>14.678158573560321</v>
      </c>
      <c r="AE69" s="62">
        <f t="shared" si="259"/>
        <v>3.7106989811433357</v>
      </c>
      <c r="AG69" s="121">
        <v>48</v>
      </c>
      <c r="AH69" s="122">
        <v>4.4130336513584458</v>
      </c>
      <c r="AI69" s="123">
        <v>1.5309176950899965</v>
      </c>
      <c r="AK69" s="48">
        <f>AG180</f>
        <v>-7.5</v>
      </c>
      <c r="AL69" s="61">
        <f>AH180</f>
        <v>38.887256348088094</v>
      </c>
      <c r="AM69" s="62">
        <f>AI180</f>
        <v>3.9772385743231546</v>
      </c>
    </row>
    <row r="70" spans="1:39">
      <c r="A70" s="118">
        <v>27.5</v>
      </c>
      <c r="B70" s="119">
        <v>26.906038954652725</v>
      </c>
      <c r="C70" s="120">
        <v>2.3640758914966478</v>
      </c>
      <c r="E70" s="48">
        <f>A140</f>
        <v>-7.5</v>
      </c>
      <c r="F70" s="61">
        <f t="shared" ref="F70:G70" si="260">B140</f>
        <v>144.11760515512387</v>
      </c>
      <c r="G70" s="62">
        <f t="shared" si="260"/>
        <v>4.1385133061854207</v>
      </c>
      <c r="I70" s="118">
        <v>27.5</v>
      </c>
      <c r="J70" s="119">
        <v>26.957999999999998</v>
      </c>
      <c r="K70" s="120">
        <v>2.366480564626567</v>
      </c>
      <c r="M70" s="48">
        <f>I140</f>
        <v>-7.5</v>
      </c>
      <c r="N70" s="61">
        <f t="shared" ref="N70" si="261">J140</f>
        <v>138.9</v>
      </c>
      <c r="O70" s="62">
        <f t="shared" ref="O70" si="262">K140</f>
        <v>4.1119005328596803</v>
      </c>
      <c r="Q70" s="118">
        <v>17.5</v>
      </c>
      <c r="R70" s="119">
        <v>13.36</v>
      </c>
      <c r="S70" s="120">
        <v>1.5405904059040589</v>
      </c>
      <c r="U70" s="48">
        <f>Q80</f>
        <v>12.5</v>
      </c>
      <c r="V70" s="61">
        <f>R80</f>
        <v>16.309999999999999</v>
      </c>
      <c r="W70" s="62">
        <f>S80</f>
        <v>1.7609587562081623</v>
      </c>
      <c r="Y70" s="121">
        <v>52.5</v>
      </c>
      <c r="Z70" s="122">
        <v>0.9809954197455838</v>
      </c>
      <c r="AA70" s="123">
        <v>0.80660759631572509</v>
      </c>
      <c r="AC70" s="48">
        <f>Y190</f>
        <v>-7.5</v>
      </c>
      <c r="AD70" s="61">
        <f t="shared" ref="AD70:AE70" si="263">Z190</f>
        <v>14.299209398126585</v>
      </c>
      <c r="AE70" s="62">
        <f t="shared" si="263"/>
        <v>3.6855134414672284</v>
      </c>
      <c r="AG70" s="121">
        <v>47.5</v>
      </c>
      <c r="AH70" s="122">
        <v>4.4872916677061374</v>
      </c>
      <c r="AI70" s="123">
        <v>1.5486992912929454</v>
      </c>
      <c r="AK70" s="48">
        <f>AG179</f>
        <v>-7</v>
      </c>
      <c r="AL70" s="61">
        <f>AH179</f>
        <v>38.004969082440866</v>
      </c>
      <c r="AM70" s="62">
        <f>AI179</f>
        <v>3.9584411581615027</v>
      </c>
    </row>
    <row r="71" spans="1:39">
      <c r="A71" s="118">
        <v>27</v>
      </c>
      <c r="B71" s="119">
        <v>27.49469092201468</v>
      </c>
      <c r="C71" s="120">
        <v>2.391063460042619</v>
      </c>
      <c r="E71" s="48">
        <f>A139</f>
        <v>-7</v>
      </c>
      <c r="F71" s="61">
        <f t="shared" ref="F71:G71" si="264">B139</f>
        <v>140.35999766961885</v>
      </c>
      <c r="G71" s="62">
        <f t="shared" si="264"/>
        <v>4.1195116104022453</v>
      </c>
      <c r="I71" s="118">
        <v>27</v>
      </c>
      <c r="J71" s="119">
        <v>27.538</v>
      </c>
      <c r="K71" s="120">
        <v>2.3930272167958568</v>
      </c>
      <c r="M71" s="48">
        <f>I139</f>
        <v>-7</v>
      </c>
      <c r="N71" s="61">
        <f t="shared" ref="N71" si="265">J139</f>
        <v>135.37</v>
      </c>
      <c r="O71" s="62">
        <f t="shared" ref="O71" si="266">K139</f>
        <v>4.0929430972969705</v>
      </c>
      <c r="Q71" s="118">
        <v>17</v>
      </c>
      <c r="R71" s="119">
        <v>13.62</v>
      </c>
      <c r="S71" s="120">
        <v>1.5612104539202201</v>
      </c>
      <c r="U71" s="48">
        <f>Q79</f>
        <v>13</v>
      </c>
      <c r="V71" s="61">
        <f>R79</f>
        <v>15.99</v>
      </c>
      <c r="W71" s="62">
        <f>S79</f>
        <v>1.7384213959556425</v>
      </c>
      <c r="Y71" s="121">
        <v>52</v>
      </c>
      <c r="Z71" s="122">
        <v>0.9996234967950246</v>
      </c>
      <c r="AA71" s="123">
        <v>0.81941409770641171</v>
      </c>
      <c r="AC71" s="48">
        <f>Y189</f>
        <v>-7</v>
      </c>
      <c r="AD71" s="61">
        <f t="shared" ref="AD71:AE71" si="267">Z189</f>
        <v>13.930926893827747</v>
      </c>
      <c r="AE71" s="62">
        <f t="shared" si="267"/>
        <v>3.6600757733838836</v>
      </c>
      <c r="AG71" s="121">
        <v>47</v>
      </c>
      <c r="AH71" s="122">
        <v>4.5630096197306571</v>
      </c>
      <c r="AI71" s="123">
        <v>1.5666437566409608</v>
      </c>
      <c r="AK71" s="48">
        <f>AG178</f>
        <v>-6.5</v>
      </c>
      <c r="AL71" s="61">
        <f>AH178</f>
        <v>37.145280965478698</v>
      </c>
      <c r="AM71" s="62">
        <f>AI178</f>
        <v>3.9394484670350862</v>
      </c>
    </row>
    <row r="72" spans="1:39">
      <c r="A72" s="118">
        <v>26.5</v>
      </c>
      <c r="B72" s="119">
        <v>28.098001493578334</v>
      </c>
      <c r="C72" s="120">
        <v>2.4181555966846853</v>
      </c>
      <c r="E72" s="48">
        <f>A138</f>
        <v>-6.5</v>
      </c>
      <c r="F72" s="61">
        <f t="shared" ref="F72:G72" si="268">B138</f>
        <v>136.71029709570499</v>
      </c>
      <c r="G72" s="62">
        <f t="shared" si="268"/>
        <v>4.1002355426558443</v>
      </c>
      <c r="I72" s="118">
        <v>26.5</v>
      </c>
      <c r="J72" s="119">
        <v>28.131</v>
      </c>
      <c r="K72" s="120">
        <v>2.4196212003922177</v>
      </c>
      <c r="M72" s="48">
        <f>I138</f>
        <v>-6.5</v>
      </c>
      <c r="N72" s="61">
        <f t="shared" ref="N72" si="269">J138</f>
        <v>131.94</v>
      </c>
      <c r="O72" s="62">
        <f t="shared" ref="O72" si="270">K138</f>
        <v>4.0737310114857355</v>
      </c>
      <c r="Q72" s="118">
        <v>16.5</v>
      </c>
      <c r="R72" s="119">
        <v>13.9</v>
      </c>
      <c r="S72" s="120">
        <v>1.5831435079726652</v>
      </c>
      <c r="U72" s="48">
        <f>Q78</f>
        <v>13.5</v>
      </c>
      <c r="V72" s="61">
        <f>R78</f>
        <v>15.67</v>
      </c>
      <c r="W72" s="62">
        <f>S78</f>
        <v>1.7155682067002407</v>
      </c>
      <c r="Y72" s="121">
        <v>51.5</v>
      </c>
      <c r="Z72" s="122">
        <v>1.0186592600180535</v>
      </c>
      <c r="AA72" s="123">
        <v>0.83242032014628642</v>
      </c>
      <c r="AC72" s="48">
        <f>Y188</f>
        <v>-6.5</v>
      </c>
      <c r="AD72" s="61">
        <f t="shared" ref="AD72:AE72" si="271">Z188</f>
        <v>13.572992547685008</v>
      </c>
      <c r="AE72" s="62">
        <f t="shared" si="271"/>
        <v>3.6343913577386733</v>
      </c>
      <c r="AG72" s="121">
        <v>46.5</v>
      </c>
      <c r="AH72" s="122">
        <v>4.6402199716810317</v>
      </c>
      <c r="AI72" s="123">
        <v>1.5847507689968912</v>
      </c>
      <c r="AK72" s="48">
        <f>AG177</f>
        <v>-6</v>
      </c>
      <c r="AL72" s="61">
        <f>AH177</f>
        <v>36.307553002523342</v>
      </c>
      <c r="AM72" s="62">
        <f>AI177</f>
        <v>3.9202625326094114</v>
      </c>
    </row>
    <row r="73" spans="1:39">
      <c r="A73" s="118">
        <v>26</v>
      </c>
      <c r="B73" s="119">
        <v>28.716376054577818</v>
      </c>
      <c r="C73" s="120">
        <v>2.4453464249807824</v>
      </c>
      <c r="E73" s="48">
        <f>A137</f>
        <v>-6</v>
      </c>
      <c r="F73" s="61">
        <f t="shared" ref="F73:G73" si="272">B137</f>
        <v>133.16517321688002</v>
      </c>
      <c r="G73" s="62">
        <f t="shared" si="272"/>
        <v>4.0806861719159935</v>
      </c>
      <c r="I73" s="118">
        <v>26</v>
      </c>
      <c r="J73" s="119">
        <v>28.739000000000001</v>
      </c>
      <c r="K73" s="120">
        <v>2.4463303767513915</v>
      </c>
      <c r="M73" s="48">
        <f>I137</f>
        <v>-6</v>
      </c>
      <c r="N73" s="61">
        <f t="shared" ref="N73" si="273">J137</f>
        <v>128.6</v>
      </c>
      <c r="O73" s="62">
        <f t="shared" ref="O73" si="274">K137</f>
        <v>4.0542244640605301</v>
      </c>
      <c r="Q73" s="118">
        <v>16</v>
      </c>
      <c r="R73" s="119">
        <v>14.17</v>
      </c>
      <c r="S73" s="120">
        <v>1.6040298845370158</v>
      </c>
      <c r="U73" s="48">
        <f>Q77</f>
        <v>14</v>
      </c>
      <c r="V73" s="61">
        <f>R77</f>
        <v>15.35</v>
      </c>
      <c r="W73" s="62">
        <f>S77</f>
        <v>1.6923925027563396</v>
      </c>
      <c r="Y73" s="121">
        <v>51</v>
      </c>
      <c r="Z73" s="122">
        <v>1.0381126914302996</v>
      </c>
      <c r="AA73" s="123">
        <v>0.84562856990199642</v>
      </c>
      <c r="AC73" s="48">
        <f>Y187</f>
        <v>-6</v>
      </c>
      <c r="AD73" s="61">
        <f t="shared" ref="AD73:AE73" si="275">Z187</f>
        <v>13.225097679505108</v>
      </c>
      <c r="AE73" s="62">
        <f t="shared" si="275"/>
        <v>3.6084658076055263</v>
      </c>
      <c r="AG73" s="121">
        <v>46</v>
      </c>
      <c r="AH73" s="122">
        <v>4.7189559879752458</v>
      </c>
      <c r="AI73" s="123">
        <v>1.6030199396718183</v>
      </c>
      <c r="AK73" s="48">
        <f>AG176</f>
        <v>-5.5</v>
      </c>
      <c r="AL73" s="61">
        <f>AH176</f>
        <v>35.491165847421357</v>
      </c>
      <c r="AM73" s="62">
        <f>AI176</f>
        <v>3.9008855001056384</v>
      </c>
    </row>
    <row r="74" spans="1:39" ht="13.5" thickBot="1">
      <c r="A74" s="118">
        <v>25.5</v>
      </c>
      <c r="B74" s="119">
        <v>29.350232174821247</v>
      </c>
      <c r="C74" s="120">
        <v>2.4726299375179863</v>
      </c>
      <c r="E74" s="48">
        <f>A136</f>
        <v>-5.5</v>
      </c>
      <c r="F74" s="61">
        <f t="shared" ref="F74:G74" si="276">B136</f>
        <v>129.72140415470582</v>
      </c>
      <c r="G74" s="62">
        <f t="shared" si="276"/>
        <v>4.0608647551413313</v>
      </c>
      <c r="I74" s="118">
        <v>25.5</v>
      </c>
      <c r="J74" s="119">
        <v>29.361999999999998</v>
      </c>
      <c r="K74" s="120">
        <v>2.4731309591994881</v>
      </c>
      <c r="M74" s="48">
        <f>I136</f>
        <v>-5.5</v>
      </c>
      <c r="N74" s="61">
        <f t="shared" ref="N74" si="277">J136</f>
        <v>125.35</v>
      </c>
      <c r="O74" s="62">
        <f t="shared" ref="O74" si="278">K136</f>
        <v>4.0344383649822984</v>
      </c>
      <c r="Q74" s="118">
        <v>15.5</v>
      </c>
      <c r="R74" s="119">
        <v>14.46</v>
      </c>
      <c r="S74" s="120">
        <v>1.6261808367071526</v>
      </c>
      <c r="U74" s="48">
        <f>Q76</f>
        <v>14.5</v>
      </c>
      <c r="V74" s="61">
        <f>R76</f>
        <v>15.05</v>
      </c>
      <c r="W74" s="62">
        <f>S76</f>
        <v>1.6703662597114319</v>
      </c>
      <c r="Y74" s="127">
        <v>50.5</v>
      </c>
      <c r="Z74" s="128">
        <v>1.0579940408734809</v>
      </c>
      <c r="AA74" s="129">
        <v>0.8590411373014335</v>
      </c>
      <c r="AC74" s="48">
        <f>Y186</f>
        <v>-5.5</v>
      </c>
      <c r="AD74" s="61">
        <f t="shared" ref="AD74:AE74" si="279">Z186</f>
        <v>12.886943137693525</v>
      </c>
      <c r="AE74" s="62">
        <f t="shared" si="279"/>
        <v>3.5823049639512079</v>
      </c>
      <c r="AG74" s="127">
        <v>45.5</v>
      </c>
      <c r="AH74" s="128">
        <v>4.7992517547556401</v>
      </c>
      <c r="AI74" s="129">
        <v>1.6214508119349456</v>
      </c>
      <c r="AK74" s="48">
        <f>AG175</f>
        <v>-5</v>
      </c>
      <c r="AL74" s="61">
        <f>AH175</f>
        <v>34.695519152606039</v>
      </c>
      <c r="AM74" s="62">
        <f>AI175</f>
        <v>3.8813196278292996</v>
      </c>
    </row>
    <row r="75" spans="1:39" ht="13.5" thickTop="1">
      <c r="A75" s="130">
        <v>25</v>
      </c>
      <c r="B75" s="131">
        <v>30</v>
      </c>
      <c r="C75" s="132">
        <v>2.5</v>
      </c>
      <c r="E75" s="48">
        <f>A135</f>
        <v>-5</v>
      </c>
      <c r="F75" s="61">
        <f t="shared" ref="F75:G75" si="280">B135</f>
        <v>126.37587271456684</v>
      </c>
      <c r="G75" s="62">
        <f t="shared" si="280"/>
        <v>4.0407727394507003</v>
      </c>
      <c r="I75" s="130">
        <v>25</v>
      </c>
      <c r="J75" s="131">
        <v>30</v>
      </c>
      <c r="K75" s="132">
        <v>2.5</v>
      </c>
      <c r="M75" s="48">
        <f>I135</f>
        <v>-5</v>
      </c>
      <c r="N75" s="61">
        <f t="shared" ref="N75" si="281">J135</f>
        <v>122.2</v>
      </c>
      <c r="O75" s="62">
        <f t="shared" ref="O75" si="282">K135</f>
        <v>4.0144546649145862</v>
      </c>
      <c r="Q75" s="118">
        <v>15</v>
      </c>
      <c r="R75" s="119">
        <v>14.75</v>
      </c>
      <c r="S75" s="120">
        <v>1.6480446927374302</v>
      </c>
      <c r="U75" s="48">
        <f>Q75</f>
        <v>15</v>
      </c>
      <c r="V75" s="61">
        <f>R75</f>
        <v>14.75</v>
      </c>
      <c r="W75" s="62">
        <f>S75</f>
        <v>1.6480446927374302</v>
      </c>
      <c r="Y75" s="115">
        <v>50</v>
      </c>
      <c r="Z75" s="116">
        <v>1.0783138337651927</v>
      </c>
      <c r="AA75" s="117">
        <v>0.87266029436064274</v>
      </c>
      <c r="AC75" s="48">
        <f>Y185</f>
        <v>-5</v>
      </c>
      <c r="AD75" s="61">
        <f t="shared" ref="AD75:AE75" si="283">Z185</f>
        <v>12.558239004031464</v>
      </c>
      <c r="AE75" s="62">
        <f t="shared" si="283"/>
        <v>3.5559148908235851</v>
      </c>
      <c r="AG75" s="115">
        <v>45</v>
      </c>
      <c r="AH75" s="116">
        <v>4.8811422020726862</v>
      </c>
      <c r="AI75" s="117">
        <v>1.6400428595436807</v>
      </c>
      <c r="AK75" s="48">
        <f>AG174</f>
        <v>-4.5</v>
      </c>
      <c r="AL75" s="61">
        <f>AH174</f>
        <v>33.920030942094911</v>
      </c>
      <c r="AM75" s="62">
        <f>AI174</f>
        <v>3.8615672865549424</v>
      </c>
    </row>
    <row r="76" spans="1:39">
      <c r="A76" s="118">
        <v>24.5</v>
      </c>
      <c r="B76" s="119">
        <v>30.666122656241935</v>
      </c>
      <c r="C76" s="120">
        <v>2.52745035561348</v>
      </c>
      <c r="E76" s="48">
        <f>A134</f>
        <v>-4.5</v>
      </c>
      <c r="F76" s="61">
        <f t="shared" ref="F76:G76" si="284">B134</f>
        <v>123.12556285715372</v>
      </c>
      <c r="G76" s="62">
        <f t="shared" si="284"/>
        <v>4.0204117640375268</v>
      </c>
      <c r="I76" s="118">
        <v>24.5</v>
      </c>
      <c r="J76" s="119">
        <v>30.654</v>
      </c>
      <c r="K76" s="120">
        <v>2.5269561776634686</v>
      </c>
      <c r="M76" s="48">
        <f>I134</f>
        <v>-4.5</v>
      </c>
      <c r="N76" s="61">
        <f t="shared" ref="N76" si="285">J134</f>
        <v>119.14</v>
      </c>
      <c r="O76" s="62">
        <f t="shared" ref="O76" si="286">K134</f>
        <v>3.9942336060077785</v>
      </c>
      <c r="Q76" s="118">
        <v>14.5</v>
      </c>
      <c r="R76" s="119">
        <v>15.05</v>
      </c>
      <c r="S76" s="120">
        <v>1.6703662597114319</v>
      </c>
      <c r="U76" s="48">
        <f>Q74</f>
        <v>15.5</v>
      </c>
      <c r="V76" s="61">
        <f>R74</f>
        <v>14.46</v>
      </c>
      <c r="W76" s="62">
        <f>S74</f>
        <v>1.6261808367071526</v>
      </c>
      <c r="Y76" s="121">
        <v>49.5</v>
      </c>
      <c r="Z76" s="122">
        <v>1.0990828790872234</v>
      </c>
      <c r="AA76" s="123">
        <v>0.88648829232063486</v>
      </c>
      <c r="AC76" s="48">
        <f>Y184</f>
        <v>-4.5</v>
      </c>
      <c r="AD76" s="61">
        <f t="shared" ref="AD76:AE76" si="287">Z184</f>
        <v>12.23870430719608</v>
      </c>
      <c r="AE76" s="62">
        <f t="shared" si="287"/>
        <v>3.5293018700701446</v>
      </c>
      <c r="AG76" s="121">
        <v>44.5</v>
      </c>
      <c r="AH76" s="122">
        <v>4.9646631267163741</v>
      </c>
      <c r="AI76" s="123">
        <v>1.6587954852966165</v>
      </c>
      <c r="AK76" s="48">
        <f>AG173</f>
        <v>-4</v>
      </c>
      <c r="AL76" s="61">
        <f>AH173</f>
        <v>33.164137006564111</v>
      </c>
      <c r="AM76" s="62">
        <f>AI173</f>
        <v>3.8416309587656916</v>
      </c>
    </row>
    <row r="77" spans="1:39">
      <c r="A77" s="118">
        <v>24</v>
      </c>
      <c r="B77" s="119">
        <v>31.349056668374551</v>
      </c>
      <c r="C77" s="120">
        <v>2.5549746296698146</v>
      </c>
      <c r="E77" s="48">
        <f>A133</f>
        <v>-4</v>
      </c>
      <c r="F77" s="61">
        <f t="shared" ref="F77:G77" si="288">B133</f>
        <v>119.96755629134174</v>
      </c>
      <c r="G77" s="62">
        <f t="shared" si="288"/>
        <v>3.9997836618168581</v>
      </c>
      <c r="I77" s="118">
        <v>24</v>
      </c>
      <c r="J77" s="119">
        <v>31.323</v>
      </c>
      <c r="K77" s="120">
        <v>2.5539357174306541</v>
      </c>
      <c r="M77" s="48">
        <f>I133</f>
        <v>-4</v>
      </c>
      <c r="N77" s="61">
        <f t="shared" ref="N77" si="289">J133</f>
        <v>116.16</v>
      </c>
      <c r="O77" s="62">
        <f t="shared" ref="O77" si="290">K133</f>
        <v>3.9737274220032837</v>
      </c>
      <c r="Q77" s="118">
        <v>14</v>
      </c>
      <c r="R77" s="119">
        <v>15.35</v>
      </c>
      <c r="S77" s="120">
        <v>1.6923925027563396</v>
      </c>
      <c r="U77" s="48">
        <f>Q73</f>
        <v>16</v>
      </c>
      <c r="V77" s="61">
        <f>R73</f>
        <v>14.17</v>
      </c>
      <c r="W77" s="62">
        <f>S73</f>
        <v>1.6040298845370158</v>
      </c>
      <c r="Y77" s="121">
        <v>49</v>
      </c>
      <c r="Z77" s="122">
        <v>1.1203122776201806</v>
      </c>
      <c r="AA77" s="123">
        <v>0.90052735909329551</v>
      </c>
      <c r="AC77" s="48">
        <f>Y183</f>
        <v>-4</v>
      </c>
      <c r="AD77" s="61">
        <f t="shared" ref="AD77:AE77" si="291">Z183</f>
        <v>11.928066744801344</v>
      </c>
      <c r="AE77" s="62">
        <f t="shared" si="291"/>
        <v>3.5024723955944599</v>
      </c>
      <c r="AG77" s="121">
        <v>44</v>
      </c>
      <c r="AH77" s="122">
        <v>5.0498512157154156</v>
      </c>
      <c r="AI77" s="123">
        <v>1.6777080196122602</v>
      </c>
      <c r="AK77" s="48">
        <f>AG172</f>
        <v>-3.5</v>
      </c>
      <c r="AL77" s="61">
        <f>AH172</f>
        <v>32.427290319676125</v>
      </c>
      <c r="AM77" s="62">
        <f>AI172</f>
        <v>3.8215132377470749</v>
      </c>
    </row>
    <row r="78" spans="1:39">
      <c r="A78" s="118">
        <v>23.5</v>
      </c>
      <c r="B78" s="119">
        <v>32.049272392381852</v>
      </c>
      <c r="C78" s="120">
        <v>2.5825663345181082</v>
      </c>
      <c r="E78" s="48">
        <f>A132</f>
        <v>-3.5</v>
      </c>
      <c r="F78" s="61">
        <f t="shared" ref="F78:G78" si="292">B132</f>
        <v>116.89902918428605</v>
      </c>
      <c r="G78" s="62">
        <f t="shared" si="292"/>
        <v>3.9788904607951912</v>
      </c>
      <c r="I78" s="118">
        <v>23.5</v>
      </c>
      <c r="J78" s="119">
        <v>32.01</v>
      </c>
      <c r="K78" s="120">
        <v>2.5810353168843734</v>
      </c>
      <c r="M78" s="48">
        <f>I132</f>
        <v>-3.5</v>
      </c>
      <c r="N78" s="61">
        <f t="shared" ref="N78" si="293">J132</f>
        <v>113.26</v>
      </c>
      <c r="O78" s="62">
        <f t="shared" ref="O78" si="294">K132</f>
        <v>3.9529526734608411</v>
      </c>
      <c r="Q78" s="118">
        <v>13.5</v>
      </c>
      <c r="R78" s="119">
        <v>15.67</v>
      </c>
      <c r="S78" s="120">
        <v>1.7155682067002407</v>
      </c>
      <c r="U78" s="48">
        <f>Q72</f>
        <v>16.5</v>
      </c>
      <c r="V78" s="61">
        <f>R72</f>
        <v>13.9</v>
      </c>
      <c r="W78" s="62">
        <f>S72</f>
        <v>1.5831435079726652</v>
      </c>
      <c r="Y78" s="121">
        <v>48.5</v>
      </c>
      <c r="Z78" s="122">
        <v>1.1420134304324565</v>
      </c>
      <c r="AA78" s="123">
        <v>0.91477969661572489</v>
      </c>
      <c r="AC78" s="48">
        <f>Y182</f>
        <v>-3.5</v>
      </c>
      <c r="AD78" s="61">
        <f t="shared" ref="AD78:AE78" si="295">Z182</f>
        <v>11.626062413743327</v>
      </c>
      <c r="AE78" s="62">
        <f t="shared" si="295"/>
        <v>3.4754331671602885</v>
      </c>
      <c r="AG78" s="121">
        <v>43.5</v>
      </c>
      <c r="AH78" s="122">
        <v>5.1367440705257206</v>
      </c>
      <c r="AI78" s="123">
        <v>1.6967797191365588</v>
      </c>
      <c r="AK78" s="48">
        <f>AG171</f>
        <v>-3</v>
      </c>
      <c r="AL78" s="61">
        <f>AH171</f>
        <v>31.708960474871297</v>
      </c>
      <c r="AM78" s="62">
        <f>AI171</f>
        <v>3.8012168265348194</v>
      </c>
    </row>
    <row r="79" spans="1:39">
      <c r="A79" s="118">
        <v>23</v>
      </c>
      <c r="B79" s="119">
        <v>32.767254462555719</v>
      </c>
      <c r="C79" s="120">
        <v>2.6102188747241821</v>
      </c>
      <c r="E79" s="48">
        <f>A131</f>
        <v>-3</v>
      </c>
      <c r="F79" s="61">
        <f t="shared" ref="F79:G79" si="296">B131</f>
        <v>113.91724898468526</v>
      </c>
      <c r="G79" s="62">
        <f t="shared" si="296"/>
        <v>3.9577343851537763</v>
      </c>
      <c r="I79" s="118">
        <v>23</v>
      </c>
      <c r="J79" s="119">
        <v>32.713000000000001</v>
      </c>
      <c r="K79" s="120">
        <v>2.6081514199607736</v>
      </c>
      <c r="M79" s="48">
        <f>I131</f>
        <v>-3</v>
      </c>
      <c r="N79" s="61">
        <f t="shared" ref="N79" si="297">J131</f>
        <v>110.44</v>
      </c>
      <c r="O79" s="62">
        <f t="shared" ref="O79" si="298">K131</f>
        <v>3.9319282255767591</v>
      </c>
      <c r="Q79" s="118">
        <v>13</v>
      </c>
      <c r="R79" s="119">
        <v>15.99</v>
      </c>
      <c r="S79" s="120">
        <v>1.7384213959556425</v>
      </c>
      <c r="U79" s="48">
        <f>Q71</f>
        <v>17</v>
      </c>
      <c r="V79" s="61">
        <f>R71</f>
        <v>13.62</v>
      </c>
      <c r="W79" s="62">
        <f>S71</f>
        <v>1.5612104539202201</v>
      </c>
      <c r="Y79" s="121">
        <v>48</v>
      </c>
      <c r="Z79" s="122">
        <v>1.1641980476316767</v>
      </c>
      <c r="AA79" s="123">
        <v>0.92924747811240449</v>
      </c>
      <c r="AC79" s="48">
        <f>Y181</f>
        <v>-3</v>
      </c>
      <c r="AD79" s="61">
        <f t="shared" ref="AD79:AE79" si="299">Z181</f>
        <v>11.332435548633615</v>
      </c>
      <c r="AE79" s="62">
        <f t="shared" si="299"/>
        <v>3.4481910837544492</v>
      </c>
      <c r="AG79" s="121">
        <v>43</v>
      </c>
      <c r="AH79" s="122">
        <v>5.2253802319290701</v>
      </c>
      <c r="AI79" s="123">
        <v>1.7160097653820661</v>
      </c>
      <c r="AK79" s="48">
        <f>AG170</f>
        <v>-2.5</v>
      </c>
      <c r="AL79" s="61">
        <f>AH170</f>
        <v>31.008633141858059</v>
      </c>
      <c r="AM79" s="62">
        <f>AI170</f>
        <v>3.7807445367164818</v>
      </c>
    </row>
    <row r="80" spans="1:39">
      <c r="A80" s="118">
        <v>22.5</v>
      </c>
      <c r="B80" s="119">
        <v>33.503502253861235</v>
      </c>
      <c r="C80" s="120">
        <v>2.6379255525095155</v>
      </c>
      <c r="E80" s="48">
        <f>A130</f>
        <v>-2.5</v>
      </c>
      <c r="F80" s="61">
        <f t="shared" ref="F80:G80" si="300">B130</f>
        <v>111.01957135531316</v>
      </c>
      <c r="G80" s="62">
        <f t="shared" si="300"/>
        <v>3.9363178560367356</v>
      </c>
      <c r="I80" s="118">
        <v>22.5</v>
      </c>
      <c r="J80" s="119">
        <v>33.433</v>
      </c>
      <c r="K80" s="120">
        <v>2.6353002380464425</v>
      </c>
      <c r="M80" s="48">
        <f>I130</f>
        <v>-2.5</v>
      </c>
      <c r="N80" s="61">
        <f t="shared" ref="N80" si="301">J130</f>
        <v>107.7</v>
      </c>
      <c r="O80" s="62">
        <f t="shared" ref="O80" si="302">K130</f>
        <v>3.910675381263617</v>
      </c>
      <c r="Q80" s="118">
        <v>12.5</v>
      </c>
      <c r="R80" s="119">
        <v>16.309999999999999</v>
      </c>
      <c r="S80" s="120">
        <v>1.7609587562081623</v>
      </c>
      <c r="U80" s="48">
        <f>Q70</f>
        <v>17.5</v>
      </c>
      <c r="V80" s="61">
        <f>R70</f>
        <v>13.36</v>
      </c>
      <c r="W80" s="62">
        <f>S70</f>
        <v>1.5405904059040589</v>
      </c>
      <c r="Y80" s="121">
        <v>47.5</v>
      </c>
      <c r="Z80" s="122">
        <v>1.1868781573872624</v>
      </c>
      <c r="AA80" s="123">
        <v>0.94393284526490029</v>
      </c>
      <c r="AC80" s="48">
        <f>Y180</f>
        <v>-2.5</v>
      </c>
      <c r="AD80" s="61">
        <f t="shared" ref="AD80:AE80" si="303">Z180</f>
        <v>11.046938268109285</v>
      </c>
      <c r="AE80" s="62">
        <f t="shared" si="303"/>
        <v>3.420753236521421</v>
      </c>
      <c r="AG80" s="121">
        <v>42.5</v>
      </c>
      <c r="AH80" s="122">
        <v>5.3157992056652343</v>
      </c>
      <c r="AI80" s="123">
        <v>1.7353972634020132</v>
      </c>
      <c r="AK80" s="48">
        <f>AG169</f>
        <v>-2</v>
      </c>
      <c r="AL80" s="61">
        <f>AH169</f>
        <v>30.325809542077703</v>
      </c>
      <c r="AM80" s="62">
        <f>AI169</f>
        <v>3.7600992870873964</v>
      </c>
    </row>
    <row r="81" spans="1:39">
      <c r="A81" s="118">
        <v>22</v>
      </c>
      <c r="B81" s="119">
        <v>34.258530360053257</v>
      </c>
      <c r="C81" s="120">
        <v>2.6656795734430849</v>
      </c>
      <c r="E81" s="48">
        <f>A129</f>
        <v>-2</v>
      </c>
      <c r="F81" s="61">
        <f t="shared" ref="F81:G81" si="304">B129</f>
        <v>108.20343721103865</v>
      </c>
      <c r="G81" s="62">
        <f t="shared" si="304"/>
        <v>3.9146434920359621</v>
      </c>
      <c r="I81" s="118">
        <v>22</v>
      </c>
      <c r="J81" s="119">
        <v>34.171999999999997</v>
      </c>
      <c r="K81" s="120">
        <v>2.6625319453967462</v>
      </c>
      <c r="M81" s="48">
        <f>I129</f>
        <v>-2</v>
      </c>
      <c r="N81" s="61">
        <f t="shared" ref="N81" si="305">J129</f>
        <v>105.04</v>
      </c>
      <c r="O81" s="62">
        <f t="shared" ref="O81" si="306">K129</f>
        <v>3.8892180094786726</v>
      </c>
      <c r="Q81" s="118">
        <v>12</v>
      </c>
      <c r="R81" s="119">
        <v>16.649999999999999</v>
      </c>
      <c r="S81" s="120">
        <v>1.784565916398714</v>
      </c>
      <c r="U81" s="48">
        <f>Q69</f>
        <v>18</v>
      </c>
      <c r="V81" s="61">
        <f>R69</f>
        <v>13.1</v>
      </c>
      <c r="W81" s="62">
        <f>S69</f>
        <v>1.5197215777262181</v>
      </c>
      <c r="Y81" s="121">
        <v>47</v>
      </c>
      <c r="Z81" s="122">
        <v>1.2100661152327983</v>
      </c>
      <c r="AA81" s="123">
        <v>0.95883790528885382</v>
      </c>
      <c r="AC81" s="48">
        <f>Y179</f>
        <v>-2</v>
      </c>
      <c r="AD81" s="61">
        <f t="shared" ref="AD81:AE81" si="307">Z179</f>
        <v>10.769330328810433</v>
      </c>
      <c r="AE81" s="62">
        <f t="shared" si="307"/>
        <v>3.3931269012842158</v>
      </c>
      <c r="AG81" s="121">
        <v>42</v>
      </c>
      <c r="AH81" s="122">
        <v>5.4080414888198955</v>
      </c>
      <c r="AI81" s="123">
        <v>1.7549412405022342</v>
      </c>
      <c r="AK81" s="48">
        <f>AG168</f>
        <v>-1.5</v>
      </c>
      <c r="AL81" s="61">
        <f>AH168</f>
        <v>29.660005942435653</v>
      </c>
      <c r="AM81" s="62">
        <f>AI168</f>
        <v>3.7392841021614496</v>
      </c>
    </row>
    <row r="82" spans="1:39">
      <c r="A82" s="118">
        <v>21.5</v>
      </c>
      <c r="B82" s="119">
        <v>35.032869088102622</v>
      </c>
      <c r="C82" s="120">
        <v>2.6934740523782059</v>
      </c>
      <c r="E82" s="48">
        <f>A128</f>
        <v>-1.5</v>
      </c>
      <c r="F82" s="61">
        <f t="shared" ref="F82:G82" si="308">B128</f>
        <v>105.46636985869146</v>
      </c>
      <c r="G82" s="62">
        <f t="shared" si="308"/>
        <v>3.8927141093655284</v>
      </c>
      <c r="I82" s="118">
        <v>21.5</v>
      </c>
      <c r="J82" s="119">
        <v>34.929000000000002</v>
      </c>
      <c r="K82" s="120">
        <v>2.6897842258466942</v>
      </c>
      <c r="M82" s="48">
        <f>I128</f>
        <v>-1.5</v>
      </c>
      <c r="N82" s="61">
        <f t="shared" ref="N82" si="309">J128</f>
        <v>102.45</v>
      </c>
      <c r="O82" s="62">
        <f t="shared" ref="O82" si="310">K128</f>
        <v>3.867497168742922</v>
      </c>
      <c r="Q82" s="118">
        <v>11.5</v>
      </c>
      <c r="R82" s="119">
        <v>16.989999999999998</v>
      </c>
      <c r="S82" s="120">
        <v>1.8078314535007447</v>
      </c>
      <c r="U82" s="48">
        <f>Q68</f>
        <v>18.5</v>
      </c>
      <c r="V82" s="61">
        <f>R68</f>
        <v>12.84</v>
      </c>
      <c r="W82" s="62">
        <f>S68</f>
        <v>1.4985994397759104</v>
      </c>
      <c r="Y82" s="121">
        <v>46.5</v>
      </c>
      <c r="Z82" s="122">
        <v>1.2337746136574301</v>
      </c>
      <c r="AA82" s="123">
        <v>0.97396472791837208</v>
      </c>
      <c r="AC82" s="48">
        <f>Y178</f>
        <v>-1.5</v>
      </c>
      <c r="AD82" s="61">
        <f t="shared" ref="AD82:AE82" si="311">Z178</f>
        <v>10.499378886819938</v>
      </c>
      <c r="AE82" s="62">
        <f t="shared" si="311"/>
        <v>3.365319530667648</v>
      </c>
      <c r="AG82" s="121">
        <v>41.5</v>
      </c>
      <c r="AH82" s="122">
        <v>5.502148596992674</v>
      </c>
      <c r="AI82" s="123">
        <v>1.7746406449942231</v>
      </c>
      <c r="AK82" s="48">
        <f>AG167</f>
        <v>-1</v>
      </c>
      <c r="AL82" s="61">
        <f>AH167</f>
        <v>29.010753166627339</v>
      </c>
      <c r="AM82" s="62">
        <f>AI167</f>
        <v>3.7183021105377261</v>
      </c>
    </row>
    <row r="83" spans="1:39">
      <c r="A83" s="118">
        <v>21</v>
      </c>
      <c r="B83" s="119">
        <v>35.827064969508854</v>
      </c>
      <c r="C83" s="120">
        <v>2.7213020196255124</v>
      </c>
      <c r="E83" s="48">
        <f>A127</f>
        <v>-1</v>
      </c>
      <c r="F83" s="61">
        <f t="shared" ref="F83:G83" si="312">B127</f>
        <v>102.80597223524789</v>
      </c>
      <c r="G83" s="62">
        <f t="shared" si="312"/>
        <v>3.8705327217190559</v>
      </c>
      <c r="I83" s="118">
        <v>21</v>
      </c>
      <c r="J83" s="119">
        <v>35.704000000000001</v>
      </c>
      <c r="K83" s="120">
        <v>2.7170339705345183</v>
      </c>
      <c r="M83" s="48">
        <f>I127</f>
        <v>-1</v>
      </c>
      <c r="N83" s="61">
        <f t="shared" ref="N83" si="313">J127</f>
        <v>99.930999999999997</v>
      </c>
      <c r="O83" s="62">
        <f t="shared" ref="O83" si="314">K127</f>
        <v>3.845541094888826</v>
      </c>
      <c r="Q83" s="118">
        <v>11</v>
      </c>
      <c r="R83" s="119">
        <v>17.34</v>
      </c>
      <c r="S83" s="120">
        <v>1.8314321926489225</v>
      </c>
      <c r="U83" s="48">
        <f>Q67</f>
        <v>19</v>
      </c>
      <c r="V83" s="61">
        <f>R67</f>
        <v>12.59</v>
      </c>
      <c r="W83" s="62">
        <f>S67</f>
        <v>1.4780464897863348</v>
      </c>
      <c r="Y83" s="121">
        <v>46</v>
      </c>
      <c r="Z83" s="122">
        <v>1.2580166919956302</v>
      </c>
      <c r="AA83" s="123">
        <v>0.98931534229801521</v>
      </c>
      <c r="AC83" s="48">
        <f>Y177</f>
        <v>-1</v>
      </c>
      <c r="AD83" s="61">
        <f t="shared" ref="AD83:AE83" si="315">Z177</f>
        <v>10.236858266362573</v>
      </c>
      <c r="AE83" s="62">
        <f t="shared" si="315"/>
        <v>3.3373387458416013</v>
      </c>
      <c r="AG83" s="121">
        <v>41</v>
      </c>
      <c r="AH83" s="122">
        <v>5.5981630922701351</v>
      </c>
      <c r="AI83" s="123">
        <v>1.7944943449925763</v>
      </c>
      <c r="AK83" s="48">
        <f>AG166</f>
        <v>-0.5</v>
      </c>
      <c r="AL83" s="61">
        <f>AH166</f>
        <v>28.3775961234122</v>
      </c>
      <c r="AM83" s="62">
        <f>AI166</f>
        <v>3.6971565431244513</v>
      </c>
    </row>
    <row r="84" spans="1:39" ht="13.5" thickBot="1">
      <c r="A84" s="118">
        <v>20.5</v>
      </c>
      <c r="B84" s="119">
        <v>36.641681289098393</v>
      </c>
      <c r="C84" s="120">
        <v>2.7491564273523545</v>
      </c>
      <c r="E84" s="48">
        <f>A126</f>
        <v>-0.5</v>
      </c>
      <c r="F84" s="61">
        <f t="shared" ref="F84:G84" si="316">B126</f>
        <v>100.21992424093382</v>
      </c>
      <c r="G84" s="62">
        <f t="shared" si="316"/>
        <v>3.848102539804362</v>
      </c>
      <c r="I84" s="118">
        <v>20.5</v>
      </c>
      <c r="J84" s="119">
        <v>36.5</v>
      </c>
      <c r="K84" s="120">
        <v>2.744360902255639</v>
      </c>
      <c r="M84" s="48">
        <f>I126</f>
        <v>-0.5</v>
      </c>
      <c r="N84" s="61">
        <f t="shared" ref="N84" si="317">J126</f>
        <v>97.48</v>
      </c>
      <c r="O84" s="62">
        <f t="shared" ref="O84" si="318">K126</f>
        <v>3.8233448384060247</v>
      </c>
      <c r="Q84" s="124">
        <v>10.5</v>
      </c>
      <c r="R84" s="125">
        <v>17.7</v>
      </c>
      <c r="S84" s="126">
        <v>1.8553459119496853</v>
      </c>
      <c r="U84" s="48">
        <f>Q66</f>
        <v>19.5</v>
      </c>
      <c r="V84" s="61">
        <f>R66</f>
        <v>12.35</v>
      </c>
      <c r="W84" s="62">
        <f>S66</f>
        <v>1.4580873671782761</v>
      </c>
      <c r="Y84" s="121">
        <v>45.5</v>
      </c>
      <c r="Z84" s="122">
        <v>1.2828057466250939</v>
      </c>
      <c r="AA84" s="123">
        <v>1.0048917337828878</v>
      </c>
      <c r="AC84" s="48">
        <f>Y176</f>
        <v>-0.5</v>
      </c>
      <c r="AD84" s="61">
        <f t="shared" ref="AD84:AE84" si="319">Z176</f>
        <v>9.9815497355661105</v>
      </c>
      <c r="AE84" s="62">
        <f t="shared" si="319"/>
        <v>3.3091923279035083</v>
      </c>
      <c r="AG84" s="121">
        <v>40.5</v>
      </c>
      <c r="AH84" s="122">
        <v>5.6961286120289598</v>
      </c>
      <c r="AI84" s="123">
        <v>1.8145011272600198</v>
      </c>
      <c r="AK84" s="48">
        <f>AG165</f>
        <v>0</v>
      </c>
      <c r="AL84" s="61">
        <f>AH165</f>
        <v>27.760093351206816</v>
      </c>
      <c r="AM84" s="62">
        <f>AI165</f>
        <v>3.6758507312217219</v>
      </c>
    </row>
    <row r="85" spans="1:39" ht="13.5" thickTop="1">
      <c r="A85" s="118">
        <v>20</v>
      </c>
      <c r="B85" s="119">
        <v>37.477298631929038</v>
      </c>
      <c r="C85" s="120">
        <v>2.7770301561980029</v>
      </c>
      <c r="E85" s="48">
        <f>A125</f>
        <v>0</v>
      </c>
      <c r="F85" s="61">
        <f t="shared" ref="F85:G85" si="320">B125</f>
        <v>97.705980163957392</v>
      </c>
      <c r="G85" s="62">
        <f t="shared" si="320"/>
        <v>3.825426970550478</v>
      </c>
      <c r="I85" s="118">
        <v>20</v>
      </c>
      <c r="J85" s="119">
        <v>37.314999999999998</v>
      </c>
      <c r="K85" s="120">
        <v>2.7716705043452423</v>
      </c>
      <c r="M85" s="48">
        <f>I125</f>
        <v>0</v>
      </c>
      <c r="N85" s="61">
        <f t="shared" ref="N85" si="321">J125</f>
        <v>95.096000000000004</v>
      </c>
      <c r="O85" s="62">
        <f t="shared" ref="O85" si="322">K125</f>
        <v>3.8009208927543647</v>
      </c>
      <c r="Q85" s="112">
        <v>10</v>
      </c>
      <c r="R85" s="113">
        <v>18.07</v>
      </c>
      <c r="S85" s="114">
        <v>1.8795506552943622</v>
      </c>
      <c r="U85" s="48">
        <f>Q65</f>
        <v>20</v>
      </c>
      <c r="V85" s="61">
        <f>R65</f>
        <v>12.11</v>
      </c>
      <c r="W85" s="62">
        <f>S65</f>
        <v>1.4379007361671812</v>
      </c>
      <c r="Y85" s="121">
        <v>45</v>
      </c>
      <c r="Z85" s="122">
        <v>1.3081555414827568</v>
      </c>
      <c r="AA85" s="123">
        <v>1.0206958406475166</v>
      </c>
      <c r="AC85" s="48">
        <f>Y175</f>
        <v>0</v>
      </c>
      <c r="AD85" s="61">
        <f t="shared" ref="AD85:AE85" si="323">Z175</f>
        <v>9.7332412890882765</v>
      </c>
      <c r="AE85" s="62">
        <f t="shared" si="323"/>
        <v>3.2808882089204285</v>
      </c>
      <c r="AG85" s="121">
        <v>40</v>
      </c>
      <c r="AH85" s="122">
        <v>5.7960898985960059</v>
      </c>
      <c r="AI85" s="123">
        <v>1.8346596961033934</v>
      </c>
      <c r="AK85" s="48">
        <f>AG164</f>
        <v>0.5</v>
      </c>
      <c r="AL85" s="61">
        <f>AH164</f>
        <v>27.15781657840612</v>
      </c>
      <c r="AM85" s="62">
        <f>AI164</f>
        <v>3.6543881044652933</v>
      </c>
    </row>
    <row r="86" spans="1:39">
      <c r="A86" s="118">
        <v>19.5</v>
      </c>
      <c r="B86" s="119">
        <v>38.334515448942859</v>
      </c>
      <c r="C86" s="120">
        <v>2.8049160220931881</v>
      </c>
      <c r="E86" s="48">
        <f>A124</f>
        <v>0.5</v>
      </c>
      <c r="F86" s="61">
        <f t="shared" ref="F86:G86" si="324">B124</f>
        <v>95.261966193696352</v>
      </c>
      <c r="G86" s="62">
        <f t="shared" si="324"/>
        <v>3.8025096159831113</v>
      </c>
      <c r="I86" s="118">
        <v>19.5</v>
      </c>
      <c r="J86" s="119">
        <v>38.15</v>
      </c>
      <c r="K86" s="120">
        <v>2.7989728539985324</v>
      </c>
      <c r="M86" s="48">
        <f>I124</f>
        <v>0.5</v>
      </c>
      <c r="N86" s="61">
        <f t="shared" ref="N86" si="325">J124</f>
        <v>92.777000000000001</v>
      </c>
      <c r="O86" s="62">
        <f t="shared" ref="O86" si="326">K124</f>
        <v>3.7782728035381217</v>
      </c>
      <c r="Q86" s="118">
        <v>9.5</v>
      </c>
      <c r="R86" s="119">
        <v>18.45</v>
      </c>
      <c r="S86" s="120">
        <v>1.9040247678018574</v>
      </c>
      <c r="U86" s="48">
        <f>Q64</f>
        <v>20.5</v>
      </c>
      <c r="V86" s="61">
        <f>R64</f>
        <v>11.88</v>
      </c>
      <c r="W86" s="62">
        <f>S64</f>
        <v>1.4183381088825215</v>
      </c>
      <c r="Y86" s="121">
        <v>44.5</v>
      </c>
      <c r="Z86" s="122">
        <v>1.3340802189094694</v>
      </c>
      <c r="AA86" s="123">
        <v>1.0367295507045966</v>
      </c>
      <c r="AC86" s="48">
        <f>Y174</f>
        <v>0.5</v>
      </c>
      <c r="AD86" s="61">
        <f t="shared" ref="AD86:AE86" si="327">Z174</f>
        <v>9.4917274374193941</v>
      </c>
      <c r="AE86" s="62">
        <f t="shared" si="327"/>
        <v>3.2524344626526425</v>
      </c>
      <c r="AG86" s="121">
        <v>39.5</v>
      </c>
      <c r="AH86" s="122">
        <v>5.898092829792283</v>
      </c>
      <c r="AI86" s="123">
        <v>1.8549686723238692</v>
      </c>
      <c r="AK86" s="48">
        <f>AG163</f>
        <v>1</v>
      </c>
      <c r="AL86" s="61">
        <f>AH163</f>
        <v>26.570350298848521</v>
      </c>
      <c r="AM86" s="62">
        <f>AI163</f>
        <v>3.6327721886335236</v>
      </c>
    </row>
    <row r="87" spans="1:39">
      <c r="A87" s="118">
        <v>19</v>
      </c>
      <c r="B87" s="119">
        <v>39.213948642034843</v>
      </c>
      <c r="C87" s="120">
        <v>2.8328067832716837</v>
      </c>
      <c r="E87" s="48">
        <f>A123</f>
        <v>1</v>
      </c>
      <c r="F87" s="61">
        <f t="shared" ref="F87:G87" si="328">B123</f>
        <v>92.885778019272564</v>
      </c>
      <c r="G87" s="62">
        <f t="shared" si="328"/>
        <v>3.779354271765484</v>
      </c>
      <c r="I87" s="118">
        <v>19</v>
      </c>
      <c r="J87" s="119">
        <v>39.006999999999998</v>
      </c>
      <c r="K87" s="120">
        <v>2.8263074760531537</v>
      </c>
      <c r="M87" s="48">
        <f>I123</f>
        <v>1</v>
      </c>
      <c r="N87" s="61">
        <f t="shared" ref="N87" si="329">J123</f>
        <v>90.521000000000001</v>
      </c>
      <c r="O87" s="62">
        <f t="shared" ref="O87" si="330">K123</f>
        <v>3.7554036226051895</v>
      </c>
      <c r="Q87" s="118">
        <v>9</v>
      </c>
      <c r="R87" s="119">
        <v>18.829999999999998</v>
      </c>
      <c r="S87" s="120">
        <v>1.9281179602703256</v>
      </c>
      <c r="U87" s="48">
        <f>Q63</f>
        <v>21</v>
      </c>
      <c r="V87" s="61">
        <f>R63</f>
        <v>11.65</v>
      </c>
      <c r="W87" s="62">
        <f>S63</f>
        <v>1.3985594237695078</v>
      </c>
      <c r="Y87" s="121">
        <v>44</v>
      </c>
      <c r="Z87" s="122">
        <v>1.3605943108339218</v>
      </c>
      <c r="AA87" s="123">
        <v>1.0529946978347715</v>
      </c>
      <c r="AC87" s="48">
        <f>Y173</f>
        <v>1</v>
      </c>
      <c r="AD87" s="61">
        <f t="shared" ref="AD87:AE87" si="331">Z173</f>
        <v>9.256809002672977</v>
      </c>
      <c r="AE87" s="62">
        <f t="shared" si="331"/>
        <v>3.22383929498175</v>
      </c>
      <c r="AG87" s="121">
        <v>39</v>
      </c>
      <c r="AH87" s="122">
        <v>6.0021844503896906</v>
      </c>
      <c r="AI87" s="123">
        <v>1.8754265922248894</v>
      </c>
      <c r="AK87" s="48">
        <f>AG162</f>
        <v>1.5</v>
      </c>
      <c r="AL87" s="61">
        <f>AH162</f>
        <v>25.99729136187856</v>
      </c>
      <c r="AM87" s="62">
        <f>AI162</f>
        <v>3.6110066033204253</v>
      </c>
    </row>
    <row r="88" spans="1:39">
      <c r="A88" s="118">
        <v>18.5</v>
      </c>
      <c r="B88" s="119">
        <v>40.116234169226757</v>
      </c>
      <c r="C88" s="120">
        <v>2.8606951474608238</v>
      </c>
      <c r="E88" s="48">
        <f>A122</f>
        <v>1.5</v>
      </c>
      <c r="F88" s="61">
        <f t="shared" ref="F88:G88" si="332">B122</f>
        <v>90.575378510550905</v>
      </c>
      <c r="G88" s="62">
        <f t="shared" si="332"/>
        <v>3.7559649254024583</v>
      </c>
      <c r="I88" s="118">
        <v>18.5</v>
      </c>
      <c r="J88" s="119">
        <v>39.886000000000003</v>
      </c>
      <c r="K88" s="120">
        <v>2.8536473685716741</v>
      </c>
      <c r="M88" s="48">
        <f>I122</f>
        <v>1.5</v>
      </c>
      <c r="N88" s="61">
        <f t="shared" ref="N88" si="333">J122</f>
        <v>88.325999999999993</v>
      </c>
      <c r="O88" s="62">
        <f t="shared" ref="O88" si="334">K122</f>
        <v>3.7323158054865373</v>
      </c>
      <c r="Q88" s="118">
        <v>8.5</v>
      </c>
      <c r="R88" s="119">
        <v>19.23</v>
      </c>
      <c r="S88" s="120">
        <v>1.9530773918342474</v>
      </c>
      <c r="U88" s="48">
        <f>Q62</f>
        <v>21.5</v>
      </c>
      <c r="V88" s="61">
        <f>R62</f>
        <v>11.43</v>
      </c>
      <c r="W88" s="62">
        <f>S62</f>
        <v>1.3794351918899348</v>
      </c>
      <c r="Y88" s="121">
        <v>43.5</v>
      </c>
      <c r="Z88" s="122">
        <v>1.3877127503070403</v>
      </c>
      <c r="AA88" s="123">
        <v>1.069493058429078</v>
      </c>
      <c r="AC88" s="48">
        <f>Y172</f>
        <v>1.5</v>
      </c>
      <c r="AD88" s="61">
        <f t="shared" ref="AD88:AE88" si="335">Z172</f>
        <v>9.0282929206803164</v>
      </c>
      <c r="AE88" s="62">
        <f t="shared" si="335"/>
        <v>3.1951110340673696</v>
      </c>
      <c r="AG88" s="121">
        <v>38.5</v>
      </c>
      <c r="AH88" s="122">
        <v>6.1084130045087219</v>
      </c>
      <c r="AI88" s="123">
        <v>1.8960319066809952</v>
      </c>
      <c r="AK88" s="48">
        <f>AG161</f>
        <v>2</v>
      </c>
      <c r="AL88" s="61">
        <f>AH161</f>
        <v>25.438248576469181</v>
      </c>
      <c r="AM88" s="62">
        <f>AI161</f>
        <v>3.5890950594776361</v>
      </c>
    </row>
    <row r="89" spans="1:39">
      <c r="A89" s="118">
        <v>18</v>
      </c>
      <c r="B89" s="119">
        <v>41.042027670662968</v>
      </c>
      <c r="C89" s="120">
        <v>2.888573779237118</v>
      </c>
      <c r="E89" s="48">
        <f>A121</f>
        <v>2</v>
      </c>
      <c r="F89" s="61">
        <f t="shared" ref="F89:G89" si="336">B121</f>
        <v>88.328795478704762</v>
      </c>
      <c r="G89" s="62">
        <f t="shared" si="336"/>
        <v>3.732345754106869</v>
      </c>
      <c r="I89" s="118">
        <v>18</v>
      </c>
      <c r="J89" s="119">
        <v>40.786000000000001</v>
      </c>
      <c r="K89" s="120">
        <v>2.8809369084282204</v>
      </c>
      <c r="M89" s="48">
        <f>I121</f>
        <v>2</v>
      </c>
      <c r="N89" s="61">
        <f t="shared" ref="N89" si="337">J121</f>
        <v>86.19</v>
      </c>
      <c r="O89" s="62">
        <f t="shared" ref="O89" si="338">K121</f>
        <v>3.7090111025045185</v>
      </c>
      <c r="Q89" s="118">
        <v>8</v>
      </c>
      <c r="R89" s="119">
        <v>19.63</v>
      </c>
      <c r="S89" s="120">
        <v>1.9776344952649607</v>
      </c>
      <c r="U89" s="48">
        <f>Q61</f>
        <v>22</v>
      </c>
      <c r="V89" s="61">
        <f>R61</f>
        <v>11.21</v>
      </c>
      <c r="W89" s="62">
        <f>S61</f>
        <v>1.3601067702014076</v>
      </c>
      <c r="Y89" s="121">
        <v>43</v>
      </c>
      <c r="Z89" s="122">
        <v>1.4154508833982622</v>
      </c>
      <c r="AA89" s="123">
        <v>1.0862263477458722</v>
      </c>
      <c r="AC89" s="48">
        <f>Y171</f>
        <v>2</v>
      </c>
      <c r="AD89" s="61">
        <f t="shared" ref="AD89:AE89" si="339">Z171</f>
        <v>8.8059920492104897</v>
      </c>
      <c r="AE89" s="62">
        <f t="shared" si="339"/>
        <v>3.1662581202577518</v>
      </c>
      <c r="AG89" s="121">
        <v>38</v>
      </c>
      <c r="AH89" s="122">
        <v>6.2168279689885768</v>
      </c>
      <c r="AI89" s="123">
        <v>1.916782980271176</v>
      </c>
      <c r="AK89" s="48">
        <f>AG160</f>
        <v>2.5</v>
      </c>
      <c r="AL89" s="61">
        <f>AH160</f>
        <v>24.892842328897025</v>
      </c>
      <c r="AM89" s="62">
        <f>AI160</f>
        <v>3.5670413568288826</v>
      </c>
    </row>
    <row r="90" spans="1:39">
      <c r="A90" s="118">
        <v>17.5</v>
      </c>
      <c r="B90" s="119">
        <v>41.992005116168883</v>
      </c>
      <c r="C90" s="120">
        <v>2.9164353075323488</v>
      </c>
      <c r="E90" s="48">
        <f>A120</f>
        <v>2.5</v>
      </c>
      <c r="F90" s="61">
        <f t="shared" ref="F90:G90" si="340">B120</f>
        <v>86.144119513582979</v>
      </c>
      <c r="G90" s="62">
        <f t="shared" si="340"/>
        <v>3.7085011223279571</v>
      </c>
      <c r="I90" s="118">
        <v>17.5</v>
      </c>
      <c r="J90" s="119">
        <v>41.71</v>
      </c>
      <c r="K90" s="120">
        <v>2.9082415283781899</v>
      </c>
      <c r="M90" s="48">
        <f>I120</f>
        <v>2.5</v>
      </c>
      <c r="N90" s="61">
        <f t="shared" ref="N90" si="341">J120</f>
        <v>84.111999999999995</v>
      </c>
      <c r="O90" s="62">
        <f t="shared" ref="O90" si="342">K120</f>
        <v>3.6855019629837349</v>
      </c>
      <c r="Q90" s="118">
        <v>7.5</v>
      </c>
      <c r="R90" s="119">
        <v>20.04</v>
      </c>
      <c r="S90" s="120">
        <v>2.0023980815347722</v>
      </c>
      <c r="U90" s="48">
        <f>Q60</f>
        <v>22.5</v>
      </c>
      <c r="V90" s="61">
        <f>R60</f>
        <v>11</v>
      </c>
      <c r="W90" s="62">
        <f>S60</f>
        <v>1.3414634146341464</v>
      </c>
      <c r="Y90" s="121">
        <v>42.5</v>
      </c>
      <c r="Z90" s="122">
        <v>1.4438244814656378</v>
      </c>
      <c r="AA90" s="123">
        <v>1.1031962161844695</v>
      </c>
      <c r="AC90" s="48">
        <f>Y170</f>
        <v>2.5</v>
      </c>
      <c r="AD90" s="61">
        <f t="shared" ref="AD90:AE90" si="343">Z170</f>
        <v>8.5897249821388204</v>
      </c>
      <c r="AE90" s="62">
        <f t="shared" si="343"/>
        <v>3.1372890957802135</v>
      </c>
      <c r="AG90" s="121">
        <v>37.5</v>
      </c>
      <c r="AH90" s="122">
        <v>6.3274800877597537</v>
      </c>
      <c r="AI90" s="123">
        <v>1.9376780904798914</v>
      </c>
      <c r="AK90" s="48">
        <f>AG159</f>
        <v>3</v>
      </c>
      <c r="AL90" s="61">
        <f>AH159</f>
        <v>24.360704213472708</v>
      </c>
      <c r="AM90" s="62">
        <f>AI159</f>
        <v>3.5448493811603785</v>
      </c>
    </row>
    <row r="91" spans="1:39">
      <c r="A91" s="118">
        <v>17</v>
      </c>
      <c r="B91" s="119">
        <v>42.966863475141572</v>
      </c>
      <c r="C91" s="120">
        <v>2.9442723332749234</v>
      </c>
      <c r="E91" s="48">
        <f>A119</f>
        <v>3</v>
      </c>
      <c r="F91" s="61">
        <f t="shared" ref="F91:G91" si="344">B119</f>
        <v>84.019501895212557</v>
      </c>
      <c r="G91" s="62">
        <f t="shared" si="344"/>
        <v>3.6844355789428493</v>
      </c>
      <c r="I91" s="118">
        <v>17</v>
      </c>
      <c r="J91" s="119">
        <v>42.656999999999996</v>
      </c>
      <c r="K91" s="120">
        <v>2.9355051818819931</v>
      </c>
      <c r="M91" s="48">
        <f>I119</f>
        <v>3</v>
      </c>
      <c r="N91" s="61">
        <f t="shared" ref="N91" si="345">J119</f>
        <v>82.088999999999999</v>
      </c>
      <c r="O91" s="62">
        <f t="shared" ref="O91" si="346">K119</f>
        <v>3.661777694510612</v>
      </c>
      <c r="Q91" s="118">
        <v>7</v>
      </c>
      <c r="R91" s="119">
        <v>20.47</v>
      </c>
      <c r="S91" s="120">
        <v>2.0279373885476519</v>
      </c>
      <c r="U91" s="48">
        <f>Q59</f>
        <v>23</v>
      </c>
      <c r="V91" s="61">
        <f>R59</f>
        <v>10.79</v>
      </c>
      <c r="W91" s="62">
        <f>S59</f>
        <v>1.3226280951213532</v>
      </c>
      <c r="Y91" s="121">
        <v>42</v>
      </c>
      <c r="Z91" s="122">
        <v>1.4728497538119831</v>
      </c>
      <c r="AA91" s="123">
        <v>1.1204042454779912</v>
      </c>
      <c r="AC91" s="48">
        <f>Y169</f>
        <v>3</v>
      </c>
      <c r="AD91" s="61">
        <f t="shared" ref="AD91:AE91" si="347">Z169</f>
        <v>8.3793158693926664</v>
      </c>
      <c r="AE91" s="62">
        <f t="shared" si="347"/>
        <v>3.1082125942383647</v>
      </c>
      <c r="AG91" s="121">
        <v>37</v>
      </c>
      <c r="AH91" s="122">
        <v>6.4404214072524137</v>
      </c>
      <c r="AI91" s="123">
        <v>1.9587154269693265</v>
      </c>
      <c r="AK91" s="48">
        <f>AG158</f>
        <v>3.5</v>
      </c>
      <c r="AL91" s="61">
        <f>AH158</f>
        <v>23.841476675859351</v>
      </c>
      <c r="AM91" s="62">
        <f>AI158</f>
        <v>3.522523101491394</v>
      </c>
    </row>
    <row r="92" spans="1:39">
      <c r="A92" s="118">
        <v>16.5</v>
      </c>
      <c r="B92" s="119">
        <v>43.96732140956864</v>
      </c>
      <c r="C92" s="120">
        <v>2.9720774371505692</v>
      </c>
      <c r="E92" s="48">
        <f>A118</f>
        <v>3.5</v>
      </c>
      <c r="F92" s="61">
        <f t="shared" ref="F92:G92" si="348">B118</f>
        <v>81.953152576862749</v>
      </c>
      <c r="G92" s="62">
        <f t="shared" si="348"/>
        <v>3.6601538541130787</v>
      </c>
      <c r="I92" s="118">
        <v>16.5</v>
      </c>
      <c r="J92" s="119">
        <v>43.628</v>
      </c>
      <c r="K92" s="120">
        <v>2.9627315695115986</v>
      </c>
      <c r="M92" s="48">
        <f>I118</f>
        <v>3.5</v>
      </c>
      <c r="N92" s="61">
        <f t="shared" ref="N92" si="349">J118</f>
        <v>80.120999999999995</v>
      </c>
      <c r="O92" s="62">
        <f t="shared" ref="O92" si="350">K118</f>
        <v>3.6378619881766419</v>
      </c>
      <c r="Q92" s="118">
        <v>6.5</v>
      </c>
      <c r="R92" s="119">
        <v>20.9</v>
      </c>
      <c r="S92" s="120">
        <v>2.0530451866404715</v>
      </c>
      <c r="U92" s="48">
        <f>Q58</f>
        <v>23.5</v>
      </c>
      <c r="V92" s="61">
        <f>R58</f>
        <v>10.59</v>
      </c>
      <c r="W92" s="62">
        <f>S58</f>
        <v>1.3045084996304508</v>
      </c>
      <c r="Y92" s="121">
        <v>41.5</v>
      </c>
      <c r="Z92" s="122">
        <v>1.50254336073978</v>
      </c>
      <c r="AA92" s="123">
        <v>1.137851944808302</v>
      </c>
      <c r="AC92" s="48">
        <f>Y168</f>
        <v>3.5</v>
      </c>
      <c r="AD92" s="61">
        <f t="shared" ref="AD92:AE92" si="351">Z168</f>
        <v>8.1745942425064335</v>
      </c>
      <c r="AE92" s="62">
        <f t="shared" si="351"/>
        <v>3.0790373299436355</v>
      </c>
      <c r="AG92" s="121">
        <v>36.5</v>
      </c>
      <c r="AH92" s="122">
        <v>6.5557053128729974</v>
      </c>
      <c r="AI92" s="123">
        <v>1.9798930909260524</v>
      </c>
      <c r="AK92" s="48">
        <f>AG157</f>
        <v>4</v>
      </c>
      <c r="AL92" s="61">
        <f>AH157</f>
        <v>23.334812668518222</v>
      </c>
      <c r="AM92" s="62">
        <f>AI157</f>
        <v>3.5000665671290667</v>
      </c>
    </row>
    <row r="93" spans="1:39">
      <c r="A93" s="118">
        <v>16</v>
      </c>
      <c r="B93" s="119">
        <v>44.994119991000716</v>
      </c>
      <c r="C93" s="120">
        <v>2.9998431874658977</v>
      </c>
      <c r="E93" s="48">
        <f>A117</f>
        <v>4</v>
      </c>
      <c r="F93" s="61">
        <f t="shared" ref="F93:G93" si="352">B117</f>
        <v>79.943338237181905</v>
      </c>
      <c r="G93" s="62">
        <f t="shared" si="352"/>
        <v>3.6356608558091676</v>
      </c>
      <c r="I93" s="118">
        <v>16</v>
      </c>
      <c r="J93" s="119">
        <v>44.624000000000002</v>
      </c>
      <c r="K93" s="120">
        <v>2.9899228130360207</v>
      </c>
      <c r="M93" s="48">
        <f>I117</f>
        <v>4</v>
      </c>
      <c r="N93" s="61">
        <f t="shared" ref="N93" si="353">J117</f>
        <v>78.204999999999998</v>
      </c>
      <c r="O93" s="62">
        <f t="shared" ref="O93" si="354">K117</f>
        <v>3.613742433344115</v>
      </c>
      <c r="Q93" s="118">
        <v>6</v>
      </c>
      <c r="R93" s="119">
        <v>21.35</v>
      </c>
      <c r="S93" s="120">
        <v>2.0788704965920157</v>
      </c>
      <c r="U93" s="48">
        <f>Q57</f>
        <v>24</v>
      </c>
      <c r="V93" s="61">
        <f>R57</f>
        <v>10.39</v>
      </c>
      <c r="W93" s="62">
        <f>S57</f>
        <v>1.2862094577865808</v>
      </c>
      <c r="Y93" s="121">
        <v>41</v>
      </c>
      <c r="Z93" s="122">
        <v>1.5329224270179331</v>
      </c>
      <c r="AA93" s="123">
        <v>1.1555407468462684</v>
      </c>
      <c r="AC93" s="48">
        <f>Y167</f>
        <v>4</v>
      </c>
      <c r="AD93" s="61">
        <f t="shared" ref="AD93:AE93" si="355">Z167</f>
        <v>7.9753948456215937</v>
      </c>
      <c r="AE93" s="62">
        <f t="shared" si="355"/>
        <v>3.0497720871091789</v>
      </c>
      <c r="AG93" s="121">
        <v>36</v>
      </c>
      <c r="AH93" s="122">
        <v>6.6733865665848047</v>
      </c>
      <c r="AI93" s="123">
        <v>2.0012090944856289</v>
      </c>
      <c r="AK93" s="48">
        <f>AG156</f>
        <v>4.5</v>
      </c>
      <c r="AL93" s="61">
        <f>AH156</f>
        <v>22.84037531784843</v>
      </c>
      <c r="AM93" s="62">
        <f>AI156</f>
        <v>3.4774839046122148</v>
      </c>
    </row>
    <row r="94" spans="1:39">
      <c r="A94" s="118">
        <v>15.5</v>
      </c>
      <c r="B94" s="119">
        <v>46.048023442334326</v>
      </c>
      <c r="C94" s="120">
        <v>3.0275621480978798</v>
      </c>
      <c r="E94" s="48">
        <f>A116</f>
        <v>4.5</v>
      </c>
      <c r="F94" s="61">
        <f t="shared" ref="F94:G94" si="356">B116</f>
        <v>77.988380399009088</v>
      </c>
      <c r="G94" s="62">
        <f t="shared" si="356"/>
        <v>3.610961666007388</v>
      </c>
      <c r="I94" s="118">
        <v>15.5</v>
      </c>
      <c r="J94" s="119">
        <v>45.646000000000001</v>
      </c>
      <c r="K94" s="120">
        <v>3.0170795547682627</v>
      </c>
      <c r="M94" s="48">
        <f>I116</f>
        <v>4.5</v>
      </c>
      <c r="N94" s="61">
        <f t="shared" ref="N94" si="357">J116</f>
        <v>76.34</v>
      </c>
      <c r="O94" s="62">
        <f t="shared" ref="O94" si="358">K116</f>
        <v>3.5894301297724285</v>
      </c>
      <c r="Q94" s="118">
        <v>5.5</v>
      </c>
      <c r="R94" s="119">
        <v>21.8</v>
      </c>
      <c r="S94" s="120">
        <v>2.1042471042471043</v>
      </c>
      <c r="U94" s="48">
        <f>Q56</f>
        <v>24.5</v>
      </c>
      <c r="V94" s="61">
        <f>R56</f>
        <v>10.19</v>
      </c>
      <c r="W94" s="62">
        <f>S56</f>
        <v>1.2677282906195571</v>
      </c>
      <c r="Y94" s="121">
        <v>40.5</v>
      </c>
      <c r="Z94" s="122">
        <v>1.5640045557740483</v>
      </c>
      <c r="AA94" s="123">
        <v>1.1734720037210296</v>
      </c>
      <c r="AC94" s="48">
        <f>Y166</f>
        <v>4.5</v>
      </c>
      <c r="AD94" s="61">
        <f t="shared" ref="AD94:AE94" si="359">Z166</f>
        <v>7.7815574717720724</v>
      </c>
      <c r="AE94" s="62">
        <f t="shared" si="359"/>
        <v>3.0204257089347091</v>
      </c>
      <c r="AG94" s="121">
        <v>35.5</v>
      </c>
      <c r="AH94" s="122">
        <v>6.7935213456269823</v>
      </c>
      <c r="AI94" s="123">
        <v>2.0226613602381875</v>
      </c>
      <c r="AK94" s="48">
        <f>AG155</f>
        <v>5</v>
      </c>
      <c r="AL94" s="61">
        <f>AH155</f>
        <v>22.357837602595886</v>
      </c>
      <c r="AM94" s="62">
        <f>AI155</f>
        <v>3.4547793145488561</v>
      </c>
    </row>
    <row r="95" spans="1:39">
      <c r="A95" s="118">
        <v>15</v>
      </c>
      <c r="B95" s="119">
        <v>47.129819905290482</v>
      </c>
      <c r="C95" s="120">
        <v>3.0552268865117473</v>
      </c>
      <c r="E95" s="48">
        <f>A115</f>
        <v>5</v>
      </c>
      <c r="F95" s="61">
        <f t="shared" ref="F95:G95" si="360">B115</f>
        <v>76.086653612540559</v>
      </c>
      <c r="G95" s="62">
        <f t="shared" si="360"/>
        <v>3.5860615365638373</v>
      </c>
      <c r="I95" s="118">
        <v>15</v>
      </c>
      <c r="J95" s="119">
        <v>46.694000000000003</v>
      </c>
      <c r="K95" s="120">
        <v>3.0441755548022011</v>
      </c>
      <c r="M95" s="48">
        <f>I115</f>
        <v>5</v>
      </c>
      <c r="N95" s="61">
        <f t="shared" ref="N95" si="361">J115</f>
        <v>74.524000000000001</v>
      </c>
      <c r="O95" s="62">
        <f t="shared" ref="O95" si="362">K115</f>
        <v>3.5649228885232098</v>
      </c>
      <c r="Q95" s="118">
        <v>5</v>
      </c>
      <c r="R95" s="119">
        <v>22.27</v>
      </c>
      <c r="S95" s="120">
        <v>2.1302850583508706</v>
      </c>
      <c r="U95" s="48">
        <f>Q55</f>
        <v>25</v>
      </c>
      <c r="V95" s="61">
        <f>R55</f>
        <v>10</v>
      </c>
      <c r="W95" s="62">
        <f>S55</f>
        <v>1.25</v>
      </c>
      <c r="Y95" s="121">
        <v>40</v>
      </c>
      <c r="Z95" s="122">
        <v>1.5958078428260545</v>
      </c>
      <c r="AA95" s="123">
        <v>1.1916469829221703</v>
      </c>
      <c r="AC95" s="48">
        <f>Y165</f>
        <v>5</v>
      </c>
      <c r="AD95" s="61">
        <f t="shared" ref="AD95:AE95" si="363">Z165</f>
        <v>7.5929268042975124</v>
      </c>
      <c r="AE95" s="62">
        <f t="shared" si="363"/>
        <v>2.9910070866109204</v>
      </c>
      <c r="AG95" s="121">
        <v>35</v>
      </c>
      <c r="AH95" s="122">
        <v>6.9161672824100382</v>
      </c>
      <c r="AI95" s="123">
        <v>2.0442477208184404</v>
      </c>
      <c r="AK95" s="48">
        <f>AG154</f>
        <v>5.5</v>
      </c>
      <c r="AL95" s="61">
        <f>AH154</f>
        <v>21.886882043129383</v>
      </c>
      <c r="AM95" s="62">
        <f>AI154</f>
        <v>3.4319570683527081</v>
      </c>
    </row>
    <row r="96" spans="1:39">
      <c r="A96" s="118">
        <v>14.5</v>
      </c>
      <c r="B96" s="119">
        <v>48.240322234508703</v>
      </c>
      <c r="C96" s="120">
        <v>3.0828299818294846</v>
      </c>
      <c r="E96" s="48">
        <f>A114</f>
        <v>5.5</v>
      </c>
      <c r="F96" s="61">
        <f t="shared" ref="F96:G96" si="364">B114</f>
        <v>74.236583700616123</v>
      </c>
      <c r="G96" s="62">
        <f t="shared" si="364"/>
        <v>3.5609658847720524</v>
      </c>
      <c r="I96" s="118">
        <v>14.5</v>
      </c>
      <c r="J96" s="119">
        <v>47.768999999999998</v>
      </c>
      <c r="K96" s="120">
        <v>3.0712108938008718</v>
      </c>
      <c r="M96" s="48">
        <f>I114</f>
        <v>5.5</v>
      </c>
      <c r="N96" s="61">
        <f t="shared" ref="N96" si="365">J114</f>
        <v>72.757000000000005</v>
      </c>
      <c r="O96" s="62">
        <f t="shared" ref="O96" si="366">K114</f>
        <v>3.5402454334011311</v>
      </c>
      <c r="Q96" s="118">
        <v>4.5</v>
      </c>
      <c r="R96" s="119">
        <v>22.75</v>
      </c>
      <c r="S96" s="120">
        <v>2.1563981042654028</v>
      </c>
      <c r="U96" s="48">
        <f>Q54</f>
        <v>25.5</v>
      </c>
      <c r="V96" s="61">
        <f>R54</f>
        <v>9.8149999999999995</v>
      </c>
      <c r="W96" s="62">
        <f>S54</f>
        <v>1.2325756624387794</v>
      </c>
      <c r="Y96" s="121">
        <v>39.5</v>
      </c>
      <c r="Z96" s="122">
        <v>1.6283508914678788</v>
      </c>
      <c r="AA96" s="123">
        <v>1.2100668631393514</v>
      </c>
      <c r="AC96" s="48">
        <f>Y164</f>
        <v>5.5</v>
      </c>
      <c r="AD96" s="61">
        <f t="shared" ref="AD96:AE96" si="367">Z164</f>
        <v>7.4093522632335675</v>
      </c>
      <c r="AE96" s="62">
        <f t="shared" si="367"/>
        <v>2.9615251482726692</v>
      </c>
      <c r="AG96" s="121">
        <v>34.5</v>
      </c>
      <c r="AH96" s="122">
        <v>7.0413835056254479</v>
      </c>
      <c r="AI96" s="123">
        <v>2.0659659185831516</v>
      </c>
      <c r="AK96" s="48">
        <f>AG153</f>
        <v>6</v>
      </c>
      <c r="AL96" s="61">
        <f>AH153</f>
        <v>21.427200401191609</v>
      </c>
      <c r="AM96" s="62">
        <f>AI153</f>
        <v>3.4090215048838974</v>
      </c>
    </row>
    <row r="97" spans="1:39">
      <c r="A97" s="118">
        <v>14</v>
      </c>
      <c r="B97" s="119">
        <v>49.380368819209771</v>
      </c>
      <c r="C97" s="120">
        <v>3.1103640329307654</v>
      </c>
      <c r="E97" s="48">
        <f>A113</f>
        <v>6</v>
      </c>
      <c r="F97" s="61">
        <f t="shared" ref="F97:G97" si="368">B113</f>
        <v>72.43664606396419</v>
      </c>
      <c r="G97" s="62">
        <f t="shared" si="368"/>
        <v>3.535680288611402</v>
      </c>
      <c r="I97" s="118">
        <v>14</v>
      </c>
      <c r="J97" s="119">
        <v>48.872</v>
      </c>
      <c r="K97" s="120">
        <v>3.0981844000405721</v>
      </c>
      <c r="M97" s="48">
        <f>I113</f>
        <v>6</v>
      </c>
      <c r="N97" s="61">
        <f t="shared" ref="N97" si="369">J113</f>
        <v>71.036000000000001</v>
      </c>
      <c r="O97" s="62">
        <f t="shared" ref="O97" si="370">K113</f>
        <v>3.515380656399699</v>
      </c>
      <c r="Q97" s="118">
        <v>4</v>
      </c>
      <c r="R97" s="119">
        <v>23.24</v>
      </c>
      <c r="S97" s="120">
        <v>2.1825694966190832</v>
      </c>
      <c r="U97" s="48">
        <f>Q53</f>
        <v>26</v>
      </c>
      <c r="V97" s="61">
        <f>R53</f>
        <v>9.6319999999999997</v>
      </c>
      <c r="W97" s="62">
        <f>S53</f>
        <v>1.2151796528058134</v>
      </c>
      <c r="Y97" s="121">
        <v>39</v>
      </c>
      <c r="Z97" s="122">
        <v>1.661652827724021</v>
      </c>
      <c r="AA97" s="123">
        <v>1.2287327300441533</v>
      </c>
      <c r="AC97" s="48">
        <f>Y163</f>
        <v>6</v>
      </c>
      <c r="AD97" s="61">
        <f t="shared" ref="AD97:AE97" si="371">Z163</f>
        <v>7.2306878565290376</v>
      </c>
      <c r="AE97" s="62">
        <f t="shared" si="371"/>
        <v>2.9319888479296896</v>
      </c>
      <c r="AG97" s="121">
        <v>34</v>
      </c>
      <c r="AH97" s="122">
        <v>7.1692306826092933</v>
      </c>
      <c r="AI97" s="123">
        <v>2.0878136053792451</v>
      </c>
      <c r="AK97" s="48">
        <f>AG152</f>
        <v>6.5</v>
      </c>
      <c r="AL97" s="61">
        <f>AH152</f>
        <v>20.97849338975254</v>
      </c>
      <c r="AM97" s="62">
        <f>AI152</f>
        <v>3.3859770269996528</v>
      </c>
    </row>
    <row r="98" spans="1:39">
      <c r="A98" s="118">
        <v>13.5</v>
      </c>
      <c r="B98" s="119">
        <v>50.55082443341233</v>
      </c>
      <c r="C98" s="120">
        <v>3.1378216665678189</v>
      </c>
      <c r="E98" s="48">
        <f>A112</f>
        <v>6.5</v>
      </c>
      <c r="F98" s="61">
        <f t="shared" ref="F98:G98" si="372">B112</f>
        <v>70.685364044321958</v>
      </c>
      <c r="G98" s="62">
        <f t="shared" si="372"/>
        <v>3.5102104816945428</v>
      </c>
      <c r="I98" s="118">
        <v>13.5</v>
      </c>
      <c r="J98" s="119">
        <v>50.003999999999998</v>
      </c>
      <c r="K98" s="120">
        <v>3.1250937453127343</v>
      </c>
      <c r="M98" s="48">
        <f>I112</f>
        <v>6.5</v>
      </c>
      <c r="N98" s="61">
        <f t="shared" ref="N98" si="373">J112</f>
        <v>69.361000000000004</v>
      </c>
      <c r="O98" s="62">
        <f t="shared" ref="O98" si="374">K112</f>
        <v>3.4903533579573476</v>
      </c>
      <c r="Q98" s="118">
        <v>3.5</v>
      </c>
      <c r="R98" s="119">
        <v>23.74</v>
      </c>
      <c r="S98" s="120">
        <v>2.2087830294008186</v>
      </c>
      <c r="U98" s="48">
        <f>Q52</f>
        <v>26.5</v>
      </c>
      <c r="V98" s="61">
        <f>R52</f>
        <v>9.4529999999999994</v>
      </c>
      <c r="W98" s="62">
        <f>S52</f>
        <v>1.1980077560641775</v>
      </c>
      <c r="Y98" s="121">
        <v>38.5</v>
      </c>
      <c r="Z98" s="122">
        <v>1.6957333160885781</v>
      </c>
      <c r="AA98" s="123">
        <v>1.2476455720194386</v>
      </c>
      <c r="AC98" s="48">
        <f>Y162</f>
        <v>6.5</v>
      </c>
      <c r="AD98" s="61">
        <f t="shared" ref="AD98:AE98" si="375">Z162</f>
        <v>7.0567920359462031</v>
      </c>
      <c r="AE98" s="62">
        <f t="shared" si="375"/>
        <v>2.9024071544039334</v>
      </c>
      <c r="AG98" s="121">
        <v>33.5</v>
      </c>
      <c r="AH98" s="122">
        <v>7.2997710630009642</v>
      </c>
      <c r="AI98" s="123">
        <v>2.1097883424055799</v>
      </c>
      <c r="AK98" s="48">
        <f>AG151</f>
        <v>7</v>
      </c>
      <c r="AL98" s="61">
        <f>AH151</f>
        <v>20.540470392601037</v>
      </c>
      <c r="AM98" s="62">
        <f>AI151</f>
        <v>3.3628280980206062</v>
      </c>
    </row>
    <row r="99" spans="1:39">
      <c r="A99" s="118">
        <v>13</v>
      </c>
      <c r="B99" s="119">
        <v>51.752581115728198</v>
      </c>
      <c r="C99" s="120">
        <v>3.1651955454756666</v>
      </c>
      <c r="E99" s="48">
        <f>A111</f>
        <v>7</v>
      </c>
      <c r="F99" s="61">
        <f t="shared" ref="F99:G99" si="376">B111</f>
        <v>68.981307343416788</v>
      </c>
      <c r="G99" s="62">
        <f t="shared" si="376"/>
        <v>3.4845623479231969</v>
      </c>
      <c r="I99" s="118">
        <v>13</v>
      </c>
      <c r="J99" s="119">
        <v>51.164999999999999</v>
      </c>
      <c r="K99" s="120">
        <v>3.1519127702827574</v>
      </c>
      <c r="M99" s="48">
        <f>I111</f>
        <v>7</v>
      </c>
      <c r="N99" s="61">
        <f t="shared" ref="N99" si="377">J111</f>
        <v>67.73</v>
      </c>
      <c r="O99" s="62">
        <f t="shared" ref="O99" si="378">K111</f>
        <v>3.4651591118387395</v>
      </c>
      <c r="Q99" s="118">
        <v>3</v>
      </c>
      <c r="R99" s="119">
        <v>24.25</v>
      </c>
      <c r="S99" s="120">
        <v>2.2350230414746544</v>
      </c>
      <c r="U99" s="48">
        <f>Q51</f>
        <v>27</v>
      </c>
      <c r="V99" s="61">
        <f>R51</f>
        <v>9.2780000000000005</v>
      </c>
      <c r="W99" s="62">
        <f>S51</f>
        <v>1.181068282499109</v>
      </c>
      <c r="Y99" s="121">
        <v>38</v>
      </c>
      <c r="Z99" s="122">
        <v>1.7306125757647566</v>
      </c>
      <c r="AA99" s="123">
        <v>1.266806275841956</v>
      </c>
      <c r="AC99" s="48">
        <f>Y161</f>
        <v>7</v>
      </c>
      <c r="AD99" s="61">
        <f t="shared" ref="AD99:AE99" si="379">Z161</f>
        <v>6.8875275575019312</v>
      </c>
      <c r="AE99" s="62">
        <f t="shared" si="379"/>
        <v>2.8727890403019924</v>
      </c>
      <c r="AG99" s="121">
        <v>33</v>
      </c>
      <c r="AH99" s="122">
        <v>7.4330685237387613</v>
      </c>
      <c r="AI99" s="123">
        <v>2.131887600171217</v>
      </c>
      <c r="AK99" s="48">
        <f>AG150</f>
        <v>7.5</v>
      </c>
      <c r="AL99" s="61">
        <f>AH150</f>
        <v>20.112849193332284</v>
      </c>
      <c r="AM99" s="62">
        <f>AI150</f>
        <v>3.3395792381190148</v>
      </c>
    </row>
    <row r="100" spans="1:39">
      <c r="A100" s="118">
        <v>12.5</v>
      </c>
      <c r="B100" s="119">
        <v>52.986559079796415</v>
      </c>
      <c r="C100" s="120">
        <v>3.1924783764589364</v>
      </c>
      <c r="E100" s="48">
        <f>A110</f>
        <v>7.5</v>
      </c>
      <c r="F100" s="61">
        <f t="shared" ref="F100:G100" si="380">B110</f>
        <v>67.323090495868954</v>
      </c>
      <c r="G100" s="62">
        <f t="shared" si="380"/>
        <v>3.4587419158625359</v>
      </c>
      <c r="I100" s="118">
        <v>12.5</v>
      </c>
      <c r="J100" s="119">
        <v>52.356000000000002</v>
      </c>
      <c r="K100" s="120">
        <v>3.1786390791199191</v>
      </c>
      <c r="M100" s="48">
        <f>I110</f>
        <v>7.5</v>
      </c>
      <c r="N100" s="61">
        <f t="shared" ref="N100" si="381">J110</f>
        <v>66.141000000000005</v>
      </c>
      <c r="O100" s="62">
        <f t="shared" ref="O100" si="382">K110</f>
        <v>3.4397915561519019</v>
      </c>
      <c r="Q100" s="118">
        <v>2.5</v>
      </c>
      <c r="R100" s="119">
        <v>24.78</v>
      </c>
      <c r="S100" s="120">
        <v>2.261774370208105</v>
      </c>
      <c r="U100" s="48">
        <f>Q50</f>
        <v>27.5</v>
      </c>
      <c r="V100" s="61">
        <f>R50</f>
        <v>9.1069999999999993</v>
      </c>
      <c r="W100" s="62">
        <f>S50</f>
        <v>1.1643695502084026</v>
      </c>
      <c r="Y100" s="121">
        <v>37.5</v>
      </c>
      <c r="Z100" s="122">
        <v>1.7663113974213838</v>
      </c>
      <c r="AA100" s="123">
        <v>1.2862156223243202</v>
      </c>
      <c r="AC100" s="48">
        <f>Y160</f>
        <v>7.5</v>
      </c>
      <c r="AD100" s="61">
        <f t="shared" ref="AD100:AE100" si="383">Z160</f>
        <v>6.7227613463133711</v>
      </c>
      <c r="AE100" s="62">
        <f t="shared" si="383"/>
        <v>2.8431434710511576</v>
      </c>
      <c r="AG100" s="121">
        <v>32.5</v>
      </c>
      <c r="AH100" s="122">
        <v>7.5691886154369294</v>
      </c>
      <c r="AI100" s="123">
        <v>2.1541087585531313</v>
      </c>
      <c r="AK100" s="48">
        <f>AG149</f>
        <v>8</v>
      </c>
      <c r="AL100" s="61">
        <f>AH149</f>
        <v>19.695355713391638</v>
      </c>
      <c r="AM100" s="62">
        <f>AI149</f>
        <v>3.3162350206348385</v>
      </c>
    </row>
    <row r="101" spans="1:39">
      <c r="A101" s="118">
        <v>12</v>
      </c>
      <c r="B101" s="119">
        <v>54.25370765645323</v>
      </c>
      <c r="C101" s="120">
        <v>3.2196629184364318</v>
      </c>
      <c r="E101" s="48">
        <f>A109</f>
        <v>8</v>
      </c>
      <c r="F101" s="61">
        <f t="shared" ref="F101:G101" si="384">B109</f>
        <v>65.709371394139424</v>
      </c>
      <c r="G101" s="62">
        <f t="shared" si="384"/>
        <v>3.4327553528453647</v>
      </c>
      <c r="I101" s="118">
        <v>12</v>
      </c>
      <c r="J101" s="119">
        <v>53.579000000000001</v>
      </c>
      <c r="K101" s="120">
        <v>3.2052908027135998</v>
      </c>
      <c r="M101" s="48">
        <f>I109</f>
        <v>8</v>
      </c>
      <c r="N101" s="61">
        <f t="shared" ref="N101" si="385">J109</f>
        <v>64.596000000000004</v>
      </c>
      <c r="O101" s="62">
        <f t="shared" ref="O101" si="386">K109</f>
        <v>3.4143092731193709</v>
      </c>
      <c r="Q101" s="118">
        <v>2</v>
      </c>
      <c r="R101" s="119">
        <v>25.32</v>
      </c>
      <c r="S101" s="120">
        <v>2.2885032537960952</v>
      </c>
      <c r="U101" s="48">
        <f>Q49</f>
        <v>28</v>
      </c>
      <c r="V101" s="61">
        <f>R49</f>
        <v>8.9390000000000001</v>
      </c>
      <c r="W101" s="62">
        <f>S49</f>
        <v>1.1478209507177894</v>
      </c>
      <c r="Y101" s="121">
        <v>37</v>
      </c>
      <c r="Z101" s="122">
        <v>1.8028511604835842</v>
      </c>
      <c r="AA101" s="123">
        <v>1.3058742819230107</v>
      </c>
      <c r="AC101" s="48">
        <f>Y159</f>
        <v>8</v>
      </c>
      <c r="AD101" s="61">
        <f t="shared" ref="AD101:AE101" si="387">Z159</f>
        <v>6.5623643657131936</v>
      </c>
      <c r="AE101" s="62">
        <f t="shared" si="387"/>
        <v>2.8134793940267544</v>
      </c>
      <c r="AG101" s="121">
        <v>32</v>
      </c>
      <c r="AH101" s="122">
        <v>7.7081986101895188</v>
      </c>
      <c r="AI101" s="123">
        <v>2.1764491069560639</v>
      </c>
      <c r="AK101" s="48">
        <f>AG148</f>
        <v>8.5</v>
      </c>
      <c r="AL101" s="61">
        <f>AH148</f>
        <v>19.287723758857066</v>
      </c>
      <c r="AM101" s="62">
        <f>AI148</f>
        <v>3.2928000683262653</v>
      </c>
    </row>
    <row r="102" spans="1:39">
      <c r="A102" s="118">
        <v>11.5</v>
      </c>
      <c r="B102" s="119">
        <v>55.555006268779188</v>
      </c>
      <c r="C102" s="120">
        <v>3.246741990424725</v>
      </c>
      <c r="E102" s="48">
        <f>A108</f>
        <v>8.5</v>
      </c>
      <c r="F102" s="61">
        <f t="shared" ref="F102:G102" si="388">B108</f>
        <v>64.138849863712878</v>
      </c>
      <c r="G102" s="62">
        <f t="shared" si="388"/>
        <v>3.4066089588181856</v>
      </c>
      <c r="I102" s="118">
        <v>11.5</v>
      </c>
      <c r="J102" s="119">
        <v>54.832999999999998</v>
      </c>
      <c r="K102" s="120">
        <v>3.2318201643228459</v>
      </c>
      <c r="M102" s="48">
        <f>I108</f>
        <v>8.5</v>
      </c>
      <c r="N102" s="61">
        <f t="shared" ref="N102" si="389">J108</f>
        <v>63.088000000000001</v>
      </c>
      <c r="O102" s="62">
        <f t="shared" ref="O102" si="390">K108</f>
        <v>3.388621519422482</v>
      </c>
      <c r="Q102" s="118">
        <v>1.5</v>
      </c>
      <c r="R102" s="119">
        <v>25.87</v>
      </c>
      <c r="S102" s="120">
        <v>2.3151959906926791</v>
      </c>
      <c r="U102" s="48">
        <f>Q48</f>
        <v>28.5</v>
      </c>
      <c r="V102" s="61">
        <f>R48</f>
        <v>8.7750000000000004</v>
      </c>
      <c r="W102" s="62">
        <f>S48</f>
        <v>1.1315280464216635</v>
      </c>
      <c r="Y102" s="121">
        <v>36.5</v>
      </c>
      <c r="Z102" s="122">
        <v>1.8402538509753139</v>
      </c>
      <c r="AA102" s="123">
        <v>1.3257828103194691</v>
      </c>
      <c r="AC102" s="48">
        <f>Y158</f>
        <v>8.5</v>
      </c>
      <c r="AD102" s="61">
        <f t="shared" ref="AD102:AE102" si="391">Z158</f>
        <v>6.4062114905047114</v>
      </c>
      <c r="AE102" s="62">
        <f t="shared" si="391"/>
        <v>2.7838057277981196</v>
      </c>
      <c r="AG102" s="121">
        <v>31.5</v>
      </c>
      <c r="AH102" s="122">
        <v>7.8501675508471287</v>
      </c>
      <c r="AI102" s="123">
        <v>2.198905844576954</v>
      </c>
      <c r="AK102" s="48">
        <f>AG147</f>
        <v>9</v>
      </c>
      <c r="AL102" s="61">
        <f>AH147</f>
        <v>18.889694775649268</v>
      </c>
      <c r="AM102" s="62">
        <f>AI147</f>
        <v>3.2692790495611495</v>
      </c>
    </row>
    <row r="103" spans="1:39">
      <c r="A103" s="118">
        <v>11</v>
      </c>
      <c r="B103" s="119">
        <v>56.891465441201497</v>
      </c>
      <c r="C103" s="120">
        <v>3.2737084794420541</v>
      </c>
      <c r="E103" s="48">
        <f>A107</f>
        <v>9</v>
      </c>
      <c r="F103" s="61">
        <f t="shared" ref="F103:G103" si="392">B107</f>
        <v>62.61026628677228</v>
      </c>
      <c r="G103" s="62">
        <f t="shared" si="392"/>
        <v>3.3803091599421862</v>
      </c>
      <c r="I103" s="118">
        <v>11</v>
      </c>
      <c r="J103" s="119">
        <v>56.121000000000002</v>
      </c>
      <c r="K103" s="120">
        <v>3.258264534782457</v>
      </c>
      <c r="M103" s="48">
        <f>I107</f>
        <v>9</v>
      </c>
      <c r="N103" s="61">
        <f t="shared" ref="N103" si="393">J107</f>
        <v>61.62</v>
      </c>
      <c r="O103" s="62">
        <f t="shared" ref="O103" si="394">K107</f>
        <v>3.3628028814669282</v>
      </c>
      <c r="Q103" s="118">
        <v>1</v>
      </c>
      <c r="R103" s="119">
        <v>26.44</v>
      </c>
      <c r="S103" s="120">
        <v>2.3423104181431613</v>
      </c>
      <c r="U103" s="48">
        <f>Q47</f>
        <v>29</v>
      </c>
      <c r="V103" s="61">
        <f>R47</f>
        <v>8.6140000000000008</v>
      </c>
      <c r="W103" s="62">
        <f>S47</f>
        <v>1.115398560107733</v>
      </c>
      <c r="Y103" s="121">
        <v>36</v>
      </c>
      <c r="Z103" s="122">
        <v>1.8785420799320702</v>
      </c>
      <c r="AA103" s="123">
        <v>1.345941643981859</v>
      </c>
      <c r="AC103" s="48">
        <f>Y157</f>
        <v>9</v>
      </c>
      <c r="AD103" s="61">
        <f t="shared" ref="AD103:AE103" si="395">Z157</f>
        <v>6.2541813842300025</v>
      </c>
      <c r="AE103" s="62">
        <f t="shared" si="395"/>
        <v>2.7541313515197716</v>
      </c>
      <c r="AG103" s="121">
        <v>31</v>
      </c>
      <c r="AH103" s="122">
        <v>7.99516630181673</v>
      </c>
      <c r="AI103" s="123">
        <v>2.2214760807766374</v>
      </c>
      <c r="AK103" s="48">
        <f>AG146</f>
        <v>9.5</v>
      </c>
      <c r="AL103" s="61">
        <f>AH146</f>
        <v>18.501017612871323</v>
      </c>
      <c r="AM103" s="62">
        <f>AI146</f>
        <v>3.2456766744560186</v>
      </c>
    </row>
    <row r="104" spans="1:39">
      <c r="A104" s="118">
        <v>10.5</v>
      </c>
      <c r="B104" s="119">
        <v>58.264127843875933</v>
      </c>
      <c r="C104" s="120">
        <v>3.3005553483140484</v>
      </c>
      <c r="E104" s="48">
        <f>A106</f>
        <v>9.5</v>
      </c>
      <c r="F104" s="61">
        <f t="shared" ref="F104:G104" si="396">B106</f>
        <v>61.122400272676096</v>
      </c>
      <c r="G104" s="62">
        <f t="shared" si="396"/>
        <v>3.3538625019628805</v>
      </c>
      <c r="I104" s="118">
        <v>10.5</v>
      </c>
      <c r="J104" s="119">
        <v>57.442</v>
      </c>
      <c r="K104" s="120">
        <v>3.2845772054619058</v>
      </c>
      <c r="M104" s="48">
        <f>I106</f>
        <v>9.5</v>
      </c>
      <c r="N104" s="61">
        <f t="shared" ref="N104" si="397">J106</f>
        <v>60.191000000000003</v>
      </c>
      <c r="O104" s="62">
        <f t="shared" ref="O104" si="398">K106</f>
        <v>3.3368628798882374</v>
      </c>
      <c r="Q104" s="118">
        <v>0.5</v>
      </c>
      <c r="R104" s="119">
        <v>27.02</v>
      </c>
      <c r="S104" s="120">
        <v>2.3693440897930551</v>
      </c>
      <c r="U104" s="48">
        <f>Q46</f>
        <v>29.5</v>
      </c>
      <c r="V104" s="61">
        <f>R46</f>
        <v>8.4570000000000007</v>
      </c>
      <c r="W104" s="62">
        <f>S46</f>
        <v>1.0995397456899916</v>
      </c>
      <c r="Y104" s="121">
        <v>35.5</v>
      </c>
      <c r="Z104" s="122">
        <v>1.9177391024026176</v>
      </c>
      <c r="AA104" s="123">
        <v>1.3663510957154661</v>
      </c>
      <c r="AC104" s="48">
        <f>Y156</f>
        <v>9.5</v>
      </c>
      <c r="AD104" s="61">
        <f t="shared" ref="AD104:AE104" si="399">Z156</f>
        <v>6.106156380327489</v>
      </c>
      <c r="AE104" s="62">
        <f t="shared" si="399"/>
        <v>2.7244650944934623</v>
      </c>
      <c r="AG104" s="121">
        <v>30.5</v>
      </c>
      <c r="AH104" s="122">
        <v>8.1432676014333261</v>
      </c>
      <c r="AI104" s="123">
        <v>2.2441568355608679</v>
      </c>
      <c r="AK104" s="48">
        <f>AG145</f>
        <v>10</v>
      </c>
      <c r="AL104" s="61">
        <f>AH145</f>
        <v>18.121448293991815</v>
      </c>
      <c r="AM104" s="62">
        <f>AI145</f>
        <v>3.2219976909694741</v>
      </c>
    </row>
    <row r="105" spans="1:39">
      <c r="A105" s="118">
        <v>10</v>
      </c>
      <c r="B105" s="119">
        <v>59.674069373614898</v>
      </c>
      <c r="C105" s="120">
        <v>3.3272756433630186</v>
      </c>
      <c r="E105" s="48">
        <f>A105</f>
        <v>10</v>
      </c>
      <c r="F105" s="61">
        <f t="shared" ref="F105:G105" si="400">B105</f>
        <v>59.674069373614898</v>
      </c>
      <c r="G105" s="62">
        <f t="shared" si="400"/>
        <v>3.3272756433630186</v>
      </c>
      <c r="I105" s="118">
        <v>10</v>
      </c>
      <c r="J105" s="119">
        <v>58.798999999999999</v>
      </c>
      <c r="K105" s="120">
        <v>3.3107917881958127</v>
      </c>
      <c r="M105" s="48">
        <f>I105</f>
        <v>10</v>
      </c>
      <c r="N105" s="61">
        <f t="shared" ref="N105" si="401">J105</f>
        <v>58.798999999999999</v>
      </c>
      <c r="O105" s="62">
        <f t="shared" ref="O105" si="402">K105</f>
        <v>3.3107917881958127</v>
      </c>
      <c r="Q105" s="130">
        <v>0</v>
      </c>
      <c r="R105" s="131">
        <v>27.62</v>
      </c>
      <c r="S105" s="132">
        <v>2.3967372440124954</v>
      </c>
      <c r="U105" s="48">
        <f>Q45</f>
        <v>30</v>
      </c>
      <c r="V105" s="61">
        <f>R45</f>
        <v>8.3030000000000008</v>
      </c>
      <c r="W105" s="62">
        <f>S45</f>
        <v>1.0838576612797954</v>
      </c>
      <c r="Y105" s="121">
        <v>35</v>
      </c>
      <c r="Z105" s="122">
        <v>1.9578688370595239</v>
      </c>
      <c r="AA105" s="123">
        <v>1.3870113502103694</v>
      </c>
      <c r="AC105" s="48">
        <f>Y155</f>
        <v>10</v>
      </c>
      <c r="AD105" s="61">
        <f t="shared" ref="AD105:AE105" si="403">Z155</f>
        <v>5.9620223670590882</v>
      </c>
      <c r="AE105" s="62">
        <f t="shared" si="403"/>
        <v>2.6948157259259506</v>
      </c>
      <c r="AG105" s="121">
        <v>30</v>
      </c>
      <c r="AH105" s="122">
        <v>8.294546115956674</v>
      </c>
      <c r="AI105" s="123">
        <v>2.2669450401729545</v>
      </c>
      <c r="AK105" s="48">
        <f>AG144</f>
        <v>10.5</v>
      </c>
      <c r="AL105" s="61">
        <f>AH144</f>
        <v>17.750749795594508</v>
      </c>
      <c r="AM105" s="62">
        <f>AI144</f>
        <v>3.1982468809567948</v>
      </c>
    </row>
    <row r="106" spans="1:39">
      <c r="A106" s="118">
        <v>9.5</v>
      </c>
      <c r="B106" s="119">
        <v>61.122400272676096</v>
      </c>
      <c r="C106" s="120">
        <v>3.3538625019628805</v>
      </c>
      <c r="E106" s="48">
        <f>A104</f>
        <v>10.5</v>
      </c>
      <c r="F106" s="61">
        <f t="shared" ref="F106:G106" si="404">B104</f>
        <v>58.264127843875933</v>
      </c>
      <c r="G106" s="62">
        <f t="shared" si="404"/>
        <v>3.3005553483140484</v>
      </c>
      <c r="I106" s="118">
        <v>9.5</v>
      </c>
      <c r="J106" s="119">
        <v>60.191000000000003</v>
      </c>
      <c r="K106" s="120">
        <v>3.3368628798882374</v>
      </c>
      <c r="M106" s="48">
        <f>I104</f>
        <v>10.5</v>
      </c>
      <c r="N106" s="61">
        <f t="shared" ref="N106" si="405">J104</f>
        <v>57.442</v>
      </c>
      <c r="O106" s="62">
        <f t="shared" ref="O106" si="406">K104</f>
        <v>3.2845772054619058</v>
      </c>
      <c r="Q106" s="118">
        <v>-0.5</v>
      </c>
      <c r="R106" s="119">
        <v>28.23</v>
      </c>
      <c r="S106" s="120">
        <v>2.4240082431736218</v>
      </c>
      <c r="U106" s="48">
        <f>Q44</f>
        <v>30.5</v>
      </c>
      <c r="V106" s="61">
        <f>R44</f>
        <v>8.1519999999999992</v>
      </c>
      <c r="W106" s="62">
        <f>S44</f>
        <v>1.0683581463619207</v>
      </c>
      <c r="Y106" s="121">
        <v>34.5</v>
      </c>
      <c r="Z106" s="122">
        <v>1.9989558864383685</v>
      </c>
      <c r="AA106" s="123">
        <v>1.4079224595951594</v>
      </c>
      <c r="AC106" s="48">
        <f>Y154</f>
        <v>10.5</v>
      </c>
      <c r="AD106" s="61">
        <f t="shared" ref="AD106:AE106" si="407">Z154</f>
        <v>5.8216686760905363</v>
      </c>
      <c r="AE106" s="62">
        <f t="shared" si="407"/>
        <v>2.6651919449063666</v>
      </c>
      <c r="AG106" s="121">
        <v>29.5</v>
      </c>
      <c r="AH106" s="122">
        <v>8.4490784952466669</v>
      </c>
      <c r="AI106" s="123">
        <v>2.2898375377999338</v>
      </c>
      <c r="AK106" s="48">
        <f>AG143</f>
        <v>11</v>
      </c>
      <c r="AL106" s="61">
        <f>AH143</f>
        <v>17.388691833429068</v>
      </c>
      <c r="AM106" s="62">
        <f>AI143</f>
        <v>3.1744290561927144</v>
      </c>
    </row>
    <row r="107" spans="1:39">
      <c r="A107" s="118">
        <v>9</v>
      </c>
      <c r="B107" s="119">
        <v>62.61026628677228</v>
      </c>
      <c r="C107" s="120">
        <v>3.3803091599421862</v>
      </c>
      <c r="E107" s="48">
        <f>A103</f>
        <v>11</v>
      </c>
      <c r="F107" s="61">
        <f t="shared" ref="F107:G107" si="408">B103</f>
        <v>56.891465441201497</v>
      </c>
      <c r="G107" s="62">
        <f t="shared" si="408"/>
        <v>3.2737084794420541</v>
      </c>
      <c r="I107" s="118">
        <v>9</v>
      </c>
      <c r="J107" s="119">
        <v>61.62</v>
      </c>
      <c r="K107" s="120">
        <v>3.3628028814669282</v>
      </c>
      <c r="M107" s="48">
        <f>I103</f>
        <v>11</v>
      </c>
      <c r="N107" s="61">
        <f t="shared" ref="N107" si="409">J103</f>
        <v>56.121000000000002</v>
      </c>
      <c r="O107" s="62">
        <f t="shared" ref="O107" si="410">K103</f>
        <v>3.258264534782457</v>
      </c>
      <c r="Q107" s="118">
        <v>-1</v>
      </c>
      <c r="R107" s="119">
        <v>28.86</v>
      </c>
      <c r="S107" s="120">
        <v>2.4515800203873601</v>
      </c>
      <c r="U107" s="48">
        <f>Q43</f>
        <v>31</v>
      </c>
      <c r="V107" s="61">
        <f>R43</f>
        <v>8.0050000000000008</v>
      </c>
      <c r="W107" s="62">
        <f>S43</f>
        <v>1.0531509011972109</v>
      </c>
      <c r="Y107" s="121">
        <v>34</v>
      </c>
      <c r="Z107" s="122">
        <v>2.0410255578269285</v>
      </c>
      <c r="AA107" s="123">
        <v>1.4290843390063632</v>
      </c>
      <c r="AC107" s="48">
        <f>Y153</f>
        <v>11</v>
      </c>
      <c r="AD107" s="61">
        <f t="shared" ref="AD107:AE107" si="411">Z153</f>
        <v>5.6849879746112411</v>
      </c>
      <c r="AE107" s="62">
        <f t="shared" si="411"/>
        <v>2.6356023706258065</v>
      </c>
      <c r="AG107" s="121">
        <v>29</v>
      </c>
      <c r="AH107" s="122">
        <v>8.6069434301731906</v>
      </c>
      <c r="AI107" s="123">
        <v>2.3128310843940367</v>
      </c>
      <c r="AK107" s="48">
        <f>AG142</f>
        <v>11.5</v>
      </c>
      <c r="AL107" s="61">
        <f>AH142</f>
        <v>17.035050655506971</v>
      </c>
      <c r="AM107" s="62">
        <f>AI142</f>
        <v>3.1505490543693462</v>
      </c>
    </row>
    <row r="108" spans="1:39">
      <c r="A108" s="118">
        <v>8.5</v>
      </c>
      <c r="B108" s="119">
        <v>64.138849863712878</v>
      </c>
      <c r="C108" s="120">
        <v>3.4066089588181856</v>
      </c>
      <c r="E108" s="48">
        <f>A102</f>
        <v>11.5</v>
      </c>
      <c r="F108" s="61">
        <f t="shared" ref="F108:G108" si="412">B102</f>
        <v>55.555006268779188</v>
      </c>
      <c r="G108" s="62">
        <f t="shared" si="412"/>
        <v>3.246741990424725</v>
      </c>
      <c r="I108" s="118">
        <v>8.5</v>
      </c>
      <c r="J108" s="119">
        <v>63.088000000000001</v>
      </c>
      <c r="K108" s="120">
        <v>3.388621519422482</v>
      </c>
      <c r="M108" s="48">
        <f>I102</f>
        <v>11.5</v>
      </c>
      <c r="N108" s="61">
        <f t="shared" ref="N108" si="413">J102</f>
        <v>54.832999999999998</v>
      </c>
      <c r="O108" s="62">
        <f t="shared" ref="O108" si="414">K102</f>
        <v>3.2318201643228459</v>
      </c>
      <c r="Q108" s="118">
        <v>-1.5</v>
      </c>
      <c r="R108" s="119">
        <v>29.5</v>
      </c>
      <c r="S108" s="120">
        <v>2.4789915966386555</v>
      </c>
      <c r="U108" s="48">
        <f>Q42</f>
        <v>31.5</v>
      </c>
      <c r="V108" s="61">
        <f>R42</f>
        <v>7.86</v>
      </c>
      <c r="W108" s="62">
        <f>S42</f>
        <v>1.0380348652931854</v>
      </c>
      <c r="Y108" s="121">
        <v>33.5</v>
      </c>
      <c r="Z108" s="122">
        <v>2.0841038848256943</v>
      </c>
      <c r="AA108" s="123">
        <v>1.4504967621833467</v>
      </c>
      <c r="AC108" s="48">
        <f>Y152</f>
        <v>11.5</v>
      </c>
      <c r="AD108" s="61">
        <f t="shared" ref="AD108:AE108" si="415">Z152</f>
        <v>5.5518761608836522</v>
      </c>
      <c r="AE108" s="62">
        <f t="shared" si="415"/>
        <v>2.60605553286074</v>
      </c>
      <c r="AG108" s="121">
        <v>28.5</v>
      </c>
      <c r="AH108" s="122">
        <v>8.7682217118179935</v>
      </c>
      <c r="AI108" s="123">
        <v>2.3359223496109944</v>
      </c>
      <c r="AK108" s="48">
        <f>AG141</f>
        <v>12</v>
      </c>
      <c r="AL108" s="61">
        <f>AH141</f>
        <v>16.68960884199592</v>
      </c>
      <c r="AM108" s="62">
        <f>AI141</f>
        <v>3.1266117350762617</v>
      </c>
    </row>
    <row r="109" spans="1:39">
      <c r="A109" s="118">
        <v>8</v>
      </c>
      <c r="B109" s="119">
        <v>65.709371394139424</v>
      </c>
      <c r="C109" s="120">
        <v>3.4327553528453647</v>
      </c>
      <c r="E109" s="48">
        <f>A101</f>
        <v>12</v>
      </c>
      <c r="F109" s="61">
        <f t="shared" ref="F109:G109" si="416">B101</f>
        <v>54.25370765645323</v>
      </c>
      <c r="G109" s="62">
        <f t="shared" si="416"/>
        <v>3.2196629184364318</v>
      </c>
      <c r="I109" s="118">
        <v>8</v>
      </c>
      <c r="J109" s="119">
        <v>64.596000000000004</v>
      </c>
      <c r="K109" s="120">
        <v>3.4143092731193709</v>
      </c>
      <c r="M109" s="48">
        <f>I101</f>
        <v>12</v>
      </c>
      <c r="N109" s="61">
        <f t="shared" ref="N109" si="417">J101</f>
        <v>53.579000000000001</v>
      </c>
      <c r="O109" s="62">
        <f t="shared" ref="O109" si="418">K101</f>
        <v>3.2052908027135998</v>
      </c>
      <c r="Q109" s="118">
        <v>-2</v>
      </c>
      <c r="R109" s="119">
        <v>30.16</v>
      </c>
      <c r="S109" s="120">
        <v>2.5066489361702131</v>
      </c>
      <c r="U109" s="48">
        <f>Q41</f>
        <v>32</v>
      </c>
      <c r="V109" s="61">
        <f>R41</f>
        <v>7.7190000000000003</v>
      </c>
      <c r="W109" s="62">
        <f>S41</f>
        <v>1.0232243696810626</v>
      </c>
      <c r="Y109" s="121">
        <v>33</v>
      </c>
      <c r="Z109" s="122">
        <v>2.1282176496021501</v>
      </c>
      <c r="AA109" s="123">
        <v>1.4721593570991112</v>
      </c>
      <c r="AC109" s="48">
        <f>Y151</f>
        <v>12</v>
      </c>
      <c r="AD109" s="61">
        <f t="shared" ref="AD109:AE109" si="419">Z151</f>
        <v>5.4222322631151272</v>
      </c>
      <c r="AE109" s="62">
        <f t="shared" si="419"/>
        <v>2.5765598627405062</v>
      </c>
      <c r="AG109" s="121">
        <v>28</v>
      </c>
      <c r="AH109" s="122">
        <v>8.9329962925296442</v>
      </c>
      <c r="AI109" s="123">
        <v>2.3591079178667349</v>
      </c>
      <c r="AK109" s="48">
        <f>AG140</f>
        <v>12.5</v>
      </c>
      <c r="AL109" s="61">
        <f>AH140</f>
        <v>16.352155111675359</v>
      </c>
      <c r="AM109" s="62">
        <f>AI140</f>
        <v>3.1026219757697375</v>
      </c>
    </row>
    <row r="110" spans="1:39">
      <c r="A110" s="118">
        <v>7.5</v>
      </c>
      <c r="B110" s="119">
        <v>67.323090495868954</v>
      </c>
      <c r="C110" s="120">
        <v>3.4587419158625359</v>
      </c>
      <c r="E110" s="48">
        <f>A100</f>
        <v>12.5</v>
      </c>
      <c r="F110" s="61">
        <f t="shared" ref="F110:G110" si="420">B100</f>
        <v>52.986559079796415</v>
      </c>
      <c r="G110" s="62">
        <f t="shared" si="420"/>
        <v>3.1924783764589364</v>
      </c>
      <c r="I110" s="118">
        <v>7.5</v>
      </c>
      <c r="J110" s="119">
        <v>66.141000000000005</v>
      </c>
      <c r="K110" s="120">
        <v>3.4397915561519019</v>
      </c>
      <c r="M110" s="48">
        <f>I100</f>
        <v>12.5</v>
      </c>
      <c r="N110" s="61">
        <f t="shared" ref="N110" si="421">J100</f>
        <v>52.356000000000002</v>
      </c>
      <c r="O110" s="62">
        <f t="shared" ref="O110" si="422">K100</f>
        <v>3.1786390791199191</v>
      </c>
      <c r="Q110" s="118">
        <v>-2.5</v>
      </c>
      <c r="R110" s="119">
        <v>30.84</v>
      </c>
      <c r="S110" s="120">
        <v>2.5345167652859959</v>
      </c>
      <c r="U110" s="48">
        <f>Q40</f>
        <v>32.5</v>
      </c>
      <c r="V110" s="61">
        <f>R40</f>
        <v>7.58</v>
      </c>
      <c r="W110" s="62">
        <f>S40</f>
        <v>1.0085151676423629</v>
      </c>
      <c r="Y110" s="121">
        <v>32.5</v>
      </c>
      <c r="Z110" s="122">
        <v>2.173394405861925</v>
      </c>
      <c r="AA110" s="123">
        <v>1.4940716016378115</v>
      </c>
      <c r="AC110" s="48">
        <f>Y150</f>
        <v>12.5</v>
      </c>
      <c r="AD110" s="61">
        <f t="shared" ref="AD110:AE110" si="423">Z150</f>
        <v>5.2959583415484968</v>
      </c>
      <c r="AE110" s="62">
        <f t="shared" si="423"/>
        <v>2.547123683817905</v>
      </c>
      <c r="AG110" s="121">
        <v>27.5</v>
      </c>
      <c r="AH110" s="122">
        <v>9.1013523488916999</v>
      </c>
      <c r="AI110" s="123">
        <v>2.3823842895133494</v>
      </c>
      <c r="AK110" s="48">
        <f>AG139</f>
        <v>13</v>
      </c>
      <c r="AL110" s="61">
        <f>AH139</f>
        <v>16.022484134724145</v>
      </c>
      <c r="AM110" s="62">
        <f>AI139</f>
        <v>3.0785846677381392</v>
      </c>
    </row>
    <row r="111" spans="1:39">
      <c r="A111" s="118">
        <v>7</v>
      </c>
      <c r="B111" s="119">
        <v>68.981307343416788</v>
      </c>
      <c r="C111" s="120">
        <v>3.4845623479231969</v>
      </c>
      <c r="E111" s="48">
        <f>A99</f>
        <v>13</v>
      </c>
      <c r="F111" s="61">
        <f t="shared" ref="F111:G111" si="424">B99</f>
        <v>51.752581115728198</v>
      </c>
      <c r="G111" s="62">
        <f t="shared" si="424"/>
        <v>3.1651955454756666</v>
      </c>
      <c r="I111" s="118">
        <v>7</v>
      </c>
      <c r="J111" s="119">
        <v>67.73</v>
      </c>
      <c r="K111" s="120">
        <v>3.4651591118387395</v>
      </c>
      <c r="M111" s="48">
        <f>I99</f>
        <v>13</v>
      </c>
      <c r="N111" s="61">
        <f t="shared" ref="N111" si="425">J99</f>
        <v>51.164999999999999</v>
      </c>
      <c r="O111" s="62">
        <f t="shared" ref="O111" si="426">K99</f>
        <v>3.1519127702827574</v>
      </c>
      <c r="Q111" s="118">
        <v>-3</v>
      </c>
      <c r="R111" s="119">
        <v>31.53</v>
      </c>
      <c r="S111" s="120">
        <v>2.5621647976596784</v>
      </c>
      <c r="U111" s="48">
        <f>Q39</f>
        <v>33</v>
      </c>
      <c r="V111" s="61">
        <f>R39</f>
        <v>7.4450000000000003</v>
      </c>
      <c r="W111" s="62">
        <f>S39</f>
        <v>0.99412471625050081</v>
      </c>
      <c r="Y111" s="121">
        <v>32</v>
      </c>
      <c r="Z111" s="122">
        <v>2.2196625025607926</v>
      </c>
      <c r="AA111" s="123">
        <v>1.516232819330291</v>
      </c>
      <c r="AC111" s="48">
        <f>Y149</f>
        <v>13</v>
      </c>
      <c r="AD111" s="61">
        <f t="shared" ref="AD111:AE111" si="427">Z149</f>
        <v>5.1729593936698439</v>
      </c>
      <c r="AE111" s="62">
        <f t="shared" si="427"/>
        <v>2.5177552034603585</v>
      </c>
      <c r="AG111" s="121">
        <v>27</v>
      </c>
      <c r="AH111" s="122">
        <v>9.2733773466704932</v>
      </c>
      <c r="AI111" s="123">
        <v>2.4057478821355831</v>
      </c>
      <c r="AK111" s="48">
        <f>AG138</f>
        <v>13.5</v>
      </c>
      <c r="AL111" s="61">
        <f>AH138</f>
        <v>15.700396351620988</v>
      </c>
      <c r="AM111" s="62">
        <f>AI138</f>
        <v>3.0545047120704663</v>
      </c>
    </row>
    <row r="112" spans="1:39">
      <c r="A112" s="118">
        <v>6.5</v>
      </c>
      <c r="B112" s="119">
        <v>70.685364044321958</v>
      </c>
      <c r="C112" s="120">
        <v>3.5102104816945428</v>
      </c>
      <c r="E112" s="48">
        <f>A98</f>
        <v>13.5</v>
      </c>
      <c r="F112" s="61">
        <f t="shared" ref="F112:G112" si="428">B98</f>
        <v>50.55082443341233</v>
      </c>
      <c r="G112" s="62">
        <f t="shared" si="428"/>
        <v>3.1378216665678189</v>
      </c>
      <c r="I112" s="118">
        <v>6.5</v>
      </c>
      <c r="J112" s="119">
        <v>69.361000000000004</v>
      </c>
      <c r="K112" s="120">
        <v>3.4903533579573476</v>
      </c>
      <c r="M112" s="48">
        <f>I98</f>
        <v>13.5</v>
      </c>
      <c r="N112" s="61">
        <f t="shared" ref="N112" si="429">J98</f>
        <v>50.003999999999998</v>
      </c>
      <c r="O112" s="62">
        <f t="shared" ref="O112" si="430">K98</f>
        <v>3.1250937453127343</v>
      </c>
      <c r="Q112" s="118">
        <v>-3.5</v>
      </c>
      <c r="R112" s="119">
        <v>32.24</v>
      </c>
      <c r="S112" s="120">
        <v>2.5899742930591261</v>
      </c>
      <c r="U112" s="48">
        <f>Q38</f>
        <v>33.5</v>
      </c>
      <c r="V112" s="61">
        <f>R38</f>
        <v>7.3120000000000003</v>
      </c>
      <c r="W112" s="62">
        <f>S38</f>
        <v>0.97984562607204129</v>
      </c>
      <c r="Y112" s="121">
        <v>31.5</v>
      </c>
      <c r="Z112" s="122">
        <v>2.2670511083821014</v>
      </c>
      <c r="AA112" s="123">
        <v>1.5386421751592645</v>
      </c>
      <c r="AC112" s="48">
        <f>Y148</f>
        <v>13.5</v>
      </c>
      <c r="AD112" s="61">
        <f t="shared" ref="AD112:AE112" si="431">Z148</f>
        <v>5.053143262436623</v>
      </c>
      <c r="AE112" s="62">
        <f t="shared" si="431"/>
        <v>2.4884625045780822</v>
      </c>
      <c r="AG112" s="121">
        <v>26.5</v>
      </c>
      <c r="AH112" s="122">
        <v>9.449161107807047</v>
      </c>
      <c r="AI112" s="123">
        <v>2.4291950319682627</v>
      </c>
      <c r="AK112" s="48">
        <f>AG137</f>
        <v>14</v>
      </c>
      <c r="AL112" s="61">
        <f>AH137</f>
        <v>15.385697797944957</v>
      </c>
      <c r="AM112" s="62">
        <f>AI137</f>
        <v>3.0303870156349362</v>
      </c>
    </row>
    <row r="113" spans="1:39">
      <c r="A113" s="118">
        <v>6</v>
      </c>
      <c r="B113" s="119">
        <v>72.43664606396419</v>
      </c>
      <c r="C113" s="120">
        <v>3.535680288611402</v>
      </c>
      <c r="E113" s="48">
        <f>A97</f>
        <v>14</v>
      </c>
      <c r="F113" s="61">
        <f t="shared" ref="F113:G113" si="432">B97</f>
        <v>49.380368819209771</v>
      </c>
      <c r="G113" s="62">
        <f t="shared" si="432"/>
        <v>3.1103640329307654</v>
      </c>
      <c r="I113" s="118">
        <v>6</v>
      </c>
      <c r="J113" s="119">
        <v>71.036000000000001</v>
      </c>
      <c r="K113" s="120">
        <v>3.515380656399699</v>
      </c>
      <c r="M113" s="48">
        <f>I97</f>
        <v>14</v>
      </c>
      <c r="N113" s="61">
        <f t="shared" ref="N113" si="433">J97</f>
        <v>48.872</v>
      </c>
      <c r="O113" s="62">
        <f t="shared" ref="O113" si="434">K97</f>
        <v>3.0981844000405721</v>
      </c>
      <c r="Q113" s="118">
        <v>-4</v>
      </c>
      <c r="R113" s="119">
        <v>32.97</v>
      </c>
      <c r="S113" s="120">
        <v>2.6179132920438302</v>
      </c>
      <c r="U113" s="48">
        <f>Q37</f>
        <v>34</v>
      </c>
      <c r="V113" s="61">
        <f>R37</f>
        <v>7.181</v>
      </c>
      <c r="W113" s="62">
        <f>S37</f>
        <v>0.96568139641214612</v>
      </c>
      <c r="Y113" s="121">
        <v>31</v>
      </c>
      <c r="Z113" s="122">
        <v>2.3155902370050812</v>
      </c>
      <c r="AA113" s="123">
        <v>1.5612986714461949</v>
      </c>
      <c r="AC113" s="48">
        <f>Y147</f>
        <v>14</v>
      </c>
      <c r="AD113" s="61">
        <f t="shared" ref="AD113:AE113" si="435">Z147</f>
        <v>4.9364205474295701</v>
      </c>
      <c r="AE113" s="62">
        <f t="shared" si="435"/>
        <v>2.459253537703658</v>
      </c>
      <c r="AG113" s="121">
        <v>26</v>
      </c>
      <c r="AH113" s="122">
        <v>9.6287958795236346</v>
      </c>
      <c r="AI113" s="123">
        <v>2.452721995435339</v>
      </c>
      <c r="AK113" s="48">
        <f>AG136</f>
        <v>14.5</v>
      </c>
      <c r="AL113" s="61">
        <f>AH136</f>
        <v>15.078199934871115</v>
      </c>
      <c r="AM113" s="62">
        <f>AI136</f>
        <v>3.0062364870743679</v>
      </c>
    </row>
    <row r="114" spans="1:39">
      <c r="A114" s="118">
        <v>5.5</v>
      </c>
      <c r="B114" s="119">
        <v>74.236583700616123</v>
      </c>
      <c r="C114" s="120">
        <v>3.5609658847720524</v>
      </c>
      <c r="E114" s="48">
        <f>A96</f>
        <v>14.5</v>
      </c>
      <c r="F114" s="61">
        <f t="shared" ref="F114:G114" si="436">B96</f>
        <v>48.240322234508703</v>
      </c>
      <c r="G114" s="62">
        <f t="shared" si="436"/>
        <v>3.0828299818294846</v>
      </c>
      <c r="I114" s="118">
        <v>5.5</v>
      </c>
      <c r="J114" s="119">
        <v>72.757000000000005</v>
      </c>
      <c r="K114" s="120">
        <v>3.5402454334011311</v>
      </c>
      <c r="M114" s="48">
        <f>I96</f>
        <v>14.5</v>
      </c>
      <c r="N114" s="61">
        <f t="shared" ref="N114" si="437">J96</f>
        <v>47.768999999999998</v>
      </c>
      <c r="O114" s="62">
        <f t="shared" ref="O114" si="438">K96</f>
        <v>3.0712108938008718</v>
      </c>
      <c r="Q114" s="118">
        <v>-4.5</v>
      </c>
      <c r="R114" s="119">
        <v>33.72</v>
      </c>
      <c r="S114" s="120">
        <v>2.6459510357815441</v>
      </c>
      <c r="U114" s="48">
        <f>Q36</f>
        <v>34.5</v>
      </c>
      <c r="V114" s="61">
        <f>R36</f>
        <v>7.0540000000000003</v>
      </c>
      <c r="W114" s="62">
        <f>S36</f>
        <v>0.9518540508447132</v>
      </c>
      <c r="Y114" s="121">
        <v>30.5</v>
      </c>
      <c r="Z114" s="122">
        <v>2.3653107731907625</v>
      </c>
      <c r="AA114" s="123">
        <v>1.5842011438324897</v>
      </c>
      <c r="AC114" s="48">
        <f>Y146</f>
        <v>14.5</v>
      </c>
      <c r="AD114" s="61">
        <f t="shared" ref="AD114:AE114" si="439">Z146</f>
        <v>4.8227045188373232</v>
      </c>
      <c r="AE114" s="62">
        <f t="shared" si="439"/>
        <v>2.4301361134365491</v>
      </c>
      <c r="AG114" s="121">
        <v>25.5</v>
      </c>
      <c r="AH114" s="122">
        <v>9.8123764056150478</v>
      </c>
      <c r="AI114" s="123">
        <v>2.4763249508105729</v>
      </c>
      <c r="AK114" s="48">
        <f>AG135</f>
        <v>15</v>
      </c>
      <c r="AL114" s="61">
        <f>AH135</f>
        <v>14.777719485165806</v>
      </c>
      <c r="AM114" s="62">
        <f>AI135</f>
        <v>2.9820580328252353</v>
      </c>
    </row>
    <row r="115" spans="1:39">
      <c r="A115" s="118">
        <v>5</v>
      </c>
      <c r="B115" s="119">
        <v>76.086653612540559</v>
      </c>
      <c r="C115" s="120">
        <v>3.5860615365638373</v>
      </c>
      <c r="E115" s="48">
        <f>A95</f>
        <v>15</v>
      </c>
      <c r="F115" s="61">
        <f t="shared" ref="F115:G115" si="440">B95</f>
        <v>47.129819905290482</v>
      </c>
      <c r="G115" s="62">
        <f t="shared" si="440"/>
        <v>3.0552268865117473</v>
      </c>
      <c r="I115" s="118">
        <v>5</v>
      </c>
      <c r="J115" s="119">
        <v>74.524000000000001</v>
      </c>
      <c r="K115" s="120">
        <v>3.5649228885232098</v>
      </c>
      <c r="M115" s="48">
        <f>I95</f>
        <v>15</v>
      </c>
      <c r="N115" s="61">
        <f t="shared" ref="N115" si="441">J95</f>
        <v>46.694000000000003</v>
      </c>
      <c r="O115" s="62">
        <f t="shared" ref="O115" si="442">K95</f>
        <v>3.0441755548022011</v>
      </c>
      <c r="Q115" s="118">
        <v>-5</v>
      </c>
      <c r="R115" s="119">
        <v>34.479999999999997</v>
      </c>
      <c r="S115" s="120">
        <v>2.6736972704714641</v>
      </c>
      <c r="U115" s="48">
        <f>Q35</f>
        <v>35</v>
      </c>
      <c r="V115" s="61">
        <f>R35</f>
        <v>6.9290000000000003</v>
      </c>
      <c r="W115" s="62">
        <f>S35</f>
        <v>0.93815158818272903</v>
      </c>
      <c r="Y115" s="121">
        <v>30</v>
      </c>
      <c r="Z115" s="122">
        <v>2.4162444997123895</v>
      </c>
      <c r="AA115" s="123">
        <v>1.6073482573676572</v>
      </c>
      <c r="AC115" s="48">
        <f>Y145</f>
        <v>15</v>
      </c>
      <c r="AD115" s="61">
        <f t="shared" ref="AD115:AE115" si="443">Z145</f>
        <v>4.711911034183494</v>
      </c>
      <c r="AE115" s="62">
        <f t="shared" si="443"/>
        <v>2.4011178952641203</v>
      </c>
      <c r="AG115" s="121">
        <v>25</v>
      </c>
      <c r="AH115" s="122">
        <v>9.9999999999998224</v>
      </c>
      <c r="AI115" s="123">
        <v>2.4999999999999778</v>
      </c>
      <c r="AK115" s="48">
        <f>AG134</f>
        <v>15.5</v>
      </c>
      <c r="AL115" s="61">
        <f>AH134</f>
        <v>14.484078274491184</v>
      </c>
      <c r="AM115" s="62">
        <f>AI134</f>
        <v>2.957856553166935</v>
      </c>
    </row>
    <row r="116" spans="1:39">
      <c r="A116" s="118">
        <v>4.5</v>
      </c>
      <c r="B116" s="119">
        <v>77.988380399009088</v>
      </c>
      <c r="C116" s="120">
        <v>3.610961666007388</v>
      </c>
      <c r="E116" s="48">
        <f>A94</f>
        <v>15.5</v>
      </c>
      <c r="F116" s="61">
        <f t="shared" ref="F116:G116" si="444">B94</f>
        <v>46.048023442334326</v>
      </c>
      <c r="G116" s="62">
        <f t="shared" si="444"/>
        <v>3.0275621480978798</v>
      </c>
      <c r="I116" s="118">
        <v>4.5</v>
      </c>
      <c r="J116" s="119">
        <v>76.34</v>
      </c>
      <c r="K116" s="120">
        <v>3.5894301297724285</v>
      </c>
      <c r="M116" s="48">
        <f>I94</f>
        <v>15.5</v>
      </c>
      <c r="N116" s="61">
        <f t="shared" ref="N116" si="445">J94</f>
        <v>45.646000000000001</v>
      </c>
      <c r="O116" s="62">
        <f t="shared" ref="O116" si="446">K94</f>
        <v>3.0170795547682627</v>
      </c>
      <c r="Q116" s="118">
        <v>-5.5</v>
      </c>
      <c r="R116" s="119">
        <v>35.270000000000003</v>
      </c>
      <c r="S116" s="120">
        <v>2.7018538379040908</v>
      </c>
      <c r="U116" s="48">
        <f>Q34</f>
        <v>35.5</v>
      </c>
      <c r="V116" s="61">
        <f>R34</f>
        <v>6.8070000000000004</v>
      </c>
      <c r="W116" s="62">
        <f>S34</f>
        <v>0.92468823865025684</v>
      </c>
      <c r="Y116" s="121">
        <v>29.5</v>
      </c>
      <c r="Z116" s="122">
        <v>2.4684241251588359</v>
      </c>
      <c r="AA116" s="123">
        <v>1.6307385027177188</v>
      </c>
      <c r="AC116" s="48">
        <f>Y144</f>
        <v>15.5</v>
      </c>
      <c r="AD116" s="61">
        <f t="shared" ref="AD116:AE116" si="447">Z144</f>
        <v>4.6039584577094157</v>
      </c>
      <c r="AE116" s="62">
        <f t="shared" si="447"/>
        <v>2.3722063927694124</v>
      </c>
      <c r="AG116" s="121">
        <v>24.5</v>
      </c>
      <c r="AH116" s="122">
        <v>10.191766622606913</v>
      </c>
      <c r="AI116" s="123">
        <v>2.523743170445548</v>
      </c>
      <c r="AK116" s="48">
        <f>AG133</f>
        <v>16</v>
      </c>
      <c r="AL116" s="61">
        <f>AH133</f>
        <v>14.197103077835211</v>
      </c>
      <c r="AM116" s="62">
        <f>AI133</f>
        <v>2.9336369383076897</v>
      </c>
    </row>
    <row r="117" spans="1:39">
      <c r="A117" s="118">
        <v>4</v>
      </c>
      <c r="B117" s="119">
        <v>79.943338237181905</v>
      </c>
      <c r="C117" s="120">
        <v>3.6356608558091676</v>
      </c>
      <c r="E117" s="48">
        <f>A93</f>
        <v>16</v>
      </c>
      <c r="F117" s="61">
        <f t="shared" ref="F117:G117" si="448">B93</f>
        <v>44.994119991000716</v>
      </c>
      <c r="G117" s="62">
        <f t="shared" si="448"/>
        <v>2.9998431874658977</v>
      </c>
      <c r="I117" s="118">
        <v>4</v>
      </c>
      <c r="J117" s="119">
        <v>78.204999999999998</v>
      </c>
      <c r="K117" s="120">
        <v>3.613742433344115</v>
      </c>
      <c r="M117" s="48">
        <f>I93</f>
        <v>16</v>
      </c>
      <c r="N117" s="61">
        <f t="shared" ref="N117" si="449">J93</f>
        <v>44.624000000000002</v>
      </c>
      <c r="O117" s="62">
        <f t="shared" ref="O117" si="450">K93</f>
        <v>2.9899228130360207</v>
      </c>
      <c r="Q117" s="118">
        <v>-6</v>
      </c>
      <c r="R117" s="119">
        <v>36.08</v>
      </c>
      <c r="S117" s="120">
        <v>2.73002421307506</v>
      </c>
      <c r="U117" s="48">
        <f>Q33</f>
        <v>36</v>
      </c>
      <c r="V117" s="61">
        <f>R33</f>
        <v>6.6870000000000003</v>
      </c>
      <c r="W117" s="62">
        <f>S33</f>
        <v>0.91135824679041633</v>
      </c>
      <c r="Y117" s="121">
        <v>29</v>
      </c>
      <c r="Z117" s="122">
        <v>2.5218833126400115</v>
      </c>
      <c r="AA117" s="123">
        <v>1.6543701925072507</v>
      </c>
      <c r="AC117" s="48">
        <f>Y143</f>
        <v>16</v>
      </c>
      <c r="AD117" s="61">
        <f t="shared" ref="AD117:AE117" si="451">Z143</f>
        <v>4.4987675823285089</v>
      </c>
      <c r="AE117" s="62">
        <f t="shared" si="451"/>
        <v>2.3434089552344273</v>
      </c>
      <c r="AG117" s="121">
        <v>24</v>
      </c>
      <c r="AH117" s="122">
        <v>10.38777895767736</v>
      </c>
      <c r="AI117" s="123">
        <v>2.5475504171496981</v>
      </c>
      <c r="AK117" s="48">
        <f>AG132</f>
        <v>16.5</v>
      </c>
      <c r="AL117" s="61">
        <f>AH132</f>
        <v>13.916625470893658</v>
      </c>
      <c r="AM117" s="62">
        <f>AI132</f>
        <v>2.909404064513633</v>
      </c>
    </row>
    <row r="118" spans="1:39">
      <c r="A118" s="118">
        <v>3.5</v>
      </c>
      <c r="B118" s="119">
        <v>81.953152576862749</v>
      </c>
      <c r="C118" s="120">
        <v>3.6601538541130787</v>
      </c>
      <c r="E118" s="48">
        <f>A92</f>
        <v>16.5</v>
      </c>
      <c r="F118" s="61">
        <f t="shared" ref="F118:G118" si="452">B92</f>
        <v>43.96732140956864</v>
      </c>
      <c r="G118" s="62">
        <f t="shared" si="452"/>
        <v>2.9720774371505692</v>
      </c>
      <c r="I118" s="118">
        <v>3.5</v>
      </c>
      <c r="J118" s="119">
        <v>80.120999999999995</v>
      </c>
      <c r="K118" s="120">
        <v>3.6378619881766419</v>
      </c>
      <c r="M118" s="48">
        <f>I92</f>
        <v>16.5</v>
      </c>
      <c r="N118" s="61">
        <f t="shared" ref="N118" si="453">J92</f>
        <v>43.628</v>
      </c>
      <c r="O118" s="62">
        <f t="shared" ref="O118" si="454">K92</f>
        <v>2.9627315695115986</v>
      </c>
      <c r="Q118" s="118">
        <v>-6.5</v>
      </c>
      <c r="R118" s="119">
        <v>36.909999999999997</v>
      </c>
      <c r="S118" s="120">
        <v>2.7581826333881332</v>
      </c>
      <c r="U118" s="48">
        <f>Q32</f>
        <v>36.5</v>
      </c>
      <c r="V118" s="61">
        <f>R32</f>
        <v>6.569</v>
      </c>
      <c r="W118" s="62">
        <f>S32</f>
        <v>0.89816511252700371</v>
      </c>
      <c r="Y118" s="121">
        <v>28.5</v>
      </c>
      <c r="Z118" s="122">
        <v>2.5766567094244355</v>
      </c>
      <c r="AA118" s="123">
        <v>1.678241457808801</v>
      </c>
      <c r="AC118" s="48">
        <f>Y142</f>
        <v>16.5</v>
      </c>
      <c r="AD118" s="61">
        <f t="shared" ref="AD118:AE118" si="455">Z142</f>
        <v>4.3962615540700911</v>
      </c>
      <c r="AE118" s="62">
        <f t="shared" si="455"/>
        <v>2.3147327656460011</v>
      </c>
      <c r="AG118" s="121">
        <v>23.5</v>
      </c>
      <c r="AH118" s="122">
        <v>10.588142494564234</v>
      </c>
      <c r="AI118" s="123">
        <v>2.5714176248196652</v>
      </c>
      <c r="AK118" s="48">
        <f>AG131</f>
        <v>17</v>
      </c>
      <c r="AL118" s="61">
        <f>AH131</f>
        <v>13.642481686231045</v>
      </c>
      <c r="AM118" s="62">
        <f>AI131</f>
        <v>2.8851627902869819</v>
      </c>
    </row>
    <row r="119" spans="1:39">
      <c r="A119" s="118">
        <v>3</v>
      </c>
      <c r="B119" s="119">
        <v>84.019501895212557</v>
      </c>
      <c r="C119" s="120">
        <v>3.6844355789428493</v>
      </c>
      <c r="E119" s="48">
        <f>A91</f>
        <v>17</v>
      </c>
      <c r="F119" s="61">
        <f t="shared" ref="F119:G119" si="456">B91</f>
        <v>42.966863475141572</v>
      </c>
      <c r="G119" s="62">
        <f t="shared" si="456"/>
        <v>2.9442723332749234</v>
      </c>
      <c r="I119" s="118">
        <v>3</v>
      </c>
      <c r="J119" s="119">
        <v>82.088999999999999</v>
      </c>
      <c r="K119" s="120">
        <v>3.661777694510612</v>
      </c>
      <c r="M119" s="48">
        <f>I91</f>
        <v>17</v>
      </c>
      <c r="N119" s="61">
        <f t="shared" ref="N119" si="457">J91</f>
        <v>42.656999999999996</v>
      </c>
      <c r="O119" s="62">
        <f t="shared" ref="O119" si="458">K91</f>
        <v>2.9355051818819931</v>
      </c>
      <c r="Q119" s="118">
        <v>-7</v>
      </c>
      <c r="R119" s="119">
        <v>37.76</v>
      </c>
      <c r="S119" s="120">
        <v>2.7863046044864226</v>
      </c>
      <c r="U119" s="48">
        <f>Q31</f>
        <v>37</v>
      </c>
      <c r="V119" s="61">
        <f>R31</f>
        <v>6.4539999999999997</v>
      </c>
      <c r="W119" s="62">
        <f>S31</f>
        <v>0.8852252153398803</v>
      </c>
      <c r="Y119" s="121">
        <v>28</v>
      </c>
      <c r="Z119" s="122">
        <v>2.632779977540161</v>
      </c>
      <c r="AA119" s="123">
        <v>1.7023502447936341</v>
      </c>
      <c r="AC119" s="48">
        <f>Y141</f>
        <v>17</v>
      </c>
      <c r="AD119" s="61">
        <f t="shared" ref="AD119:AE119" si="459">Z141</f>
        <v>4.2963657989337882</v>
      </c>
      <c r="AE119" s="62">
        <f t="shared" si="459"/>
        <v>2.2861848351100273</v>
      </c>
      <c r="AG119" s="121">
        <v>23</v>
      </c>
      <c r="AH119" s="122">
        <v>10.792965611114267</v>
      </c>
      <c r="AI119" s="123">
        <v>2.595340610130477</v>
      </c>
      <c r="AK119" s="48">
        <f>AG130</f>
        <v>17.5</v>
      </c>
      <c r="AL119" s="61">
        <f>AH130</f>
        <v>13.374512474060026</v>
      </c>
      <c r="AM119" s="62">
        <f>AI130</f>
        <v>2.8609179525995363</v>
      </c>
    </row>
    <row r="120" spans="1:39">
      <c r="A120" s="118">
        <v>2.5</v>
      </c>
      <c r="B120" s="119">
        <v>86.144119513582979</v>
      </c>
      <c r="C120" s="120">
        <v>3.7085011223279571</v>
      </c>
      <c r="E120" s="48">
        <f>A90</f>
        <v>17.5</v>
      </c>
      <c r="F120" s="61">
        <f t="shared" ref="F120:G120" si="460">B90</f>
        <v>41.992005116168883</v>
      </c>
      <c r="G120" s="62">
        <f t="shared" si="460"/>
        <v>2.9164353075323488</v>
      </c>
      <c r="I120" s="118">
        <v>2.5</v>
      </c>
      <c r="J120" s="119">
        <v>84.111999999999995</v>
      </c>
      <c r="K120" s="120">
        <v>3.6855019629837349</v>
      </c>
      <c r="M120" s="48">
        <f>I90</f>
        <v>17.5</v>
      </c>
      <c r="N120" s="61">
        <f t="shared" ref="N120" si="461">J90</f>
        <v>41.71</v>
      </c>
      <c r="O120" s="62">
        <f t="shared" ref="O120" si="462">K90</f>
        <v>2.9082415283781899</v>
      </c>
      <c r="Q120" s="118">
        <v>-7.5</v>
      </c>
      <c r="R120" s="119">
        <v>38.630000000000003</v>
      </c>
      <c r="S120" s="120">
        <v>2.8143668949439022</v>
      </c>
      <c r="U120" s="48">
        <f>Q30</f>
        <v>37.5</v>
      </c>
      <c r="V120" s="61">
        <f>R30</f>
        <v>6.3419999999999996</v>
      </c>
      <c r="W120" s="62">
        <f>S30</f>
        <v>0.87254416377744759</v>
      </c>
      <c r="Y120" s="121">
        <v>27.5</v>
      </c>
      <c r="Z120" s="122">
        <v>2.6902898253712451</v>
      </c>
      <c r="AA120" s="123">
        <v>1.7266943115579398</v>
      </c>
      <c r="AC120" s="48">
        <f>Y140</f>
        <v>17.5</v>
      </c>
      <c r="AD120" s="61">
        <f t="shared" ref="AD120:AE120" si="463">Z140</f>
        <v>4.1990079520773769</v>
      </c>
      <c r="AE120" s="62">
        <f t="shared" si="463"/>
        <v>2.2577719976781654</v>
      </c>
      <c r="AG120" s="121">
        <v>22.5</v>
      </c>
      <c r="AH120" s="122">
        <v>11.002359659721172</v>
      </c>
      <c r="AI120" s="123">
        <v>2.6193151241052597</v>
      </c>
      <c r="AK120" s="48">
        <f>AG129</f>
        <v>18</v>
      </c>
      <c r="AL120" s="61">
        <f>AH129</f>
        <v>13.112562967479453</v>
      </c>
      <c r="AM120" s="62">
        <f>AI129</f>
        <v>2.8366743631871318</v>
      </c>
    </row>
    <row r="121" spans="1:39">
      <c r="A121" s="118">
        <v>2</v>
      </c>
      <c r="B121" s="119">
        <v>88.328795478704762</v>
      </c>
      <c r="C121" s="120">
        <v>3.732345754106869</v>
      </c>
      <c r="E121" s="48">
        <f>A89</f>
        <v>18</v>
      </c>
      <c r="F121" s="61">
        <f t="shared" ref="F121:G121" si="464">B89</f>
        <v>41.042027670662968</v>
      </c>
      <c r="G121" s="62">
        <f t="shared" si="464"/>
        <v>2.888573779237118</v>
      </c>
      <c r="I121" s="118">
        <v>2</v>
      </c>
      <c r="J121" s="119">
        <v>86.19</v>
      </c>
      <c r="K121" s="120">
        <v>3.7090111025045185</v>
      </c>
      <c r="M121" s="48">
        <f>I89</f>
        <v>18</v>
      </c>
      <c r="N121" s="61">
        <f t="shared" ref="N121" si="465">J89</f>
        <v>40.786000000000001</v>
      </c>
      <c r="O121" s="62">
        <f t="shared" ref="O121" si="466">K89</f>
        <v>2.8809369084282204</v>
      </c>
      <c r="Q121" s="118">
        <v>-8</v>
      </c>
      <c r="R121" s="119">
        <v>39.53</v>
      </c>
      <c r="S121" s="120">
        <v>2.8426578455343017</v>
      </c>
      <c r="U121" s="48">
        <f>Q29</f>
        <v>38</v>
      </c>
      <c r="V121" s="61">
        <f>R29</f>
        <v>6.2309999999999999</v>
      </c>
      <c r="W121" s="62">
        <f>S29</f>
        <v>0.85989898153514943</v>
      </c>
      <c r="Y121" s="121">
        <v>27</v>
      </c>
      <c r="Z121" s="122">
        <v>2.7492240402829928</v>
      </c>
      <c r="AA121" s="123">
        <v>1.751271225138755</v>
      </c>
      <c r="AC121" s="48">
        <f>Y139</f>
        <v>18</v>
      </c>
      <c r="AD121" s="61">
        <f t="shared" ref="AD121:AE121" si="467">Z139</f>
        <v>4.104117789263575</v>
      </c>
      <c r="AE121" s="62">
        <f t="shared" si="467"/>
        <v>2.229500905589751</v>
      </c>
      <c r="AG121" s="121">
        <v>22</v>
      </c>
      <c r="AH121" s="122">
        <v>11.216439056141096</v>
      </c>
      <c r="AI121" s="123">
        <v>2.6433368546109763</v>
      </c>
      <c r="AK121" s="48">
        <f>AG128</f>
        <v>18.5</v>
      </c>
      <c r="AL121" s="61">
        <f>AH128</f>
        <v>12.856482552020404</v>
      </c>
      <c r="AM121" s="62">
        <f>AI128</f>
        <v>2.812436804910726</v>
      </c>
    </row>
    <row r="122" spans="1:39">
      <c r="A122" s="118">
        <v>1.5</v>
      </c>
      <c r="B122" s="119">
        <v>90.575378510550905</v>
      </c>
      <c r="C122" s="120">
        <v>3.7559649254024583</v>
      </c>
      <c r="E122" s="48">
        <f>A88</f>
        <v>18.5</v>
      </c>
      <c r="F122" s="61">
        <f t="shared" ref="F122:G122" si="468">B88</f>
        <v>40.116234169226757</v>
      </c>
      <c r="G122" s="62">
        <f t="shared" si="468"/>
        <v>2.8606951474608238</v>
      </c>
      <c r="I122" s="118">
        <v>1.5</v>
      </c>
      <c r="J122" s="119">
        <v>88.325999999999993</v>
      </c>
      <c r="K122" s="120">
        <v>3.7323158054865373</v>
      </c>
      <c r="M122" s="48">
        <f>I88</f>
        <v>18.5</v>
      </c>
      <c r="N122" s="61">
        <f t="shared" ref="N122" si="469">J88</f>
        <v>39.886000000000003</v>
      </c>
      <c r="O122" s="62">
        <f t="shared" ref="O122" si="470">K88</f>
        <v>2.8536473685716741</v>
      </c>
      <c r="Q122" s="118">
        <v>-8.5</v>
      </c>
      <c r="R122" s="119">
        <v>40.450000000000003</v>
      </c>
      <c r="S122" s="120">
        <v>2.8708303761533003</v>
      </c>
      <c r="U122" s="48">
        <f>Q28</f>
        <v>38.5</v>
      </c>
      <c r="V122" s="61">
        <f>R28</f>
        <v>6.1230000000000002</v>
      </c>
      <c r="W122" s="62">
        <f>S28</f>
        <v>0.84752097001910154</v>
      </c>
      <c r="Y122" s="121">
        <v>26.5</v>
      </c>
      <c r="Z122" s="122">
        <v>2.8096215223104184</v>
      </c>
      <c r="AA122" s="123">
        <v>1.776078358733985</v>
      </c>
      <c r="AC122" s="48">
        <f>Y138</f>
        <v>18.5</v>
      </c>
      <c r="AD122" s="61">
        <f t="shared" ref="AD122:AE122" si="471">Z138</f>
        <v>4.0116271604937275</v>
      </c>
      <c r="AE122" s="62">
        <f t="shared" si="471"/>
        <v>2.2013780249302646</v>
      </c>
      <c r="AG122" s="121">
        <v>21.5</v>
      </c>
      <c r="AH122" s="122">
        <v>11.435321371165413</v>
      </c>
      <c r="AI122" s="123">
        <v>2.6674014289676329</v>
      </c>
      <c r="AK122" s="48">
        <f>AG127</f>
        <v>19</v>
      </c>
      <c r="AL122" s="61">
        <f>AH127</f>
        <v>12.606124739352826</v>
      </c>
      <c r="AM122" s="62">
        <f>AI127</f>
        <v>2.788210028189404</v>
      </c>
    </row>
    <row r="123" spans="1:39">
      <c r="A123" s="118">
        <v>1</v>
      </c>
      <c r="B123" s="119">
        <v>92.885778019272564</v>
      </c>
      <c r="C123" s="120">
        <v>3.779354271765484</v>
      </c>
      <c r="E123" s="48">
        <f>A87</f>
        <v>19</v>
      </c>
      <c r="F123" s="61">
        <f t="shared" ref="F123:G123" si="472">B87</f>
        <v>39.213948642034843</v>
      </c>
      <c r="G123" s="62">
        <f t="shared" si="472"/>
        <v>2.8328067832716837</v>
      </c>
      <c r="I123" s="118">
        <v>1</v>
      </c>
      <c r="J123" s="119">
        <v>90.521000000000001</v>
      </c>
      <c r="K123" s="120">
        <v>3.7554036226051895</v>
      </c>
      <c r="M123" s="48">
        <f>I87</f>
        <v>19</v>
      </c>
      <c r="N123" s="61">
        <f t="shared" ref="N123" si="473">J87</f>
        <v>39.006999999999998</v>
      </c>
      <c r="O123" s="62">
        <f t="shared" ref="O123" si="474">K87</f>
        <v>2.8263074760531537</v>
      </c>
      <c r="Q123" s="118">
        <v>-9</v>
      </c>
      <c r="R123" s="119">
        <v>41.39</v>
      </c>
      <c r="S123" s="120">
        <v>2.8988653873091468</v>
      </c>
      <c r="U123" s="48">
        <f>Q27</f>
        <v>39</v>
      </c>
      <c r="V123" s="61">
        <f>R27</f>
        <v>6.0170000000000003</v>
      </c>
      <c r="W123" s="62">
        <f>S27</f>
        <v>0.83529999722353332</v>
      </c>
      <c r="Y123" s="121">
        <v>26</v>
      </c>
      <c r="Z123" s="122">
        <v>2.8715223189454249</v>
      </c>
      <c r="AA123" s="123">
        <v>1.8011128891409205</v>
      </c>
      <c r="AC123" s="48">
        <f>Y137</f>
        <v>19</v>
      </c>
      <c r="AD123" s="61">
        <f t="shared" ref="AD123:AE123" si="475">Z137</f>
        <v>3.9214699257581582</v>
      </c>
      <c r="AE123" s="62">
        <f t="shared" si="475"/>
        <v>2.1734096317062215</v>
      </c>
      <c r="AG123" s="121">
        <v>21</v>
      </c>
      <c r="AH123" s="122">
        <v>11.659127425249041</v>
      </c>
      <c r="AI123" s="123">
        <v>2.6915044166685727</v>
      </c>
      <c r="AK123" s="48">
        <f>AG126</f>
        <v>19.5</v>
      </c>
      <c r="AL123" s="61">
        <f>AH126</f>
        <v>12.361347045012161</v>
      </c>
      <c r="AM123" s="62">
        <f>AI126</f>
        <v>2.763998747510481</v>
      </c>
    </row>
    <row r="124" spans="1:39" ht="13.5" thickBot="1">
      <c r="A124" s="124">
        <v>0.5</v>
      </c>
      <c r="B124" s="125">
        <v>95.261966193696352</v>
      </c>
      <c r="C124" s="126">
        <v>3.8025096159831113</v>
      </c>
      <c r="E124" s="48">
        <f>A86</f>
        <v>19.5</v>
      </c>
      <c r="F124" s="61">
        <f t="shared" ref="F124:G124" si="476">B86</f>
        <v>38.334515448942859</v>
      </c>
      <c r="G124" s="62">
        <f t="shared" si="476"/>
        <v>2.8049160220931881</v>
      </c>
      <c r="I124" s="124">
        <v>0.5</v>
      </c>
      <c r="J124" s="125">
        <v>92.777000000000001</v>
      </c>
      <c r="K124" s="126">
        <v>3.7782728035381217</v>
      </c>
      <c r="M124" s="48">
        <f>I86</f>
        <v>19.5</v>
      </c>
      <c r="N124" s="61">
        <f t="shared" ref="N124" si="477">J86</f>
        <v>38.15</v>
      </c>
      <c r="O124" s="62">
        <f t="shared" ref="O124" si="478">K86</f>
        <v>2.7989728539985324</v>
      </c>
      <c r="Q124" s="124">
        <v>-9.5</v>
      </c>
      <c r="R124" s="125">
        <v>42.36</v>
      </c>
      <c r="S124" s="126">
        <v>2.9270315091210617</v>
      </c>
      <c r="U124" s="48">
        <f>Q26</f>
        <v>39.5</v>
      </c>
      <c r="V124" s="61">
        <f>R26</f>
        <v>5.9130000000000003</v>
      </c>
      <c r="W124" s="62">
        <f>S26</f>
        <v>0.82323949544733122</v>
      </c>
      <c r="Y124" s="121">
        <v>25.5</v>
      </c>
      <c r="Z124" s="122">
        <v>2.9349676610595408</v>
      </c>
      <c r="AA124" s="123">
        <v>1.8263717944276818</v>
      </c>
      <c r="AC124" s="48">
        <f>Y136</f>
        <v>19.5</v>
      </c>
      <c r="AD124" s="61">
        <f t="shared" ref="AD124:AE124" si="479">Z136</f>
        <v>3.8335818928354639</v>
      </c>
      <c r="AE124" s="62">
        <f t="shared" si="479"/>
        <v>2.145601808335083</v>
      </c>
      <c r="AG124" s="121">
        <v>20.5</v>
      </c>
      <c r="AH124" s="122">
        <v>11.887981386196342</v>
      </c>
      <c r="AI124" s="123">
        <v>2.7156413322092594</v>
      </c>
      <c r="AK124" s="48">
        <f>AG125</f>
        <v>20</v>
      </c>
      <c r="AL124" s="61">
        <f>AH125</f>
        <v>12.122010870009888</v>
      </c>
      <c r="AM124" s="62">
        <f>AI125</f>
        <v>2.7398076380215768</v>
      </c>
    </row>
    <row r="125" spans="1:39" ht="13.5" thickTop="1">
      <c r="A125" s="112">
        <v>0</v>
      </c>
      <c r="B125" s="113">
        <v>97.705980163957392</v>
      </c>
      <c r="C125" s="114">
        <v>3.825426970550478</v>
      </c>
      <c r="E125" s="48">
        <f>A85</f>
        <v>20</v>
      </c>
      <c r="F125" s="61">
        <f t="shared" ref="F125:G125" si="480">B85</f>
        <v>37.477298631929038</v>
      </c>
      <c r="G125" s="62">
        <f t="shared" si="480"/>
        <v>2.7770301561980029</v>
      </c>
      <c r="I125" s="112">
        <v>0</v>
      </c>
      <c r="J125" s="113">
        <v>95.096000000000004</v>
      </c>
      <c r="K125" s="114">
        <v>3.8009208927543647</v>
      </c>
      <c r="M125" s="48">
        <f>I85</f>
        <v>20</v>
      </c>
      <c r="N125" s="61">
        <f t="shared" ref="N125" si="481">J85</f>
        <v>37.314999999999998</v>
      </c>
      <c r="O125" s="62">
        <f t="shared" ref="O125" si="482">K85</f>
        <v>2.7716705043452423</v>
      </c>
      <c r="Q125" s="112">
        <v>-10</v>
      </c>
      <c r="R125" s="113">
        <v>43.35</v>
      </c>
      <c r="S125" s="114">
        <v>2.9550102249488757</v>
      </c>
      <c r="U125" s="48">
        <f>Q25</f>
        <v>40</v>
      </c>
      <c r="V125" s="61">
        <f>R25</f>
        <v>5.8109999999999999</v>
      </c>
      <c r="W125" s="62">
        <f>S25</f>
        <v>0.81134288347155903</v>
      </c>
      <c r="Y125" s="133">
        <v>25</v>
      </c>
      <c r="Z125" s="134">
        <v>3</v>
      </c>
      <c r="AA125" s="135">
        <v>1.8518518518518519</v>
      </c>
      <c r="AC125" s="48">
        <f>Y135</f>
        <v>20</v>
      </c>
      <c r="AD125" s="61">
        <f t="shared" ref="AD125:AE125" si="483">Z135</f>
        <v>3.7479007570750889</v>
      </c>
      <c r="AE125" s="62">
        <f t="shared" si="483"/>
        <v>2.117960440547515</v>
      </c>
      <c r="AG125" s="136">
        <v>20</v>
      </c>
      <c r="AH125" s="137">
        <v>12.122010870009888</v>
      </c>
      <c r="AI125" s="138">
        <f>AH125*5/(10+AH125)</f>
        <v>2.7398076380215768</v>
      </c>
      <c r="AK125" s="48">
        <f>AG124</f>
        <v>20.5</v>
      </c>
      <c r="AL125" s="61">
        <f>AH124</f>
        <v>11.887981386196342</v>
      </c>
      <c r="AM125" s="62">
        <f>AI124</f>
        <v>2.7156413322092594</v>
      </c>
    </row>
    <row r="126" spans="1:39">
      <c r="A126" s="118">
        <v>-0.5</v>
      </c>
      <c r="B126" s="119">
        <v>100.21992424093382</v>
      </c>
      <c r="C126" s="120">
        <v>3.848102539804362</v>
      </c>
      <c r="E126" s="48">
        <f>A84</f>
        <v>20.5</v>
      </c>
      <c r="F126" s="61">
        <f t="shared" ref="F126:G126" si="484">B84</f>
        <v>36.641681289098393</v>
      </c>
      <c r="G126" s="62">
        <f t="shared" si="484"/>
        <v>2.7491564273523545</v>
      </c>
      <c r="I126" s="118">
        <v>-0.5</v>
      </c>
      <c r="J126" s="119">
        <v>97.48</v>
      </c>
      <c r="K126" s="120">
        <v>3.8233448384060247</v>
      </c>
      <c r="M126" s="48">
        <f>I84</f>
        <v>20.5</v>
      </c>
      <c r="N126" s="61">
        <f t="shared" ref="N126" si="485">J84</f>
        <v>36.5</v>
      </c>
      <c r="O126" s="62">
        <f t="shared" ref="O126" si="486">K84</f>
        <v>2.744360902255639</v>
      </c>
      <c r="Q126" s="118">
        <v>-10.5</v>
      </c>
      <c r="R126" s="119">
        <v>44.37</v>
      </c>
      <c r="S126" s="120">
        <v>2.9830576845502215</v>
      </c>
      <c r="U126" s="48">
        <f>Q24</f>
        <v>40.5</v>
      </c>
      <c r="V126" s="61">
        <f>R24</f>
        <v>5.7110000000000003</v>
      </c>
      <c r="W126" s="62">
        <f>S24</f>
        <v>0.79961356444792919</v>
      </c>
      <c r="Y126" s="121">
        <v>24.5</v>
      </c>
      <c r="Z126" s="122">
        <v>3.0666630458986517</v>
      </c>
      <c r="AA126" s="123">
        <v>1.8775496360406034</v>
      </c>
      <c r="AC126" s="48">
        <f>Y134</f>
        <v>20.5</v>
      </c>
      <c r="AD126" s="61">
        <f t="shared" ref="AD126:AE126" si="487">Z134</f>
        <v>3.6643660430990823</v>
      </c>
      <c r="AE126" s="62">
        <f t="shared" si="487"/>
        <v>2.0904912146979209</v>
      </c>
      <c r="AG126" s="139">
        <v>19.5</v>
      </c>
      <c r="AH126" s="140">
        <v>12.361347045012161</v>
      </c>
      <c r="AI126" s="141">
        <f t="shared" ref="AI126:AI184" si="488">AH126*5/(10+AH126)</f>
        <v>2.763998747510481</v>
      </c>
      <c r="AK126" s="48">
        <f>AG123</f>
        <v>21</v>
      </c>
      <c r="AL126" s="61">
        <f>AH123</f>
        <v>11.659127425249041</v>
      </c>
      <c r="AM126" s="62">
        <f>AI123</f>
        <v>2.6915044166685727</v>
      </c>
    </row>
    <row r="127" spans="1:39">
      <c r="A127" s="118">
        <v>-1</v>
      </c>
      <c r="B127" s="119">
        <v>102.80597223524789</v>
      </c>
      <c r="C127" s="120">
        <v>3.8705327217190559</v>
      </c>
      <c r="E127" s="48">
        <f>A83</f>
        <v>21</v>
      </c>
      <c r="F127" s="61">
        <f t="shared" ref="F127:G127" si="489">B83</f>
        <v>35.827064969508854</v>
      </c>
      <c r="G127" s="62">
        <f t="shared" si="489"/>
        <v>2.7213020196255124</v>
      </c>
      <c r="I127" s="118">
        <v>-1</v>
      </c>
      <c r="J127" s="119">
        <v>99.930999999999997</v>
      </c>
      <c r="K127" s="120">
        <v>3.845541094888826</v>
      </c>
      <c r="M127" s="48">
        <f>I83</f>
        <v>21</v>
      </c>
      <c r="N127" s="61">
        <f t="shared" ref="N127" si="490">J83</f>
        <v>35.704000000000001</v>
      </c>
      <c r="O127" s="62">
        <f t="shared" ref="O127" si="491">K83</f>
        <v>2.7170339705345183</v>
      </c>
      <c r="Q127" s="118">
        <v>-11</v>
      </c>
      <c r="R127" s="119">
        <v>45.42</v>
      </c>
      <c r="S127" s="120">
        <v>3.0111376292760546</v>
      </c>
      <c r="U127" s="48">
        <f>Q23</f>
        <v>41</v>
      </c>
      <c r="V127" s="61">
        <f>R23</f>
        <v>5.6139999999999999</v>
      </c>
      <c r="W127" s="62">
        <f>S23</f>
        <v>0.78817319031841415</v>
      </c>
      <c r="Y127" s="121">
        <v>24</v>
      </c>
      <c r="Z127" s="122">
        <v>3.1350018072338601</v>
      </c>
      <c r="AA127" s="123">
        <v>1.903461517446168</v>
      </c>
      <c r="AC127" s="48">
        <f>Y133</f>
        <v>21</v>
      </c>
      <c r="AD127" s="61">
        <f t="shared" ref="AD127:AE127" si="492">Z133</f>
        <v>3.5829190483620201</v>
      </c>
      <c r="AE127" s="62">
        <f t="shared" si="492"/>
        <v>2.063199615478343</v>
      </c>
      <c r="AG127" s="139">
        <v>19</v>
      </c>
      <c r="AH127" s="140">
        <v>12.606124739352826</v>
      </c>
      <c r="AI127" s="141">
        <f t="shared" si="488"/>
        <v>2.788210028189404</v>
      </c>
      <c r="AK127" s="48">
        <f>AG122</f>
        <v>21.5</v>
      </c>
      <c r="AL127" s="61">
        <f>AH122</f>
        <v>11.435321371165413</v>
      </c>
      <c r="AM127" s="62">
        <f>AI122</f>
        <v>2.6674014289676329</v>
      </c>
    </row>
    <row r="128" spans="1:39">
      <c r="A128" s="118">
        <v>-1.5</v>
      </c>
      <c r="B128" s="119">
        <v>105.46636985869146</v>
      </c>
      <c r="C128" s="120">
        <v>3.8927141093655284</v>
      </c>
      <c r="E128" s="48">
        <f>A82</f>
        <v>21.5</v>
      </c>
      <c r="F128" s="61">
        <f t="shared" ref="F128:G128" si="493">B82</f>
        <v>35.032869088102622</v>
      </c>
      <c r="G128" s="62">
        <f t="shared" si="493"/>
        <v>2.6934740523782059</v>
      </c>
      <c r="I128" s="118">
        <v>-1.5</v>
      </c>
      <c r="J128" s="119">
        <v>102.45</v>
      </c>
      <c r="K128" s="120">
        <v>3.867497168742922</v>
      </c>
      <c r="M128" s="48">
        <f>I82</f>
        <v>21.5</v>
      </c>
      <c r="N128" s="61">
        <f t="shared" ref="N128" si="494">J82</f>
        <v>34.929000000000002</v>
      </c>
      <c r="O128" s="62">
        <f t="shared" ref="O128" si="495">K82</f>
        <v>2.6897842258466942</v>
      </c>
      <c r="Q128" s="118">
        <v>-11.5</v>
      </c>
      <c r="R128" s="119">
        <v>46.5</v>
      </c>
      <c r="S128" s="120">
        <v>3.0392156862745097</v>
      </c>
      <c r="U128" s="48">
        <f>Q22</f>
        <v>41.5</v>
      </c>
      <c r="V128" s="61">
        <f>R22</f>
        <v>5.5179999999999998</v>
      </c>
      <c r="W128" s="62">
        <f>S22</f>
        <v>0.77678923362801955</v>
      </c>
      <c r="Y128" s="121">
        <v>23.5</v>
      </c>
      <c r="Z128" s="122">
        <v>3.2050626316877495</v>
      </c>
      <c r="AA128" s="123">
        <v>1.9295836610905963</v>
      </c>
      <c r="AC128" s="48">
        <f>Y132</f>
        <v>21.5</v>
      </c>
      <c r="AD128" s="61">
        <f t="shared" ref="AD128:AE128" si="496">Z132</f>
        <v>3.5035027885087184</v>
      </c>
      <c r="AE128" s="62">
        <f t="shared" si="496"/>
        <v>2.0360909240293248</v>
      </c>
      <c r="AG128" s="139">
        <v>18.5</v>
      </c>
      <c r="AH128" s="140">
        <v>12.856482552020404</v>
      </c>
      <c r="AI128" s="141">
        <f t="shared" si="488"/>
        <v>2.812436804910726</v>
      </c>
      <c r="AK128" s="48">
        <f>AG121</f>
        <v>22</v>
      </c>
      <c r="AL128" s="61">
        <f>AH121</f>
        <v>11.216439056141096</v>
      </c>
      <c r="AM128" s="62">
        <f>AI121</f>
        <v>2.6433368546109763</v>
      </c>
    </row>
    <row r="129" spans="1:39">
      <c r="A129" s="118">
        <v>-2</v>
      </c>
      <c r="B129" s="119">
        <v>108.20343721103865</v>
      </c>
      <c r="C129" s="120">
        <v>3.9146434920359621</v>
      </c>
      <c r="E129" s="48">
        <f>A81</f>
        <v>22</v>
      </c>
      <c r="F129" s="61">
        <f t="shared" ref="F129:G129" si="497">B81</f>
        <v>34.258530360053257</v>
      </c>
      <c r="G129" s="62">
        <f t="shared" si="497"/>
        <v>2.6656795734430849</v>
      </c>
      <c r="I129" s="118">
        <v>-2</v>
      </c>
      <c r="J129" s="119">
        <v>105.04</v>
      </c>
      <c r="K129" s="120">
        <v>3.8892180094786726</v>
      </c>
      <c r="M129" s="48">
        <f>I81</f>
        <v>22</v>
      </c>
      <c r="N129" s="61">
        <f t="shared" ref="N129" si="498">J81</f>
        <v>34.171999999999997</v>
      </c>
      <c r="O129" s="62">
        <f t="shared" ref="O129" si="499">K81</f>
        <v>2.6625319453967462</v>
      </c>
      <c r="Q129" s="118">
        <v>-12</v>
      </c>
      <c r="R129" s="119">
        <v>47.6</v>
      </c>
      <c r="S129" s="120">
        <v>3.0670103092783507</v>
      </c>
      <c r="U129" s="48">
        <f>Q21</f>
        <v>42</v>
      </c>
      <c r="V129" s="61">
        <f>R21</f>
        <v>5.4240000000000004</v>
      </c>
      <c r="W129" s="62">
        <f>S21</f>
        <v>0.76558265582655827</v>
      </c>
      <c r="Y129" s="121">
        <v>23</v>
      </c>
      <c r="Z129" s="122">
        <v>3.2768932483416817</v>
      </c>
      <c r="AA129" s="123">
        <v>1.955912025613068</v>
      </c>
      <c r="AC129" s="48">
        <f>Y131</f>
        <v>22</v>
      </c>
      <c r="AD129" s="61">
        <f t="shared" ref="AD129:AE129" si="500">Z131</f>
        <v>3.4260619444720266</v>
      </c>
      <c r="AE129" s="62">
        <f t="shared" si="500"/>
        <v>2.009170216440519</v>
      </c>
      <c r="AG129" s="139">
        <v>18</v>
      </c>
      <c r="AH129" s="140">
        <v>13.112562967479453</v>
      </c>
      <c r="AI129" s="141">
        <f t="shared" si="488"/>
        <v>2.8366743631871318</v>
      </c>
      <c r="AK129" s="48">
        <f>AG120</f>
        <v>22.5</v>
      </c>
      <c r="AL129" s="61">
        <f>AH120</f>
        <v>11.002359659721172</v>
      </c>
      <c r="AM129" s="62">
        <f>AI120</f>
        <v>2.6193151241052597</v>
      </c>
    </row>
    <row r="130" spans="1:39">
      <c r="A130" s="118">
        <v>-2.5</v>
      </c>
      <c r="B130" s="119">
        <v>111.01957135531316</v>
      </c>
      <c r="C130" s="120">
        <v>3.9363178560367356</v>
      </c>
      <c r="E130" s="48">
        <f>A80</f>
        <v>22.5</v>
      </c>
      <c r="F130" s="61">
        <f t="shared" ref="F130:G130" si="501">B80</f>
        <v>33.503502253861235</v>
      </c>
      <c r="G130" s="62">
        <f t="shared" si="501"/>
        <v>2.6379255525095155</v>
      </c>
      <c r="I130" s="118">
        <v>-2.5</v>
      </c>
      <c r="J130" s="119">
        <v>107.7</v>
      </c>
      <c r="K130" s="120">
        <v>3.910675381263617</v>
      </c>
      <c r="M130" s="48">
        <f>I80</f>
        <v>22.5</v>
      </c>
      <c r="N130" s="61">
        <f t="shared" ref="N130" si="502">J80</f>
        <v>33.433</v>
      </c>
      <c r="O130" s="62">
        <f t="shared" ref="O130" si="503">K80</f>
        <v>2.6353002380464425</v>
      </c>
      <c r="Q130" s="118">
        <v>-12.5</v>
      </c>
      <c r="R130" s="119">
        <v>48.74</v>
      </c>
      <c r="S130" s="120">
        <v>3.0949961899923797</v>
      </c>
      <c r="U130" s="48">
        <f>Q20</f>
        <v>42.5</v>
      </c>
      <c r="V130" s="61">
        <f>R20</f>
        <v>5.3319999999999999</v>
      </c>
      <c r="W130" s="62">
        <f>S20</f>
        <v>0.75455677572738589</v>
      </c>
      <c r="Y130" s="121">
        <v>22.5</v>
      </c>
      <c r="Z130" s="122">
        <v>3.350542811254809</v>
      </c>
      <c r="AA130" s="123">
        <v>1.9824423626328516</v>
      </c>
      <c r="AC130" s="48">
        <f>Y130</f>
        <v>22.5</v>
      </c>
      <c r="AD130" s="61">
        <f t="shared" ref="AD130:AE130" si="504">Z130</f>
        <v>3.350542811254809</v>
      </c>
      <c r="AE130" s="62">
        <f t="shared" si="504"/>
        <v>1.9824423626328516</v>
      </c>
      <c r="AG130" s="139">
        <v>17.5</v>
      </c>
      <c r="AH130" s="140">
        <v>13.374512474060026</v>
      </c>
      <c r="AI130" s="141">
        <f t="shared" si="488"/>
        <v>2.8609179525995363</v>
      </c>
      <c r="AK130" s="48">
        <f>AG119</f>
        <v>23</v>
      </c>
      <c r="AL130" s="61">
        <f>AH119</f>
        <v>10.792965611114267</v>
      </c>
      <c r="AM130" s="62">
        <f>AI119</f>
        <v>2.595340610130477</v>
      </c>
    </row>
    <row r="131" spans="1:39">
      <c r="A131" s="118">
        <v>-3</v>
      </c>
      <c r="B131" s="119">
        <v>113.91724898468526</v>
      </c>
      <c r="C131" s="120">
        <v>3.9577343851537763</v>
      </c>
      <c r="E131" s="48">
        <f>A79</f>
        <v>23</v>
      </c>
      <c r="F131" s="61">
        <f t="shared" ref="F131:G131" si="505">B79</f>
        <v>32.767254462555719</v>
      </c>
      <c r="G131" s="62">
        <f t="shared" si="505"/>
        <v>2.6102188747241821</v>
      </c>
      <c r="I131" s="118">
        <v>-3</v>
      </c>
      <c r="J131" s="119">
        <v>110.44</v>
      </c>
      <c r="K131" s="120">
        <v>3.9319282255767591</v>
      </c>
      <c r="M131" s="48">
        <f>I79</f>
        <v>23</v>
      </c>
      <c r="N131" s="61">
        <f t="shared" ref="N131" si="506">J79</f>
        <v>32.713000000000001</v>
      </c>
      <c r="O131" s="62">
        <f t="shared" ref="O131" si="507">K79</f>
        <v>2.6081514199607736</v>
      </c>
      <c r="Q131" s="118">
        <v>-13</v>
      </c>
      <c r="R131" s="119">
        <v>49.91</v>
      </c>
      <c r="S131" s="120">
        <v>3.1228882492804404</v>
      </c>
      <c r="U131" s="48">
        <f>Q19</f>
        <v>43</v>
      </c>
      <c r="V131" s="61">
        <f>R19</f>
        <v>5.2409999999999997</v>
      </c>
      <c r="W131" s="62">
        <f>S19</f>
        <v>0.74359410913424695</v>
      </c>
      <c r="Y131" s="121">
        <v>22</v>
      </c>
      <c r="Z131" s="122">
        <v>3.4260619444720266</v>
      </c>
      <c r="AA131" s="123">
        <v>2.009170216440519</v>
      </c>
      <c r="AC131" s="48">
        <f>Y129</f>
        <v>23</v>
      </c>
      <c r="AD131" s="61">
        <f t="shared" ref="AD131:AE131" si="508">Z129</f>
        <v>3.2768932483416817</v>
      </c>
      <c r="AE131" s="62">
        <f t="shared" si="508"/>
        <v>1.955912025613068</v>
      </c>
      <c r="AG131" s="139">
        <v>17</v>
      </c>
      <c r="AH131" s="140">
        <v>13.642481686231045</v>
      </c>
      <c r="AI131" s="141">
        <f t="shared" si="488"/>
        <v>2.8851627902869819</v>
      </c>
      <c r="AK131" s="48">
        <f>AG118</f>
        <v>23.5</v>
      </c>
      <c r="AL131" s="61">
        <f>AH118</f>
        <v>10.588142494564234</v>
      </c>
      <c r="AM131" s="62">
        <f>AI118</f>
        <v>2.5714176248196652</v>
      </c>
    </row>
    <row r="132" spans="1:39">
      <c r="A132" s="118">
        <v>-3.5</v>
      </c>
      <c r="B132" s="119">
        <v>116.89902918428605</v>
      </c>
      <c r="C132" s="120">
        <v>3.9788904607951912</v>
      </c>
      <c r="E132" s="48">
        <f>A78</f>
        <v>23.5</v>
      </c>
      <c r="F132" s="61">
        <f t="shared" ref="F132:G132" si="509">B78</f>
        <v>32.049272392381852</v>
      </c>
      <c r="G132" s="62">
        <f t="shared" si="509"/>
        <v>2.5825663345181082</v>
      </c>
      <c r="I132" s="118">
        <v>-3.5</v>
      </c>
      <c r="J132" s="119">
        <v>113.26</v>
      </c>
      <c r="K132" s="120">
        <v>3.9529526734608411</v>
      </c>
      <c r="M132" s="48">
        <f>I78</f>
        <v>23.5</v>
      </c>
      <c r="N132" s="61">
        <f t="shared" ref="N132" si="510">J78</f>
        <v>32.01</v>
      </c>
      <c r="O132" s="62">
        <f t="shared" ref="O132" si="511">K78</f>
        <v>2.5810353168843734</v>
      </c>
      <c r="Q132" s="118">
        <v>-13.5</v>
      </c>
      <c r="R132" s="119">
        <v>51.1</v>
      </c>
      <c r="S132" s="120">
        <v>3.1504315659679412</v>
      </c>
      <c r="U132" s="48">
        <f>Q18</f>
        <v>43.5</v>
      </c>
      <c r="V132" s="61">
        <f>R18</f>
        <v>5.1529999999999996</v>
      </c>
      <c r="W132" s="62">
        <f>S18</f>
        <v>0.73293886723750457</v>
      </c>
      <c r="Y132" s="121">
        <v>21.5</v>
      </c>
      <c r="Z132" s="122">
        <v>3.5035027885087184</v>
      </c>
      <c r="AA132" s="123">
        <v>2.0360909240293248</v>
      </c>
      <c r="AC132" s="48">
        <f>Y128</f>
        <v>23.5</v>
      </c>
      <c r="AD132" s="61">
        <f t="shared" ref="AD132:AE132" si="512">Z128</f>
        <v>3.2050626316877495</v>
      </c>
      <c r="AE132" s="62">
        <f t="shared" si="512"/>
        <v>1.9295836610905963</v>
      </c>
      <c r="AG132" s="139">
        <v>16.5</v>
      </c>
      <c r="AH132" s="140">
        <v>13.916625470893658</v>
      </c>
      <c r="AI132" s="141">
        <f t="shared" si="488"/>
        <v>2.909404064513633</v>
      </c>
      <c r="AK132" s="48">
        <f>AG117</f>
        <v>24</v>
      </c>
      <c r="AL132" s="61">
        <f>AH117</f>
        <v>10.38777895767736</v>
      </c>
      <c r="AM132" s="62">
        <f>AI117</f>
        <v>2.5475504171496981</v>
      </c>
    </row>
    <row r="133" spans="1:39">
      <c r="A133" s="118">
        <v>-4</v>
      </c>
      <c r="B133" s="119">
        <v>119.96755629134174</v>
      </c>
      <c r="C133" s="120">
        <v>3.9997836618168581</v>
      </c>
      <c r="E133" s="48">
        <f>A77</f>
        <v>24</v>
      </c>
      <c r="F133" s="61">
        <f t="shared" ref="F133:G133" si="513">B77</f>
        <v>31.349056668374551</v>
      </c>
      <c r="G133" s="62">
        <f t="shared" si="513"/>
        <v>2.5549746296698146</v>
      </c>
      <c r="I133" s="118">
        <v>-4</v>
      </c>
      <c r="J133" s="119">
        <v>116.16</v>
      </c>
      <c r="K133" s="120">
        <v>3.9737274220032837</v>
      </c>
      <c r="M133" s="48">
        <f>I77</f>
        <v>24</v>
      </c>
      <c r="N133" s="61">
        <f t="shared" ref="N133" si="514">J77</f>
        <v>31.323</v>
      </c>
      <c r="O133" s="62">
        <f t="shared" ref="O133" si="515">K77</f>
        <v>2.5539357174306541</v>
      </c>
      <c r="Q133" s="118">
        <v>-14</v>
      </c>
      <c r="R133" s="119">
        <v>52.33</v>
      </c>
      <c r="S133" s="120">
        <v>3.1780638892262845</v>
      </c>
      <c r="U133" s="48">
        <f>Q17</f>
        <v>44</v>
      </c>
      <c r="V133" s="61">
        <f>R17</f>
        <v>5.0659999999999998</v>
      </c>
      <c r="W133" s="62">
        <f>S17</f>
        <v>0.72235213597216663</v>
      </c>
      <c r="Y133" s="121">
        <v>21</v>
      </c>
      <c r="Z133" s="122">
        <v>3.5829190483620201</v>
      </c>
      <c r="AA133" s="123">
        <v>2.063199615478343</v>
      </c>
      <c r="AC133" s="48">
        <f>Y127</f>
        <v>24</v>
      </c>
      <c r="AD133" s="61">
        <f t="shared" ref="AD133:AE133" si="516">Z127</f>
        <v>3.1350018072338601</v>
      </c>
      <c r="AE133" s="62">
        <f t="shared" si="516"/>
        <v>1.903461517446168</v>
      </c>
      <c r="AG133" s="139">
        <v>16</v>
      </c>
      <c r="AH133" s="140">
        <v>14.197103077835211</v>
      </c>
      <c r="AI133" s="141">
        <f t="shared" si="488"/>
        <v>2.9336369383076897</v>
      </c>
      <c r="AK133" s="48">
        <f>AG116</f>
        <v>24.5</v>
      </c>
      <c r="AL133" s="61">
        <f>AH116</f>
        <v>10.191766622606913</v>
      </c>
      <c r="AM133" s="62">
        <f>AI116</f>
        <v>2.523743170445548</v>
      </c>
    </row>
    <row r="134" spans="1:39">
      <c r="A134" s="118">
        <v>-4.5</v>
      </c>
      <c r="B134" s="119">
        <v>123.12556285715372</v>
      </c>
      <c r="C134" s="120">
        <v>4.0204117640375268</v>
      </c>
      <c r="E134" s="48">
        <f>A76</f>
        <v>24.5</v>
      </c>
      <c r="F134" s="61">
        <f t="shared" ref="F134:G134" si="517">B76</f>
        <v>30.666122656241935</v>
      </c>
      <c r="G134" s="62">
        <f t="shared" si="517"/>
        <v>2.52745035561348</v>
      </c>
      <c r="I134" s="118">
        <v>-4.5</v>
      </c>
      <c r="J134" s="119">
        <v>119.14</v>
      </c>
      <c r="K134" s="120">
        <v>3.9942336060077785</v>
      </c>
      <c r="M134" s="48">
        <f>I76</f>
        <v>24.5</v>
      </c>
      <c r="N134" s="61">
        <f t="shared" ref="N134" si="518">J76</f>
        <v>30.654</v>
      </c>
      <c r="O134" s="62">
        <f t="shared" ref="O134" si="519">K76</f>
        <v>2.5269561776634686</v>
      </c>
      <c r="Q134" s="118">
        <v>-14.5</v>
      </c>
      <c r="R134" s="119">
        <v>53.6</v>
      </c>
      <c r="S134" s="120">
        <v>3.2057416267942584</v>
      </c>
      <c r="U134" s="48">
        <f>Q16</f>
        <v>44.5</v>
      </c>
      <c r="V134" s="61">
        <f>R16</f>
        <v>4.9809999999999999</v>
      </c>
      <c r="W134" s="62">
        <f>S16</f>
        <v>0.71195792001372171</v>
      </c>
      <c r="Y134" s="121">
        <v>20.5</v>
      </c>
      <c r="Z134" s="122">
        <v>3.6643660430990823</v>
      </c>
      <c r="AA134" s="123">
        <v>2.0904912146979209</v>
      </c>
      <c r="AC134" s="48">
        <f>Y126</f>
        <v>24.5</v>
      </c>
      <c r="AD134" s="61">
        <f t="shared" ref="AD134:AE134" si="520">Z126</f>
        <v>3.0666630458986517</v>
      </c>
      <c r="AE134" s="62">
        <f t="shared" si="520"/>
        <v>1.8775496360406034</v>
      </c>
      <c r="AG134" s="139">
        <v>15.5</v>
      </c>
      <c r="AH134" s="140">
        <v>14.484078274491184</v>
      </c>
      <c r="AI134" s="141">
        <f t="shared" si="488"/>
        <v>2.957856553166935</v>
      </c>
      <c r="AK134" s="48">
        <f>AG115</f>
        <v>25</v>
      </c>
      <c r="AL134" s="61">
        <f>AH115</f>
        <v>9.9999999999998224</v>
      </c>
      <c r="AM134" s="62">
        <f>AI115</f>
        <v>2.4999999999999778</v>
      </c>
    </row>
    <row r="135" spans="1:39">
      <c r="A135" s="118">
        <v>-5</v>
      </c>
      <c r="B135" s="119">
        <v>126.37587271456684</v>
      </c>
      <c r="C135" s="120">
        <v>4.0407727394507003</v>
      </c>
      <c r="E135" s="48">
        <f>A75</f>
        <v>25</v>
      </c>
      <c r="F135" s="61">
        <f t="shared" ref="F135:G135" si="521">B75</f>
        <v>30</v>
      </c>
      <c r="G135" s="62">
        <f t="shared" si="521"/>
        <v>2.5</v>
      </c>
      <c r="I135" s="118">
        <v>-5</v>
      </c>
      <c r="J135" s="119">
        <v>122.2</v>
      </c>
      <c r="K135" s="120">
        <v>4.0144546649145862</v>
      </c>
      <c r="M135" s="48">
        <f>I75</f>
        <v>25</v>
      </c>
      <c r="N135" s="61">
        <f t="shared" ref="N135" si="522">J75</f>
        <v>30</v>
      </c>
      <c r="O135" s="62">
        <f t="shared" ref="O135" si="523">K75</f>
        <v>2.5</v>
      </c>
      <c r="Q135" s="118">
        <v>-15</v>
      </c>
      <c r="R135" s="119">
        <v>54.9</v>
      </c>
      <c r="S135" s="120">
        <v>3.2332155477031801</v>
      </c>
      <c r="U135" s="48">
        <f>Q15</f>
        <v>45</v>
      </c>
      <c r="V135" s="61">
        <f>R15</f>
        <v>4.8970000000000002</v>
      </c>
      <c r="W135" s="62">
        <f>S15</f>
        <v>0.70163624380319223</v>
      </c>
      <c r="Y135" s="121">
        <v>20</v>
      </c>
      <c r="Z135" s="122">
        <v>3.7479007570750889</v>
      </c>
      <c r="AA135" s="123">
        <v>2.117960440547515</v>
      </c>
      <c r="AC135" s="48">
        <f>Y125</f>
        <v>25</v>
      </c>
      <c r="AD135" s="61">
        <f t="shared" ref="AD135:AE135" si="524">Z125</f>
        <v>3</v>
      </c>
      <c r="AE135" s="62">
        <f t="shared" si="524"/>
        <v>1.8518518518518519</v>
      </c>
      <c r="AG135" s="139">
        <v>15</v>
      </c>
      <c r="AH135" s="140">
        <v>14.777719485165806</v>
      </c>
      <c r="AI135" s="141">
        <f t="shared" si="488"/>
        <v>2.9820580328252353</v>
      </c>
      <c r="AK135" s="48">
        <f>AG114</f>
        <v>25.5</v>
      </c>
      <c r="AL135" s="61">
        <f>AH114</f>
        <v>9.8123764056150478</v>
      </c>
      <c r="AM135" s="62">
        <f>AI114</f>
        <v>2.4763249508105729</v>
      </c>
    </row>
    <row r="136" spans="1:39">
      <c r="A136" s="118">
        <v>-5.5</v>
      </c>
      <c r="B136" s="119">
        <v>129.72140415470582</v>
      </c>
      <c r="C136" s="120">
        <v>4.0608647551413313</v>
      </c>
      <c r="E136" s="48">
        <f>A74</f>
        <v>25.5</v>
      </c>
      <c r="F136" s="61">
        <f t="shared" ref="F136:G136" si="525">B74</f>
        <v>29.350232174821247</v>
      </c>
      <c r="G136" s="62">
        <f t="shared" si="525"/>
        <v>2.4726299375179863</v>
      </c>
      <c r="I136" s="118">
        <v>-5.5</v>
      </c>
      <c r="J136" s="119">
        <v>125.35</v>
      </c>
      <c r="K136" s="120">
        <v>4.0344383649822984</v>
      </c>
      <c r="M136" s="48">
        <f>I74</f>
        <v>25.5</v>
      </c>
      <c r="N136" s="61">
        <f t="shared" ref="N136" si="526">J74</f>
        <v>29.361999999999998</v>
      </c>
      <c r="O136" s="62">
        <f t="shared" ref="O136" si="527">K74</f>
        <v>2.4731309591994881</v>
      </c>
      <c r="Q136" s="118">
        <v>-15.5</v>
      </c>
      <c r="R136" s="119">
        <v>56.23</v>
      </c>
      <c r="S136" s="120">
        <v>3.260466195059724</v>
      </c>
      <c r="U136" s="48">
        <f>Q14</f>
        <v>45.5</v>
      </c>
      <c r="V136" s="61">
        <f>R14</f>
        <v>4.8150000000000004</v>
      </c>
      <c r="W136" s="62">
        <f>S14</f>
        <v>0.69151227919000446</v>
      </c>
      <c r="Y136" s="121">
        <v>19.5</v>
      </c>
      <c r="Z136" s="122">
        <v>3.8335818928354639</v>
      </c>
      <c r="AA136" s="123">
        <v>2.145601808335083</v>
      </c>
      <c r="AC136" s="48">
        <f>Y124</f>
        <v>25.5</v>
      </c>
      <c r="AD136" s="61">
        <f t="shared" ref="AD136:AE136" si="528">Z124</f>
        <v>2.9349676610595408</v>
      </c>
      <c r="AE136" s="62">
        <f t="shared" si="528"/>
        <v>1.8263717944276818</v>
      </c>
      <c r="AG136" s="139">
        <v>14.5</v>
      </c>
      <c r="AH136" s="140">
        <v>15.078199934871115</v>
      </c>
      <c r="AI136" s="141">
        <f t="shared" si="488"/>
        <v>3.0062364870743679</v>
      </c>
      <c r="AK136" s="48">
        <f>AG113</f>
        <v>26</v>
      </c>
      <c r="AL136" s="61">
        <f>AH113</f>
        <v>9.6287958795236346</v>
      </c>
      <c r="AM136" s="62">
        <f>AI113</f>
        <v>2.452721995435339</v>
      </c>
    </row>
    <row r="137" spans="1:39">
      <c r="A137" s="118">
        <v>-6</v>
      </c>
      <c r="B137" s="119">
        <v>133.16517321688002</v>
      </c>
      <c r="C137" s="120">
        <v>4.0806861719159935</v>
      </c>
      <c r="E137" s="48">
        <f>A73</f>
        <v>26</v>
      </c>
      <c r="F137" s="61">
        <f t="shared" ref="F137:G137" si="529">B73</f>
        <v>28.716376054577818</v>
      </c>
      <c r="G137" s="62">
        <f t="shared" si="529"/>
        <v>2.4453464249807824</v>
      </c>
      <c r="I137" s="118">
        <v>-6</v>
      </c>
      <c r="J137" s="119">
        <v>128.6</v>
      </c>
      <c r="K137" s="120">
        <v>4.0542244640605301</v>
      </c>
      <c r="M137" s="48">
        <f>I73</f>
        <v>26</v>
      </c>
      <c r="N137" s="61">
        <f t="shared" ref="N137" si="530">J73</f>
        <v>28.739000000000001</v>
      </c>
      <c r="O137" s="62">
        <f t="shared" ref="O137" si="531">K73</f>
        <v>2.4463303767513915</v>
      </c>
      <c r="Q137" s="118">
        <v>-16</v>
      </c>
      <c r="R137" s="119">
        <v>57.6</v>
      </c>
      <c r="S137" s="120">
        <v>3.2876712328767126</v>
      </c>
      <c r="U137" s="48">
        <f>Q13</f>
        <v>46</v>
      </c>
      <c r="V137" s="61">
        <f>R13</f>
        <v>4.7350000000000003</v>
      </c>
      <c r="W137" s="62">
        <f>S13</f>
        <v>0.68158917518353246</v>
      </c>
      <c r="Y137" s="121">
        <v>19</v>
      </c>
      <c r="Z137" s="122">
        <v>3.9214699257581582</v>
      </c>
      <c r="AA137" s="123">
        <v>2.1734096317062215</v>
      </c>
      <c r="AC137" s="48">
        <f>Y123</f>
        <v>26</v>
      </c>
      <c r="AD137" s="61">
        <f t="shared" ref="AD137:AE137" si="532">Z123</f>
        <v>2.8715223189454249</v>
      </c>
      <c r="AE137" s="62">
        <f t="shared" si="532"/>
        <v>1.8011128891409205</v>
      </c>
      <c r="AG137" s="139">
        <v>14</v>
      </c>
      <c r="AH137" s="140">
        <v>15.385697797944957</v>
      </c>
      <c r="AI137" s="141">
        <f t="shared" si="488"/>
        <v>3.0303870156349362</v>
      </c>
      <c r="AK137" s="48">
        <f>AG112</f>
        <v>26.5</v>
      </c>
      <c r="AL137" s="61">
        <f>AH112</f>
        <v>9.449161107807047</v>
      </c>
      <c r="AM137" s="62">
        <f>AI112</f>
        <v>2.4291950319682627</v>
      </c>
    </row>
    <row r="138" spans="1:39">
      <c r="A138" s="118">
        <v>-6.5</v>
      </c>
      <c r="B138" s="119">
        <v>136.71029709570499</v>
      </c>
      <c r="C138" s="120">
        <v>4.1002355426558443</v>
      </c>
      <c r="E138" s="48">
        <f>A72</f>
        <v>26.5</v>
      </c>
      <c r="F138" s="61">
        <f t="shared" ref="F138:G138" si="533">B72</f>
        <v>28.098001493578334</v>
      </c>
      <c r="G138" s="62">
        <f t="shared" si="533"/>
        <v>2.4181555966846853</v>
      </c>
      <c r="I138" s="118">
        <v>-6.5</v>
      </c>
      <c r="J138" s="119">
        <v>131.94</v>
      </c>
      <c r="K138" s="120">
        <v>4.0737310114857355</v>
      </c>
      <c r="M138" s="48">
        <f>I72</f>
        <v>26.5</v>
      </c>
      <c r="N138" s="61">
        <f t="shared" ref="N138" si="534">J72</f>
        <v>28.131</v>
      </c>
      <c r="O138" s="62">
        <f t="shared" ref="O138" si="535">K72</f>
        <v>2.4196212003922177</v>
      </c>
      <c r="Q138" s="118">
        <v>-16.5</v>
      </c>
      <c r="R138" s="119">
        <v>59.01</v>
      </c>
      <c r="S138" s="120">
        <v>3.3147960903269302</v>
      </c>
      <c r="U138" s="48">
        <f>Q12</f>
        <v>46.5</v>
      </c>
      <c r="V138" s="61">
        <f>R12</f>
        <v>4.6559999999999997</v>
      </c>
      <c r="W138" s="62">
        <f>S12</f>
        <v>0.67174515235457055</v>
      </c>
      <c r="Y138" s="121">
        <v>18.5</v>
      </c>
      <c r="Z138" s="122">
        <v>4.0116271604937275</v>
      </c>
      <c r="AA138" s="123">
        <v>2.2013780249302646</v>
      </c>
      <c r="AC138" s="48">
        <f>Y122</f>
        <v>26.5</v>
      </c>
      <c r="AD138" s="61">
        <f t="shared" ref="AD138:AE138" si="536">Z122</f>
        <v>2.8096215223104184</v>
      </c>
      <c r="AE138" s="62">
        <f t="shared" si="536"/>
        <v>1.776078358733985</v>
      </c>
      <c r="AG138" s="139">
        <v>13.5</v>
      </c>
      <c r="AH138" s="140">
        <v>15.700396351620988</v>
      </c>
      <c r="AI138" s="141">
        <f t="shared" si="488"/>
        <v>3.0545047120704663</v>
      </c>
      <c r="AK138" s="48">
        <f>AG111</f>
        <v>27</v>
      </c>
      <c r="AL138" s="61">
        <f>AH111</f>
        <v>9.2733773466704932</v>
      </c>
      <c r="AM138" s="62">
        <f>AI111</f>
        <v>2.4057478821355831</v>
      </c>
    </row>
    <row r="139" spans="1:39">
      <c r="A139" s="118">
        <v>-7</v>
      </c>
      <c r="B139" s="119">
        <v>140.35999766961885</v>
      </c>
      <c r="C139" s="120">
        <v>4.1195116104022453</v>
      </c>
      <c r="E139" s="48">
        <f>A71</f>
        <v>27</v>
      </c>
      <c r="F139" s="61">
        <f t="shared" ref="F139:G139" si="537">B71</f>
        <v>27.49469092201468</v>
      </c>
      <c r="G139" s="62">
        <f t="shared" si="537"/>
        <v>2.391063460042619</v>
      </c>
      <c r="I139" s="118">
        <v>-7</v>
      </c>
      <c r="J139" s="119">
        <v>135.37</v>
      </c>
      <c r="K139" s="120">
        <v>4.0929430972969705</v>
      </c>
      <c r="M139" s="48">
        <f>I71</f>
        <v>27</v>
      </c>
      <c r="N139" s="61">
        <f t="shared" ref="N139" si="538">J71</f>
        <v>27.538</v>
      </c>
      <c r="O139" s="62">
        <f t="shared" ref="O139" si="539">K71</f>
        <v>2.3930272167958568</v>
      </c>
      <c r="Q139" s="118">
        <v>-17</v>
      </c>
      <c r="R139" s="119">
        <v>60.46</v>
      </c>
      <c r="S139" s="120">
        <v>3.3418085341587442</v>
      </c>
      <c r="U139" s="48">
        <f>Q11</f>
        <v>47</v>
      </c>
      <c r="V139" s="61">
        <f>R11</f>
        <v>4.5789999999999997</v>
      </c>
      <c r="W139" s="62">
        <f>S11</f>
        <v>0.66210705919777901</v>
      </c>
      <c r="Y139" s="121">
        <v>18</v>
      </c>
      <c r="Z139" s="122">
        <v>4.104117789263575</v>
      </c>
      <c r="AA139" s="123">
        <v>2.229500905589751</v>
      </c>
      <c r="AC139" s="48">
        <f>Y121</f>
        <v>27</v>
      </c>
      <c r="AD139" s="61">
        <f t="shared" ref="AD139:AE139" si="540">Z121</f>
        <v>2.7492240402829928</v>
      </c>
      <c r="AE139" s="62">
        <f t="shared" si="540"/>
        <v>1.751271225138755</v>
      </c>
      <c r="AG139" s="139">
        <v>13</v>
      </c>
      <c r="AH139" s="140">
        <v>16.022484134724145</v>
      </c>
      <c r="AI139" s="141">
        <f t="shared" si="488"/>
        <v>3.0785846677381392</v>
      </c>
      <c r="AK139" s="48">
        <f>AG110</f>
        <v>27.5</v>
      </c>
      <c r="AL139" s="61">
        <f>AH110</f>
        <v>9.1013523488916999</v>
      </c>
      <c r="AM139" s="62">
        <f>AI110</f>
        <v>2.3823842895133494</v>
      </c>
    </row>
    <row r="140" spans="1:39">
      <c r="A140" s="118">
        <v>-7.5</v>
      </c>
      <c r="B140" s="119">
        <v>144.11760515512387</v>
      </c>
      <c r="C140" s="120">
        <v>4.1385133061854207</v>
      </c>
      <c r="E140" s="48">
        <f>A70</f>
        <v>27.5</v>
      </c>
      <c r="F140" s="61">
        <f t="shared" ref="F140:G140" si="541">B70</f>
        <v>26.906038954652725</v>
      </c>
      <c r="G140" s="62">
        <f t="shared" si="541"/>
        <v>2.3640758914966478</v>
      </c>
      <c r="I140" s="118">
        <v>-7.5</v>
      </c>
      <c r="J140" s="119">
        <v>138.9</v>
      </c>
      <c r="K140" s="120">
        <v>4.1119005328596803</v>
      </c>
      <c r="M140" s="48">
        <f>I70</f>
        <v>27.5</v>
      </c>
      <c r="N140" s="61">
        <f t="shared" ref="N140" si="542">J70</f>
        <v>26.957999999999998</v>
      </c>
      <c r="O140" s="62">
        <f t="shared" ref="O140" si="543">K70</f>
        <v>2.366480564626567</v>
      </c>
      <c r="Q140" s="118">
        <v>-17.5</v>
      </c>
      <c r="R140" s="119">
        <v>61.95</v>
      </c>
      <c r="S140" s="120">
        <v>3.3686786296900491</v>
      </c>
      <c r="U140" s="48">
        <f>Q10</f>
        <v>47.5</v>
      </c>
      <c r="V140" s="61">
        <f>R10</f>
        <v>4.5030000000000001</v>
      </c>
      <c r="W140" s="62">
        <f>S10</f>
        <v>0.6525519520041736</v>
      </c>
      <c r="Y140" s="121">
        <v>17.5</v>
      </c>
      <c r="Z140" s="122">
        <v>4.1990079520773769</v>
      </c>
      <c r="AA140" s="123">
        <v>2.2577719976781654</v>
      </c>
      <c r="AC140" s="48">
        <f>Y120</f>
        <v>27.5</v>
      </c>
      <c r="AD140" s="61">
        <f t="shared" ref="AD140:AE140" si="544">Z120</f>
        <v>2.6902898253712451</v>
      </c>
      <c r="AE140" s="62">
        <f t="shared" si="544"/>
        <v>1.7266943115579398</v>
      </c>
      <c r="AG140" s="139">
        <v>12.5</v>
      </c>
      <c r="AH140" s="140">
        <v>16.352155111675359</v>
      </c>
      <c r="AI140" s="141">
        <f t="shared" si="488"/>
        <v>3.1026219757697375</v>
      </c>
      <c r="AK140" s="48">
        <f>AG109</f>
        <v>28</v>
      </c>
      <c r="AL140" s="61">
        <f>AH109</f>
        <v>8.9329962925296442</v>
      </c>
      <c r="AM140" s="62">
        <f>AI109</f>
        <v>2.3591079178667349</v>
      </c>
    </row>
    <row r="141" spans="1:39">
      <c r="A141" s="118">
        <v>-8</v>
      </c>
      <c r="B141" s="119">
        <v>147.98656189123034</v>
      </c>
      <c r="C141" s="120">
        <v>4.1572397466070123</v>
      </c>
      <c r="E141" s="48">
        <f>A69</f>
        <v>28</v>
      </c>
      <c r="F141" s="61">
        <f t="shared" ref="F141:G141" si="545">B69</f>
        <v>26.331652012316315</v>
      </c>
      <c r="G141" s="62">
        <f t="shared" si="545"/>
        <v>2.337198632711782</v>
      </c>
      <c r="I141" s="118">
        <v>-8</v>
      </c>
      <c r="J141" s="119">
        <v>142.54</v>
      </c>
      <c r="K141" s="120">
        <v>4.1306363741741041</v>
      </c>
      <c r="M141" s="48">
        <f>I69</f>
        <v>28</v>
      </c>
      <c r="N141" s="61">
        <f t="shared" ref="N141" si="546">J69</f>
        <v>26.393000000000001</v>
      </c>
      <c r="O141" s="62">
        <f t="shared" ref="O141" si="547">K69</f>
        <v>2.3400954019115847</v>
      </c>
      <c r="Q141" s="118">
        <v>-18</v>
      </c>
      <c r="R141" s="119">
        <v>63.48</v>
      </c>
      <c r="S141" s="120">
        <v>3.3953786906290118</v>
      </c>
      <c r="U141" s="48">
        <f>Q9</f>
        <v>48</v>
      </c>
      <c r="V141" s="61">
        <f>R9</f>
        <v>4.4290000000000003</v>
      </c>
      <c r="W141" s="62">
        <f>S9</f>
        <v>0.64320776089924192</v>
      </c>
      <c r="Y141" s="121">
        <v>17</v>
      </c>
      <c r="Z141" s="122">
        <v>4.2963657989337882</v>
      </c>
      <c r="AA141" s="123">
        <v>2.2861848351100273</v>
      </c>
      <c r="AC141" s="48">
        <f>Y119</f>
        <v>28</v>
      </c>
      <c r="AD141" s="61">
        <f t="shared" ref="AD141:AE141" si="548">Z119</f>
        <v>2.632779977540161</v>
      </c>
      <c r="AE141" s="62">
        <f t="shared" si="548"/>
        <v>1.7023502447936341</v>
      </c>
      <c r="AG141" s="139">
        <v>12</v>
      </c>
      <c r="AH141" s="140">
        <v>16.68960884199592</v>
      </c>
      <c r="AI141" s="141">
        <f t="shared" si="488"/>
        <v>3.1266117350762617</v>
      </c>
      <c r="AK141" s="48">
        <f>AG108</f>
        <v>28.5</v>
      </c>
      <c r="AL141" s="61">
        <f>AH108</f>
        <v>8.7682217118179935</v>
      </c>
      <c r="AM141" s="62">
        <f>AI108</f>
        <v>2.3359223496109944</v>
      </c>
    </row>
    <row r="142" spans="1:39">
      <c r="A142" s="118">
        <v>-8.5</v>
      </c>
      <c r="B142" s="119">
        <v>151.97042625873289</v>
      </c>
      <c r="C142" s="120">
        <v>4.1756902311877653</v>
      </c>
      <c r="E142" s="48">
        <f>A68</f>
        <v>28.5</v>
      </c>
      <c r="F142" s="61">
        <f t="shared" ref="F142:G142" si="549">B68</f>
        <v>25.771147955729983</v>
      </c>
      <c r="G142" s="62">
        <f t="shared" si="549"/>
        <v>2.3104372870526708</v>
      </c>
      <c r="I142" s="118">
        <v>-8.5</v>
      </c>
      <c r="J142" s="119">
        <v>146.28</v>
      </c>
      <c r="K142" s="120">
        <v>4.1490810074880873</v>
      </c>
      <c r="M142" s="48">
        <f>I68</f>
        <v>28.5</v>
      </c>
      <c r="N142" s="61">
        <f t="shared" ref="N142" si="550">J68</f>
        <v>25.84</v>
      </c>
      <c r="O142" s="62">
        <f t="shared" ref="O142" si="551">K68</f>
        <v>2.3137535816618908</v>
      </c>
      <c r="Q142" s="118">
        <v>-18.5</v>
      </c>
      <c r="R142" s="119">
        <v>65.05</v>
      </c>
      <c r="S142" s="120">
        <v>3.4218832193582327</v>
      </c>
      <c r="U142" s="48">
        <f>Q8</f>
        <v>48.5</v>
      </c>
      <c r="V142" s="61">
        <f>R8</f>
        <v>4.3559999999999999</v>
      </c>
      <c r="W142" s="62">
        <f>S8</f>
        <v>0.63395040167656302</v>
      </c>
      <c r="Y142" s="121">
        <v>16.5</v>
      </c>
      <c r="Z142" s="122">
        <v>4.3962615540700911</v>
      </c>
      <c r="AA142" s="123">
        <v>2.3147327656460011</v>
      </c>
      <c r="AC142" s="48">
        <f>Y118</f>
        <v>28.5</v>
      </c>
      <c r="AD142" s="61">
        <f t="shared" ref="AD142:AE142" si="552">Z118</f>
        <v>2.5766567094244355</v>
      </c>
      <c r="AE142" s="62">
        <f t="shared" si="552"/>
        <v>1.678241457808801</v>
      </c>
      <c r="AG142" s="139">
        <v>11.5</v>
      </c>
      <c r="AH142" s="140">
        <v>17.035050655506971</v>
      </c>
      <c r="AI142" s="141">
        <f t="shared" si="488"/>
        <v>3.1505490543693462</v>
      </c>
      <c r="AK142" s="48">
        <f>AG107</f>
        <v>29</v>
      </c>
      <c r="AL142" s="61">
        <f>AH107</f>
        <v>8.6069434301731906</v>
      </c>
      <c r="AM142" s="62">
        <f>AI107</f>
        <v>2.3128310843940367</v>
      </c>
    </row>
    <row r="143" spans="1:39">
      <c r="A143" s="118">
        <v>-9</v>
      </c>
      <c r="B143" s="119">
        <v>156.07287673911196</v>
      </c>
      <c r="C143" s="120">
        <v>4.1938642394919752</v>
      </c>
      <c r="E143" s="48">
        <f>A67</f>
        <v>29</v>
      </c>
      <c r="F143" s="61">
        <f t="shared" ref="F143:G143" si="553">B67</f>
        <v>25.224155731301323</v>
      </c>
      <c r="G143" s="62">
        <f t="shared" si="553"/>
        <v>2.2837973163439553</v>
      </c>
      <c r="I143" s="118">
        <v>-9</v>
      </c>
      <c r="J143" s="119">
        <v>150.13</v>
      </c>
      <c r="K143" s="120">
        <v>4.1672680841614387</v>
      </c>
      <c r="M143" s="48">
        <f>I67</f>
        <v>29</v>
      </c>
      <c r="N143" s="61">
        <f t="shared" ref="N143" si="554">J67</f>
        <v>25.300999999999998</v>
      </c>
      <c r="O143" s="62">
        <f t="shared" ref="O143" si="555">K67</f>
        <v>2.2875716533154913</v>
      </c>
      <c r="Q143" s="118">
        <v>-19</v>
      </c>
      <c r="R143" s="119">
        <v>66.67</v>
      </c>
      <c r="S143" s="120">
        <v>3.4483293679528293</v>
      </c>
      <c r="U143" s="48">
        <f>Q7</f>
        <v>49</v>
      </c>
      <c r="V143" s="61">
        <f>R7</f>
        <v>4.2850000000000001</v>
      </c>
      <c r="W143" s="62">
        <f>S7</f>
        <v>0.62490885226775561</v>
      </c>
      <c r="Y143" s="121">
        <v>16</v>
      </c>
      <c r="Z143" s="122">
        <v>4.4987675823285089</v>
      </c>
      <c r="AA143" s="123">
        <v>2.3434089552344273</v>
      </c>
      <c r="AC143" s="48">
        <f>Y117</f>
        <v>29</v>
      </c>
      <c r="AD143" s="61">
        <f t="shared" ref="AD143:AE143" si="556">Z117</f>
        <v>2.5218833126400115</v>
      </c>
      <c r="AE143" s="62">
        <f t="shared" si="556"/>
        <v>1.6543701925072507</v>
      </c>
      <c r="AG143" s="139">
        <v>11</v>
      </c>
      <c r="AH143" s="140">
        <v>17.388691833429068</v>
      </c>
      <c r="AI143" s="141">
        <f t="shared" si="488"/>
        <v>3.1744290561927144</v>
      </c>
      <c r="AK143" s="48">
        <f>AG106</f>
        <v>29.5</v>
      </c>
      <c r="AL143" s="61">
        <f>AH106</f>
        <v>8.4490784952466669</v>
      </c>
      <c r="AM143" s="62">
        <f>AI106</f>
        <v>2.2898375377999338</v>
      </c>
    </row>
    <row r="144" spans="1:39" ht="13.5" thickBot="1">
      <c r="A144" s="118">
        <v>-9.5</v>
      </c>
      <c r="B144" s="119">
        <v>160.29771611801385</v>
      </c>
      <c r="C144" s="120">
        <v>4.2117614280405924</v>
      </c>
      <c r="E144" s="48">
        <f>A66</f>
        <v>29.5</v>
      </c>
      <c r="F144" s="61">
        <f t="shared" ref="F144:G144" si="557">B66</f>
        <v>24.690315028437993</v>
      </c>
      <c r="G144" s="62">
        <f t="shared" si="557"/>
        <v>2.2572840379141597</v>
      </c>
      <c r="I144" s="118">
        <v>-9.5</v>
      </c>
      <c r="J144" s="119">
        <v>154.1</v>
      </c>
      <c r="K144" s="120">
        <v>4.1852254209668658</v>
      </c>
      <c r="M144" s="48">
        <f>I66</f>
        <v>29.5</v>
      </c>
      <c r="N144" s="61">
        <f t="shared" ref="N144" si="558">J66</f>
        <v>24.774000000000001</v>
      </c>
      <c r="O144" s="62">
        <f t="shared" ref="O144" si="559">K66</f>
        <v>2.2614744221711032</v>
      </c>
      <c r="Q144" s="118">
        <v>-19.5</v>
      </c>
      <c r="R144" s="119">
        <v>68.33</v>
      </c>
      <c r="S144" s="120">
        <v>3.4745245601545816</v>
      </c>
      <c r="U144" s="48">
        <f>Q6</f>
        <v>49.5</v>
      </c>
      <c r="V144" s="61">
        <f>R6</f>
        <v>4.2149999999999999</v>
      </c>
      <c r="W144" s="62">
        <f>S6</f>
        <v>0.6159579131959666</v>
      </c>
      <c r="Y144" s="127">
        <v>15.5</v>
      </c>
      <c r="Z144" s="128">
        <v>4.6039584577094157</v>
      </c>
      <c r="AA144" s="129">
        <v>2.3722063927694124</v>
      </c>
      <c r="AC144" s="48">
        <f>Y116</f>
        <v>29.5</v>
      </c>
      <c r="AD144" s="61">
        <f t="shared" ref="AD144:AE144" si="560">Z116</f>
        <v>2.4684241251588359</v>
      </c>
      <c r="AE144" s="62">
        <f t="shared" si="560"/>
        <v>1.6307385027177188</v>
      </c>
      <c r="AG144" s="139">
        <v>10.5</v>
      </c>
      <c r="AH144" s="140">
        <v>17.750749795594508</v>
      </c>
      <c r="AI144" s="141">
        <f t="shared" si="488"/>
        <v>3.1982468809567948</v>
      </c>
      <c r="AK144" s="48">
        <f>AG105</f>
        <v>30</v>
      </c>
      <c r="AL144" s="61">
        <f>AH105</f>
        <v>8.294546115956674</v>
      </c>
      <c r="AM144" s="62">
        <f>AI105</f>
        <v>2.2669450401729545</v>
      </c>
    </row>
    <row r="145" spans="1:39" ht="13.5" thickTop="1">
      <c r="A145" s="118">
        <v>-10</v>
      </c>
      <c r="B145" s="119">
        <v>164.64887583843239</v>
      </c>
      <c r="C145" s="120">
        <v>4.2293816270251314</v>
      </c>
      <c r="E145" s="48">
        <f>A65</f>
        <v>30</v>
      </c>
      <c r="F145" s="61">
        <f t="shared" ref="F145:G145" si="561">B65</f>
        <v>24.169275948008831</v>
      </c>
      <c r="G145" s="62">
        <f t="shared" si="561"/>
        <v>2.2309026219222754</v>
      </c>
      <c r="I145" s="118">
        <v>-10</v>
      </c>
      <c r="J145" s="119">
        <v>158.18</v>
      </c>
      <c r="K145" s="120">
        <v>4.2028908491869492</v>
      </c>
      <c r="M145" s="48">
        <f>I65</f>
        <v>30</v>
      </c>
      <c r="N145" s="61">
        <f t="shared" ref="N145" si="562">J65</f>
        <v>24.26</v>
      </c>
      <c r="O145" s="62">
        <f t="shared" ref="O145" si="563">K65</f>
        <v>2.2355326207150754</v>
      </c>
      <c r="Q145" s="118">
        <v>-20</v>
      </c>
      <c r="R145" s="119">
        <v>70.040000000000006</v>
      </c>
      <c r="S145" s="120">
        <v>3.500599760095962</v>
      </c>
      <c r="U145" s="48">
        <f>Q5</f>
        <v>50</v>
      </c>
      <c r="V145" s="61">
        <f>R5</f>
        <v>4.1459999999999999</v>
      </c>
      <c r="W145" s="62">
        <f>S5</f>
        <v>0.6070989281321385</v>
      </c>
      <c r="Y145" s="115">
        <v>15</v>
      </c>
      <c r="Z145" s="116">
        <v>4.711911034183494</v>
      </c>
      <c r="AA145" s="117">
        <v>2.4011178952641203</v>
      </c>
      <c r="AC145" s="48">
        <f>Y115</f>
        <v>30</v>
      </c>
      <c r="AD145" s="61">
        <f t="shared" ref="AD145:AE145" si="564">Z115</f>
        <v>2.4162444997123895</v>
      </c>
      <c r="AE145" s="62">
        <f t="shared" si="564"/>
        <v>1.6073482573676572</v>
      </c>
      <c r="AG145" s="139">
        <v>10</v>
      </c>
      <c r="AH145" s="140">
        <v>18.121448293991815</v>
      </c>
      <c r="AI145" s="141">
        <f t="shared" si="488"/>
        <v>3.2219976909694741</v>
      </c>
      <c r="AK145" s="48">
        <f>AG104</f>
        <v>30.5</v>
      </c>
      <c r="AL145" s="61">
        <f>AH104</f>
        <v>8.1432676014333261</v>
      </c>
      <c r="AM145" s="62">
        <f>AI104</f>
        <v>2.2441568355608679</v>
      </c>
    </row>
    <row r="146" spans="1:39">
      <c r="A146" s="118">
        <v>-10.5</v>
      </c>
      <c r="B146" s="119">
        <v>169.1304205088922</v>
      </c>
      <c r="C146" s="120">
        <v>4.246724836834753</v>
      </c>
      <c r="E146" s="48">
        <f>A64</f>
        <v>30.5</v>
      </c>
      <c r="F146" s="61">
        <f t="shared" ref="F146:G146" si="565">B64</f>
        <v>23.660698681572121</v>
      </c>
      <c r="G146" s="62">
        <f t="shared" si="565"/>
        <v>2.2046580889653562</v>
      </c>
      <c r="I146" s="118">
        <v>-10.5</v>
      </c>
      <c r="J146" s="119">
        <v>162.38</v>
      </c>
      <c r="K146" s="120">
        <v>4.2202931697681674</v>
      </c>
      <c r="M146" s="48">
        <f>I64</f>
        <v>30.5</v>
      </c>
      <c r="N146" s="61">
        <f t="shared" ref="N146" si="566">J64</f>
        <v>23.757000000000001</v>
      </c>
      <c r="O146" s="62">
        <f t="shared" ref="O146" si="567">K64</f>
        <v>2.2096657179530106</v>
      </c>
      <c r="Y146" s="121">
        <v>14.5</v>
      </c>
      <c r="Z146" s="122">
        <v>4.8227045188373232</v>
      </c>
      <c r="AA146" s="123">
        <v>2.4301361134365491</v>
      </c>
      <c r="AC146" s="48">
        <f>Y114</f>
        <v>30.5</v>
      </c>
      <c r="AD146" s="61">
        <f t="shared" ref="AD146:AE146" si="568">Z114</f>
        <v>2.3653107731907625</v>
      </c>
      <c r="AE146" s="62">
        <f t="shared" si="568"/>
        <v>1.5842011438324897</v>
      </c>
      <c r="AG146" s="139">
        <v>9.5</v>
      </c>
      <c r="AH146" s="140">
        <v>18.501017612871323</v>
      </c>
      <c r="AI146" s="141">
        <f t="shared" si="488"/>
        <v>3.2456766744560186</v>
      </c>
      <c r="AK146" s="48">
        <f>AG103</f>
        <v>31</v>
      </c>
      <c r="AL146" s="61">
        <f>AH103</f>
        <v>7.99516630181673</v>
      </c>
      <c r="AM146" s="62">
        <f>AI103</f>
        <v>2.2214760807766374</v>
      </c>
    </row>
    <row r="147" spans="1:39">
      <c r="A147" s="118">
        <v>-11</v>
      </c>
      <c r="B147" s="119">
        <v>173.74655257210964</v>
      </c>
      <c r="C147" s="120">
        <v>4.263791224409001</v>
      </c>
      <c r="E147" s="48">
        <f>A63</f>
        <v>31</v>
      </c>
      <c r="F147" s="61">
        <f t="shared" ref="F147:G147" si="569">B63</f>
        <v>23.164253201007043</v>
      </c>
      <c r="G147" s="62">
        <f t="shared" si="569"/>
        <v>2.178555307964738</v>
      </c>
      <c r="I147" s="118">
        <v>-11</v>
      </c>
      <c r="J147" s="119">
        <v>166.71</v>
      </c>
      <c r="K147" s="120">
        <v>4.2374561537288393</v>
      </c>
      <c r="M147" s="48">
        <f>I63</f>
        <v>31</v>
      </c>
      <c r="N147" s="61">
        <f t="shared" ref="N147" si="570">J63</f>
        <v>23.266999999999999</v>
      </c>
      <c r="O147" s="62">
        <f t="shared" ref="O147" si="571">K63</f>
        <v>2.1839975970112828</v>
      </c>
      <c r="Y147" s="121">
        <v>14</v>
      </c>
      <c r="Z147" s="122">
        <v>4.9364205474295701</v>
      </c>
      <c r="AA147" s="123">
        <v>2.459253537703658</v>
      </c>
      <c r="AC147" s="48">
        <f>Y113</f>
        <v>31</v>
      </c>
      <c r="AD147" s="61">
        <f t="shared" ref="AD147:AE147" si="572">Z113</f>
        <v>2.3155902370050812</v>
      </c>
      <c r="AE147" s="62">
        <f t="shared" si="572"/>
        <v>1.5612986714461949</v>
      </c>
      <c r="AG147" s="139">
        <v>9</v>
      </c>
      <c r="AH147" s="140">
        <v>18.889694775649268</v>
      </c>
      <c r="AI147" s="141">
        <f t="shared" si="488"/>
        <v>3.2692790495611495</v>
      </c>
      <c r="AK147" s="48">
        <f>AG102</f>
        <v>31.5</v>
      </c>
      <c r="AL147" s="61">
        <f>AH102</f>
        <v>7.8501675508471287</v>
      </c>
      <c r="AM147" s="62">
        <f>AI102</f>
        <v>2.198905844576954</v>
      </c>
    </row>
    <row r="148" spans="1:39">
      <c r="A148" s="118">
        <v>-11.5</v>
      </c>
      <c r="B148" s="119">
        <v>178.50161713979412</v>
      </c>
      <c r="C148" s="120">
        <v>4.2805811194287786</v>
      </c>
      <c r="E148" s="48">
        <f>A62</f>
        <v>31.5</v>
      </c>
      <c r="F148" s="61">
        <f t="shared" ref="F148:G148" si="573">B62</f>
        <v>22.679618958197103</v>
      </c>
      <c r="G148" s="62">
        <f t="shared" si="573"/>
        <v>2.1525989943277755</v>
      </c>
      <c r="I148" s="118">
        <v>-11.5</v>
      </c>
      <c r="J148" s="119">
        <v>171.16</v>
      </c>
      <c r="K148" s="120">
        <v>4.254324915490157</v>
      </c>
      <c r="M148" s="48">
        <f>I62</f>
        <v>31.5</v>
      </c>
      <c r="N148" s="61">
        <f t="shared" ref="N148" si="574">J62</f>
        <v>22.786999999999999</v>
      </c>
      <c r="O148" s="62">
        <f t="shared" ref="O148" si="575">K62</f>
        <v>2.1583912705779831</v>
      </c>
      <c r="Y148" s="121">
        <v>13.5</v>
      </c>
      <c r="Z148" s="122">
        <v>5.053143262436623</v>
      </c>
      <c r="AA148" s="123">
        <v>2.4884625045780822</v>
      </c>
      <c r="AC148" s="48">
        <f>Y112</f>
        <v>31.5</v>
      </c>
      <c r="AD148" s="61">
        <f t="shared" ref="AD148:AE148" si="576">Z112</f>
        <v>2.2670511083821014</v>
      </c>
      <c r="AE148" s="62">
        <f t="shared" si="576"/>
        <v>1.5386421751592645</v>
      </c>
      <c r="AG148" s="139">
        <v>8.5</v>
      </c>
      <c r="AH148" s="140">
        <v>19.287723758857066</v>
      </c>
      <c r="AI148" s="141">
        <f t="shared" si="488"/>
        <v>3.2928000683262653</v>
      </c>
      <c r="AK148" s="48">
        <f>AG101</f>
        <v>32</v>
      </c>
      <c r="AL148" s="61">
        <f>AH101</f>
        <v>7.7081986101895188</v>
      </c>
      <c r="AM148" s="62">
        <f>AI101</f>
        <v>2.1764491069560639</v>
      </c>
    </row>
    <row r="149" spans="1:39">
      <c r="A149" s="118">
        <v>-12</v>
      </c>
      <c r="B149" s="119">
        <v>183.40010699944045</v>
      </c>
      <c r="C149" s="120">
        <v>4.2970950103582037</v>
      </c>
      <c r="E149" s="48">
        <f>A61</f>
        <v>32</v>
      </c>
      <c r="F149" s="61">
        <f t="shared" ref="F149:G149" si="577">B61</f>
        <v>22.20648459442641</v>
      </c>
      <c r="G149" s="62">
        <f t="shared" si="577"/>
        <v>2.1267937083813133</v>
      </c>
      <c r="I149" s="118">
        <v>-12</v>
      </c>
      <c r="J149" s="119">
        <v>175.75</v>
      </c>
      <c r="K149" s="120">
        <v>4.2709599027946537</v>
      </c>
      <c r="M149" s="48">
        <f>I61</f>
        <v>32</v>
      </c>
      <c r="N149" s="61">
        <f t="shared" ref="N149" si="578">J61</f>
        <v>22.318999999999999</v>
      </c>
      <c r="O149" s="62">
        <f t="shared" ref="O149" si="579">K61</f>
        <v>2.132972725013857</v>
      </c>
      <c r="Y149" s="121">
        <v>13</v>
      </c>
      <c r="Z149" s="122">
        <v>5.1729593936698439</v>
      </c>
      <c r="AA149" s="123">
        <v>2.5177552034603585</v>
      </c>
      <c r="AC149" s="48">
        <f>Y111</f>
        <v>32</v>
      </c>
      <c r="AD149" s="61">
        <f t="shared" ref="AD149:AE149" si="580">Z111</f>
        <v>2.2196625025607926</v>
      </c>
      <c r="AE149" s="62">
        <f t="shared" si="580"/>
        <v>1.516232819330291</v>
      </c>
      <c r="AG149" s="139">
        <v>8</v>
      </c>
      <c r="AH149" s="140">
        <v>19.695355713391638</v>
      </c>
      <c r="AI149" s="141">
        <f t="shared" si="488"/>
        <v>3.3162350206348385</v>
      </c>
      <c r="AK149" s="48">
        <f>AG100</f>
        <v>32.5</v>
      </c>
      <c r="AL149" s="61">
        <f>AH100</f>
        <v>7.5691886154369294</v>
      </c>
      <c r="AM149" s="62">
        <f>AI100</f>
        <v>2.1541087585531313</v>
      </c>
    </row>
    <row r="150" spans="1:39">
      <c r="A150" s="118">
        <v>-12.5</v>
      </c>
      <c r="B150" s="119">
        <v>188.44666779916517</v>
      </c>
      <c r="C150" s="120">
        <v>4.3133335403499657</v>
      </c>
      <c r="E150" s="48">
        <f>A60</f>
        <v>32.5</v>
      </c>
      <c r="F150" s="61">
        <f t="shared" ref="F150:G150" si="581">B60</f>
        <v>21.7445476591618</v>
      </c>
      <c r="G150" s="62">
        <f t="shared" si="581"/>
        <v>2.1011438540724927</v>
      </c>
      <c r="I150" s="118">
        <v>-12.5</v>
      </c>
      <c r="J150" s="119">
        <v>180.48</v>
      </c>
      <c r="K150" s="120">
        <v>4.2873432155074118</v>
      </c>
      <c r="M150" s="48">
        <f>I60</f>
        <v>32.5</v>
      </c>
      <c r="N150" s="61">
        <f t="shared" ref="N150" si="582">J60</f>
        <v>21.861999999999998</v>
      </c>
      <c r="O150" s="62">
        <f t="shared" ref="O150" si="583">K60</f>
        <v>2.1077089198256913</v>
      </c>
      <c r="Y150" s="121">
        <v>12.5</v>
      </c>
      <c r="Z150" s="122">
        <v>5.2959583415484968</v>
      </c>
      <c r="AA150" s="123">
        <v>2.547123683817905</v>
      </c>
      <c r="AC150" s="48">
        <f>Y110</f>
        <v>32.5</v>
      </c>
      <c r="AD150" s="61">
        <f t="shared" ref="AD150:AE150" si="584">Z110</f>
        <v>2.173394405861925</v>
      </c>
      <c r="AE150" s="62">
        <f t="shared" si="584"/>
        <v>1.4940716016378115</v>
      </c>
      <c r="AG150" s="139">
        <v>7.5</v>
      </c>
      <c r="AH150" s="140">
        <v>20.112849193332284</v>
      </c>
      <c r="AI150" s="141">
        <f t="shared" si="488"/>
        <v>3.3395792381190148</v>
      </c>
      <c r="AK150" s="48">
        <f>AG99</f>
        <v>33</v>
      </c>
      <c r="AL150" s="61">
        <f>AH99</f>
        <v>7.4330685237387613</v>
      </c>
      <c r="AM150" s="62">
        <f>AI99</f>
        <v>2.131887600171217</v>
      </c>
    </row>
    <row r="151" spans="1:39">
      <c r="A151" s="118">
        <v>-13</v>
      </c>
      <c r="B151" s="119">
        <v>193.64610341683309</v>
      </c>
      <c r="C151" s="120">
        <v>4.3292975030267842</v>
      </c>
      <c r="E151" s="48">
        <f>A59</f>
        <v>33</v>
      </c>
      <c r="F151" s="61">
        <f t="shared" ref="F151:G151" si="585">B59</f>
        <v>21.293514337904604</v>
      </c>
      <c r="G151" s="62">
        <f t="shared" si="585"/>
        <v>2.0756536779318746</v>
      </c>
      <c r="I151" s="118">
        <v>-13</v>
      </c>
      <c r="J151" s="119">
        <v>185.34</v>
      </c>
      <c r="K151" s="120">
        <v>4.3034271384786846</v>
      </c>
      <c r="M151" s="48">
        <f>I59</f>
        <v>33</v>
      </c>
      <c r="N151" s="61">
        <f t="shared" ref="N151" si="586">J59</f>
        <v>21.414999999999999</v>
      </c>
      <c r="O151" s="62">
        <f t="shared" ref="O151" si="587">K59</f>
        <v>2.0825634542448701</v>
      </c>
      <c r="Y151" s="121">
        <v>12</v>
      </c>
      <c r="Z151" s="122">
        <v>5.4222322631151272</v>
      </c>
      <c r="AA151" s="123">
        <v>2.5765598627405062</v>
      </c>
      <c r="AC151" s="48">
        <f>Y109</f>
        <v>33</v>
      </c>
      <c r="AD151" s="61">
        <f t="shared" ref="AD151:AE151" si="588">Z109</f>
        <v>2.1282176496021501</v>
      </c>
      <c r="AE151" s="62">
        <f t="shared" si="588"/>
        <v>1.4721593570991112</v>
      </c>
      <c r="AG151" s="139">
        <v>7</v>
      </c>
      <c r="AH151" s="140">
        <v>20.540470392601037</v>
      </c>
      <c r="AI151" s="141">
        <f t="shared" si="488"/>
        <v>3.3628280980206062</v>
      </c>
      <c r="AK151" s="48">
        <f>AG98</f>
        <v>33.5</v>
      </c>
      <c r="AL151" s="61">
        <f>AH98</f>
        <v>7.2997710630009642</v>
      </c>
      <c r="AM151" s="62">
        <f>AI98</f>
        <v>2.1097883424055799</v>
      </c>
    </row>
    <row r="152" spans="1:39">
      <c r="A152" s="118">
        <v>-13.5</v>
      </c>
      <c r="B152" s="119">
        <v>199.00338151993205</v>
      </c>
      <c r="C152" s="120">
        <v>4.3449878381514457</v>
      </c>
      <c r="E152" s="48">
        <f>A58</f>
        <v>33.5</v>
      </c>
      <c r="F152" s="61">
        <f t="shared" ref="F152:G152" si="589">B58</f>
        <v>20.85309918880764</v>
      </c>
      <c r="G152" s="62">
        <f t="shared" si="589"/>
        <v>2.0503272682933393</v>
      </c>
      <c r="I152" s="118">
        <v>-13.5</v>
      </c>
      <c r="J152" s="119">
        <v>190.35</v>
      </c>
      <c r="K152" s="120">
        <v>4.3192648059904695</v>
      </c>
      <c r="M152" s="48">
        <f>I58</f>
        <v>33.5</v>
      </c>
      <c r="N152" s="61">
        <f t="shared" ref="N152" si="590">J58</f>
        <v>20.978999999999999</v>
      </c>
      <c r="O152" s="62">
        <f t="shared" ref="O152" si="591">K58</f>
        <v>2.0576119578650034</v>
      </c>
      <c r="Y152" s="121">
        <v>11.5</v>
      </c>
      <c r="Z152" s="122">
        <v>5.5518761608836522</v>
      </c>
      <c r="AA152" s="123">
        <v>2.60605553286074</v>
      </c>
      <c r="AC152" s="48">
        <f>Y108</f>
        <v>33.5</v>
      </c>
      <c r="AD152" s="61">
        <f t="shared" ref="AD152:AE152" si="592">Z108</f>
        <v>2.0841038848256943</v>
      </c>
      <c r="AE152" s="62">
        <f t="shared" si="592"/>
        <v>1.4504967621833467</v>
      </c>
      <c r="AG152" s="139">
        <v>6.5</v>
      </c>
      <c r="AH152" s="140">
        <v>20.97849338975254</v>
      </c>
      <c r="AI152" s="141">
        <f t="shared" si="488"/>
        <v>3.3859770269996528</v>
      </c>
      <c r="AK152" s="48">
        <f>AG97</f>
        <v>34</v>
      </c>
      <c r="AL152" s="61">
        <f>AH97</f>
        <v>7.1692306826092933</v>
      </c>
      <c r="AM152" s="62">
        <f>AI97</f>
        <v>2.0878136053792451</v>
      </c>
    </row>
    <row r="153" spans="1:39">
      <c r="A153" s="118">
        <v>-14</v>
      </c>
      <c r="B153" s="119">
        <v>204.52363932286843</v>
      </c>
      <c r="C153" s="120">
        <v>4.3604056271977978</v>
      </c>
      <c r="E153" s="48">
        <f>A57</f>
        <v>34</v>
      </c>
      <c r="F153" s="61">
        <f t="shared" ref="F153:G153" si="593">B57</f>
        <v>20.423024887762569</v>
      </c>
      <c r="G153" s="62">
        <f t="shared" si="593"/>
        <v>2.0251685547646647</v>
      </c>
      <c r="I153" s="118">
        <v>-14</v>
      </c>
      <c r="J153" s="119">
        <v>195.51</v>
      </c>
      <c r="K153" s="120">
        <v>4.3348410270054547</v>
      </c>
      <c r="M153" s="48">
        <f>I57</f>
        <v>34</v>
      </c>
      <c r="N153" s="61">
        <f t="shared" ref="N153" si="594">J57</f>
        <v>20.552</v>
      </c>
      <c r="O153" s="62">
        <f t="shared" ref="O153" si="595">K57</f>
        <v>2.0327583478398479</v>
      </c>
      <c r="Y153" s="121">
        <v>11</v>
      </c>
      <c r="Z153" s="122">
        <v>5.6849879746112411</v>
      </c>
      <c r="AA153" s="123">
        <v>2.6356023706258065</v>
      </c>
      <c r="AC153" s="48">
        <f>Y107</f>
        <v>34</v>
      </c>
      <c r="AD153" s="61">
        <f t="shared" ref="AD153:AE153" si="596">Z107</f>
        <v>2.0410255578269285</v>
      </c>
      <c r="AE153" s="62">
        <f t="shared" si="596"/>
        <v>1.4290843390063632</v>
      </c>
      <c r="AG153" s="139">
        <v>6</v>
      </c>
      <c r="AH153" s="140">
        <v>21.427200401191609</v>
      </c>
      <c r="AI153" s="141">
        <f t="shared" si="488"/>
        <v>3.4090215048838974</v>
      </c>
      <c r="AK153" s="48">
        <f>AG96</f>
        <v>34.5</v>
      </c>
      <c r="AL153" s="61">
        <f>AH96</f>
        <v>7.0413835056254479</v>
      </c>
      <c r="AM153" s="62">
        <f>AI96</f>
        <v>2.0659659185831516</v>
      </c>
    </row>
    <row r="154" spans="1:39">
      <c r="A154" s="118">
        <v>-14.5</v>
      </c>
      <c r="B154" s="119">
        <v>210.21218954857383</v>
      </c>
      <c r="C154" s="120">
        <v>4.3755520888349082</v>
      </c>
      <c r="E154" s="48">
        <f>A56</f>
        <v>34.5</v>
      </c>
      <c r="F154" s="61">
        <f t="shared" ref="F154:G154" si="597">B56</f>
        <v>20.003021981673712</v>
      </c>
      <c r="G154" s="62">
        <f t="shared" si="597"/>
        <v>2.000181307942237</v>
      </c>
      <c r="I154" s="118">
        <v>-14.5</v>
      </c>
      <c r="J154" s="119">
        <v>200.83</v>
      </c>
      <c r="K154" s="120">
        <v>4.3501711216046441</v>
      </c>
      <c r="M154" s="48">
        <f>I56</f>
        <v>34.5</v>
      </c>
      <c r="N154" s="61">
        <f t="shared" ref="N154" si="598">J56</f>
        <v>20.135000000000002</v>
      </c>
      <c r="O154" s="62">
        <f t="shared" ref="O154" si="599">K56</f>
        <v>2.0080781888899972</v>
      </c>
      <c r="Y154" s="121">
        <v>10.5</v>
      </c>
      <c r="Z154" s="122">
        <v>5.8216686760905363</v>
      </c>
      <c r="AA154" s="123">
        <v>2.6651919449063666</v>
      </c>
      <c r="AC154" s="48">
        <f>Y106</f>
        <v>34.5</v>
      </c>
      <c r="AD154" s="61">
        <f t="shared" ref="AD154:AE154" si="600">Z106</f>
        <v>1.9989558864383685</v>
      </c>
      <c r="AE154" s="62">
        <f t="shared" si="600"/>
        <v>1.4079224595951594</v>
      </c>
      <c r="AG154" s="139">
        <v>5.5</v>
      </c>
      <c r="AH154" s="140">
        <v>21.886882043129383</v>
      </c>
      <c r="AI154" s="141">
        <f t="shared" si="488"/>
        <v>3.4319570683527081</v>
      </c>
      <c r="AK154" s="48">
        <f>AG95</f>
        <v>35</v>
      </c>
      <c r="AL154" s="61">
        <f>AH95</f>
        <v>6.9161672824100382</v>
      </c>
      <c r="AM154" s="62">
        <f>AI95</f>
        <v>2.0442477208184404</v>
      </c>
    </row>
    <row r="155" spans="1:39">
      <c r="A155" s="118">
        <v>-15</v>
      </c>
      <c r="B155" s="119">
        <v>216.07452660153459</v>
      </c>
      <c r="C155" s="120">
        <v>4.3904285743363713</v>
      </c>
      <c r="E155" s="48">
        <f>A55</f>
        <v>35</v>
      </c>
      <c r="F155" s="61">
        <f t="shared" ref="F155:G155" si="601">B55</f>
        <v>19.592828649644026</v>
      </c>
      <c r="G155" s="62">
        <f t="shared" si="601"/>
        <v>1.9753691393629209</v>
      </c>
      <c r="I155" s="118">
        <v>-15</v>
      </c>
      <c r="J155" s="119">
        <v>206.31</v>
      </c>
      <c r="K155" s="120">
        <v>4.3652405738225211</v>
      </c>
      <c r="M155" s="48">
        <f>I55</f>
        <v>35</v>
      </c>
      <c r="N155" s="61">
        <f t="shared" ref="N155" si="602">J55</f>
        <v>19.728000000000002</v>
      </c>
      <c r="O155" s="62">
        <f t="shared" ref="O155" si="603">K55</f>
        <v>1.9835907335907339</v>
      </c>
      <c r="Y155" s="121">
        <v>10</v>
      </c>
      <c r="Z155" s="122">
        <v>5.9620223670590882</v>
      </c>
      <c r="AA155" s="123">
        <v>2.6948157259259506</v>
      </c>
      <c r="AC155" s="48">
        <f>Y105</f>
        <v>35</v>
      </c>
      <c r="AD155" s="61">
        <f t="shared" ref="AD155:AE155" si="604">Z105</f>
        <v>1.9578688370595239</v>
      </c>
      <c r="AE155" s="62">
        <f t="shared" si="604"/>
        <v>1.3870113502103694</v>
      </c>
      <c r="AG155" s="139">
        <v>5</v>
      </c>
      <c r="AH155" s="140">
        <v>22.357837602595886</v>
      </c>
      <c r="AI155" s="141">
        <f t="shared" si="488"/>
        <v>3.4547793145488561</v>
      </c>
      <c r="AK155" s="48">
        <f>AG94</f>
        <v>35.5</v>
      </c>
      <c r="AL155" s="61">
        <f>AH94</f>
        <v>6.7935213456269823</v>
      </c>
      <c r="AM155" s="62">
        <f>AI94</f>
        <v>2.0226613602381875</v>
      </c>
    </row>
    <row r="156" spans="1:39">
      <c r="A156" s="118">
        <v>-15.5</v>
      </c>
      <c r="B156" s="119">
        <v>222.11633295959609</v>
      </c>
      <c r="C156" s="120">
        <v>4.4050365629265329</v>
      </c>
      <c r="E156" s="48">
        <f>A54</f>
        <v>35.5</v>
      </c>
      <c r="F156" s="61">
        <f t="shared" ref="F156:G156" si="605">B54</f>
        <v>19.192190471808594</v>
      </c>
      <c r="G156" s="62">
        <f t="shared" si="605"/>
        <v>1.9507355016857189</v>
      </c>
      <c r="I156" s="118">
        <v>-15.5</v>
      </c>
      <c r="J156" s="119">
        <v>211.95</v>
      </c>
      <c r="K156" s="120">
        <v>4.380037197768134</v>
      </c>
      <c r="M156" s="48">
        <f>I54</f>
        <v>35.5</v>
      </c>
      <c r="N156" s="61">
        <f t="shared" ref="N156" si="606">J54</f>
        <v>19.329999999999998</v>
      </c>
      <c r="O156" s="62">
        <f t="shared" ref="O156" si="607">K54</f>
        <v>1.959254003648895</v>
      </c>
      <c r="Y156" s="121">
        <v>9.5</v>
      </c>
      <c r="Z156" s="122">
        <v>6.106156380327489</v>
      </c>
      <c r="AA156" s="123">
        <v>2.7244650944934623</v>
      </c>
      <c r="AC156" s="48">
        <f>Y104</f>
        <v>35.5</v>
      </c>
      <c r="AD156" s="61">
        <f t="shared" ref="AD156:AE156" si="608">Z104</f>
        <v>1.9177391024026176</v>
      </c>
      <c r="AE156" s="62">
        <f t="shared" si="608"/>
        <v>1.3663510957154661</v>
      </c>
      <c r="AG156" s="139">
        <v>4.5</v>
      </c>
      <c r="AH156" s="140">
        <v>22.84037531784843</v>
      </c>
      <c r="AI156" s="141">
        <f t="shared" si="488"/>
        <v>3.4774839046122148</v>
      </c>
      <c r="AK156" s="48">
        <f>AG93</f>
        <v>36</v>
      </c>
      <c r="AL156" s="61">
        <f>AH93</f>
        <v>6.6733865665848047</v>
      </c>
      <c r="AM156" s="62">
        <f>AI93</f>
        <v>2.0012090944856289</v>
      </c>
    </row>
    <row r="157" spans="1:39">
      <c r="A157" s="118">
        <v>-16</v>
      </c>
      <c r="B157" s="119">
        <v>228.34348579212153</v>
      </c>
      <c r="C157" s="120">
        <v>4.4193776570751275</v>
      </c>
      <c r="E157" s="48">
        <f>A53</f>
        <v>36</v>
      </c>
      <c r="F157" s="61">
        <f t="shared" ref="F157:G157" si="609">B53</f>
        <v>18.800860205559601</v>
      </c>
      <c r="G157" s="62">
        <f t="shared" si="609"/>
        <v>1.9262836890954771</v>
      </c>
      <c r="I157" s="118">
        <v>-16</v>
      </c>
      <c r="J157" s="119">
        <v>217.77</v>
      </c>
      <c r="K157" s="120">
        <v>4.3945998304879526</v>
      </c>
      <c r="M157" s="48">
        <f>I53</f>
        <v>36</v>
      </c>
      <c r="N157" s="61">
        <f t="shared" ref="N157" si="610">J53</f>
        <v>18.940999999999999</v>
      </c>
      <c r="O157" s="62">
        <f t="shared" ref="O157" si="611">K53</f>
        <v>1.9350851024703213</v>
      </c>
      <c r="Y157" s="121">
        <v>9</v>
      </c>
      <c r="Z157" s="122">
        <v>6.2541813842300025</v>
      </c>
      <c r="AA157" s="123">
        <v>2.7541313515197716</v>
      </c>
      <c r="AC157" s="48">
        <f>Y103</f>
        <v>36</v>
      </c>
      <c r="AD157" s="61">
        <f t="shared" ref="AD157:AE157" si="612">Z103</f>
        <v>1.8785420799320702</v>
      </c>
      <c r="AE157" s="62">
        <f t="shared" si="612"/>
        <v>1.345941643981859</v>
      </c>
      <c r="AG157" s="139">
        <v>4</v>
      </c>
      <c r="AH157" s="140">
        <v>23.334812668518222</v>
      </c>
      <c r="AI157" s="141">
        <f t="shared" si="488"/>
        <v>3.5000665671290667</v>
      </c>
      <c r="AK157" s="48">
        <f>AG92</f>
        <v>36.5</v>
      </c>
      <c r="AL157" s="61">
        <f>AH92</f>
        <v>6.5557053128729974</v>
      </c>
      <c r="AM157" s="62">
        <f>AI92</f>
        <v>1.9798930909260524</v>
      </c>
    </row>
    <row r="158" spans="1:39">
      <c r="A158" s="118">
        <v>-16.5</v>
      </c>
      <c r="B158" s="119">
        <v>234.76206381233948</v>
      </c>
      <c r="C158" s="120">
        <v>4.4334535777515374</v>
      </c>
      <c r="E158" s="48">
        <f>A52</f>
        <v>36.5</v>
      </c>
      <c r="F158" s="61">
        <f t="shared" ref="F158:G158" si="613">B52</f>
        <v>18.41859756891624</v>
      </c>
      <c r="G158" s="62">
        <f t="shared" si="613"/>
        <v>1.9020168379206224</v>
      </c>
      <c r="I158" s="118">
        <v>-16.5</v>
      </c>
      <c r="J158" s="119">
        <v>223.76</v>
      </c>
      <c r="K158" s="120">
        <v>4.4088902900378306</v>
      </c>
      <c r="M158" s="48">
        <f>I52</f>
        <v>36.5</v>
      </c>
      <c r="N158" s="61">
        <f t="shared" ref="N158" si="614">J52</f>
        <v>18.561</v>
      </c>
      <c r="O158" s="62">
        <f t="shared" ref="O158" si="615">K52</f>
        <v>1.9111015012046706</v>
      </c>
      <c r="Y158" s="121">
        <v>8.5</v>
      </c>
      <c r="Z158" s="122">
        <v>6.4062114905047114</v>
      </c>
      <c r="AA158" s="123">
        <v>2.7838057277981196</v>
      </c>
      <c r="AC158" s="48">
        <f>Y102</f>
        <v>36.5</v>
      </c>
      <c r="AD158" s="61">
        <f t="shared" ref="AD158:AE158" si="616">Z102</f>
        <v>1.8402538509753139</v>
      </c>
      <c r="AE158" s="62">
        <f t="shared" si="616"/>
        <v>1.3257828103194691</v>
      </c>
      <c r="AG158" s="139">
        <v>3.5</v>
      </c>
      <c r="AH158" s="140">
        <v>23.841476675859351</v>
      </c>
      <c r="AI158" s="141">
        <f t="shared" si="488"/>
        <v>3.522523101491394</v>
      </c>
      <c r="AK158" s="48">
        <f>AG91</f>
        <v>37</v>
      </c>
      <c r="AL158" s="61">
        <f>AH91</f>
        <v>6.4404214072524137</v>
      </c>
      <c r="AM158" s="62">
        <f>AI91</f>
        <v>1.9587154269693265</v>
      </c>
    </row>
    <row r="159" spans="1:39">
      <c r="A159" s="118">
        <v>-17</v>
      </c>
      <c r="B159" s="119">
        <v>241.37835437195281</v>
      </c>
      <c r="C159" s="120">
        <v>4.4472661596495309</v>
      </c>
      <c r="E159" s="48">
        <f>A51</f>
        <v>37</v>
      </c>
      <c r="F159" s="61">
        <f t="shared" ref="F159:G159" si="617">B51</f>
        <v>18.045169030801258</v>
      </c>
      <c r="G159" s="62">
        <f t="shared" si="617"/>
        <v>1.8779379274566281</v>
      </c>
      <c r="I159" s="118">
        <v>-17</v>
      </c>
      <c r="J159" s="119">
        <v>229.94</v>
      </c>
      <c r="K159" s="120">
        <v>4.4229437562514429</v>
      </c>
      <c r="M159" s="48">
        <f>I51</f>
        <v>37</v>
      </c>
      <c r="N159" s="61">
        <f t="shared" ref="N159" si="618">J51</f>
        <v>18.190000000000001</v>
      </c>
      <c r="O159" s="62">
        <f t="shared" ref="O159" si="619">K51</f>
        <v>1.8873210209587052</v>
      </c>
      <c r="Y159" s="121">
        <v>8</v>
      </c>
      <c r="Z159" s="122">
        <v>6.5623643657131936</v>
      </c>
      <c r="AA159" s="123">
        <v>2.8134793940267544</v>
      </c>
      <c r="AC159" s="48">
        <f>Y101</f>
        <v>37</v>
      </c>
      <c r="AD159" s="61">
        <f t="shared" ref="AD159:AE159" si="620">Z101</f>
        <v>1.8028511604835842</v>
      </c>
      <c r="AE159" s="62">
        <f t="shared" si="620"/>
        <v>1.3058742819230107</v>
      </c>
      <c r="AG159" s="139">
        <v>3</v>
      </c>
      <c r="AH159" s="140">
        <v>24.360704213472708</v>
      </c>
      <c r="AI159" s="141">
        <f t="shared" si="488"/>
        <v>3.5448493811603785</v>
      </c>
      <c r="AK159" s="48">
        <f>AG90</f>
        <v>37.5</v>
      </c>
      <c r="AL159" s="61">
        <f>AH90</f>
        <v>6.3274800877597537</v>
      </c>
      <c r="AM159" s="62">
        <f>AI90</f>
        <v>1.9376780904798914</v>
      </c>
    </row>
    <row r="160" spans="1:39">
      <c r="A160" s="118">
        <v>-17.5</v>
      </c>
      <c r="B160" s="119">
        <v>248.19886080634797</v>
      </c>
      <c r="C160" s="120">
        <v>4.4608173463930401</v>
      </c>
      <c r="E160" s="48">
        <f>A50</f>
        <v>37.5</v>
      </c>
      <c r="F160" s="61">
        <f t="shared" ref="F160:G160" si="621">B50</f>
        <v>17.680347607993887</v>
      </c>
      <c r="G160" s="62">
        <f t="shared" si="621"/>
        <v>1.8540497809866718</v>
      </c>
      <c r="I160" s="118">
        <v>-17.5</v>
      </c>
      <c r="J160" s="119">
        <v>236.31</v>
      </c>
      <c r="K160" s="120">
        <v>4.4367466486425595</v>
      </c>
      <c r="M160" s="48">
        <f>I50</f>
        <v>37.5</v>
      </c>
      <c r="N160" s="61">
        <f t="shared" ref="N160" si="622">J50</f>
        <v>17.827000000000002</v>
      </c>
      <c r="O160" s="62">
        <f t="shared" ref="O160" si="623">K50</f>
        <v>1.8636962385263556</v>
      </c>
      <c r="Y160" s="121">
        <v>7.5</v>
      </c>
      <c r="Z160" s="122">
        <v>6.7227613463133711</v>
      </c>
      <c r="AA160" s="123">
        <v>2.8431434710511576</v>
      </c>
      <c r="AC160" s="48">
        <f>Y100</f>
        <v>37.5</v>
      </c>
      <c r="AD160" s="61">
        <f t="shared" ref="AD160:AE160" si="624">Z100</f>
        <v>1.7663113974213838</v>
      </c>
      <c r="AE160" s="62">
        <f t="shared" si="624"/>
        <v>1.2862156223243202</v>
      </c>
      <c r="AG160" s="139">
        <v>2.5</v>
      </c>
      <c r="AH160" s="140">
        <v>24.892842328897025</v>
      </c>
      <c r="AI160" s="141">
        <f t="shared" si="488"/>
        <v>3.5670413568288826</v>
      </c>
      <c r="AK160" s="48">
        <f>AG89</f>
        <v>38</v>
      </c>
      <c r="AL160" s="61">
        <f>AH89</f>
        <v>6.2168279689885768</v>
      </c>
      <c r="AM160" s="62">
        <f>AI89</f>
        <v>1.916782980271176</v>
      </c>
    </row>
    <row r="161" spans="1:39">
      <c r="A161" s="118">
        <v>-18</v>
      </c>
      <c r="B161" s="119">
        <v>255.23031003900456</v>
      </c>
      <c r="C161" s="120">
        <v>4.4741091857331439</v>
      </c>
      <c r="E161" s="48">
        <f>A49</f>
        <v>38</v>
      </c>
      <c r="F161" s="61">
        <f t="shared" ref="F161:G161" si="625">B49</f>
        <v>17.323912668537233</v>
      </c>
      <c r="G161" s="62">
        <f t="shared" si="625"/>
        <v>1.8303550669907773</v>
      </c>
      <c r="I161" s="118">
        <v>-18</v>
      </c>
      <c r="J161" s="119">
        <v>242.87</v>
      </c>
      <c r="K161" s="120">
        <v>4.4502876827793454</v>
      </c>
      <c r="M161" s="48">
        <f>I49</f>
        <v>38</v>
      </c>
      <c r="N161" s="61">
        <f t="shared" ref="N161" si="626">J49</f>
        <v>17.472000000000001</v>
      </c>
      <c r="O161" s="62">
        <f t="shared" ref="O161" si="627">K49</f>
        <v>1.8402426693629932</v>
      </c>
      <c r="Y161" s="121">
        <v>7</v>
      </c>
      <c r="Z161" s="122">
        <v>6.8875275575019312</v>
      </c>
      <c r="AA161" s="123">
        <v>2.8727890403019924</v>
      </c>
      <c r="AC161" s="48">
        <f>Y99</f>
        <v>38</v>
      </c>
      <c r="AD161" s="61">
        <f t="shared" ref="AD161:AE161" si="628">Z99</f>
        <v>1.7306125757647566</v>
      </c>
      <c r="AE161" s="62">
        <f t="shared" si="628"/>
        <v>1.266806275841956</v>
      </c>
      <c r="AG161" s="139">
        <v>2</v>
      </c>
      <c r="AH161" s="140">
        <v>25.438248576469181</v>
      </c>
      <c r="AI161" s="141">
        <f t="shared" si="488"/>
        <v>3.5890950594776361</v>
      </c>
      <c r="AK161" s="48">
        <f>AG88</f>
        <v>38.5</v>
      </c>
      <c r="AL161" s="61">
        <f>AH88</f>
        <v>6.1084130045087219</v>
      </c>
      <c r="AM161" s="62">
        <f>AI88</f>
        <v>1.8960319066809952</v>
      </c>
    </row>
    <row r="162" spans="1:39">
      <c r="A162" s="118">
        <v>-18.5</v>
      </c>
      <c r="B162" s="119">
        <v>262.47966045396834</v>
      </c>
      <c r="C162" s="120">
        <v>4.4871438247460373</v>
      </c>
      <c r="E162" s="48">
        <f>A48</f>
        <v>38.5</v>
      </c>
      <c r="F162" s="61">
        <f t="shared" ref="F162:G162" si="629">B48</f>
        <v>16.975649741385325</v>
      </c>
      <c r="G162" s="62">
        <f t="shared" si="629"/>
        <v>1.8068563005345575</v>
      </c>
      <c r="I162" s="118">
        <v>-18.5</v>
      </c>
      <c r="J162" s="119">
        <v>249.63</v>
      </c>
      <c r="K162" s="120">
        <v>4.4635768694346103</v>
      </c>
      <c r="M162" s="48">
        <f>I48</f>
        <v>38.5</v>
      </c>
      <c r="N162" s="61">
        <f t="shared" ref="N162" si="630">J48</f>
        <v>17.125</v>
      </c>
      <c r="O162" s="62">
        <f t="shared" ref="O162" si="631">K48</f>
        <v>1.8169761273209548</v>
      </c>
      <c r="Y162" s="121">
        <v>6.5</v>
      </c>
      <c r="Z162" s="122">
        <v>7.0567920359462031</v>
      </c>
      <c r="AA162" s="123">
        <v>2.9024071544039334</v>
      </c>
      <c r="AC162" s="48">
        <f>Y98</f>
        <v>38.5</v>
      </c>
      <c r="AD162" s="61">
        <f t="shared" ref="AD162:AE162" si="632">Z98</f>
        <v>1.6957333160885781</v>
      </c>
      <c r="AE162" s="62">
        <f t="shared" si="632"/>
        <v>1.2476455720194386</v>
      </c>
      <c r="AG162" s="139">
        <v>1.5</v>
      </c>
      <c r="AH162" s="140">
        <v>25.99729136187856</v>
      </c>
      <c r="AI162" s="141">
        <f t="shared" si="488"/>
        <v>3.6110066033204253</v>
      </c>
      <c r="AK162" s="48">
        <f>AG87</f>
        <v>39</v>
      </c>
      <c r="AL162" s="61">
        <f>AH87</f>
        <v>6.0021844503896906</v>
      </c>
      <c r="AM162" s="62">
        <f>AI87</f>
        <v>1.8754265922248894</v>
      </c>
    </row>
    <row r="163" spans="1:39">
      <c r="A163" s="118">
        <v>-19</v>
      </c>
      <c r="B163" s="119">
        <v>269.95411004553921</v>
      </c>
      <c r="C163" s="120">
        <v>4.4999235050413979</v>
      </c>
      <c r="E163" s="48">
        <f>A47</f>
        <v>39</v>
      </c>
      <c r="F163" s="61">
        <f t="shared" ref="F163:G163" si="633">B47</f>
        <v>16.635350332083178</v>
      </c>
      <c r="G163" s="62">
        <f t="shared" si="633"/>
        <v>1.7835558448285902</v>
      </c>
      <c r="I163" s="118">
        <v>-19</v>
      </c>
      <c r="J163" s="119">
        <v>256.60000000000002</v>
      </c>
      <c r="K163" s="120">
        <v>4.4766224703419395</v>
      </c>
      <c r="M163" s="48">
        <f>I47</f>
        <v>39</v>
      </c>
      <c r="N163" s="61">
        <f t="shared" ref="N163" si="634">J47</f>
        <v>16.786000000000001</v>
      </c>
      <c r="O163" s="62">
        <f t="shared" ref="O163" si="635">K47</f>
        <v>1.793912708930022</v>
      </c>
      <c r="Y163" s="121">
        <v>6</v>
      </c>
      <c r="Z163" s="122">
        <v>7.2306878565290376</v>
      </c>
      <c r="AA163" s="123">
        <v>2.9319888479296896</v>
      </c>
      <c r="AC163" s="48">
        <f>Y97</f>
        <v>39</v>
      </c>
      <c r="AD163" s="61">
        <f t="shared" ref="AD163:AE163" si="636">Z97</f>
        <v>1.661652827724021</v>
      </c>
      <c r="AE163" s="62">
        <f t="shared" si="636"/>
        <v>1.2287327300441533</v>
      </c>
      <c r="AG163" s="139">
        <v>1</v>
      </c>
      <c r="AH163" s="140">
        <v>26.570350298848521</v>
      </c>
      <c r="AI163" s="141">
        <f t="shared" si="488"/>
        <v>3.6327721886335236</v>
      </c>
      <c r="AK163" s="48">
        <f>AG86</f>
        <v>39.5</v>
      </c>
      <c r="AL163" s="61">
        <f>AH86</f>
        <v>5.898092829792283</v>
      </c>
      <c r="AM163" s="62">
        <f>AI86</f>
        <v>1.8549686723238692</v>
      </c>
    </row>
    <row r="164" spans="1:39">
      <c r="A164" s="118">
        <v>-19.5</v>
      </c>
      <c r="B164" s="119">
        <v>277.66110485459154</v>
      </c>
      <c r="C164" s="120">
        <v>4.5124505579901175</v>
      </c>
      <c r="E164" s="48">
        <f>A46</f>
        <v>39.5</v>
      </c>
      <c r="F164" s="61">
        <f t="shared" ref="F164:G164" si="637">B46</f>
        <v>16.302811744279129</v>
      </c>
      <c r="G164" s="62">
        <f t="shared" si="637"/>
        <v>1.7604559129493251</v>
      </c>
      <c r="I164" s="118">
        <v>-19.5</v>
      </c>
      <c r="J164" s="119">
        <v>263.79000000000002</v>
      </c>
      <c r="K164" s="120">
        <v>4.489431226386194</v>
      </c>
      <c r="M164" s="48">
        <f>I46</f>
        <v>39.5</v>
      </c>
      <c r="N164" s="61">
        <f t="shared" ref="N164" si="638">J46</f>
        <v>16.454000000000001</v>
      </c>
      <c r="O164" s="62">
        <f t="shared" ref="O164" si="639">K46</f>
        <v>1.7709992680931677</v>
      </c>
      <c r="Y164" s="121">
        <v>5.5</v>
      </c>
      <c r="Z164" s="122">
        <v>7.4093522632335675</v>
      </c>
      <c r="AA164" s="123">
        <v>2.9615251482726692</v>
      </c>
      <c r="AC164" s="48">
        <f>Y96</f>
        <v>39.5</v>
      </c>
      <c r="AD164" s="61">
        <f t="shared" ref="AD164:AE164" si="640">Z96</f>
        <v>1.6283508914678788</v>
      </c>
      <c r="AE164" s="62">
        <f t="shared" si="640"/>
        <v>1.2100668631393514</v>
      </c>
      <c r="AG164" s="139">
        <v>0.5</v>
      </c>
      <c r="AH164" s="140">
        <v>27.15781657840612</v>
      </c>
      <c r="AI164" s="141">
        <f t="shared" si="488"/>
        <v>3.6543881044652933</v>
      </c>
      <c r="AK164" s="48">
        <f>AG85</f>
        <v>40</v>
      </c>
      <c r="AL164" s="61">
        <f>AH85</f>
        <v>5.7960898985960059</v>
      </c>
      <c r="AM164" s="62">
        <f>AI85</f>
        <v>1.8346596961033934</v>
      </c>
    </row>
    <row r="165" spans="1:39">
      <c r="A165" s="118">
        <v>-20</v>
      </c>
      <c r="B165" s="119">
        <v>285.60834770125172</v>
      </c>
      <c r="C165" s="120">
        <v>4.5247273999799686</v>
      </c>
      <c r="E165" s="48">
        <f>A45</f>
        <v>40</v>
      </c>
      <c r="F165" s="61">
        <f t="shared" ref="F165:G165" si="641">B45</f>
        <v>15.977836906877176</v>
      </c>
      <c r="G165" s="62">
        <f t="shared" si="641"/>
        <v>1.7375585697124518</v>
      </c>
      <c r="I165" s="118">
        <v>-20</v>
      </c>
      <c r="J165" s="119">
        <v>271.20999999999998</v>
      </c>
      <c r="K165" s="120">
        <v>4.502008565452674</v>
      </c>
      <c r="M165" s="48">
        <f>I45</f>
        <v>40</v>
      </c>
      <c r="N165" s="61">
        <f t="shared" ref="N165" si="642">J45</f>
        <v>16.13</v>
      </c>
      <c r="O165" s="62">
        <f t="shared" ref="O165" si="643">K45</f>
        <v>1.7483199653154129</v>
      </c>
      <c r="Y165" s="121">
        <v>5</v>
      </c>
      <c r="Z165" s="122">
        <v>7.5929268042975124</v>
      </c>
      <c r="AA165" s="123">
        <v>2.9910070866109204</v>
      </c>
      <c r="AC165" s="48">
        <f>Y95</f>
        <v>40</v>
      </c>
      <c r="AD165" s="61">
        <f t="shared" ref="AD165:AE165" si="644">Z95</f>
        <v>1.5958078428260545</v>
      </c>
      <c r="AE165" s="62">
        <f t="shared" si="644"/>
        <v>1.1916469829221703</v>
      </c>
      <c r="AG165" s="139">
        <v>0</v>
      </c>
      <c r="AH165" s="140">
        <v>27.760093351206816</v>
      </c>
      <c r="AI165" s="141">
        <f t="shared" si="488"/>
        <v>3.6758507312217219</v>
      </c>
      <c r="AK165" s="48">
        <f>AG84</f>
        <v>40.5</v>
      </c>
      <c r="AL165" s="61">
        <f>AH84</f>
        <v>5.6961286120289598</v>
      </c>
      <c r="AM165" s="62">
        <f>AI84</f>
        <v>1.8145011272600198</v>
      </c>
    </row>
    <row r="166" spans="1:39">
      <c r="A166" s="118">
        <v>-20.5</v>
      </c>
      <c r="B166" s="119">
        <v>293.80380722393937</v>
      </c>
      <c r="C166" s="120">
        <v>4.5367565277073423</v>
      </c>
      <c r="E166" s="48">
        <f>A44</f>
        <v>40.5</v>
      </c>
      <c r="F166" s="61">
        <f t="shared" ref="F166:G166" si="645">B44</f>
        <v>15.660234206642031</v>
      </c>
      <c r="G166" s="62">
        <f t="shared" si="645"/>
        <v>1.7148657336895561</v>
      </c>
      <c r="I166" s="118">
        <v>-20.5</v>
      </c>
      <c r="J166" s="119">
        <v>278.85000000000002</v>
      </c>
      <c r="K166" s="120">
        <v>4.5143273433705682</v>
      </c>
      <c r="M166" s="48">
        <f>I44</f>
        <v>40.5</v>
      </c>
      <c r="N166" s="61">
        <f t="shared" ref="N166" si="646">J44</f>
        <v>15.813000000000001</v>
      </c>
      <c r="O166" s="62">
        <f t="shared" ref="O166" si="647">K44</f>
        <v>1.7258201820443977</v>
      </c>
      <c r="Y166" s="121">
        <v>4.5</v>
      </c>
      <c r="Z166" s="122">
        <v>7.7815574717720724</v>
      </c>
      <c r="AA166" s="123">
        <v>3.0204257089347091</v>
      </c>
      <c r="AC166" s="48">
        <f>Y94</f>
        <v>40.5</v>
      </c>
      <c r="AD166" s="61">
        <f t="shared" ref="AD166:AE166" si="648">Z94</f>
        <v>1.5640045557740483</v>
      </c>
      <c r="AE166" s="62">
        <f t="shared" si="648"/>
        <v>1.1734720037210296</v>
      </c>
      <c r="AG166" s="139">
        <v>-0.5</v>
      </c>
      <c r="AH166" s="140">
        <v>28.3775961234122</v>
      </c>
      <c r="AI166" s="141">
        <f t="shared" si="488"/>
        <v>3.6971565431244513</v>
      </c>
      <c r="AK166" s="48">
        <f>AG83</f>
        <v>41</v>
      </c>
      <c r="AL166" s="61">
        <f>AH83</f>
        <v>5.5981630922701351</v>
      </c>
      <c r="AM166" s="62">
        <f>AI83</f>
        <v>1.7944943449925763</v>
      </c>
    </row>
    <row r="167" spans="1:39">
      <c r="A167" s="118">
        <v>-21</v>
      </c>
      <c r="B167" s="119">
        <v>302.25572723508014</v>
      </c>
      <c r="C167" s="120">
        <v>4.5485405135127408</v>
      </c>
      <c r="E167" s="48">
        <f>A43</f>
        <v>41</v>
      </c>
      <c r="F167" s="61">
        <f t="shared" ref="F167:G167" si="649">B43</f>
        <v>15.34981732607738</v>
      </c>
      <c r="G167" s="62">
        <f t="shared" si="649"/>
        <v>1.6923791793589891</v>
      </c>
      <c r="I167" s="118">
        <v>-21</v>
      </c>
      <c r="J167" s="119">
        <v>286.73</v>
      </c>
      <c r="K167" s="120">
        <v>4.5264105073722094</v>
      </c>
      <c r="M167" s="48">
        <f>I43</f>
        <v>41</v>
      </c>
      <c r="N167" s="61">
        <f t="shared" ref="N167" si="650">J43</f>
        <v>15.503</v>
      </c>
      <c r="O167" s="62">
        <f t="shared" ref="O167" si="651">K43</f>
        <v>1.7035140540184164</v>
      </c>
      <c r="Y167" s="121">
        <v>4</v>
      </c>
      <c r="Z167" s="122">
        <v>7.9753948456215937</v>
      </c>
      <c r="AA167" s="123">
        <v>3.0497720871091789</v>
      </c>
      <c r="AC167" s="48">
        <f>Y93</f>
        <v>41</v>
      </c>
      <c r="AD167" s="61">
        <f t="shared" ref="AD167:AE167" si="652">Z93</f>
        <v>1.5329224270179331</v>
      </c>
      <c r="AE167" s="62">
        <f t="shared" si="652"/>
        <v>1.1555407468462684</v>
      </c>
      <c r="AG167" s="139">
        <v>-1</v>
      </c>
      <c r="AH167" s="140">
        <v>29.010753166627339</v>
      </c>
      <c r="AI167" s="141">
        <f t="shared" si="488"/>
        <v>3.7183021105377261</v>
      </c>
      <c r="AK167" s="48">
        <f>AG82</f>
        <v>41.5</v>
      </c>
      <c r="AL167" s="61">
        <f>AH82</f>
        <v>5.502148596992674</v>
      </c>
      <c r="AM167" s="62">
        <f>AI82</f>
        <v>1.7746406449942231</v>
      </c>
    </row>
    <row r="168" spans="1:39">
      <c r="A168" s="118">
        <v>-21.5</v>
      </c>
      <c r="B168" s="119">
        <v>310.97263640412581</v>
      </c>
      <c r="C168" s="120">
        <v>4.5600820007673057</v>
      </c>
      <c r="E168" s="48">
        <f>A42</f>
        <v>41.5</v>
      </c>
      <c r="F168" s="61">
        <f t="shared" ref="F168:G168" si="653">B42</f>
        <v>15.046405086402913</v>
      </c>
      <c r="G168" s="62">
        <f t="shared" si="653"/>
        <v>1.6701005393818444</v>
      </c>
      <c r="I168" s="118">
        <v>-21.5</v>
      </c>
      <c r="J168" s="119">
        <v>294.86</v>
      </c>
      <c r="K168" s="120">
        <v>4.5382626362125231</v>
      </c>
      <c r="M168" s="48">
        <f>I42</f>
        <v>41.5</v>
      </c>
      <c r="N168" s="61">
        <f t="shared" ref="N168" si="654">J42</f>
        <v>15.2</v>
      </c>
      <c r="O168" s="62">
        <f t="shared" ref="O168" si="655">K42</f>
        <v>1.6814159292035398</v>
      </c>
      <c r="Y168" s="121">
        <v>3.5</v>
      </c>
      <c r="Z168" s="122">
        <v>8.1745942425064335</v>
      </c>
      <c r="AA168" s="123">
        <v>3.0790373299436355</v>
      </c>
      <c r="AC168" s="48">
        <f>Y92</f>
        <v>41.5</v>
      </c>
      <c r="AD168" s="61">
        <f t="shared" ref="AD168:AE168" si="656">Z92</f>
        <v>1.50254336073978</v>
      </c>
      <c r="AE168" s="62">
        <f t="shared" si="656"/>
        <v>1.137851944808302</v>
      </c>
      <c r="AG168" s="139">
        <v>-1.5</v>
      </c>
      <c r="AH168" s="140">
        <v>29.660005942435653</v>
      </c>
      <c r="AI168" s="141">
        <f t="shared" si="488"/>
        <v>3.7392841021614496</v>
      </c>
      <c r="AK168" s="48">
        <f>AG81</f>
        <v>42</v>
      </c>
      <c r="AL168" s="61">
        <f>AH81</f>
        <v>5.4080414888198955</v>
      </c>
      <c r="AM168" s="62">
        <f>AI81</f>
        <v>1.7549412405022342</v>
      </c>
    </row>
    <row r="169" spans="1:39">
      <c r="A169" s="118">
        <v>-22</v>
      </c>
      <c r="B169" s="119">
        <v>319.96335827879693</v>
      </c>
      <c r="C169" s="120">
        <v>4.5713836993171633</v>
      </c>
      <c r="E169" s="48">
        <f>A41</f>
        <v>42</v>
      </c>
      <c r="F169" s="61">
        <f t="shared" ref="F169:G169" si="657">B41</f>
        <v>14.749821295462505</v>
      </c>
      <c r="G169" s="62">
        <f t="shared" si="657"/>
        <v>1.6480313069940786</v>
      </c>
      <c r="I169" s="118">
        <v>-22</v>
      </c>
      <c r="J169" s="119">
        <v>303.25</v>
      </c>
      <c r="K169" s="120">
        <v>4.5498874718679669</v>
      </c>
      <c r="M169" s="48">
        <f>I41</f>
        <v>42</v>
      </c>
      <c r="N169" s="61">
        <f t="shared" ref="N169" si="658">J41</f>
        <v>14.903</v>
      </c>
      <c r="O169" s="62">
        <f t="shared" ref="O169" si="659">K41</f>
        <v>1.6594659599581321</v>
      </c>
      <c r="Y169" s="121">
        <v>3</v>
      </c>
      <c r="Z169" s="122">
        <v>8.3793158693926664</v>
      </c>
      <c r="AA169" s="123">
        <v>3.1082125942383647</v>
      </c>
      <c r="AC169" s="48">
        <f>Y91</f>
        <v>42</v>
      </c>
      <c r="AD169" s="61">
        <f t="shared" ref="AD169:AE169" si="660">Z91</f>
        <v>1.4728497538119831</v>
      </c>
      <c r="AE169" s="62">
        <f t="shared" si="660"/>
        <v>1.1204042454779912</v>
      </c>
      <c r="AG169" s="139">
        <v>-2</v>
      </c>
      <c r="AH169" s="140">
        <v>30.325809542077703</v>
      </c>
      <c r="AI169" s="141">
        <f t="shared" si="488"/>
        <v>3.7600992870873964</v>
      </c>
      <c r="AK169" s="48">
        <f>AG80</f>
        <v>42.5</v>
      </c>
      <c r="AL169" s="61">
        <f>AH80</f>
        <v>5.3157992056652343</v>
      </c>
      <c r="AM169" s="62">
        <f>AI80</f>
        <v>1.7353972634020132</v>
      </c>
    </row>
    <row r="170" spans="1:39">
      <c r="A170" s="118">
        <v>-22.5</v>
      </c>
      <c r="B170" s="119">
        <v>329.23702165581977</v>
      </c>
      <c r="C170" s="120">
        <v>4.5824483809919982</v>
      </c>
      <c r="E170" s="48">
        <f>A40</f>
        <v>42.5</v>
      </c>
      <c r="F170" s="61">
        <f t="shared" ref="F170:G170" si="661">B40</f>
        <v>14.459894600401057</v>
      </c>
      <c r="G170" s="62">
        <f t="shared" si="661"/>
        <v>1.6261728385058543</v>
      </c>
      <c r="I170" s="118">
        <v>-22.5</v>
      </c>
      <c r="J170" s="119">
        <v>311.89</v>
      </c>
      <c r="K170" s="120">
        <v>4.5612623943373594</v>
      </c>
      <c r="M170" s="48">
        <f>I40</f>
        <v>42.5</v>
      </c>
      <c r="N170" s="61">
        <f t="shared" ref="N170" si="662">J40</f>
        <v>14.614000000000001</v>
      </c>
      <c r="O170" s="62">
        <f t="shared" ref="O170" si="663">K40</f>
        <v>1.6378266911731743</v>
      </c>
      <c r="Y170" s="121">
        <v>2.5</v>
      </c>
      <c r="Z170" s="122">
        <v>8.5897249821388204</v>
      </c>
      <c r="AA170" s="123">
        <v>3.1372890957802135</v>
      </c>
      <c r="AC170" s="48">
        <f>Y90</f>
        <v>42.5</v>
      </c>
      <c r="AD170" s="61">
        <f t="shared" ref="AD170:AE170" si="664">Z90</f>
        <v>1.4438244814656378</v>
      </c>
      <c r="AE170" s="62">
        <f t="shared" si="664"/>
        <v>1.1031962161844695</v>
      </c>
      <c r="AG170" s="139">
        <v>-2.5</v>
      </c>
      <c r="AH170" s="140">
        <v>31.008633141858059</v>
      </c>
      <c r="AI170" s="141">
        <f t="shared" si="488"/>
        <v>3.7807445367164818</v>
      </c>
      <c r="AK170" s="48">
        <f>AG79</f>
        <v>43</v>
      </c>
      <c r="AL170" s="61">
        <f>AH79</f>
        <v>5.2253802319290701</v>
      </c>
      <c r="AM170" s="62">
        <f>AI79</f>
        <v>1.7160097653820661</v>
      </c>
    </row>
    <row r="171" spans="1:39">
      <c r="A171" s="118">
        <v>-23</v>
      </c>
      <c r="B171" s="119">
        <v>338.80307131272843</v>
      </c>
      <c r="C171" s="120">
        <v>4.5932788751837519</v>
      </c>
      <c r="E171" s="48">
        <f>A39</f>
        <v>43</v>
      </c>
      <c r="F171" s="61">
        <f t="shared" ref="F171:G171" si="665">B39</f>
        <v>14.176458344953367</v>
      </c>
      <c r="G171" s="62">
        <f t="shared" si="665"/>
        <v>1.6045263558993361</v>
      </c>
      <c r="I171" s="118">
        <v>-23</v>
      </c>
      <c r="J171" s="119">
        <v>320.82</v>
      </c>
      <c r="K171" s="120">
        <v>4.5724303061399008</v>
      </c>
      <c r="M171" s="48">
        <f>I39</f>
        <v>43</v>
      </c>
      <c r="N171" s="61">
        <f t="shared" ref="N171" si="666">J39</f>
        <v>14.33</v>
      </c>
      <c r="O171" s="62">
        <f t="shared" ref="O171" si="667">K39</f>
        <v>1.6162869388675842</v>
      </c>
      <c r="Y171" s="121">
        <v>2</v>
      </c>
      <c r="Z171" s="122">
        <v>8.8059920492104897</v>
      </c>
      <c r="AA171" s="123">
        <v>3.1662581202577518</v>
      </c>
      <c r="AC171" s="48">
        <f>Y89</f>
        <v>43</v>
      </c>
      <c r="AD171" s="61">
        <f t="shared" ref="AD171:AE171" si="668">Z89</f>
        <v>1.4154508833982622</v>
      </c>
      <c r="AE171" s="62">
        <f t="shared" si="668"/>
        <v>1.0862263477458722</v>
      </c>
      <c r="AG171" s="139">
        <v>-3</v>
      </c>
      <c r="AH171" s="140">
        <v>31.708960474871297</v>
      </c>
      <c r="AI171" s="141">
        <f t="shared" si="488"/>
        <v>3.8012168265348194</v>
      </c>
      <c r="AK171" s="48">
        <f>AG78</f>
        <v>43.5</v>
      </c>
      <c r="AL171" s="61">
        <f>AH78</f>
        <v>5.1367440705257206</v>
      </c>
      <c r="AM171" s="62">
        <f>AI78</f>
        <v>1.6967797191365588</v>
      </c>
    </row>
    <row r="172" spans="1:39">
      <c r="A172" s="118">
        <v>-23.5</v>
      </c>
      <c r="B172" s="119">
        <v>348.67127911265652</v>
      </c>
      <c r="C172" s="120">
        <v>4.6038780645009671</v>
      </c>
      <c r="E172" s="48">
        <f>A38</f>
        <v>43.5</v>
      </c>
      <c r="F172" s="61">
        <f t="shared" ref="F172:G172" si="669">B38</f>
        <v>13.899350431193739</v>
      </c>
      <c r="G172" s="62">
        <f t="shared" si="669"/>
        <v>1.5830929495163124</v>
      </c>
      <c r="I172" s="118">
        <v>-23.5</v>
      </c>
      <c r="J172" s="119">
        <v>330.02</v>
      </c>
      <c r="K172" s="120">
        <v>4.5833564801955449</v>
      </c>
      <c r="M172" s="48">
        <f>I38</f>
        <v>43.5</v>
      </c>
      <c r="N172" s="61">
        <f t="shared" ref="N172" si="670">J38</f>
        <v>14.053000000000001</v>
      </c>
      <c r="O172" s="62">
        <f t="shared" ref="O172" si="671">K38</f>
        <v>1.5950105554672782</v>
      </c>
      <c r="Y172" s="121">
        <v>1.5</v>
      </c>
      <c r="Z172" s="122">
        <v>9.0282929206803164</v>
      </c>
      <c r="AA172" s="123">
        <v>3.1951110340673696</v>
      </c>
      <c r="AC172" s="48">
        <f>Y88</f>
        <v>43.5</v>
      </c>
      <c r="AD172" s="61">
        <f t="shared" ref="AD172:AE172" si="672">Z88</f>
        <v>1.3877127503070403</v>
      </c>
      <c r="AE172" s="62">
        <f t="shared" si="672"/>
        <v>1.069493058429078</v>
      </c>
      <c r="AG172" s="139">
        <v>-3.5</v>
      </c>
      <c r="AH172" s="140">
        <v>32.427290319676125</v>
      </c>
      <c r="AI172" s="141">
        <f t="shared" si="488"/>
        <v>3.8215132377470749</v>
      </c>
      <c r="AK172" s="48">
        <f>AG77</f>
        <v>44</v>
      </c>
      <c r="AL172" s="61">
        <f>AH77</f>
        <v>5.0498512157154156</v>
      </c>
      <c r="AM172" s="62">
        <f>AI77</f>
        <v>1.6777080196122602</v>
      </c>
    </row>
    <row r="173" spans="1:39">
      <c r="A173" s="118">
        <v>-24</v>
      </c>
      <c r="B173" s="119">
        <v>358.85175549436093</v>
      </c>
      <c r="C173" s="120">
        <v>4.6142488805038315</v>
      </c>
      <c r="E173" s="48">
        <f>A37</f>
        <v>44</v>
      </c>
      <c r="F173" s="61">
        <f t="shared" ref="F173:G173" si="673">B37</f>
        <v>13.628413185599875</v>
      </c>
      <c r="G173" s="62">
        <f t="shared" si="673"/>
        <v>1.5618735808271511</v>
      </c>
      <c r="I173" s="118">
        <v>-24</v>
      </c>
      <c r="J173" s="119">
        <v>339.52</v>
      </c>
      <c r="K173" s="120">
        <v>4.5940679800822686</v>
      </c>
      <c r="M173" s="48">
        <f>I37</f>
        <v>44</v>
      </c>
      <c r="N173" s="61">
        <f t="shared" ref="N173" si="674">J37</f>
        <v>13.731999999999999</v>
      </c>
      <c r="O173" s="62">
        <f t="shared" ref="O173" si="675">K37</f>
        <v>1.5700173785786151</v>
      </c>
      <c r="Y173" s="121">
        <v>1</v>
      </c>
      <c r="Z173" s="122">
        <v>9.256809002672977</v>
      </c>
      <c r="AA173" s="123">
        <v>3.22383929498175</v>
      </c>
      <c r="AC173" s="48">
        <f>Y87</f>
        <v>44</v>
      </c>
      <c r="AD173" s="61">
        <f t="shared" ref="AD173:AE173" si="676">Z87</f>
        <v>1.3605943108339218</v>
      </c>
      <c r="AE173" s="62">
        <f t="shared" si="676"/>
        <v>1.0529946978347715</v>
      </c>
      <c r="AG173" s="139">
        <v>-4</v>
      </c>
      <c r="AH173" s="140">
        <v>33.164137006564111</v>
      </c>
      <c r="AI173" s="141">
        <f t="shared" si="488"/>
        <v>3.8416309587656916</v>
      </c>
      <c r="AK173" s="48">
        <f>AG76</f>
        <v>44.5</v>
      </c>
      <c r="AL173" s="61">
        <f>AH76</f>
        <v>4.9646631267163741</v>
      </c>
      <c r="AM173" s="62">
        <f>AI76</f>
        <v>1.6587954852966165</v>
      </c>
    </row>
    <row r="174" spans="1:39">
      <c r="A174" s="118">
        <v>-24.5</v>
      </c>
      <c r="B174" s="119">
        <v>369.3549613600718</v>
      </c>
      <c r="C174" s="120">
        <v>4.62439429952454</v>
      </c>
      <c r="E174" s="48">
        <f>A36</f>
        <v>44.5</v>
      </c>
      <c r="F174" s="61">
        <f t="shared" ref="F174:G174" si="677">B36</f>
        <v>13.363493229290125</v>
      </c>
      <c r="G174" s="62">
        <f t="shared" si="677"/>
        <v>1.5408690852728251</v>
      </c>
      <c r="I174" s="118">
        <v>-24.5</v>
      </c>
      <c r="J174" s="119">
        <v>349.32</v>
      </c>
      <c r="K174" s="120">
        <v>4.6045555204049347</v>
      </c>
      <c r="M174" s="48">
        <f>I36</f>
        <v>44.5</v>
      </c>
      <c r="N174" s="61">
        <f t="shared" ref="N174" si="678">J36</f>
        <v>13.516</v>
      </c>
      <c r="O174" s="62">
        <f t="shared" ref="O174" si="679">K36</f>
        <v>1.5529920029414468</v>
      </c>
      <c r="Y174" s="121">
        <v>0.5</v>
      </c>
      <c r="Z174" s="122">
        <v>9.4917274374193941</v>
      </c>
      <c r="AA174" s="123">
        <v>3.2524344626526425</v>
      </c>
      <c r="AC174" s="48">
        <f>Y86</f>
        <v>44.5</v>
      </c>
      <c r="AD174" s="61">
        <f t="shared" ref="AD174:AE174" si="680">Z86</f>
        <v>1.3340802189094694</v>
      </c>
      <c r="AE174" s="62">
        <f t="shared" si="680"/>
        <v>1.0367295507045966</v>
      </c>
      <c r="AG174" s="139">
        <v>-4.5</v>
      </c>
      <c r="AH174" s="140">
        <v>33.920030942094911</v>
      </c>
      <c r="AI174" s="141">
        <f t="shared" si="488"/>
        <v>3.8615672865549424</v>
      </c>
      <c r="AK174" s="48">
        <f>AG75</f>
        <v>45</v>
      </c>
      <c r="AL174" s="61">
        <f>AH75</f>
        <v>4.8811422020726862</v>
      </c>
      <c r="AM174" s="62">
        <f>AI75</f>
        <v>1.6400428595436807</v>
      </c>
    </row>
    <row r="175" spans="1:39">
      <c r="A175" s="118">
        <v>-25</v>
      </c>
      <c r="B175" s="119">
        <v>380.19172037412289</v>
      </c>
      <c r="C175" s="120">
        <v>4.6343173385772154</v>
      </c>
      <c r="E175" s="48">
        <f>A35</f>
        <v>45</v>
      </c>
      <c r="F175" s="61">
        <f t="shared" ref="F175:G175" si="681">B35</f>
        <v>13.1044413522974</v>
      </c>
      <c r="G175" s="62">
        <f t="shared" si="681"/>
        <v>1.5200801751718971</v>
      </c>
      <c r="I175" s="118">
        <v>-25</v>
      </c>
      <c r="J175" s="119">
        <v>359.43</v>
      </c>
      <c r="K175" s="120">
        <v>4.6148216624297049</v>
      </c>
      <c r="M175" s="48">
        <f>I35</f>
        <v>45</v>
      </c>
      <c r="N175" s="61">
        <f t="shared" ref="N175" si="682">J35</f>
        <v>13.257</v>
      </c>
      <c r="O175" s="62">
        <f t="shared" ref="O175" si="683">K35</f>
        <v>1.5323531451556973</v>
      </c>
      <c r="Y175" s="121">
        <v>0</v>
      </c>
      <c r="Z175" s="122">
        <v>9.7332412890882765</v>
      </c>
      <c r="AA175" s="123">
        <v>3.2808882089204285</v>
      </c>
      <c r="AC175" s="48">
        <f>Y85</f>
        <v>45</v>
      </c>
      <c r="AD175" s="61">
        <f t="shared" ref="AD175:AE175" si="684">Z85</f>
        <v>1.3081555414827568</v>
      </c>
      <c r="AE175" s="62">
        <f t="shared" si="684"/>
        <v>1.0206958406475166</v>
      </c>
      <c r="AG175" s="139">
        <v>-5</v>
      </c>
      <c r="AH175" s="140">
        <v>34.695519152606039</v>
      </c>
      <c r="AI175" s="141">
        <f t="shared" si="488"/>
        <v>3.8813196278292996</v>
      </c>
      <c r="AK175" s="48">
        <f>AG74</f>
        <v>45.5</v>
      </c>
      <c r="AL175" s="61">
        <f>AH74</f>
        <v>4.7992517547556401</v>
      </c>
      <c r="AM175" s="62">
        <f>AI74</f>
        <v>1.6214508119349456</v>
      </c>
    </row>
    <row r="176" spans="1:39">
      <c r="A176" s="118">
        <v>-25.5</v>
      </c>
      <c r="B176" s="119">
        <v>391.37323168564649</v>
      </c>
      <c r="C176" s="120">
        <v>4.6440210513611762</v>
      </c>
      <c r="E176" s="48">
        <f>A34</f>
        <v>45.5</v>
      </c>
      <c r="F176" s="61">
        <f t="shared" ref="F176:G176" si="685">B34</f>
        <v>12.851112391748249</v>
      </c>
      <c r="G176" s="62">
        <f t="shared" si="685"/>
        <v>1.4995074426846107</v>
      </c>
      <c r="I176" s="118">
        <v>-25.5</v>
      </c>
      <c r="J176" s="119">
        <v>369.87</v>
      </c>
      <c r="K176" s="120">
        <v>4.6248780853777474</v>
      </c>
      <c r="M176" s="48">
        <f>I34</f>
        <v>45.5</v>
      </c>
      <c r="N176" s="61">
        <f t="shared" ref="N176" si="686">J34</f>
        <v>13.003</v>
      </c>
      <c r="O176" s="62">
        <f t="shared" ref="O176" si="687">K34</f>
        <v>1.5118712647954793</v>
      </c>
      <c r="Y176" s="121">
        <v>-0.5</v>
      </c>
      <c r="Z176" s="122">
        <v>9.9815497355661105</v>
      </c>
      <c r="AA176" s="123">
        <v>3.3091923279035083</v>
      </c>
      <c r="AC176" s="48">
        <f>Y84</f>
        <v>45.5</v>
      </c>
      <c r="AD176" s="61">
        <f t="shared" ref="AD176:AE176" si="688">Z84</f>
        <v>1.2828057466250939</v>
      </c>
      <c r="AE176" s="62">
        <f t="shared" si="688"/>
        <v>1.0048917337828878</v>
      </c>
      <c r="AG176" s="139">
        <v>-5.5</v>
      </c>
      <c r="AH176" s="140">
        <v>35.491165847421357</v>
      </c>
      <c r="AI176" s="141">
        <f t="shared" si="488"/>
        <v>3.9008855001056384</v>
      </c>
      <c r="AK176" s="48">
        <f>AG73</f>
        <v>46</v>
      </c>
      <c r="AL176" s="61">
        <f>AH73</f>
        <v>4.7189559879752458</v>
      </c>
      <c r="AM176" s="62">
        <f>AI73</f>
        <v>1.6030199396718183</v>
      </c>
    </row>
    <row r="177" spans="1:39">
      <c r="A177" s="118">
        <v>-26</v>
      </c>
      <c r="B177" s="119">
        <v>402.91108308899283</v>
      </c>
      <c r="C177" s="120">
        <v>4.6535085243609604</v>
      </c>
      <c r="E177" s="48">
        <f>A33</f>
        <v>46</v>
      </c>
      <c r="F177" s="61">
        <f t="shared" ref="F177:G177" si="689">B33</f>
        <v>12.603365113819367</v>
      </c>
      <c r="G177" s="62">
        <f t="shared" si="689"/>
        <v>1.479151362826405</v>
      </c>
      <c r="I177" s="118">
        <v>-26</v>
      </c>
      <c r="J177" s="119">
        <v>380.64</v>
      </c>
      <c r="K177" s="120">
        <v>4.6347165400350665</v>
      </c>
      <c r="M177" s="48">
        <f>I33</f>
        <v>46</v>
      </c>
      <c r="N177" s="61">
        <f t="shared" ref="N177" si="690">J33</f>
        <v>12.754</v>
      </c>
      <c r="O177" s="62">
        <f t="shared" ref="O177" si="691">K33</f>
        <v>1.4915563456050895</v>
      </c>
      <c r="Y177" s="121">
        <v>-1</v>
      </c>
      <c r="Z177" s="122">
        <v>10.236858266362573</v>
      </c>
      <c r="AA177" s="123">
        <v>3.3373387458416013</v>
      </c>
      <c r="AC177" s="48">
        <f>Y83</f>
        <v>46</v>
      </c>
      <c r="AD177" s="61">
        <f t="shared" ref="AD177:AE177" si="692">Z83</f>
        <v>1.2580166919956302</v>
      </c>
      <c r="AE177" s="62">
        <f t="shared" si="692"/>
        <v>0.98931534229801521</v>
      </c>
      <c r="AG177" s="139">
        <v>-6</v>
      </c>
      <c r="AH177" s="140">
        <v>36.307553002523342</v>
      </c>
      <c r="AI177" s="141">
        <f t="shared" si="488"/>
        <v>3.9202625326094114</v>
      </c>
      <c r="AK177" s="48">
        <f>AG72</f>
        <v>46.5</v>
      </c>
      <c r="AL177" s="61">
        <f>AH72</f>
        <v>4.6402199716810317</v>
      </c>
      <c r="AM177" s="62">
        <f>AI72</f>
        <v>1.5847507689968912</v>
      </c>
    </row>
    <row r="178" spans="1:39">
      <c r="A178" s="118">
        <v>-26.5</v>
      </c>
      <c r="B178" s="119">
        <v>414.81726463589382</v>
      </c>
      <c r="C178" s="120">
        <v>4.6627828730461198</v>
      </c>
      <c r="E178" s="48">
        <f>A32</f>
        <v>46.5</v>
      </c>
      <c r="F178" s="61">
        <f t="shared" ref="F178:G178" si="693">B32</f>
        <v>12.361062099348965</v>
      </c>
      <c r="G178" s="62">
        <f t="shared" si="693"/>
        <v>1.4590122965234786</v>
      </c>
      <c r="I178" s="118">
        <v>-26.5</v>
      </c>
      <c r="J178" s="119">
        <v>391.76</v>
      </c>
      <c r="K178" s="120">
        <v>4.6443474962063735</v>
      </c>
      <c r="M178" s="48">
        <f>I32</f>
        <v>46.5</v>
      </c>
      <c r="N178" s="61">
        <f t="shared" ref="N178" si="694">J32</f>
        <v>12.510999999999999</v>
      </c>
      <c r="O178" s="62">
        <f t="shared" ref="O178" si="695">K32</f>
        <v>1.4715014937310342</v>
      </c>
      <c r="Y178" s="121">
        <v>-1.5</v>
      </c>
      <c r="Z178" s="122">
        <v>10.499378886819938</v>
      </c>
      <c r="AA178" s="123">
        <v>3.365319530667648</v>
      </c>
      <c r="AC178" s="48">
        <f>Y82</f>
        <v>46.5</v>
      </c>
      <c r="AD178" s="61">
        <f t="shared" ref="AD178:AE178" si="696">Z82</f>
        <v>1.2337746136574301</v>
      </c>
      <c r="AE178" s="62">
        <f t="shared" si="696"/>
        <v>0.97396472791837208</v>
      </c>
      <c r="AG178" s="139">
        <v>-6.5</v>
      </c>
      <c r="AH178" s="140">
        <v>37.145280965478698</v>
      </c>
      <c r="AI178" s="141">
        <f t="shared" si="488"/>
        <v>3.9394484670350862</v>
      </c>
      <c r="AK178" s="48">
        <f>AG71</f>
        <v>47</v>
      </c>
      <c r="AL178" s="61">
        <f>AH71</f>
        <v>4.5630096197306571</v>
      </c>
      <c r="AM178" s="62">
        <f>AI71</f>
        <v>1.5666437566409608</v>
      </c>
    </row>
    <row r="179" spans="1:39">
      <c r="A179" s="118">
        <v>-27</v>
      </c>
      <c r="B179" s="119">
        <v>427.10418271373203</v>
      </c>
      <c r="C179" s="120">
        <v>4.6718472381734042</v>
      </c>
      <c r="E179" s="48">
        <f>A31</f>
        <v>47</v>
      </c>
      <c r="F179" s="61">
        <f t="shared" ref="F179:G179" si="697">B31</f>
        <v>12.124069632983852</v>
      </c>
      <c r="G179" s="62">
        <f t="shared" si="697"/>
        <v>1.4390904937032132</v>
      </c>
      <c r="I179" s="118">
        <v>-27</v>
      </c>
      <c r="J179" s="119">
        <v>403.24</v>
      </c>
      <c r="K179" s="120">
        <v>4.6537715815714158</v>
      </c>
      <c r="M179" s="48">
        <f>I31</f>
        <v>47</v>
      </c>
      <c r="N179" s="61">
        <f t="shared" ref="N179" si="698">J31</f>
        <v>12.273999999999999</v>
      </c>
      <c r="O179" s="62">
        <f t="shared" ref="O179" si="699">K31</f>
        <v>1.4517197331693239</v>
      </c>
      <c r="Y179" s="121">
        <v>-2</v>
      </c>
      <c r="Z179" s="122">
        <v>10.769330328810433</v>
      </c>
      <c r="AA179" s="123">
        <v>3.3931269012842158</v>
      </c>
      <c r="AC179" s="48">
        <f>Y81</f>
        <v>47</v>
      </c>
      <c r="AD179" s="61">
        <f t="shared" ref="AD179:AE179" si="700">Z81</f>
        <v>1.2100661152327983</v>
      </c>
      <c r="AE179" s="62">
        <f t="shared" si="700"/>
        <v>0.95883790528885382</v>
      </c>
      <c r="AG179" s="139">
        <v>-7</v>
      </c>
      <c r="AH179" s="140">
        <v>38.004969082440866</v>
      </c>
      <c r="AI179" s="141">
        <f t="shared" si="488"/>
        <v>3.9584411581615027</v>
      </c>
      <c r="AK179" s="48">
        <f>AG70</f>
        <v>47.5</v>
      </c>
      <c r="AL179" s="61">
        <f>AH70</f>
        <v>4.4872916677061374</v>
      </c>
      <c r="AM179" s="62">
        <f>AI70</f>
        <v>1.5486992912929454</v>
      </c>
    </row>
    <row r="180" spans="1:39">
      <c r="A180" s="118">
        <v>-27.5</v>
      </c>
      <c r="B180" s="119">
        <v>439.78467460469824</v>
      </c>
      <c r="C180" s="120">
        <v>4.680704782193633</v>
      </c>
      <c r="E180" s="48">
        <f>A30</f>
        <v>47.5</v>
      </c>
      <c r="F180" s="61">
        <f t="shared" ref="F180:G180" si="701">B30</f>
        <v>11.892257595747539</v>
      </c>
      <c r="G180" s="62">
        <f t="shared" si="701"/>
        <v>1.4193860964125644</v>
      </c>
      <c r="I180" s="118">
        <v>-27.5</v>
      </c>
      <c r="J180" s="119">
        <v>415.1</v>
      </c>
      <c r="K180" s="120">
        <v>4.6629970793080204</v>
      </c>
      <c r="M180" s="48">
        <f>I30</f>
        <v>47.5</v>
      </c>
      <c r="N180" s="61">
        <f t="shared" ref="N180" si="702">J30</f>
        <v>12.041</v>
      </c>
      <c r="O180" s="62">
        <f t="shared" ref="O180" si="703">K30</f>
        <v>1.4320544230632002</v>
      </c>
      <c r="Y180" s="121">
        <v>-2.5</v>
      </c>
      <c r="Z180" s="122">
        <v>11.046938268109285</v>
      </c>
      <c r="AA180" s="123">
        <v>3.420753236521421</v>
      </c>
      <c r="AC180" s="48">
        <f>Y80</f>
        <v>47.5</v>
      </c>
      <c r="AD180" s="61">
        <f t="shared" ref="AD180:AE180" si="704">Z80</f>
        <v>1.1868781573872624</v>
      </c>
      <c r="AE180" s="62">
        <f t="shared" si="704"/>
        <v>0.94393284526490029</v>
      </c>
      <c r="AG180" s="139">
        <v>-7.5</v>
      </c>
      <c r="AH180" s="140">
        <v>38.887256348088094</v>
      </c>
      <c r="AI180" s="141">
        <f t="shared" si="488"/>
        <v>3.9772385743231546</v>
      </c>
      <c r="AK180" s="48">
        <f>AG69</f>
        <v>48</v>
      </c>
      <c r="AL180" s="61">
        <f>AH69</f>
        <v>4.4130336513584458</v>
      </c>
      <c r="AM180" s="62">
        <f>AI69</f>
        <v>1.5309176950899965</v>
      </c>
    </row>
    <row r="181" spans="1:39">
      <c r="A181" s="118">
        <v>-28</v>
      </c>
      <c r="B181" s="119">
        <v>452.87202354092375</v>
      </c>
      <c r="C181" s="120">
        <v>4.6893586857651375</v>
      </c>
      <c r="E181" s="48">
        <f>A29</f>
        <v>48</v>
      </c>
      <c r="F181" s="61">
        <f t="shared" ref="F181:G181" si="705">B29</f>
        <v>11.665499360918469</v>
      </c>
      <c r="G181" s="62">
        <f t="shared" si="705"/>
        <v>1.3998991419577835</v>
      </c>
      <c r="I181" s="118">
        <v>-28</v>
      </c>
      <c r="J181" s="119">
        <v>427.33</v>
      </c>
      <c r="K181" s="120">
        <v>4.6720092712046011</v>
      </c>
      <c r="M181" s="48">
        <f>I29</f>
        <v>48</v>
      </c>
      <c r="N181" s="61">
        <f t="shared" ref="N181" si="706">J29</f>
        <v>11.813000000000001</v>
      </c>
      <c r="O181" s="62">
        <f t="shared" ref="O181" si="707">K29</f>
        <v>1.4125989524788942</v>
      </c>
      <c r="Y181" s="121">
        <v>-3</v>
      </c>
      <c r="Z181" s="122">
        <v>11.332435548633615</v>
      </c>
      <c r="AA181" s="123">
        <v>3.4481910837544492</v>
      </c>
      <c r="AC181" s="48">
        <f>Y79</f>
        <v>48</v>
      </c>
      <c r="AD181" s="61">
        <f t="shared" ref="AD181:AE181" si="708">Z79</f>
        <v>1.1641980476316767</v>
      </c>
      <c r="AE181" s="62">
        <f t="shared" si="708"/>
        <v>0.92924747811240449</v>
      </c>
      <c r="AG181" s="139">
        <v>-8</v>
      </c>
      <c r="AH181" s="140">
        <v>39.792802079388814</v>
      </c>
      <c r="AI181" s="141">
        <f t="shared" si="488"/>
        <v>3.9958387977386605</v>
      </c>
      <c r="AK181" s="48">
        <f>AG68</f>
        <v>48.5</v>
      </c>
      <c r="AL181" s="61">
        <f>AH68</f>
        <v>4.3402038856606833</v>
      </c>
      <c r="AM181" s="62">
        <f>AI68</f>
        <v>1.5132992251249018</v>
      </c>
    </row>
    <row r="182" spans="1:39">
      <c r="A182" s="118">
        <v>-28.5</v>
      </c>
      <c r="B182" s="119">
        <v>466.37997427110605</v>
      </c>
      <c r="C182" s="120">
        <v>4.6978121443753587</v>
      </c>
      <c r="E182" s="48">
        <f>A28</f>
        <v>48.5</v>
      </c>
      <c r="F182" s="61">
        <f t="shared" ref="F182:G182" si="709">B28</f>
        <v>11.443671693111078</v>
      </c>
      <c r="G182" s="62">
        <f t="shared" si="709"/>
        <v>1.3806295660590913</v>
      </c>
      <c r="I182" s="118">
        <v>-28.5</v>
      </c>
      <c r="J182" s="119">
        <v>439.97</v>
      </c>
      <c r="K182" s="120">
        <v>4.6808306913207227</v>
      </c>
      <c r="M182" s="48">
        <f>I28</f>
        <v>48.5</v>
      </c>
      <c r="N182" s="61">
        <f t="shared" ref="N182" si="710">J28</f>
        <v>11.590999999999999</v>
      </c>
      <c r="O182" s="62">
        <f t="shared" ref="O182" si="711">K28</f>
        <v>1.3934505061191123</v>
      </c>
      <c r="Y182" s="121">
        <v>-3.5</v>
      </c>
      <c r="Z182" s="122">
        <v>11.626062413743327</v>
      </c>
      <c r="AA182" s="123">
        <v>3.4754331671602885</v>
      </c>
      <c r="AC182" s="48">
        <f>Y78</f>
        <v>48.5</v>
      </c>
      <c r="AD182" s="61">
        <f t="shared" ref="AD182:AE182" si="712">Z78</f>
        <v>1.1420134304324565</v>
      </c>
      <c r="AE182" s="62">
        <f t="shared" si="712"/>
        <v>0.91477969661572489</v>
      </c>
      <c r="AG182" s="139">
        <v>-8.5</v>
      </c>
      <c r="AH182" s="140">
        <v>40.722286614126496</v>
      </c>
      <c r="AI182" s="141">
        <f t="shared" si="488"/>
        <v>4.0142400246980454</v>
      </c>
      <c r="AK182" s="48">
        <f>AG67</f>
        <v>49</v>
      </c>
      <c r="AL182" s="61">
        <f>AH67</f>
        <v>4.2687714444524785</v>
      </c>
      <c r="AM182" s="62">
        <f>AI67</f>
        <v>1.4958440749683897</v>
      </c>
    </row>
    <row r="183" spans="1:39">
      <c r="A183" s="118">
        <v>-29</v>
      </c>
      <c r="B183" s="119">
        <v>480.32274915448545</v>
      </c>
      <c r="C183" s="120">
        <v>4.7060683650718618</v>
      </c>
      <c r="E183" s="48">
        <f>A27</f>
        <v>49</v>
      </c>
      <c r="F183" s="61">
        <f t="shared" ref="F183:G183" si="713">B27</f>
        <v>11.226654650456096</v>
      </c>
      <c r="G183" s="62">
        <f t="shared" si="713"/>
        <v>1.3615772060142035</v>
      </c>
      <c r="I183" s="118">
        <v>-29</v>
      </c>
      <c r="J183" s="119">
        <v>456.02</v>
      </c>
      <c r="K183" s="120">
        <v>4.691370725484548</v>
      </c>
      <c r="M183" s="48">
        <f>I27</f>
        <v>49</v>
      </c>
      <c r="N183" s="61">
        <f t="shared" ref="N183" si="714">J27</f>
        <v>11.372</v>
      </c>
      <c r="O183" s="62">
        <f t="shared" ref="O183" si="715">K27</f>
        <v>1.3743594701730639</v>
      </c>
      <c r="Y183" s="121">
        <v>-4</v>
      </c>
      <c r="Z183" s="122">
        <v>11.928066744801344</v>
      </c>
      <c r="AA183" s="123">
        <v>3.5024723955944599</v>
      </c>
      <c r="AC183" s="48">
        <f>Y77</f>
        <v>49</v>
      </c>
      <c r="AD183" s="61">
        <f t="shared" ref="AD183:AE183" si="716">Z77</f>
        <v>1.1203122776201806</v>
      </c>
      <c r="AE183" s="62">
        <f t="shared" si="716"/>
        <v>0.90052735909329551</v>
      </c>
      <c r="AG183" s="139">
        <v>-9</v>
      </c>
      <c r="AH183" s="140">
        <v>41.676412035148751</v>
      </c>
      <c r="AI183" s="141">
        <f t="shared" si="488"/>
        <v>4.0324405656106412</v>
      </c>
      <c r="AK183" s="48">
        <f>AG66</f>
        <v>49.5</v>
      </c>
      <c r="AL183" s="61">
        <f>AH66</f>
        <v>4.1987061406568316</v>
      </c>
      <c r="AM183" s="62">
        <f>AI66</f>
        <v>1.4785523762035544</v>
      </c>
    </row>
    <row r="184" spans="1:39" ht="13.5" thickBot="1">
      <c r="A184" s="124">
        <v>-29.5</v>
      </c>
      <c r="B184" s="125">
        <v>494.7150647984185</v>
      </c>
      <c r="C184" s="126">
        <v>4.714130563303673</v>
      </c>
      <c r="E184" s="48">
        <f>A26</f>
        <v>49.5</v>
      </c>
      <c r="F184" s="61">
        <f t="shared" ref="F184:G184" si="717">B26</f>
        <v>11.014331489780144</v>
      </c>
      <c r="G184" s="62">
        <f t="shared" si="717"/>
        <v>1.3427418038649086</v>
      </c>
      <c r="I184" s="124">
        <v>-29.5</v>
      </c>
      <c r="J184" s="125">
        <v>466.49</v>
      </c>
      <c r="K184" s="126">
        <v>4.6978791113617593</v>
      </c>
      <c r="M184" s="48">
        <f>I26</f>
        <v>49.5</v>
      </c>
      <c r="N184" s="61">
        <f t="shared" ref="N184" si="718">J26</f>
        <v>11.159000000000001</v>
      </c>
      <c r="O184" s="62">
        <f t="shared" ref="O184" si="719">K26</f>
        <v>1.3555965888384072</v>
      </c>
      <c r="Y184" s="121">
        <v>-4.5</v>
      </c>
      <c r="Z184" s="122">
        <v>12.23870430719608</v>
      </c>
      <c r="AA184" s="123">
        <v>3.5293018700701446</v>
      </c>
      <c r="AC184" s="48">
        <f>Y76</f>
        <v>49.5</v>
      </c>
      <c r="AD184" s="61">
        <f t="shared" ref="AD184:AE184" si="720">Z76</f>
        <v>1.0990828790872234</v>
      </c>
      <c r="AE184" s="62">
        <f t="shared" si="720"/>
        <v>0.88648829232063486</v>
      </c>
      <c r="AG184" s="142">
        <v>-9.5</v>
      </c>
      <c r="AH184" s="143">
        <v>42.655902921350801</v>
      </c>
      <c r="AI184" s="144">
        <f t="shared" si="488"/>
        <v>4.0504388449157878</v>
      </c>
      <c r="AK184" s="48">
        <f>AG65</f>
        <v>50</v>
      </c>
      <c r="AL184" s="61">
        <f>AH65</f>
        <v>4.1299785070527353</v>
      </c>
      <c r="AM184" s="62">
        <f>AI65</f>
        <v>1.4614241999700592</v>
      </c>
    </row>
    <row r="185" spans="1:39" ht="13.5" thickTop="1">
      <c r="A185" s="112">
        <v>-30</v>
      </c>
      <c r="B185" s="113">
        <v>509.57214925617967</v>
      </c>
      <c r="C185" s="114">
        <v>4.7220019598736132</v>
      </c>
      <c r="E185" s="48">
        <f>A25</f>
        <v>50</v>
      </c>
      <c r="F185" s="61">
        <f t="shared" ref="F185:G185" si="721">B25</f>
        <v>10.806588574687787</v>
      </c>
      <c r="G185" s="62">
        <f t="shared" si="721"/>
        <v>1.3241230095611427</v>
      </c>
      <c r="I185" s="112">
        <v>-30</v>
      </c>
      <c r="J185" s="113">
        <v>480.41</v>
      </c>
      <c r="K185" s="114">
        <v>4.7061186105287911</v>
      </c>
      <c r="M185" s="48">
        <f>I25</f>
        <v>50</v>
      </c>
      <c r="N185" s="61">
        <f t="shared" ref="N185" si="722">J25</f>
        <v>10.95</v>
      </c>
      <c r="O185" s="62">
        <f t="shared" ref="O185" si="723">K25</f>
        <v>1.3369963369963369</v>
      </c>
      <c r="Y185" s="121">
        <v>-5</v>
      </c>
      <c r="Z185" s="122">
        <v>12.558239004031464</v>
      </c>
      <c r="AA185" s="123">
        <v>3.5559148908235851</v>
      </c>
      <c r="AC185" s="48">
        <f>Y75</f>
        <v>50</v>
      </c>
      <c r="AD185" s="61">
        <f t="shared" ref="AD185:AE185" si="724">Z75</f>
        <v>1.0783138337651927</v>
      </c>
      <c r="AE185" s="62">
        <f t="shared" si="724"/>
        <v>0.87266029436064274</v>
      </c>
      <c r="AG185" s="136">
        <v>-10</v>
      </c>
      <c r="AH185" s="137">
        <v>43.661507126443723</v>
      </c>
      <c r="AI185" s="138">
        <f>AH185*5/(10+AH185)</f>
        <v>4.068233400858758</v>
      </c>
      <c r="AK185" s="48">
        <f>AG64</f>
        <v>50.5</v>
      </c>
      <c r="AL185" s="61">
        <f>AH64</f>
        <v>4.0625597775867881</v>
      </c>
      <c r="AM185" s="62">
        <f>AI64</f>
        <v>1.4444595585157205</v>
      </c>
    </row>
    <row r="186" spans="1:39">
      <c r="A186" s="118">
        <v>-30.5</v>
      </c>
      <c r="B186" s="119">
        <v>524.90975980196527</v>
      </c>
      <c r="C186" s="120">
        <v>4.7296857780019375</v>
      </c>
      <c r="E186" s="48">
        <f>A24</f>
        <v>50.5</v>
      </c>
      <c r="F186" s="61">
        <f t="shared" ref="F186:G186" si="725">B24</f>
        <v>10.603315286452615</v>
      </c>
      <c r="G186" s="62">
        <f t="shared" si="725"/>
        <v>1.305720384117308</v>
      </c>
      <c r="I186" s="118">
        <v>-30.5</v>
      </c>
      <c r="J186" s="119">
        <v>494.78</v>
      </c>
      <c r="K186" s="120">
        <v>4.7141659362018364</v>
      </c>
      <c r="M186" s="48">
        <f>I24</f>
        <v>50.5</v>
      </c>
      <c r="N186" s="61">
        <f t="shared" ref="N186" si="726">J24</f>
        <v>10.746</v>
      </c>
      <c r="O186" s="62">
        <f t="shared" ref="O186" si="727">K24</f>
        <v>1.3186570460904139</v>
      </c>
      <c r="Y186" s="121">
        <v>-5.5</v>
      </c>
      <c r="Z186" s="122">
        <v>12.886943137693525</v>
      </c>
      <c r="AA186" s="123">
        <v>3.5823049639512079</v>
      </c>
      <c r="AC186" s="48">
        <f>Y74</f>
        <v>50.5</v>
      </c>
      <c r="AD186" s="61">
        <f t="shared" ref="AD186:AE186" si="728">Z74</f>
        <v>1.0579940408734809</v>
      </c>
      <c r="AE186" s="62">
        <f t="shared" si="728"/>
        <v>0.8590411373014335</v>
      </c>
      <c r="AG186" s="139">
        <v>-10.5</v>
      </c>
      <c r="AH186" s="140">
        <v>44.693996586600136</v>
      </c>
      <c r="AI186" s="141">
        <f t="shared" ref="AI186:AI244" si="729">AH186*5/(10+AH186)</f>
        <v>4.0858228851345295</v>
      </c>
      <c r="AK186" s="48">
        <f>AG63</f>
        <v>51</v>
      </c>
      <c r="AL186" s="61">
        <f>AH63</f>
        <v>3.9964218692076612</v>
      </c>
      <c r="AM186" s="62">
        <f>AI63</f>
        <v>1.427658406753175</v>
      </c>
    </row>
    <row r="187" spans="1:39">
      <c r="A187" s="118">
        <v>-31</v>
      </c>
      <c r="B187" s="119">
        <v>540.74420130048816</v>
      </c>
      <c r="C187" s="120">
        <v>4.7371852405014154</v>
      </c>
      <c r="E187" s="48">
        <f>A23</f>
        <v>51</v>
      </c>
      <c r="F187" s="61">
        <f t="shared" ref="F187:G187" si="730">B23</f>
        <v>10.404403937626901</v>
      </c>
      <c r="G187" s="62">
        <f t="shared" si="730"/>
        <v>1.2875334027558469</v>
      </c>
      <c r="I187" s="118">
        <v>-31</v>
      </c>
      <c r="J187" s="119">
        <v>509.63</v>
      </c>
      <c r="K187" s="120">
        <v>4.7220317625039385</v>
      </c>
      <c r="M187" s="48">
        <f>I23</f>
        <v>51</v>
      </c>
      <c r="N187" s="61">
        <f t="shared" ref="N187" si="731">J23</f>
        <v>10.545999999999999</v>
      </c>
      <c r="O187" s="62">
        <f t="shared" ref="O187" si="732">K23</f>
        <v>1.3004981995757905</v>
      </c>
      <c r="Y187" s="121">
        <v>-6</v>
      </c>
      <c r="Z187" s="122">
        <v>13.225097679505108</v>
      </c>
      <c r="AA187" s="123">
        <v>3.6084658076055263</v>
      </c>
      <c r="AC187" s="48">
        <f>Y73</f>
        <v>51</v>
      </c>
      <c r="AD187" s="61">
        <f t="shared" ref="AD187:AE187" si="733">Z73</f>
        <v>1.0381126914302996</v>
      </c>
      <c r="AE187" s="62">
        <f t="shared" si="733"/>
        <v>0.84562856990199642</v>
      </c>
      <c r="AG187" s="139">
        <v>-11</v>
      </c>
      <c r="AH187" s="140">
        <v>45.754168158116777</v>
      </c>
      <c r="AI187" s="141">
        <f t="shared" si="729"/>
        <v>4.1032060624023332</v>
      </c>
      <c r="AK187" s="48">
        <f>AG62</f>
        <v>51.5</v>
      </c>
      <c r="AL187" s="61">
        <f>AH62</f>
        <v>3.9315373642075593</v>
      </c>
      <c r="AM187" s="62">
        <f>AI62</f>
        <v>1.4110206438193726</v>
      </c>
    </row>
    <row r="188" spans="1:39">
      <c r="A188" s="118">
        <v>-31.5</v>
      </c>
      <c r="B188" s="119">
        <v>557.09234518889582</v>
      </c>
      <c r="C188" s="120">
        <v>4.7445035670636484</v>
      </c>
      <c r="E188" s="48">
        <f>A22</f>
        <v>51.5</v>
      </c>
      <c r="F188" s="61">
        <f t="shared" ref="F188:G188" si="734">B22</f>
        <v>10.209749688282766</v>
      </c>
      <c r="G188" s="62">
        <f t="shared" si="734"/>
        <v>1.2695614580333878</v>
      </c>
      <c r="I188" s="118">
        <v>-31.5</v>
      </c>
      <c r="J188" s="119">
        <v>524.97</v>
      </c>
      <c r="K188" s="120">
        <v>4.729715119736202</v>
      </c>
      <c r="M188" s="48">
        <f>I22</f>
        <v>51.5</v>
      </c>
      <c r="N188" s="61">
        <f t="shared" ref="N188" si="735">J22</f>
        <v>10.35</v>
      </c>
      <c r="O188" s="62">
        <f t="shared" ref="O188" si="736">K22</f>
        <v>1.2825278810408922</v>
      </c>
      <c r="Y188" s="121">
        <v>-6.5</v>
      </c>
      <c r="Z188" s="122">
        <v>13.572992547685008</v>
      </c>
      <c r="AA188" s="123">
        <v>3.6343913577386733</v>
      </c>
      <c r="AC188" s="48">
        <f>Y72</f>
        <v>51.5</v>
      </c>
      <c r="AD188" s="61">
        <f t="shared" ref="AD188:AE188" si="737">Z72</f>
        <v>1.0186592600180535</v>
      </c>
      <c r="AE188" s="62">
        <f t="shared" si="737"/>
        <v>0.83242032014628642</v>
      </c>
      <c r="AG188" s="139">
        <v>-11.5</v>
      </c>
      <c r="AH188" s="140">
        <v>46.842844486280391</v>
      </c>
      <c r="AI188" s="141">
        <f t="shared" si="729"/>
        <v>4.1203818096740745</v>
      </c>
      <c r="AK188" s="48">
        <f>AG61</f>
        <v>52</v>
      </c>
      <c r="AL188" s="61">
        <f>AH61</f>
        <v>3.8678794930558618</v>
      </c>
      <c r="AM188" s="62">
        <f>AI61</f>
        <v>1.3945461146358555</v>
      </c>
    </row>
    <row r="189" spans="1:39">
      <c r="A189" s="118">
        <v>-32</v>
      </c>
      <c r="B189" s="119">
        <v>573.97164908910383</v>
      </c>
      <c r="C189" s="120">
        <v>4.7516439716562413</v>
      </c>
      <c r="E189" s="48">
        <f>A21</f>
        <v>52</v>
      </c>
      <c r="F189" s="61">
        <f t="shared" ref="F189:G189" si="738">B21</f>
        <v>10.019250464800328</v>
      </c>
      <c r="G189" s="62">
        <f t="shared" si="738"/>
        <v>1.2518038629450274</v>
      </c>
      <c r="I189" s="118">
        <v>-32</v>
      </c>
      <c r="J189" s="119">
        <v>540.80999999999995</v>
      </c>
      <c r="K189" s="120">
        <v>4.7372155358175227</v>
      </c>
      <c r="M189" s="48">
        <f>I21</f>
        <v>52</v>
      </c>
      <c r="N189" s="61">
        <f t="shared" ref="N189" si="739">J21</f>
        <v>10.157999999999999</v>
      </c>
      <c r="O189" s="62">
        <f t="shared" ref="O189" si="740">K21</f>
        <v>1.2647542208277305</v>
      </c>
      <c r="Y189" s="121">
        <v>-7</v>
      </c>
      <c r="Z189" s="122">
        <v>13.930926893827747</v>
      </c>
      <c r="AA189" s="123">
        <v>3.6600757733838836</v>
      </c>
      <c r="AC189" s="48">
        <f>Y71</f>
        <v>52</v>
      </c>
      <c r="AD189" s="61">
        <f t="shared" ref="AD189:AE189" si="741">Z71</f>
        <v>0.9996234967950246</v>
      </c>
      <c r="AE189" s="62">
        <f t="shared" si="741"/>
        <v>0.81941409770641171</v>
      </c>
      <c r="AG189" s="139">
        <v>-12</v>
      </c>
      <c r="AH189" s="140">
        <v>47.960874906672984</v>
      </c>
      <c r="AI189" s="141">
        <f t="shared" si="729"/>
        <v>4.1373491155799726</v>
      </c>
      <c r="AK189" s="48">
        <f>AG60</f>
        <v>52.5</v>
      </c>
      <c r="AL189" s="61">
        <f>AH60</f>
        <v>3.8054221177102594</v>
      </c>
      <c r="AM189" s="62">
        <f>AI60</f>
        <v>1.3782346114677944</v>
      </c>
    </row>
    <row r="190" spans="1:39">
      <c r="A190" s="118">
        <v>-32.5</v>
      </c>
      <c r="B190" s="119">
        <v>591.4001770690362</v>
      </c>
      <c r="C190" s="120">
        <v>4.7586096600301815</v>
      </c>
      <c r="E190" s="48">
        <f>A20</f>
        <v>52.5</v>
      </c>
      <c r="F190" s="61">
        <f t="shared" ref="F190:G190" si="742">B20</f>
        <v>9.8328068811210638</v>
      </c>
      <c r="G190" s="62">
        <f t="shared" si="742"/>
        <v>1.2342598540025767</v>
      </c>
      <c r="I190" s="118">
        <v>-32.5</v>
      </c>
      <c r="J190" s="119">
        <v>557.19000000000005</v>
      </c>
      <c r="K190" s="120">
        <v>4.74454605834568</v>
      </c>
      <c r="M190" s="48">
        <f>I20</f>
        <v>52.5</v>
      </c>
      <c r="N190" s="61">
        <f t="shared" ref="N190" si="743">J20</f>
        <v>9.9700000000000006</v>
      </c>
      <c r="O190" s="62">
        <f t="shared" ref="O190" si="744">K20</f>
        <v>1.2471853890417814</v>
      </c>
      <c r="Y190" s="121">
        <v>-7.5</v>
      </c>
      <c r="Z190" s="122">
        <v>14.299209398126585</v>
      </c>
      <c r="AA190" s="123">
        <v>3.6855134414672284</v>
      </c>
      <c r="AC190" s="48">
        <f>Y70</f>
        <v>52.5</v>
      </c>
      <c r="AD190" s="61">
        <f t="shared" ref="AD190:AE190" si="745">Z70</f>
        <v>0.9809954197455838</v>
      </c>
      <c r="AE190" s="62">
        <f t="shared" si="745"/>
        <v>0.80660759631572509</v>
      </c>
      <c r="AG190" s="139">
        <v>-12.5</v>
      </c>
      <c r="AH190" s="140">
        <v>49.109136380206586</v>
      </c>
      <c r="AI190" s="141">
        <f t="shared" si="729"/>
        <v>4.1541070795149855</v>
      </c>
      <c r="AK190" s="48">
        <f>AG59</f>
        <v>53</v>
      </c>
      <c r="AL190" s="61">
        <f>AH59</f>
        <v>3.7441397153906268</v>
      </c>
      <c r="AM190" s="62">
        <f>AI59</f>
        <v>1.3620858754796983</v>
      </c>
    </row>
    <row r="191" spans="1:39">
      <c r="A191" s="118">
        <v>-33</v>
      </c>
      <c r="B191" s="119">
        <v>609.39662057156147</v>
      </c>
      <c r="C191" s="120">
        <v>4.7654038273366011</v>
      </c>
      <c r="E191" s="48">
        <f>A19</f>
        <v>53</v>
      </c>
      <c r="F191" s="61">
        <f t="shared" ref="F191:G191" si="746">B19</f>
        <v>9.6503221623881696</v>
      </c>
      <c r="G191" s="62">
        <f t="shared" si="746"/>
        <v>1.2169285942829429</v>
      </c>
      <c r="I191" s="118">
        <v>-33</v>
      </c>
      <c r="J191" s="119">
        <v>574.11</v>
      </c>
      <c r="K191" s="120">
        <v>4.7517008491830959</v>
      </c>
      <c r="M191" s="48">
        <f>I19</f>
        <v>53</v>
      </c>
      <c r="N191" s="61">
        <f t="shared" ref="N191" si="747">J19</f>
        <v>9.7870000000000008</v>
      </c>
      <c r="O191" s="62">
        <f t="shared" ref="O191" si="748">K19</f>
        <v>1.2299243471485661</v>
      </c>
      <c r="Y191" s="121">
        <v>-8</v>
      </c>
      <c r="Z191" s="122">
        <v>14.678158573560321</v>
      </c>
      <c r="AA191" s="123">
        <v>3.7106989811433357</v>
      </c>
      <c r="AC191" s="48">
        <f>Y69</f>
        <v>53</v>
      </c>
      <c r="AD191" s="61">
        <f t="shared" ref="AD191:AE191" si="749">Z69</f>
        <v>0.96276530716164088</v>
      </c>
      <c r="AE191" s="62">
        <f t="shared" si="749"/>
        <v>0.79399849605292694</v>
      </c>
      <c r="AG191" s="139">
        <v>-13</v>
      </c>
      <c r="AH191" s="140">
        <v>50.288534463226327</v>
      </c>
      <c r="AI191" s="141">
        <f t="shared" si="729"/>
        <v>4.1706549106696551</v>
      </c>
      <c r="AK191" s="48">
        <f>AG58</f>
        <v>53.5</v>
      </c>
      <c r="AL191" s="61">
        <f>AH58</f>
        <v>3.6840073628029266</v>
      </c>
      <c r="AM191" s="62">
        <f>AI58</f>
        <v>1.3460995982862154</v>
      </c>
    </row>
    <row r="192" spans="1:39">
      <c r="A192" s="118">
        <v>-33.5</v>
      </c>
      <c r="B192" s="119">
        <v>627.98032003032233</v>
      </c>
      <c r="C192" s="120">
        <v>4.7720296558518838</v>
      </c>
      <c r="E192" s="48">
        <f>A18</f>
        <v>53.5</v>
      </c>
      <c r="F192" s="61">
        <f t="shared" ref="F192:G192" si="750">B18</f>
        <v>9.471702070896864</v>
      </c>
      <c r="G192" s="62">
        <f t="shared" si="750"/>
        <v>1.1998091764429517</v>
      </c>
      <c r="I192" s="118">
        <v>-33.5</v>
      </c>
      <c r="J192" s="119">
        <v>591.6</v>
      </c>
      <c r="K192" s="120">
        <v>4.7586872586872584</v>
      </c>
      <c r="M192" s="48">
        <f>I18</f>
        <v>53.5</v>
      </c>
      <c r="N192" s="61">
        <f t="shared" ref="N192" si="751">J18</f>
        <v>9.6069999999999993</v>
      </c>
      <c r="O192" s="62">
        <f t="shared" ref="O192" si="752">K18</f>
        <v>1.2127906683162066</v>
      </c>
      <c r="Y192" s="121">
        <v>-8.5</v>
      </c>
      <c r="Z192" s="122">
        <v>15.068103079271372</v>
      </c>
      <c r="AA192" s="123">
        <v>3.7356272476508359</v>
      </c>
      <c r="AC192" s="48">
        <f>Y68</f>
        <v>53.5</v>
      </c>
      <c r="AD192" s="61">
        <f t="shared" ref="AD192:AE192" si="753">Z68</f>
        <v>0.94492369034789458</v>
      </c>
      <c r="AE192" s="62">
        <f t="shared" si="753"/>
        <v>0.78158446553815208</v>
      </c>
      <c r="AG192" s="139">
        <v>-13.5</v>
      </c>
      <c r="AH192" s="140">
        <v>51.50000431408445</v>
      </c>
      <c r="AI192" s="141">
        <f t="shared" si="729"/>
        <v>4.1869919269493572</v>
      </c>
      <c r="AK192" s="48">
        <f>AG57</f>
        <v>54</v>
      </c>
      <c r="AL192" s="61">
        <f>AH57</f>
        <v>3.6250007207987767</v>
      </c>
      <c r="AM192" s="62">
        <f>AI57</f>
        <v>1.3302754234959988</v>
      </c>
    </row>
    <row r="193" spans="1:39">
      <c r="A193" s="118">
        <v>-34</v>
      </c>
      <c r="B193" s="119">
        <v>647.17128719193647</v>
      </c>
      <c r="C193" s="120">
        <v>4.7784903128099048</v>
      </c>
      <c r="E193" s="48">
        <f>A17</f>
        <v>54</v>
      </c>
      <c r="F193" s="61">
        <f t="shared" ref="F193:G193" si="754">B17</f>
        <v>9.2968548342817812</v>
      </c>
      <c r="G193" s="62">
        <f t="shared" si="754"/>
        <v>1.182900625697326</v>
      </c>
      <c r="I193" s="118">
        <v>-34</v>
      </c>
      <c r="J193" s="119">
        <v>609.66999999999996</v>
      </c>
      <c r="K193" s="120">
        <v>4.7655040880453985</v>
      </c>
      <c r="M193" s="48">
        <f>I17</f>
        <v>54</v>
      </c>
      <c r="N193" s="61">
        <f t="shared" ref="N193" si="755">J17</f>
        <v>9.43</v>
      </c>
      <c r="O193" s="62">
        <f t="shared" ref="O193" si="756">K17</f>
        <v>1.19579000760842</v>
      </c>
      <c r="Y193" s="121">
        <v>-9</v>
      </c>
      <c r="Z193" s="122">
        <v>15.469382043359182</v>
      </c>
      <c r="AA193" s="123">
        <v>3.7602933356846924</v>
      </c>
      <c r="AC193" s="48">
        <f>Y67</f>
        <v>54</v>
      </c>
      <c r="AD193" s="61">
        <f t="shared" ref="AD193:AE193" si="757">Z67</f>
        <v>0.92746134654404477</v>
      </c>
      <c r="AE193" s="62">
        <f t="shared" si="757"/>
        <v>0.76936316404237226</v>
      </c>
      <c r="AG193" s="139">
        <v>-14</v>
      </c>
      <c r="AH193" s="140">
        <v>52.744511737638213</v>
      </c>
      <c r="AI193" s="141">
        <f t="shared" si="729"/>
        <v>4.2031175537858747</v>
      </c>
      <c r="AK193" s="48">
        <f>AG56</f>
        <v>54.5</v>
      </c>
      <c r="AL193" s="61">
        <f>AH56</f>
        <v>3.5670960194584782</v>
      </c>
      <c r="AM193" s="62">
        <f>AI56</f>
        <v>1.3146129482471431</v>
      </c>
    </row>
    <row r="194" spans="1:39">
      <c r="A194" s="118">
        <v>-34.5</v>
      </c>
      <c r="B194" s="119">
        <v>666.99022816442118</v>
      </c>
      <c r="C194" s="120">
        <v>4.7847889483400126</v>
      </c>
      <c r="E194" s="48">
        <f>A16</f>
        <v>54.5</v>
      </c>
      <c r="F194" s="61">
        <f t="shared" ref="F194:G194" si="758">B16</f>
        <v>9.1256910758697227</v>
      </c>
      <c r="G194" s="62">
        <f t="shared" si="758"/>
        <v>1.1662019027566619</v>
      </c>
      <c r="I194" s="118">
        <v>-34.5</v>
      </c>
      <c r="J194" s="119">
        <v>628.36</v>
      </c>
      <c r="K194" s="120">
        <v>4.7721611276505254</v>
      </c>
      <c r="M194" s="48">
        <f>I16</f>
        <v>54.5</v>
      </c>
      <c r="N194" s="61">
        <f t="shared" ref="N194" si="759">J16</f>
        <v>9.2579999999999991</v>
      </c>
      <c r="O194" s="62">
        <f t="shared" ref="O194" si="760">K16</f>
        <v>1.1791227265780222</v>
      </c>
      <c r="Y194" s="121">
        <v>-9.5</v>
      </c>
      <c r="Z194" s="122">
        <v>15.882345395320179</v>
      </c>
      <c r="AA194" s="123">
        <v>3.7846925822845612</v>
      </c>
      <c r="AC194" s="48">
        <f>Y66</f>
        <v>54.5</v>
      </c>
      <c r="AD194" s="61">
        <f t="shared" ref="AD194:AE194" si="761">Z66</f>
        <v>0.91036929205713346</v>
      </c>
      <c r="AE194" s="62">
        <f t="shared" si="761"/>
        <v>0.75733224351140238</v>
      </c>
      <c r="AG194" s="139">
        <v>-14.5</v>
      </c>
      <c r="AH194" s="140">
        <v>54.023054269195875</v>
      </c>
      <c r="AI194" s="141">
        <f t="shared" si="729"/>
        <v>4.2190313228455718</v>
      </c>
      <c r="AK194" s="48">
        <f>AG55</f>
        <v>55</v>
      </c>
      <c r="AL194" s="61">
        <f>AH55</f>
        <v>3.5102700435846632</v>
      </c>
      <c r="AM194" s="62">
        <f>AI55</f>
        <v>1.2991117247325159</v>
      </c>
    </row>
    <row r="195" spans="1:39">
      <c r="A195" s="118">
        <v>-35</v>
      </c>
      <c r="B195" s="119">
        <v>687.45856721197117</v>
      </c>
      <c r="C195" s="120">
        <v>4.7909286935092332</v>
      </c>
      <c r="E195" s="48">
        <f>A15</f>
        <v>55</v>
      </c>
      <c r="F195" s="61">
        <f t="shared" ref="F195:G195" si="762">B15</f>
        <v>8.9581237471290613</v>
      </c>
      <c r="G195" s="62">
        <f t="shared" si="762"/>
        <v>1.1497119067225627</v>
      </c>
      <c r="I195" s="118">
        <v>-35</v>
      </c>
      <c r="J195" s="119">
        <v>647.66999999999996</v>
      </c>
      <c r="K195" s="120">
        <v>4.778653326840498</v>
      </c>
      <c r="M195" s="48">
        <f>I15</f>
        <v>55</v>
      </c>
      <c r="N195" s="61">
        <f t="shared" ref="N195" si="763">J15</f>
        <v>9.0890000000000004</v>
      </c>
      <c r="O195" s="62">
        <f t="shared" ref="O195" si="764">K15</f>
        <v>1.1626032899281129</v>
      </c>
      <c r="Y195" s="121">
        <v>-10</v>
      </c>
      <c r="Z195" s="122">
        <v>16.307354208359989</v>
      </c>
      <c r="AA195" s="123">
        <v>3.8088205692396229</v>
      </c>
      <c r="AC195" s="48">
        <f>Y65</f>
        <v>55</v>
      </c>
      <c r="AD195" s="61">
        <f t="shared" ref="AD195:AE195" si="765">Z65</f>
        <v>0.89363877559746929</v>
      </c>
      <c r="AE195" s="62">
        <f t="shared" si="765"/>
        <v>0.74548935050593534</v>
      </c>
      <c r="AG195" s="139">
        <v>-15</v>
      </c>
      <c r="AH195" s="140">
        <v>55.336662299491152</v>
      </c>
      <c r="AI195" s="141">
        <f t="shared" si="729"/>
        <v>4.234732870638398</v>
      </c>
      <c r="AK195" s="48">
        <f>AG54</f>
        <v>55.5</v>
      </c>
      <c r="AL195" s="61">
        <f>AH54</f>
        <v>3.4545001185947721</v>
      </c>
      <c r="AM195" s="62">
        <f>AI54</f>
        <v>1.2837712617135753</v>
      </c>
    </row>
    <row r="196" spans="1:39">
      <c r="A196" s="118">
        <v>-35.5</v>
      </c>
      <c r="B196" s="119">
        <v>708.59847131654442</v>
      </c>
      <c r="C196" s="120">
        <v>4.7969126584670203</v>
      </c>
      <c r="E196" s="48">
        <f>A14</f>
        <v>55.5</v>
      </c>
      <c r="F196" s="61">
        <f t="shared" ref="F196:G196" si="766">B14</f>
        <v>8.794068062149373</v>
      </c>
      <c r="G196" s="62">
        <f t="shared" si="766"/>
        <v>1.1334294779373211</v>
      </c>
      <c r="I196" s="118">
        <v>-35.5</v>
      </c>
      <c r="J196" s="119">
        <v>667.64</v>
      </c>
      <c r="K196" s="120">
        <v>4.7849893928100453</v>
      </c>
      <c r="M196" s="48">
        <f>I14</f>
        <v>55.5</v>
      </c>
      <c r="N196" s="61">
        <f t="shared" ref="N196" si="767">J14</f>
        <v>8.923</v>
      </c>
      <c r="O196" s="62">
        <f t="shared" ref="O196" si="768">K14</f>
        <v>1.1462374431570024</v>
      </c>
      <c r="Y196" s="121">
        <v>-10.5</v>
      </c>
      <c r="Z196" s="122">
        <v>16.744781051811092</v>
      </c>
      <c r="AA196" s="123">
        <v>3.8326731250123536</v>
      </c>
      <c r="AC196" s="48">
        <f>Y64</f>
        <v>55.5</v>
      </c>
      <c r="AD196" s="61">
        <f t="shared" ref="AD196:AE196" si="769">Z64</f>
        <v>0.8772612718118411</v>
      </c>
      <c r="AE196" s="62">
        <f t="shared" si="769"/>
        <v>0.73383212805914688</v>
      </c>
      <c r="AG196" s="139">
        <v>-15.5</v>
      </c>
      <c r="AH196" s="140">
        <v>56.68640024233742</v>
      </c>
      <c r="AI196" s="141">
        <f t="shared" si="729"/>
        <v>4.2502219370321281</v>
      </c>
      <c r="AK196" s="48">
        <f>AG53</f>
        <v>56</v>
      </c>
      <c r="AL196" s="61">
        <f>AH53</f>
        <v>3.3997640968001992</v>
      </c>
      <c r="AM196" s="62">
        <f>AI53</f>
        <v>1.2685910260211397</v>
      </c>
    </row>
    <row r="197" spans="1:39">
      <c r="A197" s="118">
        <v>-36</v>
      </c>
      <c r="B197" s="119">
        <v>730.43287552697643</v>
      </c>
      <c r="C197" s="120">
        <v>4.8027439306907258</v>
      </c>
      <c r="E197" s="48">
        <f>A13</f>
        <v>56</v>
      </c>
      <c r="F197" s="61">
        <f t="shared" ref="F197:G197" si="770">B13</f>
        <v>8.633441434086718</v>
      </c>
      <c r="G197" s="62">
        <f t="shared" si="770"/>
        <v>1.117353400785742</v>
      </c>
      <c r="I197" s="118">
        <v>-36</v>
      </c>
      <c r="J197" s="119">
        <v>688.28</v>
      </c>
      <c r="K197" s="120">
        <v>4.7911677897198857</v>
      </c>
      <c r="M197" s="48">
        <f>I13</f>
        <v>56</v>
      </c>
      <c r="N197" s="61">
        <f t="shared" ref="N197" si="771">J13</f>
        <v>8.7609999999999992</v>
      </c>
      <c r="O197" s="62">
        <f t="shared" ref="O197" si="772">K13</f>
        <v>1.1301308015789067</v>
      </c>
      <c r="Y197" s="121">
        <v>-11</v>
      </c>
      <c r="Z197" s="122">
        <v>17.195010353882978</v>
      </c>
      <c r="AA197" s="123">
        <v>3.8562463261848707</v>
      </c>
      <c r="AC197" s="48">
        <f>Y63</f>
        <v>56</v>
      </c>
      <c r="AD197" s="61">
        <f t="shared" ref="AD197:AE197" si="773">Z63</f>
        <v>0.86122847500781741</v>
      </c>
      <c r="AE197" s="62">
        <f t="shared" si="773"/>
        <v>0.72235821745339834</v>
      </c>
      <c r="AG197" s="139">
        <v>-16</v>
      </c>
      <c r="AH197" s="140">
        <v>58.073367746683218</v>
      </c>
      <c r="AI197" s="141">
        <f t="shared" si="729"/>
        <v>4.2654983636763557</v>
      </c>
      <c r="AK197" s="48">
        <f>AG52</f>
        <v>56.5</v>
      </c>
      <c r="AL197" s="61">
        <f>AH52</f>
        <v>3.3460403440612989</v>
      </c>
      <c r="AM197" s="62">
        <f>AI52</f>
        <v>1.2535704440419346</v>
      </c>
    </row>
    <row r="198" spans="1:39">
      <c r="A198" s="118">
        <v>-36.5</v>
      </c>
      <c r="B198" s="119">
        <v>752.98550911660493</v>
      </c>
      <c r="C198" s="120">
        <v>4.808425573329913</v>
      </c>
      <c r="E198" s="48">
        <f>A12</f>
        <v>56.5</v>
      </c>
      <c r="F198" s="61">
        <f t="shared" ref="F198:G198" si="774">B12</f>
        <v>8.4761634135126265</v>
      </c>
      <c r="G198" s="62">
        <f t="shared" si="774"/>
        <v>1.1014824064469799</v>
      </c>
      <c r="I198" s="118">
        <v>-36.5</v>
      </c>
      <c r="J198" s="119">
        <v>709.63</v>
      </c>
      <c r="K198" s="120">
        <v>4.7971958952449203</v>
      </c>
      <c r="M198" s="48">
        <f>I12</f>
        <v>56.5</v>
      </c>
      <c r="N198" s="61">
        <f t="shared" ref="N198" si="775">J12</f>
        <v>8.6029999999999998</v>
      </c>
      <c r="O198" s="62">
        <f t="shared" ref="O198" si="776">K12</f>
        <v>1.1142916353651271</v>
      </c>
      <c r="Y198" s="121">
        <v>-11.5</v>
      </c>
      <c r="Z198" s="122">
        <v>17.658438774977114</v>
      </c>
      <c r="AA198" s="123">
        <v>3.8795364984333971</v>
      </c>
      <c r="AC198" s="48">
        <f>Y62</f>
        <v>56.5</v>
      </c>
      <c r="AD198" s="61">
        <f t="shared" ref="AD198:AE198" si="777">Z62</f>
        <v>0.84553229306330135</v>
      </c>
      <c r="AE198" s="62">
        <f t="shared" si="777"/>
        <v>0.71106525991776248</v>
      </c>
      <c r="AG198" s="139">
        <v>-16.5</v>
      </c>
      <c r="AH198" s="140">
        <v>59.498700954864212</v>
      </c>
      <c r="AI198" s="141">
        <f t="shared" si="729"/>
        <v>4.2805620923407997</v>
      </c>
      <c r="AK198" s="48">
        <f>AG51</f>
        <v>57</v>
      </c>
      <c r="AL198" s="61">
        <f>AH51</f>
        <v>3.2933077268066335</v>
      </c>
      <c r="AM198" s="62">
        <f>AI51</f>
        <v>1.2387089031895013</v>
      </c>
    </row>
    <row r="199" spans="1:39">
      <c r="A199" s="118">
        <v>-37</v>
      </c>
      <c r="B199" s="119">
        <v>776.28092257066669</v>
      </c>
      <c r="C199" s="120">
        <v>4.813960623647457</v>
      </c>
      <c r="E199" s="48">
        <f>A11</f>
        <v>57</v>
      </c>
      <c r="F199" s="61">
        <f t="shared" ref="F199:G199" si="778">B11</f>
        <v>8.3221556286063354</v>
      </c>
      <c r="G199" s="62">
        <f t="shared" si="778"/>
        <v>1.0858151755944148</v>
      </c>
      <c r="I199" s="118">
        <v>-37</v>
      </c>
      <c r="J199" s="119">
        <v>731.7</v>
      </c>
      <c r="K199" s="120">
        <v>4.8030720756203227</v>
      </c>
      <c r="M199" s="48">
        <f>I11</f>
        <v>57</v>
      </c>
      <c r="N199" s="61">
        <f t="shared" ref="N199" si="779">J11</f>
        <v>8.4469999999999992</v>
      </c>
      <c r="O199" s="62">
        <f t="shared" ref="O199" si="780">K11</f>
        <v>1.0985252425416807</v>
      </c>
      <c r="Y199" s="121">
        <v>-12</v>
      </c>
      <c r="Z199" s="122">
        <v>18.135475591792563</v>
      </c>
      <c r="AA199" s="123">
        <v>3.9025402170374619</v>
      </c>
      <c r="AC199" s="48">
        <f>Y61</f>
        <v>57</v>
      </c>
      <c r="AD199" s="61">
        <f t="shared" ref="AD199:AE199" si="781">Z61</f>
        <v>0.83016484151547609</v>
      </c>
      <c r="AE199" s="62">
        <f t="shared" si="781"/>
        <v>0.69995089824798562</v>
      </c>
      <c r="AG199" s="139">
        <v>-17</v>
      </c>
      <c r="AH199" s="140">
        <v>60.963573808921069</v>
      </c>
      <c r="AI199" s="141">
        <f t="shared" si="729"/>
        <v>4.2954131631725359</v>
      </c>
      <c r="AK199" s="48">
        <f>AG50</f>
        <v>57.5</v>
      </c>
      <c r="AL199" s="61">
        <f>AH50</f>
        <v>3.241545599406535</v>
      </c>
      <c r="AM199" s="62">
        <f>AI50</f>
        <v>1.2240057533585111</v>
      </c>
    </row>
    <row r="200" spans="1:39">
      <c r="A200" s="118">
        <v>-37.5</v>
      </c>
      <c r="B200" s="119">
        <v>800.34451542486693</v>
      </c>
      <c r="C200" s="120">
        <v>4.8193520915553361</v>
      </c>
      <c r="E200" s="48">
        <f>A10</f>
        <v>57.5</v>
      </c>
      <c r="F200" s="61">
        <f t="shared" ref="F200:G200" si="782">B10</f>
        <v>8.1713417271322779</v>
      </c>
      <c r="G200" s="62">
        <f t="shared" si="782"/>
        <v>1.0703503410418593</v>
      </c>
      <c r="I200" s="118">
        <v>-37.5</v>
      </c>
      <c r="J200" s="119">
        <v>754.53</v>
      </c>
      <c r="K200" s="120">
        <v>4.8088027226492294</v>
      </c>
      <c r="M200" s="48">
        <f>I10</f>
        <v>57.5</v>
      </c>
      <c r="N200" s="61">
        <f t="shared" ref="N200" si="783">J10</f>
        <v>8.2949999999999999</v>
      </c>
      <c r="O200" s="62">
        <f t="shared" ref="O200" si="784">K10</f>
        <v>1.0830395613004309</v>
      </c>
      <c r="Y200" s="121">
        <v>-12.5</v>
      </c>
      <c r="Z200" s="122">
        <v>18.626543092451442</v>
      </c>
      <c r="AA200" s="123">
        <v>3.9252543069321892</v>
      </c>
      <c r="AC200" s="48">
        <f>Y60</f>
        <v>57.5</v>
      </c>
      <c r="AD200" s="61">
        <f t="shared" ref="AD200:AE200" si="785">Z60</f>
        <v>0.81511843782370907</v>
      </c>
      <c r="AE200" s="62">
        <f t="shared" si="785"/>
        <v>0.68901277835073038</v>
      </c>
      <c r="AG200" s="139">
        <v>-17.5</v>
      </c>
      <c r="AH200" s="140">
        <v>62.469199406933704</v>
      </c>
      <c r="AI200" s="141">
        <f t="shared" si="729"/>
        <v>4.3100517128768487</v>
      </c>
      <c r="AK200" s="48">
        <f>AG49</f>
        <v>58</v>
      </c>
      <c r="AL200" s="61">
        <f>AH49</f>
        <v>3.1907337918899499</v>
      </c>
      <c r="AM200" s="62">
        <f>AI49</f>
        <v>1.2094603083612023</v>
      </c>
    </row>
    <row r="201" spans="1:39">
      <c r="A201" s="118">
        <v>-38</v>
      </c>
      <c r="B201" s="119">
        <v>825.20256497681555</v>
      </c>
      <c r="C201" s="120">
        <v>4.8246029582429202</v>
      </c>
      <c r="E201" s="48">
        <f>A9</f>
        <v>58</v>
      </c>
      <c r="F201" s="61">
        <f t="shared" ref="F201:G201" si="786">B9</f>
        <v>8.02364732014669</v>
      </c>
      <c r="G201" s="62">
        <f t="shared" si="786"/>
        <v>1.0550864903345805</v>
      </c>
      <c r="I201" s="118">
        <v>-38</v>
      </c>
      <c r="J201" s="119">
        <v>778.14</v>
      </c>
      <c r="K201" s="120">
        <v>4.8143885960353403</v>
      </c>
      <c r="M201" s="48">
        <f>I9</f>
        <v>58</v>
      </c>
      <c r="N201" s="61">
        <f t="shared" ref="N201" si="787">J9</f>
        <v>8.1460000000000008</v>
      </c>
      <c r="O201" s="62">
        <f t="shared" ref="O201" si="788">K9</f>
        <v>1.0677397368007131</v>
      </c>
      <c r="Y201" s="121">
        <v>-13</v>
      </c>
      <c r="Z201" s="122">
        <v>19.132076982868764</v>
      </c>
      <c r="AA201" s="123">
        <v>3.9476758423131622</v>
      </c>
      <c r="AC201" s="48">
        <f>Y59</f>
        <v>58</v>
      </c>
      <c r="AD201" s="61">
        <f t="shared" ref="AD201:AE201" si="789">Z59</f>
        <v>0.80038559580092428</v>
      </c>
      <c r="AE201" s="62">
        <f t="shared" si="789"/>
        <v>0.67824855071381074</v>
      </c>
      <c r="AG201" s="139">
        <v>-18</v>
      </c>
      <c r="AH201" s="140">
        <v>64.016831411410308</v>
      </c>
      <c r="AI201" s="141">
        <f t="shared" si="729"/>
        <v>4.3244779728264335</v>
      </c>
      <c r="AK201" s="48">
        <f>AG48</f>
        <v>58.5</v>
      </c>
      <c r="AL201" s="61">
        <f>AH48</f>
        <v>3.1408525979949733</v>
      </c>
      <c r="AM201" s="62">
        <f>AI48</f>
        <v>1.195071847345051</v>
      </c>
    </row>
    <row r="202" spans="1:39">
      <c r="A202" s="118">
        <v>-38.5</v>
      </c>
      <c r="B202" s="119">
        <v>850.88225589209651</v>
      </c>
      <c r="C202" s="120">
        <v>4.8297161748954851</v>
      </c>
      <c r="E202" s="48">
        <f>A8</f>
        <v>58.5</v>
      </c>
      <c r="F202" s="61">
        <f t="shared" ref="F202:G202" si="790">B8</f>
        <v>7.8789999273785547</v>
      </c>
      <c r="G202" s="62">
        <f t="shared" si="790"/>
        <v>1.0400221682837638</v>
      </c>
      <c r="I202" s="118">
        <v>-38.5</v>
      </c>
      <c r="J202" s="119">
        <v>802.57</v>
      </c>
      <c r="K202" s="120">
        <v>4.8198349688314499</v>
      </c>
      <c r="M202" s="48">
        <f>I8</f>
        <v>58.5</v>
      </c>
      <c r="N202" s="61">
        <f t="shared" ref="N202" si="791">J8</f>
        <v>8</v>
      </c>
      <c r="O202" s="62">
        <f t="shared" ref="O202" si="792">K8</f>
        <v>1.0526315789473684</v>
      </c>
      <c r="Y202" s="121">
        <v>-13.5</v>
      </c>
      <c r="Z202" s="122">
        <v>19.652526804586852</v>
      </c>
      <c r="AA202" s="123">
        <v>3.96980214580458</v>
      </c>
      <c r="AC202" s="48">
        <f>Y58</f>
        <v>58.5</v>
      </c>
      <c r="AD202" s="61">
        <f t="shared" ref="AD202:AE202" si="793">Z58</f>
        <v>0.78595902020832908</v>
      </c>
      <c r="AE202" s="62">
        <f t="shared" si="793"/>
        <v>0.66765587180431196</v>
      </c>
      <c r="AG202" s="139">
        <v>-18.5</v>
      </c>
      <c r="AH202" s="140">
        <v>65.607765511848228</v>
      </c>
      <c r="AI202" s="141">
        <f t="shared" si="729"/>
        <v>4.3386922671036396</v>
      </c>
      <c r="AK202" s="48">
        <f>AG47</f>
        <v>59</v>
      </c>
      <c r="AL202" s="61">
        <f>AH47</f>
        <v>3.0918827635433628</v>
      </c>
      <c r="AM202" s="62">
        <f>AI47</f>
        <v>1.180839616190748</v>
      </c>
    </row>
    <row r="203" spans="1:39">
      <c r="A203" s="118">
        <v>-39</v>
      </c>
      <c r="B203" s="119">
        <v>877.4117107269177</v>
      </c>
      <c r="C203" s="120">
        <v>4.8346946615006363</v>
      </c>
      <c r="E203" s="48">
        <f>A7</f>
        <v>59</v>
      </c>
      <c r="F203" s="61">
        <f t="shared" ref="F203:G203" si="794">B7</f>
        <v>7.7373289242327132</v>
      </c>
      <c r="G203" s="62">
        <f t="shared" si="794"/>
        <v>1.0251558794433184</v>
      </c>
      <c r="I203" s="118">
        <v>-39</v>
      </c>
      <c r="J203" s="119">
        <v>827.84</v>
      </c>
      <c r="K203" s="120">
        <v>4.8251422176629672</v>
      </c>
      <c r="M203" s="48">
        <f>I7</f>
        <v>59</v>
      </c>
      <c r="N203" s="61">
        <f t="shared" ref="N203" si="795">J7</f>
        <v>7.8570000000000002</v>
      </c>
      <c r="O203" s="62">
        <f t="shared" ref="O203" si="796">K7</f>
        <v>1.0377208970599889</v>
      </c>
      <c r="Y203" s="121">
        <v>-14</v>
      </c>
      <c r="Z203" s="122">
        <v>20.188356364295206</v>
      </c>
      <c r="AA203" s="123">
        <v>3.9916307872027774</v>
      </c>
      <c r="AC203" s="48">
        <f>Y57</f>
        <v>59</v>
      </c>
      <c r="AD203" s="61">
        <f t="shared" ref="AD203:AE203" si="797">Z57</f>
        <v>0.77183160150840635</v>
      </c>
      <c r="AE203" s="62">
        <f t="shared" si="797"/>
        <v>0.65723240539641126</v>
      </c>
      <c r="AG203" s="139">
        <v>-19</v>
      </c>
      <c r="AH203" s="140">
        <v>67.243340943685581</v>
      </c>
      <c r="AI203" s="141">
        <f t="shared" si="729"/>
        <v>4.352695010480546</v>
      </c>
      <c r="AK203" s="48">
        <f>AG46</f>
        <v>59.5</v>
      </c>
      <c r="AL203" s="61">
        <f>AH46</f>
        <v>3.0438054751294197</v>
      </c>
      <c r="AM203" s="62">
        <f>AI46</f>
        <v>1.1667628288895573</v>
      </c>
    </row>
    <row r="204" spans="1:39">
      <c r="A204" s="118">
        <v>-39.5</v>
      </c>
      <c r="B204" s="119">
        <v>904.82002138938697</v>
      </c>
      <c r="C204" s="120">
        <v>4.8395413057402639</v>
      </c>
      <c r="E204" s="48">
        <f>A6</f>
        <v>59.5</v>
      </c>
      <c r="F204" s="61">
        <f t="shared" ref="F204:G204" si="798">B6</f>
        <v>7.5985654903640008</v>
      </c>
      <c r="G204" s="62">
        <f t="shared" si="798"/>
        <v>1.0104860905280295</v>
      </c>
      <c r="I204" s="118">
        <v>-39.5</v>
      </c>
      <c r="J204" s="119">
        <v>853.98</v>
      </c>
      <c r="K204" s="120">
        <v>4.8303129030068552</v>
      </c>
      <c r="M204" s="48">
        <f>I6</f>
        <v>59.5</v>
      </c>
      <c r="N204" s="61">
        <f t="shared" ref="N204" si="799">J6</f>
        <v>7.7169999999999996</v>
      </c>
      <c r="O204" s="62">
        <f t="shared" ref="O204" si="800">K6</f>
        <v>1.0230134952408729</v>
      </c>
      <c r="Y204" s="121">
        <v>-14.5</v>
      </c>
      <c r="Z204" s="122">
        <v>20.740044175246581</v>
      </c>
      <c r="AA204" s="123">
        <v>4.0131595818080035</v>
      </c>
      <c r="AC204" s="48">
        <f>Y56</f>
        <v>59.5</v>
      </c>
      <c r="AD204" s="61">
        <f t="shared" ref="AD204:AE204" si="801">Z56</f>
        <v>0.75799641077130453</v>
      </c>
      <c r="AE204" s="62">
        <f t="shared" si="801"/>
        <v>0.646975823830781</v>
      </c>
      <c r="AG204" s="139">
        <v>-19.5</v>
      </c>
      <c r="AH204" s="140">
        <v>68.92494206594705</v>
      </c>
      <c r="AI204" s="141">
        <f t="shared" si="729"/>
        <v>4.366486706341556</v>
      </c>
      <c r="AK204" s="48">
        <f>AG45</f>
        <v>60</v>
      </c>
      <c r="AL204" s="61">
        <f>AH45</f>
        <v>2.9966023491143678</v>
      </c>
      <c r="AM204" s="62">
        <f>AI45</f>
        <v>1.1528406688993476</v>
      </c>
    </row>
    <row r="205" spans="1:39">
      <c r="A205" s="118">
        <v>-40</v>
      </c>
      <c r="B205" s="119">
        <v>933.13728156145191</v>
      </c>
      <c r="C205" s="120">
        <v>4.8442589619656111</v>
      </c>
      <c r="E205" s="48">
        <f>A5</f>
        <v>60</v>
      </c>
      <c r="F205" s="61">
        <f t="shared" ref="F205:G205" si="802">B5</f>
        <v>7.4626425597732222</v>
      </c>
      <c r="G205" s="62">
        <f t="shared" si="802"/>
        <v>0.99601123277225601</v>
      </c>
      <c r="I205" s="118">
        <v>-40</v>
      </c>
      <c r="J205" s="119">
        <v>881.03</v>
      </c>
      <c r="K205" s="120">
        <v>4.8353511958991469</v>
      </c>
      <c r="M205" s="48">
        <f>I5</f>
        <v>60</v>
      </c>
      <c r="N205" s="61">
        <f t="shared" ref="N205" si="803">J5</f>
        <v>7.5789999999999997</v>
      </c>
      <c r="O205" s="62">
        <f t="shared" ref="O205" si="804">K5</f>
        <v>1.0084089518081907</v>
      </c>
      <c r="Y205" s="121">
        <v>-15</v>
      </c>
      <c r="Z205" s="122">
        <v>21.308083910779253</v>
      </c>
      <c r="AA205" s="123">
        <v>4.034386588358597</v>
      </c>
      <c r="AC205" s="48">
        <f>Y55</f>
        <v>60</v>
      </c>
      <c r="AD205" s="61">
        <f t="shared" ref="AD205:AE205" si="805">Z55</f>
        <v>0.74444669472990876</v>
      </c>
      <c r="AE205" s="62">
        <f t="shared" si="805"/>
        <v>0.63688380920746179</v>
      </c>
      <c r="AG205" s="139">
        <v>-20</v>
      </c>
      <c r="AH205" s="140">
        <v>70.653999999999058</v>
      </c>
      <c r="AI205" s="141">
        <f t="shared" si="729"/>
        <v>4.3800679445532698</v>
      </c>
      <c r="AK205" s="48">
        <f>AG44</f>
        <v>60.5</v>
      </c>
      <c r="AL205" s="61">
        <f>AH44</f>
        <v>2.9502554209172978</v>
      </c>
      <c r="AM205" s="62">
        <f>AI44</f>
        <v>1.1390722904785473</v>
      </c>
    </row>
    <row r="206" spans="1:39">
      <c r="Y206" s="121">
        <v>-15.5</v>
      </c>
      <c r="Z206" s="122">
        <v>21.892984870145256</v>
      </c>
      <c r="AA206" s="123">
        <v>4.0553101065824153</v>
      </c>
      <c r="AC206" s="48">
        <f>Y54</f>
        <v>60.5</v>
      </c>
      <c r="AD206" s="61">
        <f t="shared" ref="AD206:AE206" si="806">Z54</f>
        <v>0.7311758709790519</v>
      </c>
      <c r="AE206" s="62">
        <f t="shared" si="806"/>
        <v>0.62695405451412656</v>
      </c>
      <c r="AG206" s="139">
        <v>-20.5</v>
      </c>
      <c r="AH206" s="140">
        <v>72.431994331922766</v>
      </c>
      <c r="AI206" s="141">
        <f t="shared" si="729"/>
        <v>4.3934393992862919</v>
      </c>
      <c r="AK206" s="48">
        <f>AG43</f>
        <v>61</v>
      </c>
      <c r="AL206" s="61">
        <f>AH43</f>
        <v>2.9047471345939386</v>
      </c>
      <c r="AM206" s="62">
        <f>AI43</f>
        <v>1.1254568199973256</v>
      </c>
    </row>
    <row r="207" spans="1:39">
      <c r="Y207" s="121">
        <v>-16</v>
      </c>
      <c r="Z207" s="122">
        <v>22.495272456838237</v>
      </c>
      <c r="AA207" s="123">
        <v>4.0759286743812897</v>
      </c>
      <c r="AC207" s="48">
        <f>Y53</f>
        <v>61</v>
      </c>
      <c r="AD207" s="61">
        <f t="shared" ref="AD207:AE207" si="807">Z53</f>
        <v>0.71817752331438789</v>
      </c>
      <c r="AE207" s="62">
        <f t="shared" si="807"/>
        <v>0.61718426469159227</v>
      </c>
      <c r="AG207" s="139">
        <v>-21</v>
      </c>
      <c r="AH207" s="140">
        <v>74.260454881128183</v>
      </c>
      <c r="AI207" s="141">
        <f t="shared" si="729"/>
        <v>4.4066018267936204</v>
      </c>
      <c r="AK207" s="48">
        <f>AG42</f>
        <v>61.5</v>
      </c>
      <c r="AL207" s="61">
        <f>AH42</f>
        <v>2.8600603326955416</v>
      </c>
      <c r="AM207" s="62">
        <f>AI42</f>
        <v>1.1119933572255865</v>
      </c>
    </row>
    <row r="208" spans="1:39">
      <c r="Y208" s="121">
        <v>-16.5</v>
      </c>
      <c r="Z208" s="122">
        <v>23.115488669607398</v>
      </c>
      <c r="AA208" s="123">
        <v>4.0962410646650405</v>
      </c>
      <c r="AC208" s="48">
        <f>Y52</f>
        <v>61.5</v>
      </c>
      <c r="AD208" s="61">
        <f t="shared" ref="AD208:AE208" si="808">Z52</f>
        <v>0.70544539720668098</v>
      </c>
      <c r="AE208" s="62">
        <f t="shared" si="808"/>
        <v>0.60757215763850747</v>
      </c>
      <c r="AG208" s="139">
        <v>-21.5</v>
      </c>
      <c r="AH208" s="140">
        <v>76.140963537953226</v>
      </c>
      <c r="AI208" s="141">
        <f t="shared" si="729"/>
        <v>4.419556063150254</v>
      </c>
      <c r="AK208" s="48">
        <f>AG41</f>
        <v>62</v>
      </c>
      <c r="AL208" s="61">
        <f>AH41</f>
        <v>2.8161782463990161</v>
      </c>
      <c r="AM208" s="62">
        <f>AI41</f>
        <v>1.0986809765970142</v>
      </c>
    </row>
    <row r="209" spans="25:39">
      <c r="Y209" s="121">
        <v>-17</v>
      </c>
      <c r="Z209" s="122">
        <v>23.75419260632837</v>
      </c>
      <c r="AA209" s="123">
        <v>4.1162462818520433</v>
      </c>
      <c r="AC209" s="48">
        <f>Y51</f>
        <v>62</v>
      </c>
      <c r="AD209" s="61">
        <f t="shared" ref="AD209:AE209" si="809">Z51</f>
        <v>0.69297339540738667</v>
      </c>
      <c r="AE209" s="62">
        <f t="shared" si="809"/>
        <v>0.59811546515712399</v>
      </c>
      <c r="AG209" s="139">
        <v>-22</v>
      </c>
      <c r="AH209" s="140">
        <v>78.075156173089269</v>
      </c>
      <c r="AI209" s="141">
        <f t="shared" si="729"/>
        <v>4.4323030219584538</v>
      </c>
      <c r="AK209" s="48">
        <f>AG40</f>
        <v>62.5</v>
      </c>
      <c r="AL209" s="61">
        <f>AH40</f>
        <v>2.7730844859012644</v>
      </c>
      <c r="AM209" s="62">
        <f>AI40</f>
        <v>1.085518728448932</v>
      </c>
    </row>
    <row r="210" spans="25:39">
      <c r="Y210" s="121">
        <v>-17.5</v>
      </c>
      <c r="Z210" s="122">
        <v>24.411960980896815</v>
      </c>
      <c r="AA210" s="123">
        <v>4.1359435580540982</v>
      </c>
      <c r="AC210" s="48">
        <f>Y50</f>
        <v>62.5</v>
      </c>
      <c r="AD210" s="61">
        <f t="shared" ref="AD210:AE210" si="810">Z50</f>
        <v>0.68075557368145334</v>
      </c>
      <c r="AE210" s="62">
        <f t="shared" si="810"/>
        <v>0.58881193384199493</v>
      </c>
      <c r="AG210" s="139">
        <v>-22.5</v>
      </c>
      <c r="AH210" s="140">
        <v>80.064724621830223</v>
      </c>
      <c r="AI210" s="141">
        <f t="shared" si="729"/>
        <v>4.4448436920232277</v>
      </c>
      <c r="AK210" s="48">
        <f>AG39</f>
        <v>63</v>
      </c>
      <c r="AL210" s="61">
        <f>AH39</f>
        <v>2.7307630310697291</v>
      </c>
      <c r="AM210" s="62">
        <f>AI39</f>
        <v>1.0725056402374458</v>
      </c>
    </row>
    <row r="211" spans="25:39">
      <c r="Y211" s="121">
        <v>-18</v>
      </c>
      <c r="Z211" s="122">
        <v>25.089388653292517</v>
      </c>
      <c r="AA211" s="123">
        <v>4.1553323489636504</v>
      </c>
      <c r="AC211" s="48">
        <f>Y49</f>
        <v>63</v>
      </c>
      <c r="AD211" s="61">
        <f t="shared" ref="AD211:AE211" si="811">Z49</f>
        <v>0.66878613666353703</v>
      </c>
      <c r="AE211" s="62">
        <f t="shared" si="811"/>
        <v>0.57965932591352698</v>
      </c>
      <c r="AG211" s="139">
        <v>-23</v>
      </c>
      <c r="AH211" s="140">
        <v>82.111418746246883</v>
      </c>
      <c r="AI211" s="141">
        <f t="shared" si="729"/>
        <v>4.4571791350023338</v>
      </c>
      <c r="AK211" s="48">
        <f>AG38</f>
        <v>63.5</v>
      </c>
      <c r="AL211" s="61">
        <f>AH38</f>
        <v>2.6891982223419402</v>
      </c>
      <c r="AM211" s="62">
        <f>AI38</f>
        <v>1.0596407177275606</v>
      </c>
    </row>
    <row r="212" spans="25:39">
      <c r="Y212" s="121">
        <v>-18.5</v>
      </c>
      <c r="Z212" s="122">
        <v>25.78708917294901</v>
      </c>
      <c r="AA212" s="123">
        <v>4.1744123294618198</v>
      </c>
      <c r="AC212" s="48">
        <f>Y48</f>
        <v>63.5</v>
      </c>
      <c r="AD212" s="61">
        <f t="shared" ref="AD212:AE212" si="812">Z48</f>
        <v>0.65705943383378795</v>
      </c>
      <c r="AE212" s="62">
        <f t="shared" si="812"/>
        <v>0.57065541999818614</v>
      </c>
      <c r="AG212" s="139">
        <v>-23.5</v>
      </c>
      <c r="AH212" s="140">
        <v>84.217048578535781</v>
      </c>
      <c r="AI212" s="141">
        <f t="shared" si="729"/>
        <v>4.4693104830351178</v>
      </c>
      <c r="AK212" s="48">
        <f>AG37</f>
        <v>64</v>
      </c>
      <c r="AL212" s="61">
        <f>AH37</f>
        <v>2.6483747518670855</v>
      </c>
      <c r="AM212" s="62">
        <f>AI37</f>
        <v>1.0469229461580218</v>
      </c>
    </row>
    <row r="213" spans="25:39">
      <c r="Y213" s="121">
        <v>-19</v>
      </c>
      <c r="Z213" s="122">
        <v>26.505695335547038</v>
      </c>
      <c r="AA213" s="123">
        <v>4.1931833889659735</v>
      </c>
      <c r="AC213" s="48">
        <f>Y47</f>
        <v>64</v>
      </c>
      <c r="AD213" s="61">
        <f t="shared" ref="AD213:AE213" si="813">Z47</f>
        <v>0.64556995560963581</v>
      </c>
      <c r="AE213" s="62">
        <f t="shared" si="813"/>
        <v>0.56179801185723921</v>
      </c>
      <c r="AG213" s="139">
        <v>-24</v>
      </c>
      <c r="AH213" s="140">
        <v>86.383486548941931</v>
      </c>
      <c r="AI213" s="141">
        <f t="shared" si="729"/>
        <v>4.4812389363544058</v>
      </c>
      <c r="AK213" s="48">
        <f>AG36</f>
        <v>64.5</v>
      </c>
      <c r="AL213" s="61">
        <f>AH36</f>
        <v>2.6082776548824351</v>
      </c>
      <c r="AM213" s="62">
        <f>AI36</f>
        <v>1.0343512913805497</v>
      </c>
    </row>
    <row r="214" spans="25:39" ht="13.5" thickBot="1">
      <c r="Y214" s="127">
        <v>-19.5</v>
      </c>
      <c r="Z214" s="128">
        <v>27.245859753331654</v>
      </c>
      <c r="AA214" s="129">
        <v>4.2116456265357591</v>
      </c>
      <c r="AC214" s="48">
        <f>Y46</f>
        <v>64.5</v>
      </c>
      <c r="AD214" s="61">
        <f t="shared" ref="AD214:AE214" si="814">Z46</f>
        <v>0.63431232955000794</v>
      </c>
      <c r="AE214" s="62">
        <f t="shared" si="814"/>
        <v>0.55308491506581814</v>
      </c>
      <c r="AG214" s="139">
        <v>-24.5</v>
      </c>
      <c r="AH214" s="140">
        <v>88.612669801779248</v>
      </c>
      <c r="AI214" s="141">
        <f t="shared" si="729"/>
        <v>4.4929657608854452</v>
      </c>
      <c r="AK214" s="48">
        <f>AG35</f>
        <v>65</v>
      </c>
      <c r="AL214" s="61">
        <f>AH35</f>
        <v>2.5688923013183036</v>
      </c>
      <c r="AM214" s="62">
        <f>AI35</f>
        <v>1.0219247009733954</v>
      </c>
    </row>
    <row r="215" spans="25:39" ht="13.5" thickTop="1">
      <c r="Y215" s="115">
        <v>-20</v>
      </c>
      <c r="Z215" s="116">
        <v>28.008255439031274</v>
      </c>
      <c r="AA215" s="117">
        <v>4.2297993457565841</v>
      </c>
      <c r="AC215" s="48">
        <f>Y45</f>
        <v>65</v>
      </c>
      <c r="AD215" s="61">
        <f t="shared" ref="AD215:AE215" si="815">Z45</f>
        <v>0.62328131666858311</v>
      </c>
      <c r="AE215" s="62">
        <f t="shared" si="815"/>
        <v>0.54451396164410781</v>
      </c>
      <c r="AG215" s="139">
        <v>-25</v>
      </c>
      <c r="AH215" s="140">
        <v>90.906602603266563</v>
      </c>
      <c r="AI215" s="141">
        <f t="shared" si="729"/>
        <v>4.5044922858359975</v>
      </c>
      <c r="AK215" s="48">
        <f>AG34</f>
        <v>65.5</v>
      </c>
      <c r="AL215" s="61">
        <f>AH34</f>
        <v>2.5302043876246967</v>
      </c>
      <c r="AM215" s="62">
        <f>AI34</f>
        <v>1.009642105328953</v>
      </c>
    </row>
    <row r="216" spans="25:39">
      <c r="Y216" s="121">
        <v>-20.5</v>
      </c>
      <c r="Z216" s="122">
        <v>28.793576403436553</v>
      </c>
      <c r="AA216" s="123">
        <v>4.2476450494196154</v>
      </c>
      <c r="AC216" s="48">
        <f>Y44</f>
        <v>65.5</v>
      </c>
      <c r="AD216" s="61">
        <f t="shared" ref="AD216:AE216" si="816">Z44</f>
        <v>0.61247180785277322</v>
      </c>
      <c r="AE216" s="62">
        <f t="shared" si="816"/>
        <v>0.53608300264241626</v>
      </c>
      <c r="AG216" s="139">
        <v>-25.5</v>
      </c>
      <c r="AH216" s="140">
        <v>93.26735884502294</v>
      </c>
      <c r="AI216" s="141">
        <f t="shared" si="729"/>
        <v>4.5158199012813256</v>
      </c>
      <c r="AK216" s="48">
        <f>AG33</f>
        <v>66</v>
      </c>
      <c r="AL216" s="61">
        <f>AH33</f>
        <v>2.4921999288137582</v>
      </c>
      <c r="AM216" s="62">
        <f>AI33</f>
        <v>0.99750241871545764</v>
      </c>
    </row>
    <row r="217" spans="25:39">
      <c r="Y217" s="121">
        <v>-21</v>
      </c>
      <c r="Z217" s="122">
        <v>29.602538266668958</v>
      </c>
      <c r="AA217" s="123">
        <v>4.265183434017211</v>
      </c>
      <c r="AC217" s="48">
        <f>Y43</f>
        <v>66</v>
      </c>
      <c r="AD217" s="61">
        <f t="shared" ref="AD217:AE217" si="817">Z43</f>
        <v>0.60187882038523421</v>
      </c>
      <c r="AE217" s="62">
        <f t="shared" si="817"/>
        <v>0.52778990868186293</v>
      </c>
      <c r="AG217" s="139">
        <v>-26</v>
      </c>
      <c r="AH217" s="140">
        <v>95.69708464726375</v>
      </c>
      <c r="AI217" s="141">
        <f t="shared" si="729"/>
        <v>4.5269500557478777</v>
      </c>
      <c r="AK217" s="48">
        <f>AG32</f>
        <v>66.5</v>
      </c>
      <c r="AL217" s="61">
        <f>AH32</f>
        <v>2.4548652507114452</v>
      </c>
      <c r="AM217" s="62">
        <f>AI32</f>
        <v>0.9855045403125573</v>
      </c>
    </row>
    <row r="218" spans="25:39">
      <c r="Y218" s="121">
        <v>-21.5</v>
      </c>
      <c r="Z218" s="122">
        <v>30.435878883146444</v>
      </c>
      <c r="AA218" s="123">
        <v>4.2824153840727472</v>
      </c>
      <c r="AC218" s="48">
        <f>Y42</f>
        <v>66.5</v>
      </c>
      <c r="AD218" s="61">
        <f t="shared" ref="AD218:AE218" si="818">Z42</f>
        <v>0.59149749456481371</v>
      </c>
      <c r="AE218" s="62">
        <f t="shared" si="818"/>
        <v>0.51963257045239297</v>
      </c>
      <c r="AG218" s="139">
        <v>-26.5</v>
      </c>
      <c r="AH218" s="140">
        <v>98.19800106590624</v>
      </c>
      <c r="AI218" s="141">
        <f t="shared" si="729"/>
        <v>4.5378842537992572</v>
      </c>
      <c r="AK218" s="48">
        <f>AG31</f>
        <v>67</v>
      </c>
      <c r="AL218" s="61">
        <f>AH31</f>
        <v>2.4181869824130908</v>
      </c>
      <c r="AM218" s="62">
        <f>AI31</f>
        <v>0.97364735522092727</v>
      </c>
    </row>
    <row r="219" spans="25:39">
      <c r="Y219" s="121">
        <v>-22</v>
      </c>
      <c r="Z219" s="122">
        <v>31.294358980216025</v>
      </c>
      <c r="AA219" s="123">
        <v>4.2993419663233583</v>
      </c>
      <c r="AC219" s="48">
        <f>Y41</f>
        <v>67</v>
      </c>
      <c r="AD219" s="61">
        <f t="shared" ref="AD219:AE219" si="819">Z41</f>
        <v>0.58132309042390307</v>
      </c>
      <c r="AE219" s="62">
        <f t="shared" si="819"/>
        <v>0.5116088991697606</v>
      </c>
      <c r="AG219" s="139">
        <v>-27</v>
      </c>
      <c r="AH219" s="140">
        <v>100.77240690798193</v>
      </c>
      <c r="AI219" s="141">
        <f t="shared" si="729"/>
        <v>4.5486240536279512</v>
      </c>
      <c r="AK219" s="48">
        <f>AG30</f>
        <v>67.5</v>
      </c>
      <c r="AL219" s="61">
        <f>AH30</f>
        <v>2.3821520489366592</v>
      </c>
      <c r="AM219" s="62">
        <f>AI30</f>
        <v>0.96192973544579874</v>
      </c>
    </row>
    <row r="220" spans="25:39">
      <c r="Y220" s="121">
        <v>-22.5</v>
      </c>
      <c r="Z220" s="122">
        <v>32.178762810397288</v>
      </c>
      <c r="AA220" s="123">
        <v>4.3159644237740666</v>
      </c>
      <c r="AC220" s="48">
        <f>Y40</f>
        <v>67.5</v>
      </c>
      <c r="AD220" s="61">
        <f t="shared" ref="AD220:AE220" si="820">Z40</f>
        <v>0.57135098453933164</v>
      </c>
      <c r="AE220" s="62">
        <f t="shared" si="820"/>
        <v>0.50371682699315512</v>
      </c>
      <c r="AG220" s="139">
        <v>-27.5</v>
      </c>
      <c r="AH220" s="140">
        <v>103.42268165995598</v>
      </c>
      <c r="AI220" s="141">
        <f t="shared" si="729"/>
        <v>4.5591710646561756</v>
      </c>
      <c r="AK220" s="48">
        <f>AG29</f>
        <v>68</v>
      </c>
      <c r="AL220" s="61">
        <f>AH29</f>
        <v>2.346747664068221</v>
      </c>
      <c r="AM220" s="62">
        <f>AI29</f>
        <v>0.95035054085448678</v>
      </c>
    </row>
    <row r="221" spans="25:39">
      <c r="Y221" s="121">
        <v>-23</v>
      </c>
      <c r="Z221" s="122">
        <v>33.089898817140934</v>
      </c>
      <c r="AA221" s="123">
        <v>4.3322841696413521</v>
      </c>
      <c r="AC221" s="48">
        <f>Y39</f>
        <v>68</v>
      </c>
      <c r="AD221" s="61">
        <f t="shared" ref="AD221:AE221" si="821">Z39</f>
        <v>0.56157666693396469</v>
      </c>
      <c r="AE221" s="62">
        <f t="shared" si="821"/>
        <v>0.49595430740504959</v>
      </c>
      <c r="AG221" s="139">
        <v>-28</v>
      </c>
      <c r="AH221" s="140">
        <v>106.15128853374992</v>
      </c>
      <c r="AI221" s="141">
        <f t="shared" si="729"/>
        <v>4.5695269451490281</v>
      </c>
      <c r="AK221" s="48">
        <f>AG28</f>
        <v>68.5</v>
      </c>
      <c r="AL221" s="61">
        <f>AH28</f>
        <v>2.3119613233945526</v>
      </c>
      <c r="AM221" s="62">
        <f>AI28</f>
        <v>0.93890862010810705</v>
      </c>
    </row>
    <row r="222" spans="25:39">
      <c r="Y222" s="121">
        <v>-23.5</v>
      </c>
      <c r="Z222" s="122">
        <v>34.028600313969768</v>
      </c>
      <c r="AA222" s="123">
        <v>4.3483027812038566</v>
      </c>
      <c r="AC222" s="48">
        <f>Y38</f>
        <v>68.5</v>
      </c>
      <c r="AD222" s="61">
        <f t="shared" ref="AD222:AE222" si="822">Z38</f>
        <v>0.55199573806627567</v>
      </c>
      <c r="AE222" s="62">
        <f t="shared" si="822"/>
        <v>0.48831931555483682</v>
      </c>
      <c r="AG222" s="139">
        <v>-28.5</v>
      </c>
      <c r="AH222" s="140">
        <v>108.96077763548658</v>
      </c>
      <c r="AI222" s="141">
        <f t="shared" si="729"/>
        <v>4.5796933998430358</v>
      </c>
      <c r="AK222" s="48">
        <f>AG27</f>
        <v>69</v>
      </c>
      <c r="AL222" s="61">
        <f>AH27</f>
        <v>2.2777807975172486</v>
      </c>
      <c r="AM222" s="62">
        <f>AI27</f>
        <v>0.92760281156748214</v>
      </c>
    </row>
    <row r="223" spans="25:39">
      <c r="Y223" s="121">
        <v>-24</v>
      </c>
      <c r="Z223" s="122">
        <v>34.995726176822409</v>
      </c>
      <c r="AA223" s="123">
        <v>4.3640219935774489</v>
      </c>
      <c r="AC223" s="48">
        <f>Y37</f>
        <v>69</v>
      </c>
      <c r="AD223" s="61">
        <f t="shared" ref="AD223:AE223" si="823">Z37</f>
        <v>0.54260390590525565</v>
      </c>
      <c r="AE223" s="62">
        <f t="shared" si="823"/>
        <v>0.48080984856778147</v>
      </c>
      <c r="AG223" s="139">
        <v>-29</v>
      </c>
      <c r="AH223" s="140">
        <v>111.85378926219936</v>
      </c>
      <c r="AI223" s="141">
        <f t="shared" si="729"/>
        <v>4.5896721775929974</v>
      </c>
      <c r="AK223" s="48">
        <f>AG26</f>
        <v>69.5</v>
      </c>
      <c r="AL223" s="61">
        <f>AH26</f>
        <v>2.2441941254435318</v>
      </c>
      <c r="AM223" s="62">
        <f>AI26</f>
        <v>0.91643194417347518</v>
      </c>
    </row>
    <row r="224" spans="25:39">
      <c r="Y224" s="121">
        <v>-24.5</v>
      </c>
      <c r="Z224" s="122">
        <v>35.992161549378146</v>
      </c>
      <c r="AA224" s="123">
        <v>4.3794436934314573</v>
      </c>
      <c r="AC224" s="48">
        <f>Y36</f>
        <v>69.5</v>
      </c>
      <c r="AD224" s="61">
        <f t="shared" ref="AD224:AE224" si="824">Z36</f>
        <v>0.53339698308811667</v>
      </c>
      <c r="AE224" s="62">
        <f t="shared" si="824"/>
        <v>0.47342392582079224</v>
      </c>
      <c r="AG224" s="139">
        <v>-29.5</v>
      </c>
      <c r="AH224" s="140">
        <v>114.83305733198102</v>
      </c>
      <c r="AI224" s="141">
        <f t="shared" si="729"/>
        <v>4.5994650690399261</v>
      </c>
      <c r="AK224" s="48">
        <f>AG25</f>
        <v>70</v>
      </c>
      <c r="AL224" s="61">
        <f>AH25</f>
        <v>2.2111896081486195</v>
      </c>
      <c r="AM224" s="62">
        <f>AI25</f>
        <v>0.90539483830186207</v>
      </c>
    </row>
    <row r="225" spans="25:39">
      <c r="Y225" s="121">
        <v>-25</v>
      </c>
      <c r="Z225" s="122">
        <v>37.018818561091258</v>
      </c>
      <c r="AA225" s="123">
        <v>4.3945699126623525</v>
      </c>
      <c r="AC225" s="48">
        <f>Y35</f>
        <v>70</v>
      </c>
      <c r="AD225" s="61">
        <f t="shared" ref="AD225:AE225" si="825">Z35</f>
        <v>0.52437088415829236</v>
      </c>
      <c r="AE225" s="62">
        <f t="shared" si="825"/>
        <v>0.46615958918645034</v>
      </c>
      <c r="AG225" s="139">
        <v>-30</v>
      </c>
      <c r="AH225" s="140">
        <v>117.90141295330618</v>
      </c>
      <c r="AI225" s="141">
        <f t="shared" si="729"/>
        <v>4.6090739043027318</v>
      </c>
      <c r="AK225" s="48">
        <f>AG24</f>
        <v>70.5</v>
      </c>
      <c r="AL225" s="61">
        <f>AH24</f>
        <v>2.1787558023050799</v>
      </c>
      <c r="AM225" s="62">
        <f>AI24</f>
        <v>0.89449030659302065</v>
      </c>
    </row>
    <row r="226" spans="25:39">
      <c r="Y226" s="121">
        <v>-25.5</v>
      </c>
      <c r="Z226" s="122">
        <v>38.076637057603293</v>
      </c>
      <c r="AA226" s="123">
        <v>4.4094028220405486</v>
      </c>
      <c r="AC226" s="48">
        <f>Y34</f>
        <v>70.5</v>
      </c>
      <c r="AD226" s="61">
        <f t="shared" ref="AD226:AE226" si="826">Z34</f>
        <v>0.51552162288134307</v>
      </c>
      <c r="AE226" s="62">
        <f t="shared" si="826"/>
        <v>0.45901490324671501</v>
      </c>
      <c r="AG226" s="139">
        <v>-30.5</v>
      </c>
      <c r="AH226" s="140">
        <v>121.06178813949494</v>
      </c>
      <c r="AI226" s="141">
        <f t="shared" si="729"/>
        <v>4.6185005506961136</v>
      </c>
      <c r="AK226" s="48">
        <f>AG23</f>
        <v>71</v>
      </c>
      <c r="AL226" s="61">
        <f>AH23</f>
        <v>2.1468815141744479</v>
      </c>
      <c r="AM226" s="62">
        <f>AI23</f>
        <v>0.88371715475663748</v>
      </c>
    </row>
    <row r="227" spans="25:39">
      <c r="Y227" s="121">
        <v>-26</v>
      </c>
      <c r="Z227" s="122">
        <v>39.166585343148071</v>
      </c>
      <c r="AA227" s="123">
        <v>4.4239447248454393</v>
      </c>
      <c r="AC227" s="48">
        <f>Y33</f>
        <v>71</v>
      </c>
      <c r="AD227" s="61">
        <f t="shared" ref="AD227:AE227" si="827">Z33</f>
        <v>0.5068453096364478</v>
      </c>
      <c r="AE227" s="62">
        <f t="shared" si="827"/>
        <v>0.45198795547768739</v>
      </c>
      <c r="AG227" s="139">
        <v>-31</v>
      </c>
      <c r="AH227" s="140">
        <v>124.31721967459063</v>
      </c>
      <c r="AI227" s="141">
        <f t="shared" si="729"/>
        <v>4.6277469104770441</v>
      </c>
      <c r="AK227" s="48">
        <f>AG22</f>
        <v>71.5</v>
      </c>
      <c r="AL227" s="61">
        <f>AH22</f>
        <v>2.1155557936565361</v>
      </c>
      <c r="AM227" s="62">
        <f>AI22</f>
        <v>0.87307418235166689</v>
      </c>
    </row>
    <row r="228" spans="25:39">
      <c r="Y228" s="121">
        <v>-26.5</v>
      </c>
      <c r="Z228" s="122">
        <v>40.289660934501242</v>
      </c>
      <c r="AA228" s="123">
        <v>4.4381980505032335</v>
      </c>
      <c r="AC228" s="48">
        <f>Y32</f>
        <v>71.5</v>
      </c>
      <c r="AD228" s="61">
        <f t="shared" ref="AD228:AE228" si="828">Z32</f>
        <v>0.49833814888122957</v>
      </c>
      <c r="AE228" s="62">
        <f t="shared" si="828"/>
        <v>0.44507685640676903</v>
      </c>
      <c r="AG228" s="139">
        <v>-31.5</v>
      </c>
      <c r="AH228" s="140">
        <v>127.67085313718384</v>
      </c>
      <c r="AI228" s="141">
        <f t="shared" si="729"/>
        <v>4.6368149186220498</v>
      </c>
      <c r="AK228" s="48">
        <f>AG21</f>
        <v>72</v>
      </c>
      <c r="AL228" s="61">
        <f>AH21</f>
        <v>2.0847679284921687</v>
      </c>
      <c r="AM228" s="62">
        <f>AI21</f>
        <v>0.86256018354184805</v>
      </c>
    </row>
    <row r="229" spans="25:39">
      <c r="Y229" s="121">
        <v>-27</v>
      </c>
      <c r="Z229" s="122">
        <v>41.446891325949423</v>
      </c>
      <c r="AA229" s="123">
        <v>4.4521653482413335</v>
      </c>
      <c r="AC229" s="48">
        <f>Y31</f>
        <v>72</v>
      </c>
      <c r="AD229" s="61">
        <f t="shared" ref="AD229:AE229" si="829">Z31</f>
        <v>0.48999643668770321</v>
      </c>
      <c r="AE229" s="62">
        <f t="shared" si="829"/>
        <v>0.43827973974348877</v>
      </c>
      <c r="AG229" s="139">
        <v>-32</v>
      </c>
      <c r="AH229" s="140">
        <v>131.12594708901892</v>
      </c>
      <c r="AI229" s="141">
        <f t="shared" si="729"/>
        <v>4.6457065406373417</v>
      </c>
      <c r="AK229" s="48">
        <f>AG20</f>
        <v>72.5</v>
      </c>
      <c r="AL229" s="61">
        <f>AH20</f>
        <v>2.0545074386150559</v>
      </c>
      <c r="AM229" s="62">
        <f>AI20</f>
        <v>0.85217394782706213</v>
      </c>
    </row>
    <row r="230" spans="25:39">
      <c r="Y230" s="121">
        <v>-27.5</v>
      </c>
      <c r="Z230" s="122">
        <v>42.639334764692592</v>
      </c>
      <c r="AA230" s="123">
        <v>4.4658492807725612</v>
      </c>
      <c r="AC230" s="48">
        <f>Y30</f>
        <v>72.5</v>
      </c>
      <c r="AD230" s="61">
        <f t="shared" ref="AD230:AE230" si="830">Z30</f>
        <v>0.48181655834729586</v>
      </c>
      <c r="AE230" s="62">
        <f t="shared" si="830"/>
        <v>0.43159476248531137</v>
      </c>
      <c r="AG230" s="139">
        <v>-32.5</v>
      </c>
      <c r="AH230" s="140">
        <v>134.68587743552899</v>
      </c>
      <c r="AI230" s="141">
        <f t="shared" si="729"/>
        <v>4.6544237704037172</v>
      </c>
      <c r="AK230" s="48">
        <f>AG19</f>
        <v>73</v>
      </c>
      <c r="AL230" s="61">
        <f>AH19</f>
        <v>2.0247640706487497</v>
      </c>
      <c r="AM230" s="62">
        <f>AI19</f>
        <v>0.8419142607508604</v>
      </c>
    </row>
    <row r="231" spans="25:39">
      <c r="Y231" s="121">
        <v>-28</v>
      </c>
      <c r="Z231" s="122">
        <v>43.868081036003822</v>
      </c>
      <c r="AA231" s="123">
        <v>4.4792526180217047</v>
      </c>
      <c r="AC231" s="48">
        <f>Y29</f>
        <v>73</v>
      </c>
      <c r="AD231" s="61">
        <f t="shared" ref="AD231:AE231" si="831">Z29</f>
        <v>0.47379498604282666</v>
      </c>
      <c r="AE231" s="62">
        <f t="shared" si="831"/>
        <v>0.42502010499959414</v>
      </c>
      <c r="AG231" s="139">
        <v>-33</v>
      </c>
      <c r="AH231" s="140">
        <v>138.35414196578668</v>
      </c>
      <c r="AI231" s="141">
        <f t="shared" si="729"/>
        <v>4.6629686280580493</v>
      </c>
      <c r="AK231" s="48">
        <f>AG18</f>
        <v>73.5</v>
      </c>
      <c r="AL231" s="61">
        <f>AH18</f>
        <v>1.9955277925445651</v>
      </c>
      <c r="AM231" s="62">
        <f>AI18</f>
        <v>0.83177990458444906</v>
      </c>
    </row>
    <row r="232" spans="25:39">
      <c r="Y232" s="121">
        <v>-28.5</v>
      </c>
      <c r="Z232" s="122">
        <v>45.134252257385633</v>
      </c>
      <c r="AA232" s="123">
        <v>4.4923782309061666</v>
      </c>
      <c r="AC232" s="48">
        <f>Y28</f>
        <v>73.5</v>
      </c>
      <c r="AD232" s="61">
        <f t="shared" ref="AD232:AE232" si="832">Z28</f>
        <v>0.46592827658549452</v>
      </c>
      <c r="AE232" s="62">
        <f t="shared" si="832"/>
        <v>0.41855397108290215</v>
      </c>
      <c r="AG232" s="139">
        <v>-33.5</v>
      </c>
      <c r="AH232" s="140">
        <v>142.13436507968302</v>
      </c>
      <c r="AI232" s="141">
        <f t="shared" si="729"/>
        <v>4.6713431579129958</v>
      </c>
      <c r="AK232" s="48">
        <f>AG17</f>
        <v>74</v>
      </c>
      <c r="AL232" s="61">
        <f>AH17</f>
        <v>1.9667887883567232</v>
      </c>
      <c r="AM232" s="62">
        <f>AI17</f>
        <v>0.82176965898752286</v>
      </c>
    </row>
    <row r="233" spans="25:39">
      <c r="Y233" s="121">
        <v>-29</v>
      </c>
      <c r="Z233" s="122">
        <v>46.439003680879523</v>
      </c>
      <c r="AA233" s="123">
        <v>4.5052290851819423</v>
      </c>
      <c r="AC233" s="48">
        <f>Y27</f>
        <v>74</v>
      </c>
      <c r="AD233" s="61">
        <f t="shared" ref="AD233:AE233" si="833">Z27</f>
        <v>0.45821306921495975</v>
      </c>
      <c r="AE233" s="62">
        <f t="shared" si="833"/>
        <v>0.41219458799883468</v>
      </c>
      <c r="AG233" s="139">
        <v>-34</v>
      </c>
      <c r="AH233" s="140">
        <v>146.03030271049741</v>
      </c>
      <c r="AI233" s="141">
        <f t="shared" si="729"/>
        <v>4.6795494264164104</v>
      </c>
      <c r="AK233" s="48">
        <f>AG16</f>
        <v>74.5</v>
      </c>
      <c r="AL233" s="61">
        <f>AH16</f>
        <v>1.9385374531509092</v>
      </c>
      <c r="AM233" s="62">
        <f>AI16</f>
        <v>0.81188230164628583</v>
      </c>
    </row>
    <row r="234" spans="25:39">
      <c r="Y234" s="121">
        <v>-29.5</v>
      </c>
      <c r="Z234" s="122">
        <v>47.783524502576405</v>
      </c>
      <c r="AA234" s="123">
        <v>4.517808235365294</v>
      </c>
      <c r="AC234" s="48">
        <f>Y26</f>
        <v>74.5</v>
      </c>
      <c r="AD234" s="61">
        <f t="shared" ref="AD234:AE234" si="834">Z26</f>
        <v>0.45064608346061852</v>
      </c>
      <c r="AE234" s="62">
        <f t="shared" si="834"/>
        <v>0.40594020649543716</v>
      </c>
      <c r="AG234" s="139">
        <v>-34.5</v>
      </c>
      <c r="AH234" s="140">
        <v>150.04584745144885</v>
      </c>
      <c r="AI234" s="141">
        <f t="shared" si="729"/>
        <v>4.687589520151918</v>
      </c>
      <c r="AK234" s="48">
        <f>AG15</f>
        <v>75</v>
      </c>
      <c r="AL234" s="61">
        <f>AH15</f>
        <v>1.9107643880425134</v>
      </c>
      <c r="AM234" s="62">
        <f>AI15</f>
        <v>0.80211660888900338</v>
      </c>
    </row>
    <row r="235" spans="25:39">
      <c r="Y235" s="121">
        <v>-30</v>
      </c>
      <c r="Z235" s="122">
        <v>49.169038678272742</v>
      </c>
      <c r="AA235" s="123">
        <v>4.530118818739842</v>
      </c>
      <c r="AC235" s="48">
        <f>Y25</f>
        <v>75</v>
      </c>
      <c r="AD235" s="61">
        <f t="shared" ref="AD235:AE235" si="835">Z25</f>
        <v>0.44322411706232878</v>
      </c>
      <c r="AE235" s="62">
        <f t="shared" si="835"/>
        <v>0.39978910080332325</v>
      </c>
      <c r="AG235" s="139">
        <v>-35</v>
      </c>
      <c r="AH235" s="140">
        <v>154.18503389513509</v>
      </c>
      <c r="AI235" s="141">
        <f t="shared" si="729"/>
        <v>4.69546554388182</v>
      </c>
      <c r="AK235" s="48">
        <f>AG14</f>
        <v>75.5</v>
      </c>
      <c r="AL235" s="61">
        <f>AH14</f>
        <v>1.8834603953611426</v>
      </c>
      <c r="AM235" s="62">
        <f>AI14</f>
        <v>0.79247135627951226</v>
      </c>
    </row>
    <row r="236" spans="25:39">
      <c r="Y236" s="121">
        <v>-30.5</v>
      </c>
      <c r="Z236" s="122">
        <v>50.596805744111663</v>
      </c>
      <c r="AA236" s="123">
        <v>4.5421640494581519</v>
      </c>
      <c r="AC236" s="48">
        <f>Y24</f>
        <v>75.5</v>
      </c>
      <c r="AD236" s="61">
        <f t="shared" ref="AD236:AE236" si="836">Z24</f>
        <v>0.43594404394874975</v>
      </c>
      <c r="AE236" s="62">
        <f t="shared" si="836"/>
        <v>0.39373956861546777</v>
      </c>
      <c r="AG236" s="139">
        <v>-35.5</v>
      </c>
      <c r="AH236" s="140">
        <v>158.45204419524401</v>
      </c>
      <c r="AI236" s="141">
        <f t="shared" si="729"/>
        <v>4.7031796186334933</v>
      </c>
      <c r="AK236" s="48">
        <f>AG13</f>
        <v>76</v>
      </c>
      <c r="AL236" s="61">
        <f>AH13</f>
        <v>1.8566164739379136</v>
      </c>
      <c r="AM236" s="62">
        <f>AI13</f>
        <v>0.78294531918905841</v>
      </c>
    </row>
    <row r="237" spans="25:39">
      <c r="Y237" s="121">
        <v>-31</v>
      </c>
      <c r="Z237" s="122">
        <v>52.068121640916388</v>
      </c>
      <c r="AA237" s="123">
        <v>4.5539472127461131</v>
      </c>
      <c r="AC237" s="48">
        <f>Y23</f>
        <v>76</v>
      </c>
      <c r="AD237" s="61">
        <f t="shared" ref="AD237:AE237" si="837">Z23</f>
        <v>0.42880281227169859</v>
      </c>
      <c r="AE237" s="62">
        <f t="shared" si="837"/>
        <v>0.38778993104974763</v>
      </c>
      <c r="AG237" s="139">
        <v>-36</v>
      </c>
      <c r="AH237" s="140">
        <v>162.8512138603358</v>
      </c>
      <c r="AI237" s="141">
        <f t="shared" si="729"/>
        <v>4.7107338798303138</v>
      </c>
      <c r="AK237" s="48">
        <f>AG12</f>
        <v>76.5</v>
      </c>
      <c r="AL237" s="61">
        <f>AH12</f>
        <v>1.830223814512058</v>
      </c>
      <c r="AM237" s="62">
        <f>AI12</f>
        <v>0.77353727334682143</v>
      </c>
    </row>
    <row r="238" spans="25:39">
      <c r="Y238" s="121">
        <v>-31.5</v>
      </c>
      <c r="Z238" s="122">
        <v>53.584319540802973</v>
      </c>
      <c r="AA238" s="123">
        <v>4.5654716592177582</v>
      </c>
      <c r="AC238" s="48">
        <f>Y22</f>
        <v>76.5</v>
      </c>
      <c r="AD238" s="61">
        <f t="shared" ref="AD238:AE238" si="838">Z22</f>
        <v>0.42179744249480772</v>
      </c>
      <c r="AE238" s="62">
        <f t="shared" si="838"/>
        <v>0.38193853259513549</v>
      </c>
      <c r="AG238" s="139">
        <v>-36.5</v>
      </c>
      <c r="AH238" s="140">
        <v>167.38703778992914</v>
      </c>
      <c r="AI238" s="141">
        <f t="shared" si="729"/>
        <v>4.7181304754679276</v>
      </c>
      <c r="AK238" s="48">
        <f>AG11</f>
        <v>77</v>
      </c>
      <c r="AL238" s="61">
        <f>AH11</f>
        <v>1.8042737952538148</v>
      </c>
      <c r="AM238" s="62">
        <f>AI11</f>
        <v>0.76424599536960303</v>
      </c>
    </row>
    <row r="239" spans="25:39">
      <c r="Y239" s="121">
        <v>-32</v>
      </c>
      <c r="Z239" s="122">
        <v>55.146770674519459</v>
      </c>
      <c r="AA239" s="123">
        <v>4.5767407993075242</v>
      </c>
      <c r="AC239" s="48">
        <f>Y21</f>
        <v>77</v>
      </c>
      <c r="AD239" s="61">
        <f t="shared" ref="AD239:AE239" si="839">Z21</f>
        <v>0.41492502553491517</v>
      </c>
      <c r="AE239" s="62">
        <f t="shared" si="839"/>
        <v>0.37618374104249042</v>
      </c>
      <c r="AG239" s="139">
        <v>-37</v>
      </c>
      <c r="AH239" s="140">
        <v>172.0641765636237</v>
      </c>
      <c r="AI239" s="141">
        <f t="shared" si="729"/>
        <v>4.7253715643366716</v>
      </c>
      <c r="AK239" s="48">
        <f>AG10</f>
        <v>77.5</v>
      </c>
      <c r="AL239" s="61">
        <f>AH10</f>
        <v>1.7787579774003373</v>
      </c>
      <c r="AM239" s="62">
        <f>AI10</f>
        <v>0.75507026327105287</v>
      </c>
    </row>
    <row r="240" spans="25:39">
      <c r="Y240" s="121">
        <v>-32.5</v>
      </c>
      <c r="Z240" s="122">
        <v>56.756885157809897</v>
      </c>
      <c r="AA240" s="123">
        <v>4.5877580978262298</v>
      </c>
      <c r="AC240" s="48">
        <f>Y20</f>
        <v>77.5</v>
      </c>
      <c r="AD240" s="61">
        <f t="shared" ref="AD240:AE240" si="840">Z20</f>
        <v>0.40818272095465846</v>
      </c>
      <c r="AE240" s="62">
        <f t="shared" si="840"/>
        <v>0.37052394740085326</v>
      </c>
      <c r="AG240" s="139">
        <v>-37.5</v>
      </c>
      <c r="AH240" s="140">
        <v>176.88746299449971</v>
      </c>
      <c r="AI240" s="141">
        <f t="shared" si="729"/>
        <v>4.7324593142908062</v>
      </c>
      <c r="AK240" s="48">
        <f>AG9</f>
        <v>78</v>
      </c>
      <c r="AL240" s="61">
        <f>AH9</f>
        <v>1.7536681010014268</v>
      </c>
      <c r="AM240" s="62">
        <f>AI9</f>
        <v>0.74600885695079822</v>
      </c>
    </row>
    <row r="241" spans="25:39">
      <c r="Y241" s="121">
        <v>-33</v>
      </c>
      <c r="Z241" s="122">
        <v>58.416112814948335</v>
      </c>
      <c r="AA241" s="123">
        <v>4.5985270686464519</v>
      </c>
      <c r="AC241" s="48">
        <f>Y19</f>
        <v>78</v>
      </c>
      <c r="AD241" s="61">
        <f t="shared" ref="AD241:AE241" si="841">Z19</f>
        <v>0.4015677552047644</v>
      </c>
      <c r="AE241" s="62">
        <f t="shared" si="841"/>
        <v>0.3649575658000947</v>
      </c>
      <c r="AG241" s="139">
        <v>-38</v>
      </c>
      <c r="AH241" s="140">
        <v>181.86190895851212</v>
      </c>
      <c r="AI241" s="141">
        <f t="shared" si="729"/>
        <v>4.7393959005650679</v>
      </c>
      <c r="AK241" s="48">
        <f>AG8</f>
        <v>78.5</v>
      </c>
      <c r="AL241" s="61">
        <f>AH8</f>
        <v>1.7289960807724467</v>
      </c>
      <c r="AM241" s="62">
        <f>AI8</f>
        <v>0.73706055866401932</v>
      </c>
    </row>
    <row r="242" spans="25:39">
      <c r="Y242" s="121">
        <v>-33.5</v>
      </c>
      <c r="Z242" s="122">
        <v>60.125943997420222</v>
      </c>
      <c r="AA242" s="123">
        <v>4.6090512695223156</v>
      </c>
      <c r="AC242" s="48">
        <f>Y18</f>
        <v>78.5</v>
      </c>
      <c r="AD242" s="61">
        <f t="shared" ref="AD242:AE242" si="842">Z18</f>
        <v>0.39507741991456585</v>
      </c>
      <c r="AE242" s="62">
        <f t="shared" si="842"/>
        <v>0.3594830333807274</v>
      </c>
      <c r="AG242" s="139">
        <v>-38.5</v>
      </c>
      <c r="AH242" s="140">
        <v>186.99271251222339</v>
      </c>
      <c r="AI242" s="141">
        <f t="shared" si="729"/>
        <v>4.7461835041390303</v>
      </c>
      <c r="AK242" s="48">
        <f>AG7</f>
        <v>79</v>
      </c>
      <c r="AL242" s="61">
        <f>AH7</f>
        <v>1.7047340020511903</v>
      </c>
      <c r="AM242" s="62">
        <f>AI7</f>
        <v>0.72822415347176839</v>
      </c>
    </row>
    <row r="243" spans="25:39">
      <c r="Y243" s="121">
        <v>-34</v>
      </c>
      <c r="Z243" s="122">
        <v>61.887910395555537</v>
      </c>
      <c r="AA243" s="123">
        <v>4.6193342970481455</v>
      </c>
      <c r="AC243" s="48">
        <f>Y17</f>
        <v>79</v>
      </c>
      <c r="AD243" s="61">
        <f t="shared" ref="AD243:AE243" si="843">Z17</f>
        <v>0.3887090702293845</v>
      </c>
      <c r="AE243" s="62">
        <f t="shared" si="843"/>
        <v>0.35409881017171452</v>
      </c>
      <c r="AG243" s="139">
        <v>-39</v>
      </c>
      <c r="AH243" s="140">
        <v>192.28526531169578</v>
      </c>
      <c r="AI243" s="141">
        <f t="shared" si="729"/>
        <v>4.7528243101495482</v>
      </c>
      <c r="AK243" s="48">
        <f>AG6</f>
        <v>79.5</v>
      </c>
      <c r="AL243" s="61">
        <f>AH6</f>
        <v>1.6808741168561849</v>
      </c>
      <c r="AM243" s="62">
        <f>AI6</f>
        <v>0.71949842967256417</v>
      </c>
    </row>
    <row r="244" spans="25:39" ht="13.5" thickBot="1">
      <c r="Y244" s="121">
        <v>-34.5</v>
      </c>
      <c r="Z244" s="122">
        <v>63.703585840722702</v>
      </c>
      <c r="AA244" s="123">
        <v>4.6293797817597557</v>
      </c>
      <c r="AC244" s="48">
        <f>Y16</f>
        <v>79.5</v>
      </c>
      <c r="AD244" s="61">
        <f t="shared" ref="AD244:AE244" si="844">Z16</f>
        <v>0.38246012319337452</v>
      </c>
      <c r="AE244" s="62">
        <f t="shared" si="844"/>
        <v>0.34880337895700242</v>
      </c>
      <c r="AG244" s="142">
        <v>-39.5</v>
      </c>
      <c r="AH244" s="143">
        <v>197.74516034608368</v>
      </c>
      <c r="AI244" s="144">
        <f t="shared" si="729"/>
        <v>4.7593205063516058</v>
      </c>
      <c r="AK244" s="48">
        <f>AG5</f>
        <v>80</v>
      </c>
      <c r="AL244" s="61">
        <f>AH5</f>
        <v>1.6574088400433546</v>
      </c>
      <c r="AM244" s="62">
        <f>AI5</f>
        <v>0.71088217921556174</v>
      </c>
    </row>
    <row r="245" spans="25:39" ht="13.5" thickTop="1">
      <c r="Y245" s="121">
        <v>-35</v>
      </c>
      <c r="Z245" s="122">
        <v>65.574587095502324</v>
      </c>
      <c r="AA245" s="123">
        <v>4.6391913833816689</v>
      </c>
      <c r="AC245" s="48">
        <f>Y15</f>
        <v>80</v>
      </c>
      <c r="AD245" s="61">
        <f t="shared" ref="AD245:AE245" si="845">Z15</f>
        <v>0.37632805617654069</v>
      </c>
      <c r="AE245" s="62">
        <f t="shared" si="845"/>
        <v>0.34359524513153911</v>
      </c>
    </row>
    <row r="246" spans="25:39">
      <c r="Y246" s="121">
        <v>-35.5</v>
      </c>
      <c r="Z246" s="122">
        <v>67.502574629044673</v>
      </c>
      <c r="AA246" s="123">
        <v>4.6487727862229464</v>
      </c>
      <c r="AC246" s="48">
        <f>Y14</f>
        <v>80.5</v>
      </c>
      <c r="AD246" s="61">
        <f t="shared" ref="AD246:AE246" si="846">Z14</f>
        <v>0.37031040534461324</v>
      </c>
      <c r="AE246" s="62">
        <f t="shared" si="846"/>
        <v>0.3384729365474507</v>
      </c>
    </row>
    <row r="247" spans="25:39">
      <c r="Y247" s="121">
        <v>-36</v>
      </c>
      <c r="Z247" s="122">
        <v>69.489253374587761</v>
      </c>
      <c r="AA247" s="123">
        <v>4.6581276947238122</v>
      </c>
      <c r="AC247" s="48">
        <f>Y13</f>
        <v>81</v>
      </c>
      <c r="AD247" s="61">
        <f t="shared" ref="AD247:AE247" si="847">Z13</f>
        <v>0.36440476417058099</v>
      </c>
      <c r="AE247" s="62">
        <f t="shared" si="847"/>
        <v>0.33343500335108545</v>
      </c>
    </row>
    <row r="248" spans="25:39">
      <c r="Y248" s="121">
        <v>-36.5</v>
      </c>
      <c r="Z248" s="122">
        <v>71.536373465888744</v>
      </c>
      <c r="AA248" s="123">
        <v>4.6672598291547533</v>
      </c>
      <c r="AC248" s="48">
        <f>Y12</f>
        <v>81.5</v>
      </c>
      <c r="AD248" s="61">
        <f t="shared" ref="AD248:AE248" si="848">Z12</f>
        <v>0.35860878198664442</v>
      </c>
      <c r="AE248" s="62">
        <f t="shared" si="848"/>
        <v>0.32848001781154373</v>
      </c>
    </row>
    <row r="249" spans="25:39">
      <c r="Y249" s="121">
        <v>-37</v>
      </c>
      <c r="Z249" s="122">
        <v>73.645730949050986</v>
      </c>
      <c r="AA249" s="123">
        <v>4.676172921469246</v>
      </c>
      <c r="AC249" s="48">
        <f>Y11</f>
        <v>82</v>
      </c>
      <c r="AD249" s="61">
        <f t="shared" ref="AD249:AE249" si="849">Z11</f>
        <v>0.35292016257544911</v>
      </c>
      <c r="AE249" s="62">
        <f t="shared" si="849"/>
        <v>0.32360657414133376</v>
      </c>
    </row>
    <row r="250" spans="25:39">
      <c r="Y250" s="121">
        <v>-37.5</v>
      </c>
      <c r="Z250" s="122">
        <v>75.819168465991453</v>
      </c>
      <c r="AA250" s="123">
        <v>4.6848707113109169</v>
      </c>
      <c r="AC250" s="48">
        <f>Y10</f>
        <v>82.5</v>
      </c>
      <c r="AD250" s="61">
        <f t="shared" ref="AD250:AE250" si="850">Z10</f>
        <v>0.34733666279943415</v>
      </c>
      <c r="AE250" s="62">
        <f t="shared" si="850"/>
        <v>0.31881328830971756</v>
      </c>
    </row>
    <row r="251" spans="25:39">
      <c r="Y251" s="121">
        <v>-38</v>
      </c>
      <c r="Z251" s="122">
        <v>78.058575905485839</v>
      </c>
      <c r="AA251" s="123">
        <v>4.6933569421753676</v>
      </c>
      <c r="AC251" s="48">
        <f>Y9</f>
        <v>83</v>
      </c>
      <c r="AD251" s="61">
        <f t="shared" ref="AD251:AE251" si="851">Z9</f>
        <v>0.34185609126724681</v>
      </c>
      <c r="AE251" s="62">
        <f t="shared" si="851"/>
        <v>0.31409879784935535</v>
      </c>
    </row>
    <row r="252" spans="25:39">
      <c r="Y252" s="121">
        <v>-38.5</v>
      </c>
      <c r="Z252" s="122">
        <v>80.365891017465884</v>
      </c>
      <c r="AA252" s="123">
        <v>4.7016353577266417</v>
      </c>
      <c r="AC252" s="48">
        <f>Y8</f>
        <v>83.5</v>
      </c>
      <c r="AD252" s="61">
        <f t="shared" ref="AD252:AE252" si="852">Z8</f>
        <v>0.33647630703610693</v>
      </c>
      <c r="AE252" s="62">
        <f t="shared" si="852"/>
        <v>0.30946176165674238</v>
      </c>
    </row>
    <row r="253" spans="25:39">
      <c r="Y253" s="121">
        <v>-39</v>
      </c>
      <c r="Z253" s="122">
        <v>82.743099985907321</v>
      </c>
      <c r="AA253" s="123">
        <v>4.7097096982678099</v>
      </c>
      <c r="AC253" s="48">
        <f>Y7</f>
        <v>84</v>
      </c>
      <c r="AD253" s="61">
        <f t="shared" ref="AD253:AE253" si="853">Z7</f>
        <v>0.33119521834913379</v>
      </c>
      <c r="AE253" s="62">
        <f t="shared" si="853"/>
        <v>0.30490085978699538</v>
      </c>
    </row>
    <row r="254" spans="25:39">
      <c r="Y254" s="121">
        <v>-39.5</v>
      </c>
      <c r="Z254" s="122">
        <v>85.192237955333596</v>
      </c>
      <c r="AA254" s="123">
        <v>4.7175836973648337</v>
      </c>
      <c r="AC254" s="48">
        <f>Y6</f>
        <v>84.5</v>
      </c>
      <c r="AD254" s="61">
        <f t="shared" ref="AD254:AE254" si="854">Z6</f>
        <v>0.32601078140660411</v>
      </c>
      <c r="AE254" s="62">
        <f t="shared" si="854"/>
        <v>0.3004147932434546</v>
      </c>
    </row>
    <row r="255" spans="25:39">
      <c r="Y255" s="121">
        <v>-40</v>
      </c>
      <c r="Z255" s="122">
        <v>87.715389505627513</v>
      </c>
      <c r="AA255" s="123">
        <v>4.7252610786225935</v>
      </c>
      <c r="AC255" s="48">
        <f>Y5</f>
        <v>85</v>
      </c>
      <c r="AD255" s="61">
        <f t="shared" ref="AD255:AE255" si="855">Z5</f>
        <v>0.3209209991701934</v>
      </c>
      <c r="AE255" s="62">
        <f t="shared" si="855"/>
        <v>0.29600228376259158</v>
      </c>
    </row>
  </sheetData>
  <mergeCells count="5">
    <mergeCell ref="A1:C2"/>
    <mergeCell ref="I1:K2"/>
    <mergeCell ref="Q1:S2"/>
    <mergeCell ref="Y1:AA2"/>
    <mergeCell ref="AG1:AI2"/>
  </mergeCells>
  <phoneticPr fontId="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50"/>
  <sheetViews>
    <sheetView workbookViewId="0">
      <selection activeCell="B17" sqref="B17"/>
    </sheetView>
  </sheetViews>
  <sheetFormatPr defaultColWidth="8.7109375" defaultRowHeight="12.75"/>
  <cols>
    <col min="1" max="1" width="17" style="48" bestFit="1" customWidth="1"/>
    <col min="2" max="2" width="52" style="48" bestFit="1" customWidth="1"/>
    <col min="3" max="3" width="35.85546875" style="48" bestFit="1" customWidth="1"/>
    <col min="4" max="4" width="13" style="48" bestFit="1" customWidth="1"/>
    <col min="5" max="5" width="10.140625" style="48" customWidth="1"/>
    <col min="6" max="16384" width="8.7109375" style="48"/>
  </cols>
  <sheetData>
    <row r="1" spans="1:3" s="203" customFormat="1" ht="13.5">
      <c r="A1" s="204" t="s">
        <v>757</v>
      </c>
      <c r="B1" s="204" t="s">
        <v>242</v>
      </c>
      <c r="C1" s="203" t="s">
        <v>511</v>
      </c>
    </row>
    <row r="2" spans="1:3">
      <c r="A2" s="53" t="s">
        <v>189</v>
      </c>
      <c r="B2" s="53" t="s">
        <v>229</v>
      </c>
      <c r="C2" s="48" t="s">
        <v>514</v>
      </c>
    </row>
    <row r="3" spans="1:3">
      <c r="A3" s="53" t="s">
        <v>215</v>
      </c>
      <c r="B3" s="53" t="s">
        <v>230</v>
      </c>
      <c r="C3" s="48" t="s">
        <v>514</v>
      </c>
    </row>
    <row r="4" spans="1:3">
      <c r="A4" s="53" t="s">
        <v>190</v>
      </c>
      <c r="B4" s="53" t="s">
        <v>231</v>
      </c>
      <c r="C4" s="48" t="s">
        <v>513</v>
      </c>
    </row>
    <row r="5" spans="1:3">
      <c r="A5" s="53" t="s">
        <v>191</v>
      </c>
      <c r="B5" s="53" t="s">
        <v>232</v>
      </c>
      <c r="C5" s="48" t="s">
        <v>513</v>
      </c>
    </row>
    <row r="6" spans="1:3">
      <c r="A6" s="53" t="s">
        <v>214</v>
      </c>
      <c r="B6" s="53" t="s">
        <v>227</v>
      </c>
      <c r="C6" s="48" t="s">
        <v>517</v>
      </c>
    </row>
    <row r="7" spans="1:3">
      <c r="A7" s="53" t="s">
        <v>220</v>
      </c>
      <c r="B7" s="53" t="s">
        <v>226</v>
      </c>
      <c r="C7" s="48" t="s">
        <v>519</v>
      </c>
    </row>
    <row r="8" spans="1:3">
      <c r="A8" s="53" t="s">
        <v>216</v>
      </c>
      <c r="B8" s="53" t="s">
        <v>249</v>
      </c>
      <c r="C8" s="48" t="s">
        <v>515</v>
      </c>
    </row>
    <row r="9" spans="1:3">
      <c r="A9" s="53" t="s">
        <v>219</v>
      </c>
      <c r="B9" s="53" t="s">
        <v>225</v>
      </c>
      <c r="C9" s="48" t="s">
        <v>518</v>
      </c>
    </row>
    <row r="10" spans="1:3">
      <c r="A10" s="53" t="s">
        <v>223</v>
      </c>
      <c r="B10" s="53" t="s">
        <v>224</v>
      </c>
      <c r="C10" s="48" t="s">
        <v>516</v>
      </c>
    </row>
    <row r="11" spans="1:3">
      <c r="A11" s="53" t="s">
        <v>217</v>
      </c>
      <c r="B11" s="53" t="s">
        <v>233</v>
      </c>
      <c r="C11" s="48" t="s">
        <v>520</v>
      </c>
    </row>
    <row r="12" spans="1:3">
      <c r="A12" s="53" t="s">
        <v>218</v>
      </c>
      <c r="B12" s="53" t="s">
        <v>234</v>
      </c>
      <c r="C12" s="48" t="s">
        <v>520</v>
      </c>
    </row>
    <row r="13" spans="1:3">
      <c r="A13" s="53" t="s">
        <v>192</v>
      </c>
      <c r="B13" s="53" t="s">
        <v>228</v>
      </c>
      <c r="C13" s="48" t="s">
        <v>523</v>
      </c>
    </row>
    <row r="14" spans="1:3">
      <c r="A14" s="53" t="s">
        <v>222</v>
      </c>
      <c r="B14" s="53" t="s">
        <v>235</v>
      </c>
      <c r="C14" s="48" t="s">
        <v>521</v>
      </c>
    </row>
    <row r="15" spans="1:3">
      <c r="A15" s="53" t="s">
        <v>188</v>
      </c>
      <c r="B15" s="53" t="s">
        <v>250</v>
      </c>
    </row>
    <row r="16" spans="1:3">
      <c r="A16" s="53" t="s">
        <v>236</v>
      </c>
      <c r="B16" s="53" t="s">
        <v>251</v>
      </c>
    </row>
    <row r="17" spans="1:3">
      <c r="A17" s="53" t="s">
        <v>364</v>
      </c>
      <c r="B17" s="53" t="s">
        <v>237</v>
      </c>
    </row>
    <row r="18" spans="1:3" ht="25.5">
      <c r="A18" s="53" t="s">
        <v>185</v>
      </c>
      <c r="B18" s="173" t="s">
        <v>797</v>
      </c>
    </row>
    <row r="19" spans="1:3">
      <c r="A19" s="53" t="s">
        <v>370</v>
      </c>
      <c r="B19" s="53" t="s">
        <v>758</v>
      </c>
    </row>
    <row r="20" spans="1:3">
      <c r="A20" s="53" t="s">
        <v>522</v>
      </c>
      <c r="B20" s="53" t="s">
        <v>759</v>
      </c>
      <c r="C20" s="48" t="s">
        <v>512</v>
      </c>
    </row>
    <row r="21" spans="1:3">
      <c r="A21" s="53"/>
      <c r="B21" s="53"/>
    </row>
    <row r="22" spans="1:3">
      <c r="A22" s="53"/>
      <c r="B22" s="53"/>
    </row>
    <row r="23" spans="1:3">
      <c r="A23" s="53"/>
      <c r="B23" s="53"/>
    </row>
    <row r="24" spans="1:3">
      <c r="A24" s="53"/>
      <c r="B24" s="53"/>
    </row>
    <row r="25" spans="1:3">
      <c r="A25" s="53"/>
      <c r="B25" s="53"/>
    </row>
    <row r="26" spans="1:3">
      <c r="A26" s="53"/>
      <c r="B26" s="53"/>
    </row>
    <row r="27" spans="1:3">
      <c r="A27" s="53"/>
      <c r="B27" s="53"/>
    </row>
    <row r="28" spans="1:3">
      <c r="A28" s="53"/>
      <c r="B28" s="53"/>
    </row>
    <row r="29" spans="1:3">
      <c r="A29" s="53"/>
      <c r="B29" s="53"/>
    </row>
    <row r="30" spans="1:3">
      <c r="A30" s="53"/>
      <c r="B30" s="53"/>
    </row>
    <row r="31" spans="1:3">
      <c r="A31" s="53"/>
      <c r="B31" s="53"/>
    </row>
    <row r="32" spans="1:3">
      <c r="A32" s="53"/>
      <c r="B32" s="53"/>
    </row>
    <row r="33" spans="1:2">
      <c r="A33" s="53"/>
      <c r="B33" s="53"/>
    </row>
    <row r="34" spans="1:2">
      <c r="A34" s="53"/>
      <c r="B34" s="53"/>
    </row>
    <row r="35" spans="1:2">
      <c r="A35" s="53"/>
      <c r="B35" s="53"/>
    </row>
    <row r="36" spans="1:2">
      <c r="A36" s="53"/>
      <c r="B36" s="53"/>
    </row>
    <row r="37" spans="1:2">
      <c r="A37" s="53"/>
      <c r="B37" s="53"/>
    </row>
    <row r="38" spans="1:2">
      <c r="A38" s="53"/>
      <c r="B38" s="53"/>
    </row>
    <row r="39" spans="1:2">
      <c r="A39" s="53"/>
      <c r="B39" s="53"/>
    </row>
    <row r="40" spans="1:2">
      <c r="A40" s="53"/>
      <c r="B40" s="53"/>
    </row>
    <row r="41" spans="1:2">
      <c r="A41" s="53"/>
      <c r="B41" s="53"/>
    </row>
    <row r="42" spans="1:2">
      <c r="A42" s="53"/>
      <c r="B42" s="53"/>
    </row>
    <row r="43" spans="1:2">
      <c r="A43" s="53"/>
      <c r="B43" s="53"/>
    </row>
    <row r="44" spans="1:2">
      <c r="A44" s="53"/>
      <c r="B44" s="53"/>
    </row>
    <row r="45" spans="1:2">
      <c r="A45" s="53"/>
      <c r="B45" s="53"/>
    </row>
    <row r="46" spans="1:2">
      <c r="A46" s="53"/>
      <c r="B46" s="53"/>
    </row>
    <row r="47" spans="1:2">
      <c r="A47" s="53"/>
      <c r="B47" s="53"/>
    </row>
    <row r="48" spans="1:2">
      <c r="A48" s="53"/>
      <c r="B48" s="53"/>
    </row>
    <row r="49" spans="1:2">
      <c r="A49" s="53"/>
      <c r="B49" s="53"/>
    </row>
    <row r="50" spans="1:2">
      <c r="A50" s="53"/>
      <c r="B50" s="53"/>
    </row>
  </sheetData>
  <phoneticPr fontId="9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5F35B31FABF6C9498A53A8E244C071E8" ma:contentTypeVersion="4" ma:contentTypeDescription="새 문서를 만듭니다." ma:contentTypeScope="" ma:versionID="7376bb0cac580d31cb2002509588d360">
  <xsd:schema xmlns:xsd="http://www.w3.org/2001/XMLSchema" xmlns:xs="http://www.w3.org/2001/XMLSchema" xmlns:p="http://schemas.microsoft.com/office/2006/metadata/properties" xmlns:ns2="eead6073-176e-49de-abdf-af691e3e0900" targetNamespace="http://schemas.microsoft.com/office/2006/metadata/properties" ma:root="true" ma:fieldsID="ce415c12cd29facd8dbe1babf9ded5d1" ns2:_="">
    <xsd:import namespace="eead6073-176e-49de-abdf-af691e3e090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ad6073-176e-49de-abdf-af691e3e090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4092EFE-A7DD-4070-B480-85082DF761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ead6073-176e-49de-abdf-af691e3e090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4FFEFC8-48E0-4749-91E6-FE61549D96B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6434C09-CAF8-4A73-AB54-FA543A3A03AB}">
  <ds:schemaRefs>
    <ds:schemaRef ds:uri="http://schemas.microsoft.com/office/2006/metadata/properties"/>
    <ds:schemaRef ds:uri="http://schemas.microsoft.com/office/infopath/2007/PartnerControls"/>
    <ds:schemaRef ds:uri="0086bec6-4190-4de3-bdc0-72642071add9"/>
    <ds:schemaRef ds:uri="9505ae8b-eb57-4886-abc8-e38b007d745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326</vt:i4>
      </vt:variant>
    </vt:vector>
  </HeadingPairs>
  <TitlesOfParts>
    <vt:vector size="332" baseType="lpstr">
      <vt:lpstr>History</vt:lpstr>
      <vt:lpstr>Test Setup</vt:lpstr>
      <vt:lpstr>Test Case</vt:lpstr>
      <vt:lpstr>Tables</vt:lpstr>
      <vt:lpstr>Sensor</vt:lpstr>
      <vt:lpstr>용어</vt:lpstr>
      <vt:lpstr>AAFOpen</vt:lpstr>
      <vt:lpstr>Tables!AC_INTAKE_EN_DIS</vt:lpstr>
      <vt:lpstr>Tables!AcDisp</vt:lpstr>
      <vt:lpstr>AcnECompCnsmptPwrVal</vt:lpstr>
      <vt:lpstr>Tables!AcnReqSwi</vt:lpstr>
      <vt:lpstr>Tables!Act_Def</vt:lpstr>
      <vt:lpstr>Tables!Act_DrMode</vt:lpstr>
      <vt:lpstr>Tables!Act_DrTemp</vt:lpstr>
      <vt:lpstr>Tables!Act_Intake</vt:lpstr>
      <vt:lpstr>Tables!Act_PsMode</vt:lpstr>
      <vt:lpstr>Tables!Act_PsTemp</vt:lpstr>
      <vt:lpstr>Tables!Act_RrTemp_Cool</vt:lpstr>
      <vt:lpstr>Tables!Act_RrTemp_Warm</vt:lpstr>
      <vt:lpstr>Tables!ADS_Max</vt:lpstr>
      <vt:lpstr>Tables!ADS_Min</vt:lpstr>
      <vt:lpstr>Tables!ADSOnOffSet</vt:lpstr>
      <vt:lpstr>Tables!AfterBlower_ICU</vt:lpstr>
      <vt:lpstr>Tables!AfterBlower_OR</vt:lpstr>
      <vt:lpstr>Tables!AfterBlower_OS</vt:lpstr>
      <vt:lpstr>Tables!AfterBlower_OTA_mode</vt:lpstr>
      <vt:lpstr>Tables!AfterBlower_PDC</vt:lpstr>
      <vt:lpstr>Tables!AfterBlower_Symbol</vt:lpstr>
      <vt:lpstr>Tables!AfterBlower_USMSet</vt:lpstr>
      <vt:lpstr>Tables!AfterBlower_USMSta</vt:lpstr>
      <vt:lpstr>Tables!AirconPressureSensorValue</vt:lpstr>
      <vt:lpstr>Tables!AirconPrsRns</vt:lpstr>
      <vt:lpstr>Tables!Amb_IN</vt:lpstr>
      <vt:lpstr>Tables!Amb_OUT</vt:lpstr>
      <vt:lpstr>ATS_FrDrBlowerUpDn</vt:lpstr>
      <vt:lpstr>Tables!AutoBlowerHi_1</vt:lpstr>
      <vt:lpstr>Tables!AutoBlowerHi_2</vt:lpstr>
      <vt:lpstr>Tables!AutoBlowerHi_3</vt:lpstr>
      <vt:lpstr>Tables!AutoBlowerLow_1</vt:lpstr>
      <vt:lpstr>Tables!AutoBlowerLow_2</vt:lpstr>
      <vt:lpstr>Tables!AutoBlowerLow_3</vt:lpstr>
      <vt:lpstr>Tables!AutoCutMode</vt:lpstr>
      <vt:lpstr>Tables!AutoDefog_EN_DIS</vt:lpstr>
      <vt:lpstr>Tables!AutoDefogBlink</vt:lpstr>
      <vt:lpstr>Tables!AutoDefogSysOff_Disp</vt:lpstr>
      <vt:lpstr>Tables!AutoDisp</vt:lpstr>
      <vt:lpstr>Tables!AutoFre_EN_DIS</vt:lpstr>
      <vt:lpstr>Tables!AutoFresh_USM_Set</vt:lpstr>
      <vt:lpstr>Tables!AutoFrshUSMSta</vt:lpstr>
      <vt:lpstr>Tables!AUTOStep</vt:lpstr>
      <vt:lpstr>Tables!AutoWashMode</vt:lpstr>
      <vt:lpstr>Tables!AVN_CluUSMReset</vt:lpstr>
      <vt:lpstr>Tables!AVN_TempUnit_Set</vt:lpstr>
      <vt:lpstr>Tables!AVN_UnitReset</vt:lpstr>
      <vt:lpstr>Tables!BAT_ON_Initialize</vt:lpstr>
      <vt:lpstr>BatChllrTgtRpm</vt:lpstr>
      <vt:lpstr>BatEwpFltSta</vt:lpstr>
      <vt:lpstr>BATT_V</vt:lpstr>
      <vt:lpstr>BattChlrVlv_FltCode</vt:lpstr>
      <vt:lpstr>BattChlrVlvSta</vt:lpstr>
      <vt:lpstr>BattCompPwrCnsmptn</vt:lpstr>
      <vt:lpstr>BatteryEWPOper</vt:lpstr>
      <vt:lpstr>BattEvapVlv_FltCode</vt:lpstr>
      <vt:lpstr>BattEvapVlvSta</vt:lpstr>
      <vt:lpstr>BattPwrSum</vt:lpstr>
      <vt:lpstr>Blower_Motor_Relay</vt:lpstr>
      <vt:lpstr>Tables!BLW_Front</vt:lpstr>
      <vt:lpstr>Tables!BLW_IS_IN</vt:lpstr>
      <vt:lpstr>Tables!BLW_MAX</vt:lpstr>
      <vt:lpstr>BMS_Interlock_Req</vt:lpstr>
      <vt:lpstr>Tables!Button_CAN_Signal_EN_DIS</vt:lpstr>
      <vt:lpstr>Tables!Cell_Humidity</vt:lpstr>
      <vt:lpstr>Tables!Cell_Temp</vt:lpstr>
      <vt:lpstr>Tables!Celo_Auto</vt:lpstr>
      <vt:lpstr>Tables!Celo_Blower_Max</vt:lpstr>
      <vt:lpstr>Tables!Celo_Blower_Min</vt:lpstr>
      <vt:lpstr>Tables!Celo_DEF</vt:lpstr>
      <vt:lpstr>Tables!Celo_Mix</vt:lpstr>
      <vt:lpstr>Tables!CELOModeSta</vt:lpstr>
      <vt:lpstr>CHRG_ChargeStatus</vt:lpstr>
      <vt:lpstr>Tables!CionDiag_V</vt:lpstr>
      <vt:lpstr>Tables!CLEAN_Sign</vt:lpstr>
      <vt:lpstr>CLI_eComp_Interlock_Status</vt:lpstr>
      <vt:lpstr>ClmtLimOpSta</vt:lpstr>
      <vt:lpstr>ClmtPwrCnsmptn</vt:lpstr>
      <vt:lpstr>ClmtPwrSum</vt:lpstr>
      <vt:lpstr>Tables!ClmtTxtPopupOSD</vt:lpstr>
      <vt:lpstr>Tables!CLU_TempUnitSetReq</vt:lpstr>
      <vt:lpstr>Tables!CLU_USM_StaRst1Req</vt:lpstr>
      <vt:lpstr>Tables!CO2_EN_DIS</vt:lpstr>
      <vt:lpstr>Tables!CO2_OnOffSta</vt:lpstr>
      <vt:lpstr>Tables!CO2_OUT</vt:lpstr>
      <vt:lpstr>Tables!CO2_PPM_V</vt:lpstr>
      <vt:lpstr>Tables!CO2_Set</vt:lpstr>
      <vt:lpstr>Tables!CO2_Warning</vt:lpstr>
      <vt:lpstr>Tables!col_country</vt:lpstr>
      <vt:lpstr>Tables!Command_Blw</vt:lpstr>
      <vt:lpstr>Tables!Compressor</vt:lpstr>
      <vt:lpstr>Tables!CompSpd_rpm</vt:lpstr>
      <vt:lpstr>Tables!Const_mild_blower_v</vt:lpstr>
      <vt:lpstr>Tables!const_TempMd</vt:lpstr>
      <vt:lpstr>Tables!const_TempUnit</vt:lpstr>
      <vt:lpstr>Tables!const_TempUnit_1</vt:lpstr>
      <vt:lpstr>Tables!const_TempUnit_2</vt:lpstr>
      <vt:lpstr>Tables!const_Tset_default</vt:lpstr>
      <vt:lpstr>Tables!const_Tset_default_1</vt:lpstr>
      <vt:lpstr>Tables!const_Tset_default_2</vt:lpstr>
      <vt:lpstr>Tables!const_Tset_invalid</vt:lpstr>
      <vt:lpstr>Tables!const_Tset_invalid_1</vt:lpstr>
      <vt:lpstr>Tables!const_Tset_invalid_2</vt:lpstr>
      <vt:lpstr>Tables!const_Tset_max</vt:lpstr>
      <vt:lpstr>Tables!const_Tset_max_1</vt:lpstr>
      <vt:lpstr>Tables!const_Tset_max_2</vt:lpstr>
      <vt:lpstr>Tables!const_Tset_min</vt:lpstr>
      <vt:lpstr>Tables!const_Tset_min_1</vt:lpstr>
      <vt:lpstr>Tables!const_Tset_min_2</vt:lpstr>
      <vt:lpstr>Tables!const_Tset_off</vt:lpstr>
      <vt:lpstr>Tables!const_Tset_off_1</vt:lpstr>
      <vt:lpstr>Tables!const_Tset_off_2</vt:lpstr>
      <vt:lpstr>Tables!const_Tset_resolution</vt:lpstr>
      <vt:lpstr>Tables!const_Tset_resolution_1</vt:lpstr>
      <vt:lpstr>Tables!const_Tset_resolution_2</vt:lpstr>
      <vt:lpstr>Coolingfan_Duty</vt:lpstr>
      <vt:lpstr>CstPwrDr_W</vt:lpstr>
      <vt:lpstr>CstPwrPs_W</vt:lpstr>
      <vt:lpstr>DATC_CtrlablSta</vt:lpstr>
      <vt:lpstr>DATC_OpSta</vt:lpstr>
      <vt:lpstr>Tables!DEF_Logic</vt:lpstr>
      <vt:lpstr>Tables!DEFDisp</vt:lpstr>
      <vt:lpstr>Tables!DefLogic_USM_Set</vt:lpstr>
      <vt:lpstr>Tables!DfgLgcUSMSta</vt:lpstr>
      <vt:lpstr>DiagCodeDis</vt:lpstr>
      <vt:lpstr>Tables!DriverOnlyDisp</vt:lpstr>
      <vt:lpstr>DrOnly_Max</vt:lpstr>
      <vt:lpstr>DrOnly_Min</vt:lpstr>
      <vt:lpstr>Tables!DrTempDispC</vt:lpstr>
      <vt:lpstr>Tables!DrTempDispF</vt:lpstr>
      <vt:lpstr>Tables!DrvngModSwSta</vt:lpstr>
      <vt:lpstr>DTC_Clear_Service</vt:lpstr>
      <vt:lpstr>DTC_Code</vt:lpstr>
      <vt:lpstr>DTC_Read_Service</vt:lpstr>
      <vt:lpstr>DTC_Resp</vt:lpstr>
      <vt:lpstr>Tables!Duct_ALL_V</vt:lpstr>
      <vt:lpstr>Duct_DEF_OUT</vt:lpstr>
      <vt:lpstr>Duct_DEF_V</vt:lpstr>
      <vt:lpstr>Duct_FrFloor_OUT</vt:lpstr>
      <vt:lpstr>Duct_FrFloor_V</vt:lpstr>
      <vt:lpstr>Duct_FrVent_OUT</vt:lpstr>
      <vt:lpstr>Duct_FrVent_V</vt:lpstr>
      <vt:lpstr>Duct_PsFloor_OUT</vt:lpstr>
      <vt:lpstr>Duct_PsFloor_V</vt:lpstr>
      <vt:lpstr>Duct_PsVent_OUT</vt:lpstr>
      <vt:lpstr>Duct_PsVent_V</vt:lpstr>
      <vt:lpstr>EcoClmtLimSet</vt:lpstr>
      <vt:lpstr>EcoClmtLimSta</vt:lpstr>
      <vt:lpstr>Ecomp_CompCst_W</vt:lpstr>
      <vt:lpstr>eComp_Interlock_Sta</vt:lpstr>
      <vt:lpstr>EMS_Vehicle_Speed</vt:lpstr>
      <vt:lpstr>Tables!Eng_ACRS</vt:lpstr>
      <vt:lpstr>Tables!Eng_IdleRpm</vt:lpstr>
      <vt:lpstr>Tables!EngColTemp</vt:lpstr>
      <vt:lpstr>Tables!EngColTemp_ECT</vt:lpstr>
      <vt:lpstr>Tables!EngDsplceTyp</vt:lpstr>
      <vt:lpstr>Tables!ENGINE_rpm</vt:lpstr>
      <vt:lpstr>Tables!EngStartReq</vt:lpstr>
      <vt:lpstr>Tables!EngTyp1</vt:lpstr>
      <vt:lpstr>Tables!EngTyp2</vt:lpstr>
      <vt:lpstr>EV_Ready</vt:lpstr>
      <vt:lpstr>Tables!EvaDr_IN</vt:lpstr>
      <vt:lpstr>Tables!EvaDr_OUT</vt:lpstr>
      <vt:lpstr>Tables!EvaPs_IN</vt:lpstr>
      <vt:lpstr>Tables!EvaPs_OUT</vt:lpstr>
      <vt:lpstr>FATC_Interlock_Req</vt:lpstr>
      <vt:lpstr>Tables!FLAG_Country</vt:lpstr>
      <vt:lpstr>Tables!FrChgReqDis</vt:lpstr>
      <vt:lpstr>Tables!FrontBlwDisp</vt:lpstr>
      <vt:lpstr>hev_HEU_Per</vt:lpstr>
      <vt:lpstr>HEV_Ready</vt:lpstr>
      <vt:lpstr>HP_ModSta</vt:lpstr>
      <vt:lpstr>HTCU_Vehicle_Speed</vt:lpstr>
      <vt:lpstr>HtrEwpForecedOpt</vt:lpstr>
      <vt:lpstr>HU_MainBlowerUpDn</vt:lpstr>
      <vt:lpstr>HvBat_ADOS</vt:lpstr>
      <vt:lpstr>HVPP_CstPwrDr_W</vt:lpstr>
      <vt:lpstr>HVPP_CstPwrPs_W</vt:lpstr>
      <vt:lpstr>HVPPTargetDutyDr_Perc</vt:lpstr>
      <vt:lpstr>HVPPTargetDutyPs_Perc</vt:lpstr>
      <vt:lpstr>Tables!IBU_WasherSw</vt:lpstr>
      <vt:lpstr>Tables!Incar_IN</vt:lpstr>
      <vt:lpstr>Tables!Incar_OUT</vt:lpstr>
      <vt:lpstr>Tables!IntakeDisp</vt:lpstr>
      <vt:lpstr>Tables!IntakeSta</vt:lpstr>
      <vt:lpstr>Tables!ION_Sign</vt:lpstr>
      <vt:lpstr>Tables!IsgStat</vt:lpstr>
      <vt:lpstr>Tables!IsgStopReq</vt:lpstr>
      <vt:lpstr>Tables!K4_Max</vt:lpstr>
      <vt:lpstr>Tables!K4_Min</vt:lpstr>
      <vt:lpstr>Tables!LHD_RHD</vt:lpstr>
      <vt:lpstr>Tables!list_Country</vt:lpstr>
      <vt:lpstr>LtrEwpFltSt</vt:lpstr>
      <vt:lpstr>Main_Relay_Sta</vt:lpstr>
      <vt:lpstr>Tables!MAX_COOL</vt:lpstr>
      <vt:lpstr>Tables!MAX_HOT</vt:lpstr>
      <vt:lpstr>MCU_Interlock_Req</vt:lpstr>
      <vt:lpstr>Tables!MFSW_WasherSw</vt:lpstr>
      <vt:lpstr>Mg1_TV</vt:lpstr>
      <vt:lpstr>Mg1HeatsinkTemperatureValue</vt:lpstr>
      <vt:lpstr>Mg2HeatsinkTemperatureValue</vt:lpstr>
      <vt:lpstr>Tables!MIX_Logic</vt:lpstr>
      <vt:lpstr>Tables!MltAutBlrTxt</vt:lpstr>
      <vt:lpstr>Tables!ModDisp</vt:lpstr>
      <vt:lpstr>Tables!Navi_AirConditionWarning</vt:lpstr>
      <vt:lpstr>OBC_Interlock_Req</vt:lpstr>
      <vt:lpstr>OpSta</vt:lpstr>
      <vt:lpstr>OPU_Interlock_Req</vt:lpstr>
      <vt:lpstr>P_SIGNAL_BCHILLER</vt:lpstr>
      <vt:lpstr>P_SIGNAL_COMP_OUT</vt:lpstr>
      <vt:lpstr>Partial_Cool</vt:lpstr>
      <vt:lpstr>Partial_HOT</vt:lpstr>
      <vt:lpstr>PeEwpRPMReq</vt:lpstr>
      <vt:lpstr>PeEwpRPMReq_EN_DIS</vt:lpstr>
      <vt:lpstr>Tables!Photo_L_V</vt:lpstr>
      <vt:lpstr>Tables!Photo_R_V</vt:lpstr>
      <vt:lpstr>Tables!PM_Blower_Max</vt:lpstr>
      <vt:lpstr>Tables!PM_Blower_Min</vt:lpstr>
      <vt:lpstr>Tables!PM_MassConcentration_2p5</vt:lpstr>
      <vt:lpstr>Tables!PM_PMSnsrRespErr</vt:lpstr>
      <vt:lpstr>Tables!PM_PMSnsrSts</vt:lpstr>
      <vt:lpstr>PreCharging_Sta</vt:lpstr>
      <vt:lpstr>Tables!PsTempDispC</vt:lpstr>
      <vt:lpstr>Tables!PsTempDispF</vt:lpstr>
      <vt:lpstr>Tables!PTC_EN_DIS</vt:lpstr>
      <vt:lpstr>Tables!PTC_RELAY_Sta</vt:lpstr>
      <vt:lpstr>PtcOprPrm</vt:lpstr>
      <vt:lpstr>PtcPrmPwr_W</vt:lpstr>
      <vt:lpstr>PtcPwrCnsmptnVal</vt:lpstr>
      <vt:lpstr>Tables!PTGM_Status</vt:lpstr>
      <vt:lpstr>Tables!PTGM_Type</vt:lpstr>
      <vt:lpstr>Tables!RAC_AcnCtrlReq</vt:lpstr>
      <vt:lpstr>Tables!RAC_DfrstCtrlReq</vt:lpstr>
      <vt:lpstr>Tables!RAC_TempModTyp</vt:lpstr>
      <vt:lpstr>Tables!RAC_TempSetVal</vt:lpstr>
      <vt:lpstr>Tables!RLY_AC</vt:lpstr>
      <vt:lpstr>SchedRmtFcn_OpSta</vt:lpstr>
      <vt:lpstr>Tables!SelfDiagCode</vt:lpstr>
      <vt:lpstr>SelfDiagDisp</vt:lpstr>
      <vt:lpstr>Service_Lamp_Req</vt:lpstr>
      <vt:lpstr>Tables!SmartVent_Set</vt:lpstr>
      <vt:lpstr>Tables!SmartVent_Status</vt:lpstr>
      <vt:lpstr>Tables!SmartVent_Symbol</vt:lpstr>
      <vt:lpstr>Tables!SunRoof_Open</vt:lpstr>
      <vt:lpstr>Tables!SyncDisp</vt:lpstr>
      <vt:lpstr>T_SIGNAL_BCHILLER</vt:lpstr>
      <vt:lpstr>T_SIGNAL_COMP_OUT</vt:lpstr>
      <vt:lpstr>Tables!T_windshield</vt:lpstr>
      <vt:lpstr>Tables!Tbl_ADS_blower_Dn</vt:lpstr>
      <vt:lpstr>Tables!Tbl_ADS_blower_Up</vt:lpstr>
      <vt:lpstr>Tbl_Amb_Sensor</vt:lpstr>
      <vt:lpstr>Tables!Tbl_AUTOStep</vt:lpstr>
      <vt:lpstr>Tbl_Blower_DrOnly_Offset</vt:lpstr>
      <vt:lpstr>Tables!Tbl_Blower_Volt</vt:lpstr>
      <vt:lpstr>Tables!Tbl_BlowerDn_Display</vt:lpstr>
      <vt:lpstr>Tables!Tbl_BlowerLimit_AmbDn_Volt</vt:lpstr>
      <vt:lpstr>Tables!Tbl_BlowerLimit_AmbUp_Volt</vt:lpstr>
      <vt:lpstr>Tables!Tbl_BlowerUp_Display</vt:lpstr>
      <vt:lpstr>Tbl_Blw_Step_Ctl</vt:lpstr>
      <vt:lpstr>Tbl_Button_Display_ASSTS</vt:lpstr>
      <vt:lpstr>Tables!Tbl_CO2_Snr</vt:lpstr>
      <vt:lpstr>Tables!Tbl_DefFB_Volt</vt:lpstr>
      <vt:lpstr>Tbl_Duct_Sensor</vt:lpstr>
      <vt:lpstr>Tables!Tbl_ECT_blower</vt:lpstr>
      <vt:lpstr>Tbl_Eva_Sensor</vt:lpstr>
      <vt:lpstr>Tbl_GlassTemp_Sensor</vt:lpstr>
      <vt:lpstr>Tbl_HP_Cycle</vt:lpstr>
      <vt:lpstr>Tbl_Incar_Sensor</vt:lpstr>
      <vt:lpstr>Tables!Tbl_IntakeFB_Volt</vt:lpstr>
      <vt:lpstr>Tables!Tbl_K4MinBlowerLimit_V</vt:lpstr>
      <vt:lpstr>Tables!Tbl_MltAutBlrTxt</vt:lpstr>
      <vt:lpstr>Tables!Tbl_ModeFB_Volt</vt:lpstr>
      <vt:lpstr>Tables!Tbl_PM_blower_Dn</vt:lpstr>
      <vt:lpstr>Tables!Tbl_PM_blower_Up</vt:lpstr>
      <vt:lpstr>Tables!Tbl_RrTempFB_Volt_Floor</vt:lpstr>
      <vt:lpstr>Tables!Tbl_RrTempFB_Volt_Vent</vt:lpstr>
      <vt:lpstr>Tables!Tbl_TempFB_Volt</vt:lpstr>
      <vt:lpstr>Tbl_WaterVlvSta</vt:lpstr>
      <vt:lpstr>Tables!TempChange_degCF</vt:lpstr>
      <vt:lpstr>Tables!TempDispUnit</vt:lpstr>
      <vt:lpstr>Tables!TqStndValExt</vt:lpstr>
      <vt:lpstr>TunnelFuncOff4AutoDfgReq</vt:lpstr>
      <vt:lpstr>Tables!User_Profile</vt:lpstr>
      <vt:lpstr>Tables!User_Profile2</vt:lpstr>
      <vt:lpstr>V01_DiagFunctnValue</vt:lpstr>
      <vt:lpstr>V01_EXV</vt:lpstr>
      <vt:lpstr>V01_EXV_DP</vt:lpstr>
      <vt:lpstr>V01_SystemState</vt:lpstr>
      <vt:lpstr>V02_DiagFunctnValue</vt:lpstr>
      <vt:lpstr>V02_EXV</vt:lpstr>
      <vt:lpstr>V02_EXV_DP</vt:lpstr>
      <vt:lpstr>V02_SystemState</vt:lpstr>
      <vt:lpstr>V04_3way</vt:lpstr>
      <vt:lpstr>V04_3way_DP</vt:lpstr>
      <vt:lpstr>V04_DiagFunctnValue</vt:lpstr>
      <vt:lpstr>V04_SystemState</vt:lpstr>
      <vt:lpstr>V05_2way</vt:lpstr>
      <vt:lpstr>V05_2way_DP</vt:lpstr>
      <vt:lpstr>V05_DiagFunctnValue</vt:lpstr>
      <vt:lpstr>V05_SystemState</vt:lpstr>
      <vt:lpstr>Tables!VC_IVRActivity</vt:lpstr>
      <vt:lpstr>Tables!VC_VRActivity</vt:lpstr>
      <vt:lpstr>VCU_HvBat_ADOS</vt:lpstr>
      <vt:lpstr>Vehicle_Startup</vt:lpstr>
      <vt:lpstr>Tables!VS_VehSpd_Kmh</vt:lpstr>
      <vt:lpstr>Tables!Washer_EN_DIS</vt:lpstr>
      <vt:lpstr>WaterCooling_ROTV</vt:lpstr>
      <vt:lpstr>WaterVlvSta</vt:lpstr>
      <vt:lpstr>WheelSpeed_FL</vt:lpstr>
      <vt:lpstr>WheelSpeed_FR</vt:lpstr>
      <vt:lpstr>WheelSpeed_RL</vt:lpstr>
      <vt:lpstr>WheelSpeed_RR</vt:lpstr>
      <vt:lpstr>Tables!WhlHeat_Ast</vt:lpstr>
      <vt:lpstr>Tables!WhlHeat_Drv</vt:lpstr>
      <vt:lpstr>Tables!WhlHeat_Heat_Set</vt:lpstr>
      <vt:lpstr>Tables!WhlHeat_Heat_Sta</vt:lpstr>
      <vt:lpstr>Tables!WhlHeat_ICU</vt:lpstr>
      <vt:lpstr>Tables!WhlHeat_LH_Step</vt:lpstr>
      <vt:lpstr>Tables!WhlHeat_RH_Step</vt:lpstr>
      <vt:lpstr>Tables!WhlHeat_Whl_Set</vt:lpstr>
      <vt:lpstr>Tables!WhlHeat_Whl_Sta</vt:lpstr>
      <vt:lpstr>Tables!WhlHeat_Whl_Step</vt:lpstr>
      <vt:lpstr>Tables!WshFldUSMSet</vt:lpstr>
      <vt:lpstr>Tables!WshFldUSMSta</vt:lpstr>
      <vt:lpstr>Tables!통합_DISP_사양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최기정</dc:creator>
  <cp:lastModifiedBy>Windows 사용자</cp:lastModifiedBy>
  <cp:lastPrinted>2013-09-05T00:05:19Z</cp:lastPrinted>
  <dcterms:created xsi:type="dcterms:W3CDTF">2001-07-13T09:23:54Z</dcterms:created>
  <dcterms:modified xsi:type="dcterms:W3CDTF">2026-01-06T05:20:37Z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0x0101005F35B31FABF6C9498A53A8E244C071E8</vt:lpwstr>
  </property>
</Properties>
</file>