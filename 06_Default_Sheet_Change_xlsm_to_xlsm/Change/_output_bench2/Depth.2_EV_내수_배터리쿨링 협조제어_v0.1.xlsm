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\_output_bench2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BA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H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K11" i="31"/>
  <c r="I74" i="22" s="1"/>
  <c r="L11" i="31"/>
  <c r="I75" i="22" s="1"/>
  <c r="M11" i="31"/>
  <c r="M12" i="31" s="1"/>
  <c r="M13" i="31" s="1"/>
  <c r="T12" i="31"/>
  <c r="AP12" i="31"/>
  <c r="T13" i="31"/>
  <c r="E93" i="22" s="1"/>
  <c r="K47" i="31"/>
  <c r="L47" i="31"/>
  <c r="L48" i="31" s="1"/>
  <c r="M47" i="31"/>
  <c r="T47" i="31"/>
  <c r="E120" i="22" s="1"/>
  <c r="AP47" i="31"/>
  <c r="I122" i="22" s="1"/>
  <c r="K48" i="31"/>
  <c r="M48" i="31"/>
  <c r="T48" i="31"/>
  <c r="E129" i="22" s="1"/>
  <c r="D2" i="22"/>
  <c r="E8" i="22"/>
  <c r="E9" i="22"/>
  <c r="E10" i="22"/>
  <c r="F19" i="22"/>
  <c r="E28" i="22"/>
  <c r="E29" i="22"/>
  <c r="E30" i="22"/>
  <c r="E31" i="22"/>
  <c r="E32" i="22"/>
  <c r="E33" i="22"/>
  <c r="E34" i="22"/>
  <c r="E36" i="22"/>
  <c r="E37" i="22"/>
  <c r="E38" i="22"/>
  <c r="E39" i="22"/>
  <c r="E40" i="22"/>
  <c r="E41" i="22"/>
  <c r="E42" i="22"/>
  <c r="E43" i="22"/>
  <c r="E46" i="22"/>
  <c r="E47" i="22"/>
  <c r="E48" i="22"/>
  <c r="E49" i="22"/>
  <c r="F60" i="22"/>
  <c r="D66" i="22"/>
  <c r="E68" i="22"/>
  <c r="E69" i="22"/>
  <c r="E70" i="22"/>
  <c r="F70" i="22"/>
  <c r="F71" i="22"/>
  <c r="D72" i="22"/>
  <c r="E73" i="22" s="1"/>
  <c r="E72" i="22"/>
  <c r="F72" i="22"/>
  <c r="G74" i="22"/>
  <c r="G75" i="22"/>
  <c r="G76" i="22"/>
  <c r="I76" i="22"/>
  <c r="G77" i="22"/>
  <c r="H77" i="22"/>
  <c r="I77" i="22" s="1"/>
  <c r="G78" i="22"/>
  <c r="I78" i="22"/>
  <c r="G79" i="22"/>
  <c r="I79" i="22"/>
  <c r="G80" i="22"/>
  <c r="I80" i="22"/>
  <c r="G81" i="22"/>
  <c r="I81" i="22"/>
  <c r="G82" i="22"/>
  <c r="I82" i="22"/>
  <c r="E84" i="22"/>
  <c r="F84" i="22"/>
  <c r="F85" i="22"/>
  <c r="G86" i="22"/>
  <c r="I86" i="22"/>
  <c r="G87" i="22"/>
  <c r="I87" i="22"/>
  <c r="G88" i="22"/>
  <c r="I88" i="22"/>
  <c r="G89" i="22"/>
  <c r="I89" i="22"/>
  <c r="G90" i="22"/>
  <c r="I90" i="22"/>
  <c r="G91" i="22"/>
  <c r="I91" i="22"/>
  <c r="F93" i="22"/>
  <c r="F94" i="22"/>
  <c r="G95" i="22"/>
  <c r="I95" i="22"/>
  <c r="G96" i="22"/>
  <c r="I96" i="22"/>
  <c r="G97" i="22"/>
  <c r="I97" i="22"/>
  <c r="G98" i="22"/>
  <c r="I98" i="22"/>
  <c r="G99" i="22"/>
  <c r="I99" i="22"/>
  <c r="G100" i="22"/>
  <c r="I100" i="22"/>
  <c r="D101" i="22"/>
  <c r="D102" i="22"/>
  <c r="E104" i="22"/>
  <c r="E105" i="22"/>
  <c r="E106" i="22"/>
  <c r="F106" i="22"/>
  <c r="F107" i="22"/>
  <c r="D108" i="22"/>
  <c r="E108" i="22" s="1"/>
  <c r="F108" i="22"/>
  <c r="E109" i="22"/>
  <c r="F109" i="22"/>
  <c r="G110" i="22"/>
  <c r="I110" i="22"/>
  <c r="G111" i="22"/>
  <c r="I111" i="22"/>
  <c r="G112" i="22"/>
  <c r="I112" i="22"/>
  <c r="G113" i="22"/>
  <c r="H113" i="22"/>
  <c r="I113" i="22" s="1"/>
  <c r="G114" i="22"/>
  <c r="I114" i="22"/>
  <c r="G115" i="22"/>
  <c r="I115" i="22"/>
  <c r="G116" i="22"/>
  <c r="I116" i="22"/>
  <c r="G117" i="22"/>
  <c r="I117" i="22"/>
  <c r="G118" i="22"/>
  <c r="I118" i="22"/>
  <c r="F120" i="22"/>
  <c r="F121" i="22"/>
  <c r="G122" i="22"/>
  <c r="G123" i="22"/>
  <c r="I123" i="22"/>
  <c r="G124" i="22"/>
  <c r="I124" i="22"/>
  <c r="G125" i="22"/>
  <c r="I125" i="22"/>
  <c r="G126" i="22"/>
  <c r="I126" i="22"/>
  <c r="G127" i="22"/>
  <c r="I127" i="22"/>
  <c r="F129" i="22"/>
  <c r="F130" i="22"/>
  <c r="G131" i="22"/>
  <c r="I131" i="22"/>
  <c r="G132" i="22"/>
  <c r="I132" i="22"/>
  <c r="G133" i="22"/>
  <c r="I133" i="22"/>
  <c r="G134" i="22"/>
  <c r="I134" i="22"/>
  <c r="G135" i="22"/>
  <c r="I135" i="22"/>
  <c r="G136" i="22"/>
  <c r="I136" i="22"/>
  <c r="F40" i="22"/>
  <c r="F105" i="22"/>
  <c r="F68" i="22"/>
  <c r="F37" i="22"/>
  <c r="F38" i="22"/>
  <c r="F104" i="22"/>
  <c r="F36" i="22"/>
  <c r="F69" i="22"/>
  <c r="L12" i="31" l="1"/>
  <c r="L13" i="31" s="1"/>
  <c r="K12" i="31"/>
  <c r="K13" i="31" s="1"/>
  <c r="D83" i="22"/>
  <c r="D128" i="22"/>
  <c r="D119" i="22"/>
  <c r="D92" i="22"/>
  <c r="F73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</calcChain>
</file>

<file path=xl/sharedStrings.xml><?xml version="1.0" encoding="utf-8"?>
<sst xmlns="http://schemas.openxmlformats.org/spreadsheetml/2006/main" count="1432" uniqueCount="1197">
  <si>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</si>
  <si>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</si>
  <si>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</si>
  <si>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</si>
  <si>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</si>
  <si>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</si>
  <si>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</si>
  <si>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</si>
  <si>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</si>
  <si>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</si>
  <si>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</si>
  <si>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</si>
  <si>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</si>
  <si>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</si>
  <si>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</si>
  <si>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</si>
  <si>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</si>
  <si>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</si>
  <si>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</si>
  <si>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</si>
  <si>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</si>
  <si>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</si>
  <si>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</si>
  <si>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</si>
  <si>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</si>
  <si>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</si>
  <si>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</si>
  <si>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</si>
  <si>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</si>
  <si>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</si>
  <si>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</si>
  <si>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</si>
  <si>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</si>
  <si>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</si>
  <si>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</si>
  <si>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</si>
  <si>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</si>
  <si>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</si>
  <si>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</si>
  <si>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</si>
  <si>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</si>
  <si>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</si>
  <si>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</si>
  <si>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</si>
  <si>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</si>
  <si>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</si>
  <si>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</si>
  <si>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</si>
  <si>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</si>
  <si>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</si>
  <si>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</si>
  <si>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</si>
  <si>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</si>
  <si>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</si>
  <si>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</si>
  <si>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</si>
  <si>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</si>
  <si>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</si>
  <si>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</si>
  <si>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</si>
  <si>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</si>
  <si>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</si>
  <si>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</si>
  <si>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</si>
  <si>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</si>
  <si>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</si>
  <si>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</si>
  <si>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</si>
  <si>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</si>
  <si>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</si>
  <si>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</si>
  <si>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</si>
  <si>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</si>
  <si>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</si>
  <si>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</si>
  <si>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</si>
  <si>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</si>
  <si>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</si>
  <si>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</si>
  <si>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</si>
  <si>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</si>
  <si>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</si>
  <si>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</si>
  <si>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</si>
  <si>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</si>
  <si>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</si>
  <si>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</si>
  <si>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</si>
  <si>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</si>
  <si>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</si>
  <si>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</si>
  <si>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</si>
  <si>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</si>
  <si>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</si>
  <si>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</si>
  <si>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</si>
  <si>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</si>
  <si>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</si>
  <si>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</si>
  <si>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</si>
  <si>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</si>
  <si>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CF_Hcu_HevRdy (HCU1)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</si>
  <si>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</si>
  <si>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</si>
  <si>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</si>
  <si>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</si>
  <si>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</si>
  <si>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</si>
  <si>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</si>
  <si>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</si>
  <si>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</si>
  <si>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</si>
  <si>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</si>
  <si>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</si>
  <si>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</si>
  <si>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</si>
  <si>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</si>
  <si>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</si>
  <si>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</si>
  <si>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</si>
  <si>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</si>
  <si>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</si>
  <si>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</si>
  <si>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</si>
  <si>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</si>
  <si>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</si>
  <si>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</si>
  <si>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</si>
  <si>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</si>
  <si>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</si>
  <si>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</si>
  <si>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</si>
  <si>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</si>
  <si>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</si>
  <si>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</si>
  <si>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</si>
  <si>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</si>
  <si>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</si>
  <si>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</si>
  <si>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</si>
  <si>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</si>
  <si>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</si>
  <si>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</si>
  <si>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</si>
  <si>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</si>
  <si>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</si>
  <si>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</si>
  <si>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</si>
  <si>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</si>
  <si>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</si>
  <si>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</si>
  <si>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</si>
  <si>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</si>
  <si>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</si>
  <si>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</si>
  <si>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</si>
  <si>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</si>
  <si>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</si>
  <si>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</si>
  <si>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</si>
  <si>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</si>
  <si>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</si>
  <si>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</si>
  <si>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</si>
  <si>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</si>
  <si>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</si>
  <si>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</si>
  <si>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</si>
  <si>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</si>
  <si>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</si>
  <si>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</si>
  <si>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</si>
  <si>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</si>
  <si>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</si>
  <si>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</si>
  <si>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</si>
  <si>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</si>
  <si>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</si>
  <si>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</si>
  <si>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</si>
  <si>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</si>
  <si>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</si>
  <si>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</si>
  <si>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</si>
  <si>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</si>
  <si>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</si>
  <si>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</si>
  <si>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</si>
  <si>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</si>
  <si>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</si>
  <si>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</si>
  <si>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</si>
  <si>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</si>
  <si>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</si>
  <si>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</si>
  <si>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</si>
  <si>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</si>
  <si>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</si>
  <si>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</si>
  <si>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</si>
  <si>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</si>
  <si>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</si>
  <si>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</si>
  <si>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</si>
  <si>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</si>
  <si>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</si>
  <si>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</si>
  <si>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</si>
  <si>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</si>
  <si>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</si>
  <si>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</si>
  <si>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</si>
  <si>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</si>
  <si>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</si>
  <si>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</si>
  <si>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</si>
  <si>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</si>
  <si>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</si>
  <si>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</si>
  <si>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</si>
  <si>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</si>
  <si>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</si>
  <si>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</si>
  <si>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</si>
  <si>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</si>
  <si>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</si>
  <si>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</si>
  <si>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</si>
  <si>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</si>
  <si>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</si>
  <si>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</si>
  <si>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</si>
  <si>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</si>
  <si>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</si>
  <si>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</si>
  <si>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</si>
  <si>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</si>
  <si>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</si>
  <si>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</si>
  <si>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</si>
  <si>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</si>
  <si>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</si>
  <si>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</si>
  <si>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</si>
  <si>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</si>
  <si>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</si>
  <si>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</si>
  <si>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</si>
  <si>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</si>
  <si>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</si>
  <si>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</si>
  <si>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</si>
  <si>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</si>
  <si>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</si>
  <si>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</si>
  <si>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</si>
  <si>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</si>
  <si>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</si>
  <si>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</si>
  <si>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</si>
  <si>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</si>
  <si>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</si>
  <si>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</si>
  <si>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</si>
  <si>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</si>
  <si>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</si>
  <si>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</si>
  <si>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</si>
  <si>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</si>
  <si>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</si>
  <si>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</si>
  <si>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</si>
  <si>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</si>
  <si>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</si>
  <si>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</si>
  <si>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</si>
  <si>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</si>
  <si>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</si>
  <si>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</si>
  <si>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</si>
  <si>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</si>
  <si>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</si>
  <si>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</si>
  <si>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</si>
  <si>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</si>
  <si>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</si>
  <si>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</si>
  <si>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</si>
  <si>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</si>
  <si>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</si>
  <si>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</si>
  <si>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</si>
  <si>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</si>
  <si>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</si>
  <si>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</si>
  <si>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</si>
  <si>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</si>
  <si>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</si>
  <si>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</si>
  <si>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</si>
  <si>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</si>
  <si>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</si>
  <si>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</si>
  <si>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</si>
  <si>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</si>
  <si>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</si>
  <si>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</si>
  <si>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</si>
  <si>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</si>
  <si>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</si>
  <si>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</si>
  <si>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</si>
  <si>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</si>
  <si>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</si>
  <si>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</si>
  <si>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</si>
  <si>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</si>
  <si>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</si>
  <si>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</si>
  <si>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</si>
  <si>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</si>
  <si>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</si>
  <si>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</si>
  <si>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</si>
  <si>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</si>
  <si>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</si>
  <si>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</si>
  <si>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</si>
  <si>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</si>
  <si>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</si>
  <si>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</si>
  <si>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</si>
  <si>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</si>
  <si>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</si>
  <si>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</si>
  <si>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</si>
  <si>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</si>
  <si>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</si>
  <si>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</si>
  <si>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</si>
  <si>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</si>
  <si>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</si>
  <si>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</si>
  <si>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</si>
  <si>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</si>
  <si>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</si>
  <si>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</si>
  <si>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</si>
  <si>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</si>
  <si>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</si>
  <si>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7" type="noConversion"/>
  </si>
  <si>
    <t>AUTO2</t>
    <phoneticPr fontId="37" type="noConversion"/>
  </si>
  <si>
    <t>AUTO1</t>
    <phoneticPr fontId="37" type="noConversion"/>
  </si>
  <si>
    <t>Average(K4_Dr, K4_Ps)</t>
    <phoneticPr fontId="37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</si>
  <si>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</si>
  <si>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7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</si>
  <si>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</si>
  <si>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</si>
  <si>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</si>
  <si>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</si>
  <si>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</si>
  <si>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</si>
  <si>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</si>
  <si>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</si>
  <si>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</si>
  <si>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</si>
  <si>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</si>
  <si>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</si>
  <si>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</si>
  <si>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</si>
  <si>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</si>
  <si>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</si>
  <si>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</si>
  <si>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</si>
  <si>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</si>
  <si>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</si>
  <si>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</si>
  <si>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</si>
  <si>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</si>
  <si>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</si>
  <si>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</si>
  <si>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</si>
  <si>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</si>
  <si>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</si>
  <si>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</si>
  <si>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</si>
  <si>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</si>
  <si>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</si>
  <si>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</si>
  <si>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</si>
  <si>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</si>
  <si>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</si>
  <si>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</si>
  <si>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</si>
  <si>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</si>
  <si>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</si>
  <si>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</si>
  <si>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</si>
  <si>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</si>
  <si>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</si>
  <si>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</si>
  <si>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</si>
  <si>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</si>
  <si>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</si>
  <si>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</si>
  <si>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</si>
  <si>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</si>
  <si>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</si>
  <si>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</si>
  <si>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</si>
  <si>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</si>
  <si>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</si>
  <si>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</si>
  <si>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</si>
  <si>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</si>
  <si>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</si>
  <si>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</si>
  <si>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</si>
  <si>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</si>
  <si>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</si>
  <si>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</si>
  <si>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</si>
  <si>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</si>
  <si>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</si>
  <si>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</si>
  <si>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</si>
  <si>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</si>
  <si>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</si>
  <si>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</si>
  <si>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</si>
  <si>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</si>
  <si>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</si>
  <si>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</si>
  <si>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</si>
  <si>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</si>
  <si>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</si>
  <si>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</si>
  <si>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</si>
  <si>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</si>
  <si>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</si>
  <si>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</si>
  <si>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</si>
  <si>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</si>
  <si>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</si>
  <si>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</si>
  <si>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</si>
  <si>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</si>
  <si>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</si>
  <si>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</si>
  <si>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</si>
  <si>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</si>
  <si>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</si>
  <si>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</si>
  <si>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</si>
  <si>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</si>
  <si>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</si>
  <si>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</si>
  <si>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</si>
  <si>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</si>
  <si>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</si>
  <si>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</si>
  <si>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</si>
  <si>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</si>
  <si>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</si>
  <si>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</si>
  <si>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</si>
  <si>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</si>
  <si>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</si>
  <si>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</si>
  <si>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</si>
  <si>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</si>
  <si>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</si>
  <si>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Title62</t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</si>
  <si>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</si>
  <si>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</si>
  <si>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</si>
  <si>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</si>
  <si>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</si>
  <si>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</si>
  <si>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</si>
  <si>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</si>
  <si>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</si>
  <si>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</si>
  <si>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</si>
  <si>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</si>
  <si>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</si>
  <si>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</si>
  <si>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</si>
  <si>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</si>
  <si>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</si>
  <si>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</si>
  <si>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</si>
  <si>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</si>
  <si>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</si>
  <si>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</si>
  <si>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</si>
  <si>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</si>
  <si>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</si>
  <si>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</si>
  <si>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</si>
  <si>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</si>
  <si>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</si>
  <si>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</si>
  <si>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</si>
  <si>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</si>
  <si>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</si>
  <si>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</si>
  <si>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</si>
  <si>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</si>
  <si>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</si>
  <si>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</si>
  <si>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</si>
  <si>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</si>
  <si>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</si>
  <si>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</si>
  <si>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</si>
  <si>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</si>
  <si>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</si>
  <si>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</si>
  <si>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</si>
  <si>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</si>
  <si>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</si>
  <si>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</si>
  <si>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</si>
  <si>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</si>
  <si>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</si>
  <si>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</si>
  <si>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</si>
  <si>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</si>
  <si>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</si>
  <si>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</si>
  <si>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</si>
  <si>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</si>
  <si>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</si>
  <si>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</si>
  <si>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T62</t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</si>
  <si>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</si>
  <si>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</si>
  <si>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</si>
  <si>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</si>
  <si>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</si>
  <si>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</si>
  <si>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</si>
  <si>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</si>
  <si>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</si>
  <si>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</si>
  <si>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</si>
  <si>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</si>
  <si>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</si>
  <si>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</si>
  <si>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</si>
  <si>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</si>
  <si>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</si>
  <si>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</si>
  <si>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</si>
  <si>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</si>
  <si>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</si>
  <si>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</si>
  <si>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</si>
  <si>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</si>
  <si>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</si>
  <si>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</si>
  <si>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</si>
  <si>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</si>
  <si>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</si>
  <si>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</si>
  <si>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</si>
  <si>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</si>
  <si>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</si>
  <si>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</si>
  <si>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</si>
  <si>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</si>
  <si>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</si>
  <si>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</si>
  <si>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</si>
  <si>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</si>
  <si>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</si>
  <si>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</si>
  <si>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</si>
  <si>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</si>
  <si>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</si>
  <si>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</si>
  <si>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</si>
  <si>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</si>
  <si>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</si>
  <si>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</si>
  <si>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</si>
  <si>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</si>
  <si>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</si>
  <si>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</si>
  <si>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</si>
  <si>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</si>
  <si>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7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</si>
  <si>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7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</si>
  <si>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</si>
  <si>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</si>
  <si>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</si>
  <si>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</si>
  <si>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</si>
  <si>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</si>
  <si>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</si>
  <si>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</si>
  <si>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</si>
  <si>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</si>
  <si>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</si>
  <si>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</si>
  <si>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</si>
  <si>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</si>
  <si>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</si>
  <si>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</si>
  <si>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</si>
  <si>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</si>
  <si>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</si>
  <si>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</si>
  <si>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</si>
  <si>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</si>
  <si>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</si>
  <si>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</si>
  <si>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</si>
  <si>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</si>
  <si>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</si>
  <si>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</si>
  <si>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</si>
  <si>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</si>
  <si>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</si>
  <si>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</si>
  <si>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</si>
  <si>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</si>
  <si>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</si>
  <si>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</si>
  <si>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</si>
  <si>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</si>
  <si>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</si>
  <si>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</si>
  <si>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</si>
  <si>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</si>
  <si>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</si>
  <si>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</si>
  <si>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</si>
  <si>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</si>
  <si>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</si>
  <si>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</si>
  <si>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</si>
  <si>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</si>
  <si>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</si>
  <si>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</si>
  <si>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</si>
  <si>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</si>
  <si>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</si>
  <si>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</si>
  <si>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</si>
  <si>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</si>
  <si>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</si>
  <si>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</si>
  <si>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</si>
  <si>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</si>
  <si>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</si>
  <si>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</si>
  <si>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</si>
  <si>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</si>
  <si>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</si>
  <si>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</si>
  <si>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</si>
  <si>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</si>
  <si>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</si>
  <si>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</si>
  <si>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</si>
  <si>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</si>
  <si>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</si>
  <si>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</si>
  <si>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</si>
  <si>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</si>
  <si>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</si>
  <si>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</si>
  <si>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</si>
  <si>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</si>
  <si>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</si>
  <si>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</si>
  <si>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</si>
  <si>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</si>
  <si>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</si>
  <si>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</si>
  <si>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</si>
  <si>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</si>
  <si>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</si>
  <si>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</si>
  <si>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</si>
  <si>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</si>
  <si>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</si>
  <si>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</si>
  <si>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</si>
  <si>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</si>
  <si>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</si>
  <si>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</si>
  <si>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</si>
  <si>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</si>
  <si>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</si>
  <si>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</si>
  <si>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</si>
  <si>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</si>
  <si>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</si>
  <si>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</si>
  <si>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</si>
  <si>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</si>
  <si>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</si>
  <si>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</si>
  <si>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</si>
  <si>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</si>
  <si>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</si>
  <si>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</si>
  <si>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</si>
  <si>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</si>
  <si>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</si>
  <si>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</si>
  <si>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</si>
  <si>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</si>
  <si>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</si>
  <si>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</si>
  <si>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</si>
  <si>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</si>
  <si>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</si>
  <si>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</si>
  <si>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</si>
  <si>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</si>
  <si>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</si>
  <si>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</si>
  <si>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</si>
  <si>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</si>
  <si>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</si>
  <si>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</si>
  <si>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</si>
  <si>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</si>
  <si>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</si>
  <si>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T62.1</t>
  </si>
  <si>
    <t>P62.1</t>
  </si>
  <si>
    <t>T62.1.1</t>
  </si>
  <si>
    <t>T62.1.2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</si>
  <si>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</si>
  <si>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</si>
  <si>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</si>
  <si>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</si>
  <si>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</si>
  <si>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</si>
  <si>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</si>
  <si>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</si>
  <si>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</si>
  <si>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</si>
  <si>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</si>
  <si>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</si>
  <si>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</si>
  <si>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</si>
  <si>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</si>
  <si>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</si>
  <si>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</si>
  <si>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</si>
  <si>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</si>
  <si>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</si>
  <si>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</si>
  <si>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</si>
  <si>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</si>
  <si>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</si>
  <si>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</si>
  <si>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</si>
  <si>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</si>
  <si>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</si>
  <si>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</si>
  <si>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</si>
  <si>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</si>
  <si>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</si>
  <si>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</si>
  <si>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</si>
  <si>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</si>
  <si>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</si>
  <si>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</si>
  <si>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</si>
  <si>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VCU_FatcPermPwrVal</t>
  </si>
  <si>
    <t>(For EV) NE PE : 650 이상</t>
  </si>
  <si>
    <t>VCU_FatcPermPwrVal &gt; 650 설정하기 위한 변수 확인</t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</si>
  <si>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</si>
  <si>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</si>
  <si>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</si>
  <si>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DATC_OutTempSnsrVal</t>
    <phoneticPr fontId="11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</si>
  <si>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</si>
  <si>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</si>
  <si>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</si>
  <si>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</si>
  <si>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</si>
  <si>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</si>
  <si>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Title1</t>
  </si>
  <si>
    <t>T1.1</t>
  </si>
  <si>
    <t>P1.1</t>
  </si>
  <si>
    <t>T1.1.1</t>
  </si>
  <si>
    <t>T1.1.2</t>
  </si>
  <si>
    <t>T1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</si>
  <si>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</si>
  <si>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</si>
  <si>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</si>
  <si>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</si>
  <si>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</si>
  <si>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</si>
  <si>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</si>
  <si>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</si>
  <si>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</si>
  <si>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</si>
  <si>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</si>
  <si>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</si>
  <si>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</si>
  <si>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</si>
  <si>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</si>
  <si>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</si>
  <si>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</si>
  <si>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</si>
  <si>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</si>
  <si>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</si>
  <si>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</si>
  <si>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</si>
  <si>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</si>
  <si>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</si>
  <si>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</si>
  <si>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</si>
  <si>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</si>
  <si>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</si>
  <si>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</si>
  <si>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</si>
  <si>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</si>
  <si>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</si>
  <si>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</si>
  <si>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</si>
  <si>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</si>
  <si>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</si>
  <si>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</si>
  <si>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</si>
  <si>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</si>
  <si>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</si>
  <si>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</si>
  <si>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</si>
  <si>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</si>
  <si>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</si>
  <si>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</si>
  <si>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</si>
  <si>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</si>
  <si>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</si>
  <si>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</si>
  <si>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</si>
  <si>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</si>
  <si>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</si>
  <si>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</si>
  <si>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</si>
  <si>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</si>
  <si>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</si>
  <si>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</si>
  <si>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</si>
  <si>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</si>
  <si>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</si>
  <si>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</si>
  <si>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</si>
  <si>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</si>
  <si>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</si>
  <si>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</si>
  <si>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</si>
  <si>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</si>
  <si>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</si>
  <si>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</si>
  <si>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</si>
  <si>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</si>
  <si>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</si>
  <si>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</si>
  <si>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</si>
  <si>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</si>
  <si>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</si>
  <si>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</si>
  <si>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</si>
  <si>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</si>
  <si>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</si>
  <si>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</si>
  <si>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</si>
  <si>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</si>
  <si>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</si>
  <si>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</si>
  <si>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</si>
  <si>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</si>
  <si>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</si>
  <si>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</si>
  <si>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</si>
  <si>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</si>
  <si>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</si>
  <si>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</si>
  <si>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</si>
  <si>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</si>
  <si>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</si>
  <si>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</si>
  <si>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</si>
  <si>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</si>
  <si>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</si>
  <si>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</si>
  <si>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</si>
  <si>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</si>
  <si>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</si>
  <si>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</si>
  <si>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</si>
  <si>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</si>
  <si>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</si>
  <si>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</si>
  <si>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</si>
  <si>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</si>
  <si>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</si>
  <si>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</si>
  <si>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</si>
  <si>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</si>
  <si>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</si>
  <si>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</si>
  <si>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</si>
  <si>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</si>
  <si>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</si>
  <si>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</si>
  <si>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</si>
  <si>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</si>
  <si>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</si>
  <si>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</si>
  <si>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</si>
  <si>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</si>
  <si>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</si>
  <si>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</si>
  <si>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</si>
  <si>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</si>
  <si>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</si>
  <si>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</si>
  <si>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</si>
  <si>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</si>
  <si>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</si>
  <si>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</si>
  <si>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</si>
  <si>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</si>
  <si>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</si>
  <si>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</si>
  <si>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</si>
  <si>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</si>
  <si>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</si>
  <si>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</si>
  <si>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</si>
  <si>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</si>
  <si>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</si>
  <si>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</si>
  <si>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</si>
  <si>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</si>
  <si>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</si>
  <si>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</si>
  <si>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</si>
  <si>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</si>
  <si>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</si>
  <si>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</si>
  <si>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</si>
  <si>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</si>
  <si>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</si>
  <si>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</si>
  <si>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</si>
  <si>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</si>
  <si>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</si>
  <si>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</si>
  <si>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</si>
  <si>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</si>
  <si>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</si>
  <si>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</si>
  <si>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</si>
  <si>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</si>
  <si>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</si>
  <si>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</si>
  <si>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</si>
  <si>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</si>
  <si>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</si>
  <si>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</si>
  <si>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</si>
  <si>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</si>
  <si>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</si>
  <si>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</si>
  <si>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</si>
  <si>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</si>
  <si>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</si>
  <si>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</si>
  <si>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</si>
  <si>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</si>
  <si>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</si>
  <si>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</si>
  <si>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</si>
  <si>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</si>
  <si>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</si>
  <si>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</si>
  <si>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</si>
  <si>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</si>
  <si>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</si>
  <si>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</si>
  <si>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</si>
  <si>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</si>
  <si>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</si>
  <si>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</si>
  <si>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</si>
  <si>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</si>
  <si>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</si>
  <si>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</si>
  <si>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</si>
  <si>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</si>
  <si>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</si>
  <si>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</si>
  <si>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</si>
  <si>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</si>
  <si>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</si>
  <si>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</si>
  <si>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</si>
  <si>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</si>
  <si>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</si>
  <si>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</si>
  <si>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</si>
  <si>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</si>
  <si>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</si>
  <si>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</si>
  <si>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</si>
  <si>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</si>
  <si>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</si>
  <si>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</si>
  <si>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</si>
  <si>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</si>
  <si>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</si>
  <si>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</si>
  <si>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</si>
  <si>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</si>
  <si>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</si>
  <si>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</si>
  <si>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</si>
  <si>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</si>
  <si>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</si>
  <si>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</si>
  <si>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</si>
  <si>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</si>
  <si>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</si>
  <si>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</si>
  <si>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</si>
  <si>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</si>
  <si>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</si>
  <si>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</si>
  <si>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</si>
  <si>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</si>
  <si>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</si>
  <si>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</si>
  <si>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</si>
  <si>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</si>
  <si>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</si>
  <si>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</si>
  <si>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</si>
  <si>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</si>
  <si>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</si>
  <si>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</si>
  <si>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</si>
  <si>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</si>
  <si>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</si>
  <si>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</si>
  <si>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</si>
  <si>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</si>
  <si>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</si>
  <si>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</si>
  <si>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</si>
  <si>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</si>
  <si>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</si>
  <si>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</si>
  <si>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</si>
  <si>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</si>
  <si>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</si>
  <si>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</si>
  <si>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</si>
  <si>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</si>
  <si>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</si>
  <si>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</si>
  <si>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</si>
  <si>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</si>
  <si>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</si>
  <si>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</si>
  <si>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</si>
  <si>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</si>
  <si>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</si>
  <si>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</si>
  <si>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</si>
  <si>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</si>
  <si>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</si>
  <si>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</si>
  <si>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</si>
  <si>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</si>
  <si>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</si>
  <si>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</si>
  <si>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</si>
  <si>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</si>
  <si>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</si>
  <si>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</si>
  <si>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</si>
  <si>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</si>
  <si>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</si>
  <si>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</si>
  <si>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</si>
  <si>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</si>
  <si>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</si>
  <si>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</si>
  <si>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</si>
  <si>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</si>
  <si>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</si>
  <si>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</si>
  <si>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</si>
  <si>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</si>
  <si>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</si>
  <si>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</si>
  <si>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</si>
  <si>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</si>
  <si>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</si>
  <si>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</si>
  <si>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</si>
  <si>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</si>
  <si>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</si>
  <si>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</si>
  <si>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</si>
  <si>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</si>
  <si>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</si>
  <si>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</si>
  <si>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</si>
  <si>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</si>
  <si>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</si>
  <si>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</si>
  <si>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</si>
  <si>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</si>
  <si>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</si>
  <si>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</si>
  <si>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</si>
  <si>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</si>
  <si>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</si>
  <si>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</si>
  <si>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</si>
  <si>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</si>
  <si>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</si>
  <si>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</si>
  <si>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</si>
  <si>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</si>
  <si>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</si>
  <si>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</si>
  <si>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</si>
  <si>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</si>
  <si>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</si>
  <si>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</si>
  <si>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</si>
  <si>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</si>
  <si>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</si>
  <si>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</si>
  <si>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</si>
  <si>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</si>
  <si>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</si>
  <si>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</si>
  <si>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</si>
  <si>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</si>
  <si>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</si>
  <si>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</si>
  <si>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</si>
  <si>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</si>
  <si>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</si>
  <si>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</si>
  <si>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</si>
  <si>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</si>
  <si>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</si>
  <si>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검증 차종에 맞춰 Initialization 수정 필요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</si>
  <si>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</si>
  <si>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</si>
  <si>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 차종</t>
    <phoneticPr fontId="10" type="noConversion"/>
  </si>
  <si>
    <t>Permission 변수명 확인</t>
    <phoneticPr fontId="10" type="noConversion"/>
  </si>
  <si>
    <t>난방기동제어 미진입 조건 설정, 다른 로직에 영향이 없을지 추가 확인</t>
    <phoneticPr fontId="9" type="noConversion"/>
  </si>
  <si>
    <t>모든 Eva Sensor 값 동일 설정</t>
    <phoneticPr fontId="10" type="noConversion"/>
  </si>
  <si>
    <t>모든 Duct Sensor 값 동일 설정</t>
    <phoneticPr fontId="10" type="noConversion"/>
  </si>
  <si>
    <t>T_DW 연산 : 셀습도/셀온도 변수 확인</t>
    <phoneticPr fontId="10" type="noConversion"/>
  </si>
  <si>
    <t>Duct 수는 차종별 상이</t>
    <phoneticPr fontId="10" type="noConversion"/>
  </si>
  <si>
    <t>32 &lt; APT_Value &lt; 275 설정 확인, P SIGNAL_COMP OUT 이 APT 로 사용되는지 확인</t>
    <phoneticPr fontId="10" type="noConversion"/>
  </si>
  <si>
    <t>RTS_COMP &lt; 120 설정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</si>
  <si>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</si>
  <si>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</si>
  <si>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</si>
  <si>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EXV 제어사양에 따름</t>
  </si>
  <si>
    <t>Master 사양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</si>
  <si>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</si>
  <si>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</si>
  <si>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</si>
  <si>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Master_ATC 로직사양서 (기능_hev+phev)_V01.1_20240730_24년 4차 표준사양협의체 결과 반영.xlsx</t>
    <phoneticPr fontId="11" type="noConversion"/>
  </si>
  <si>
    <t>NE1 PE_UNIT_logic_사양서_1.04.00_20240622_인도 통합 P 사양 재배포_인도로직 추가 (이력 1.03.10 추가).xlsx</t>
    <phoneticPr fontId="11" type="noConversion"/>
  </si>
  <si>
    <t>Duct</t>
    <phoneticPr fontId="9" type="noConversion"/>
  </si>
  <si>
    <t>PsMode_ACT</t>
    <phoneticPr fontId="9" type="noConversion"/>
  </si>
  <si>
    <t>PeEwpRPMReq</t>
    <phoneticPr fontId="9" type="noConversion"/>
  </si>
  <si>
    <t>BAT. ON시 초기화 기능</t>
    <phoneticPr fontId="9" type="noConversion"/>
  </si>
  <si>
    <t>BAT. ON시 초기화 기능 확인</t>
    <phoneticPr fontId="9" type="noConversion"/>
  </si>
  <si>
    <t>배터리쿨링 협조 제어사양 (H/P 할때)</t>
    <phoneticPr fontId="9" type="noConversion"/>
  </si>
  <si>
    <t>배터리쿨링 협조 제어사양 (H/P 할때) 로직 동작 확인</t>
    <phoneticPr fontId="9" type="noConversion"/>
  </si>
  <si>
    <t>T62.1.2</t>
    <phoneticPr fontId="9" type="noConversion"/>
  </si>
  <si>
    <t>검증유닛용_로직 작동 확인_Depth.1_EV_내수일반</t>
    <phoneticPr fontId="5" type="noConversion"/>
  </si>
  <si>
    <t>작성자</t>
    <phoneticPr fontId="5" type="noConversion"/>
  </si>
  <si>
    <t>관리자</t>
    <phoneticPr fontId="5" type="noConversion"/>
  </si>
  <si>
    <t>2024-12-19 ~ 2025-01-22</t>
    <phoneticPr fontId="5" type="noConversion"/>
  </si>
  <si>
    <t>초안 작성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</si>
</sst>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3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6" fillId="0" borderId="0"/>
    <xf numFmtId="0" fontId="8" fillId="0" borderId="0">
      <alignment vertical="center"/>
    </xf>
    <xf numFmtId="0" fontId="40" fillId="0" borderId="0">
      <alignment vertical="center"/>
    </xf>
    <xf numFmtId="0" fontId="45" fillId="0" borderId="0"/>
    <xf numFmtId="41" fontId="46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2" fillId="0" borderId="0" xfId="14" applyFont="1">
      <alignment vertical="center"/>
    </xf>
    <xf numFmtId="0" fontId="22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7" borderId="0" xfId="12" applyFont="1" applyFill="1">
      <alignment vertical="center"/>
    </xf>
    <xf numFmtId="0" fontId="26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2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6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6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5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3" fillId="1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1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2" fillId="11" borderId="16" xfId="2" applyFont="1" applyFill="1" applyBorder="1">
      <alignment vertical="center"/>
    </xf>
    <xf numFmtId="0" fontId="52" fillId="11" borderId="16" xfId="2" applyFont="1" applyFill="1" applyBorder="1" applyAlignment="1">
      <alignment horizontal="center" vertical="center"/>
    </xf>
    <xf numFmtId="0" fontId="5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52" fillId="12" borderId="3" xfId="2" applyFont="1" applyFill="1" applyBorder="1">
      <alignment vertical="center"/>
    </xf>
    <xf numFmtId="0" fontId="52" fillId="12" borderId="3" xfId="2" applyFont="1" applyFill="1" applyBorder="1" applyAlignment="1">
      <alignment horizontal="center" vertical="center"/>
    </xf>
    <xf numFmtId="0" fontId="17" fillId="0" borderId="0" xfId="17" applyFont="1">
      <alignment vertical="center"/>
    </xf>
    <xf numFmtId="0" fontId="33" fillId="20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0" fontId="26" fillId="15" borderId="0" xfId="17" applyFont="1" applyFill="1">
      <alignment vertical="center"/>
    </xf>
    <xf numFmtId="0" fontId="29" fillId="0" borderId="0" xfId="0" applyFont="1" applyAlignment="1"/>
    <xf numFmtId="0" fontId="52" fillId="22" borderId="18" xfId="0" applyFont="1" applyFill="1" applyBorder="1" applyAlignment="1">
      <alignment horizontal="center" vertical="center"/>
    </xf>
    <xf numFmtId="0" fontId="52" fillId="22" borderId="19" xfId="0" applyFont="1" applyFill="1" applyBorder="1" applyAlignment="1">
      <alignment horizontal="center" vertical="center"/>
    </xf>
    <xf numFmtId="0" fontId="52" fillId="22" borderId="20" xfId="0" applyFont="1" applyFill="1" applyBorder="1" applyAlignment="1">
      <alignment horizontal="center" vertical="center"/>
    </xf>
    <xf numFmtId="0" fontId="52" fillId="22" borderId="21" xfId="0" applyFont="1" applyFill="1" applyBorder="1" applyAlignment="1">
      <alignment horizontal="center" vertical="center"/>
    </xf>
    <xf numFmtId="0" fontId="52" fillId="22" borderId="22" xfId="0" applyFont="1" applyFill="1" applyBorder="1" applyAlignment="1">
      <alignment horizontal="center" vertical="center"/>
    </xf>
    <xf numFmtId="0" fontId="52" fillId="22" borderId="23" xfId="0" applyFont="1" applyFill="1" applyBorder="1" applyAlignment="1">
      <alignment horizontal="center" vertical="center"/>
    </xf>
    <xf numFmtId="0" fontId="52" fillId="23" borderId="18" xfId="0" applyFont="1" applyFill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0" fontId="52" fillId="23" borderId="18" xfId="25" applyFont="1" applyFill="1" applyBorder="1" applyAlignment="1">
      <alignment horizontal="center" vertical="center"/>
    </xf>
    <xf numFmtId="180" fontId="52" fillId="0" borderId="19" xfId="25" applyNumberFormat="1" applyFont="1" applyBorder="1" applyAlignment="1">
      <alignment horizontal="center" vertical="center"/>
    </xf>
    <xf numFmtId="181" fontId="52" fillId="0" borderId="20" xfId="25" applyNumberFormat="1" applyFont="1" applyBorder="1" applyAlignment="1">
      <alignment horizontal="center" vertical="center"/>
    </xf>
    <xf numFmtId="0" fontId="52" fillId="23" borderId="24" xfId="0" applyFont="1" applyFill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1" fontId="52" fillId="0" borderId="26" xfId="0" applyNumberFormat="1" applyFont="1" applyBorder="1" applyAlignment="1">
      <alignment horizontal="center" vertical="center"/>
    </xf>
    <xf numFmtId="0" fontId="52" fillId="23" borderId="24" xfId="25" applyFont="1" applyFill="1" applyBorder="1" applyAlignment="1">
      <alignment horizontal="center" vertical="center"/>
    </xf>
    <xf numFmtId="180" fontId="52" fillId="0" borderId="25" xfId="25" applyNumberFormat="1" applyFont="1" applyBorder="1" applyAlignment="1">
      <alignment horizontal="center" vertical="center"/>
    </xf>
    <xf numFmtId="181" fontId="52" fillId="0" borderId="26" xfId="25" applyNumberFormat="1" applyFont="1" applyBorder="1" applyAlignment="1">
      <alignment horizontal="center" vertical="center"/>
    </xf>
    <xf numFmtId="0" fontId="52" fillId="23" borderId="21" xfId="0" applyFont="1" applyFill="1" applyBorder="1" applyAlignment="1">
      <alignment horizontal="center" vertical="center"/>
    </xf>
    <xf numFmtId="180" fontId="52" fillId="0" borderId="22" xfId="0" applyNumberFormat="1" applyFont="1" applyBorder="1" applyAlignment="1">
      <alignment horizontal="center" vertical="center"/>
    </xf>
    <xf numFmtId="181" fontId="52" fillId="0" borderId="23" xfId="0" applyNumberFormat="1" applyFont="1" applyBorder="1" applyAlignment="1">
      <alignment horizontal="center" vertical="center"/>
    </xf>
    <xf numFmtId="0" fontId="52" fillId="23" borderId="21" xfId="25" applyFont="1" applyFill="1" applyBorder="1" applyAlignment="1">
      <alignment horizontal="center" vertical="center"/>
    </xf>
    <xf numFmtId="180" fontId="52" fillId="0" borderId="22" xfId="25" applyNumberFormat="1" applyFont="1" applyBorder="1" applyAlignment="1">
      <alignment horizontal="center" vertical="center"/>
    </xf>
    <xf numFmtId="181" fontId="52" fillId="0" borderId="23" xfId="25" applyNumberFormat="1" applyFont="1" applyBorder="1" applyAlignment="1">
      <alignment horizontal="center" vertical="center"/>
    </xf>
    <xf numFmtId="0" fontId="52" fillId="4" borderId="24" xfId="0" applyFont="1" applyFill="1" applyBorder="1" applyAlignment="1">
      <alignment horizontal="center" vertical="center"/>
    </xf>
    <xf numFmtId="180" fontId="52" fillId="4" borderId="25" xfId="0" applyNumberFormat="1" applyFont="1" applyFill="1" applyBorder="1" applyAlignment="1">
      <alignment horizontal="center" vertical="center"/>
    </xf>
    <xf numFmtId="181" fontId="52" fillId="4" borderId="26" xfId="0" applyNumberFormat="1" applyFont="1" applyFill="1" applyBorder="1" applyAlignment="1">
      <alignment horizontal="center" vertical="center"/>
    </xf>
    <xf numFmtId="0" fontId="52" fillId="4" borderId="24" xfId="25" applyFont="1" applyFill="1" applyBorder="1" applyAlignment="1">
      <alignment horizontal="center" vertical="center"/>
    </xf>
    <xf numFmtId="180" fontId="52" fillId="4" borderId="25" xfId="25" applyNumberFormat="1" applyFont="1" applyFill="1" applyBorder="1" applyAlignment="1">
      <alignment horizontal="center" vertical="center"/>
    </xf>
    <xf numFmtId="181" fontId="52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29" fillId="4" borderId="0" xfId="14" applyFont="1" applyFill="1">
      <alignment vertical="center"/>
    </xf>
    <xf numFmtId="0" fontId="55" fillId="6" borderId="9" xfId="0" applyFont="1" applyFill="1" applyBorder="1" applyAlignment="1">
      <alignment wrapText="1"/>
    </xf>
    <xf numFmtId="0" fontId="56" fillId="27" borderId="0" xfId="14" applyFont="1" applyFill="1" applyAlignment="1">
      <alignment horizontal="center" vertical="center"/>
    </xf>
    <xf numFmtId="0" fontId="17" fillId="27" borderId="0" xfId="14" applyFont="1" applyFill="1">
      <alignment vertical="center"/>
    </xf>
    <xf numFmtId="0" fontId="17" fillId="27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2" fillId="0" borderId="4" xfId="16" applyFont="1" applyBorder="1" applyAlignment="1"/>
    <xf numFmtId="0" fontId="20" fillId="0" borderId="0" xfId="0" applyFont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58" fillId="0" borderId="0" xfId="16" applyFont="1" applyAlignment="1"/>
    <xf numFmtId="0" fontId="3" fillId="0" borderId="4" xfId="16" applyBorder="1" applyAlignment="1">
      <alignment horizontal="center"/>
    </xf>
    <xf numFmtId="0" fontId="42" fillId="0" borderId="0" xfId="16" applyFont="1" applyAlignment="1"/>
    <xf numFmtId="0" fontId="49" fillId="0" borderId="0" xfId="16" applyFont="1" applyAlignment="1"/>
    <xf numFmtId="0" fontId="57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2" fillId="0" borderId="0" xfId="21" applyFont="1" applyAlignment="1">
      <alignment horizontal="left" vertical="center"/>
    </xf>
    <xf numFmtId="0" fontId="42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49" fillId="0" borderId="4" xfId="16" applyFont="1" applyBorder="1">
      <alignment vertical="center"/>
    </xf>
    <xf numFmtId="0" fontId="59" fillId="0" borderId="4" xfId="16" applyFont="1" applyBorder="1" applyAlignment="1"/>
    <xf numFmtId="0" fontId="3" fillId="8" borderId="0" xfId="16" applyFill="1" applyAlignment="1"/>
    <xf numFmtId="0" fontId="3" fillId="8" borderId="0" xfId="0" applyFont="1" applyFill="1">
      <alignment vertical="center"/>
    </xf>
    <xf numFmtId="0" fontId="33" fillId="8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3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53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53" fillId="20" borderId="14" xfId="23" applyFont="1" applyFill="1" applyBorder="1" applyAlignment="1" applyProtection="1">
      <alignment horizontal="center" vertical="center" wrapText="1"/>
      <protection hidden="1"/>
    </xf>
    <xf numFmtId="0" fontId="53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7" fillId="7" borderId="4" xfId="14" applyFont="1" applyFill="1" applyBorder="1" applyAlignment="1">
      <alignment horizontal="center" vertical="center" wrapText="1"/>
    </xf>
    <xf numFmtId="0" fontId="17" fillId="7" borderId="4" xfId="27" applyNumberFormat="1" applyFont="1" applyFill="1" applyBorder="1" applyAlignment="1">
      <alignment horizontal="center" vertical="center" wrapText="1"/>
    </xf>
    <xf numFmtId="2" fontId="17" fillId="5" borderId="0" xfId="14" applyNumberFormat="1" applyFont="1" applyFill="1">
      <alignment vertical="center"/>
    </xf>
    <xf numFmtId="0" fontId="23" fillId="0" borderId="0" xfId="0" applyFont="1" applyAlignment="1"/>
    <xf numFmtId="0" fontId="51" fillId="7" borderId="14" xfId="5" applyFont="1" applyFill="1" applyBorder="1" applyAlignment="1">
      <alignment horizontal="left" vertical="center"/>
    </xf>
    <xf numFmtId="0" fontId="51" fillId="7" borderId="17" xfId="5" applyFont="1" applyFill="1" applyBorder="1" applyAlignment="1">
      <alignment horizontal="left" vertical="center"/>
    </xf>
    <xf numFmtId="0" fontId="52" fillId="12" borderId="16" xfId="2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wrapText="1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50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B1" sqref="B1:E23"/>
    </sheetView>
  </sheetViews>
  <sheetFormatPr defaultColWidth="11.42578125" defaultRowHeight="12.75"/>
  <cols>
    <col min="1" max="1" width="3" customWidth="1"/>
    <col min="2" max="2" width="12.7109375" customWidth="1"/>
    <col min="3" max="3" width="31.42578125" customWidth="1"/>
    <col min="4" max="4" width="10.28515625" customWidth="1"/>
    <col min="5" max="5" width="91.85546875" customWidth="1"/>
    <col min="6" max="6" width="12.42578125" customWidth="1"/>
  </cols>
  <sheetData>
    <row r="1" spans="2:5" ht="15" customHeight="1" thickBot="1">
      <c r="B1" s="16"/>
      <c r="C1" s="16"/>
      <c r="D1" s="16"/>
      <c r="E1" s="16"/>
    </row>
    <row r="2" spans="2:5" ht="15.75" customHeight="1">
      <c r="B2" s="15" t="s">
        <v>115</v>
      </c>
      <c r="C2" s="208" t="s">
        <v>1192</v>
      </c>
      <c r="D2" s="209"/>
      <c r="E2" s="210"/>
    </row>
    <row r="3" spans="2:5" ht="15" customHeight="1" thickBot="1">
      <c r="B3" s="26" t="s">
        <v>1193</v>
      </c>
      <c r="C3" s="211" t="s">
        <v>606</v>
      </c>
      <c r="D3" s="212"/>
      <c r="E3" s="213"/>
    </row>
    <row r="4" spans="2:5" ht="15" customHeight="1">
      <c r="B4" s="50" t="s">
        <v>0</v>
      </c>
      <c r="C4" s="51" t="s">
        <v>1</v>
      </c>
      <c r="D4" s="51" t="s">
        <v>1194</v>
      </c>
      <c r="E4" s="52" t="s">
        <v>114</v>
      </c>
    </row>
    <row r="5" spans="2:5" ht="16.5" customHeight="1">
      <c r="B5" s="17">
        <v>0.1</v>
      </c>
      <c r="C5" s="18" t="s">
        <v>1195</v>
      </c>
      <c r="D5" s="27" t="s">
        <v>116</v>
      </c>
      <c r="E5" s="19" t="s">
        <v>1196</v>
      </c>
    </row>
    <row r="6" spans="2:5" ht="16.5" customHeight="1">
      <c r="B6" s="17"/>
      <c r="C6" s="18"/>
      <c r="D6" s="27"/>
      <c r="E6" s="172"/>
    </row>
    <row r="7" spans="2:5" ht="15" customHeight="1">
      <c r="B7" s="17"/>
      <c r="C7" s="18"/>
      <c r="D7" s="235"/>
      <c r="E7" s="19"/>
    </row>
    <row r="8" spans="2:5" ht="15" customHeight="1">
      <c r="B8" s="20"/>
      <c r="C8" s="18"/>
      <c r="D8" s="21"/>
      <c r="E8" s="19"/>
    </row>
    <row r="9" spans="2:5" ht="15" customHeight="1">
      <c r="B9" s="20"/>
      <c r="C9" s="18"/>
      <c r="D9" s="21"/>
      <c r="E9" s="19"/>
    </row>
    <row r="10" spans="2:5" ht="15" customHeight="1">
      <c r="B10" s="20"/>
      <c r="C10" s="18"/>
      <c r="D10" s="21"/>
      <c r="E10" s="19"/>
    </row>
    <row r="11" spans="2:5" ht="15" customHeight="1">
      <c r="B11" s="20"/>
      <c r="C11" s="18"/>
      <c r="D11" s="21"/>
      <c r="E11" s="19"/>
    </row>
    <row r="12" spans="2:5" ht="15" customHeight="1">
      <c r="B12" s="20"/>
      <c r="C12" s="18"/>
      <c r="D12" s="21"/>
      <c r="E12" s="19"/>
    </row>
    <row r="13" spans="2:5" ht="15" customHeight="1">
      <c r="B13" s="20"/>
      <c r="C13" s="18"/>
      <c r="D13" s="21"/>
      <c r="E13" s="19"/>
    </row>
    <row r="14" spans="2:5" ht="15" customHeight="1">
      <c r="B14" s="20"/>
      <c r="C14" s="18"/>
      <c r="D14" s="21"/>
      <c r="E14" s="19"/>
    </row>
    <row r="15" spans="2:5" ht="15" customHeight="1">
      <c r="B15" s="20"/>
      <c r="C15" s="18"/>
      <c r="D15" s="21"/>
      <c r="E15" s="19"/>
    </row>
    <row r="16" spans="2:5" ht="15" customHeight="1">
      <c r="B16" s="20"/>
      <c r="C16" s="18"/>
      <c r="D16" s="21"/>
      <c r="E16" s="19"/>
    </row>
    <row r="17" spans="2:5" ht="15" customHeight="1">
      <c r="B17" s="20"/>
      <c r="C17" s="18"/>
      <c r="D17" s="21"/>
      <c r="E17" s="19"/>
    </row>
    <row r="18" spans="2:5" ht="15" customHeight="1">
      <c r="B18" s="20"/>
      <c r="C18" s="18"/>
      <c r="D18" s="21"/>
      <c r="E18" s="19"/>
    </row>
    <row r="19" spans="2:5" ht="15" customHeight="1">
      <c r="B19" s="20"/>
      <c r="C19" s="18"/>
      <c r="D19" s="21"/>
      <c r="E19" s="19"/>
    </row>
    <row r="20" spans="2:5" ht="15" customHeight="1">
      <c r="B20" s="20"/>
      <c r="C20" s="18"/>
      <c r="D20" s="21"/>
      <c r="E20" s="19"/>
    </row>
    <row r="21" spans="2:5" ht="15" customHeight="1">
      <c r="B21" s="20"/>
      <c r="C21" s="18"/>
      <c r="D21" s="21"/>
      <c r="E21" s="19"/>
    </row>
    <row r="22" spans="2:5" ht="15" customHeight="1">
      <c r="B22" s="20"/>
      <c r="C22" s="18"/>
      <c r="D22" s="21"/>
      <c r="E22" s="19"/>
    </row>
    <row r="23" spans="2:5" ht="15.75" customHeight="1" thickBot="1">
      <c r="B23" s="22"/>
      <c r="C23" s="23"/>
      <c r="D23" s="24"/>
      <c r="E23" s="25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01"/>
  <sheetViews>
    <sheetView zoomScale="85" zoomScaleNormal="85" workbookViewId="0">
      <pane ySplit="7" topLeftCell="A8" activePane="bottomLeft" state="frozen"/>
      <selection pane="bottomLeft" sqref="A1:DP77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hidden="1" customWidth="1"/>
    <col min="25" max="25" width="10.28515625" hidden="1" customWidth="1"/>
    <col min="26" max="26" width="10.42578125" hidden="1" customWidth="1"/>
    <col min="27" max="27" width="11.28515625" hidden="1" customWidth="1"/>
    <col min="28" max="28" width="11.5703125" hidden="1" customWidth="1"/>
    <col min="29" max="29" width="9.28515625" hidden="1" customWidth="1"/>
    <col min="30" max="31" width="10" hidden="1" customWidth="1"/>
    <col min="32" max="33" width="9.28515625" hidden="1" customWidth="1"/>
    <col min="34" max="34" width="11.5703125" hidden="1" customWidth="1"/>
    <col min="35" max="35" width="13.28515625" hidden="1" customWidth="1"/>
    <col min="36" max="36" width="9.28515625" hidden="1" customWidth="1"/>
    <col min="37" max="37" width="10.28515625" hidden="1" customWidth="1"/>
    <col min="38" max="38" width="9.28515625" hidden="1" customWidth="1"/>
    <col min="39" max="39" width="10.7109375" hidden="1" customWidth="1"/>
    <col min="40" max="41" width="9.28515625" customWidth="1"/>
    <col min="42" max="42" width="9.140625" customWidth="1"/>
    <col min="43" max="43" width="10.5703125" customWidth="1"/>
    <col min="44" max="69" width="10.5703125" hidden="1" customWidth="1"/>
    <col min="70" max="70" width="10.28515625" hidden="1" customWidth="1"/>
    <col min="71" max="71" width="19.7109375" hidden="1" customWidth="1"/>
    <col min="72" max="75" width="0" hidden="1" customWidth="1"/>
    <col min="76" max="76" width="13.7109375" hidden="1" customWidth="1"/>
    <col min="77" max="77" width="14.7109375" hidden="1" customWidth="1"/>
    <col min="78" max="78" width="13.7109375" hidden="1" customWidth="1"/>
    <col min="79" max="79" width="0" hidden="1" customWidth="1"/>
    <col min="80" max="80" width="10.5703125" customWidth="1"/>
    <col min="81" max="92" width="0" hidden="1" customWidth="1"/>
    <col min="93" max="93" width="10.5703125" customWidth="1"/>
    <col min="94" max="110" width="0" hidden="1" customWidth="1"/>
    <col min="111" max="114" width="10.5703125" customWidth="1"/>
    <col min="115" max="118" width="0" hidden="1" customWidth="1"/>
    <col min="119" max="119" width="10.5703125" customWidth="1"/>
    <col min="120" max="120" width="10.28515625" customWidth="1"/>
  </cols>
  <sheetData>
    <row r="1" spans="1:120" ht="12.75" customHeight="1">
      <c r="A1" s="231"/>
      <c r="B1" s="231"/>
      <c r="C1" s="231"/>
      <c r="D1" s="231"/>
      <c r="E1" s="231"/>
      <c r="F1" s="231"/>
      <c r="G1" s="231"/>
      <c r="H1" s="231"/>
      <c r="I1" s="231"/>
      <c r="J1" s="231">
        <v>1</v>
      </c>
      <c r="K1" s="231">
        <v>2</v>
      </c>
      <c r="L1" s="231">
        <v>3</v>
      </c>
      <c r="M1" s="231">
        <v>4</v>
      </c>
      <c r="N1" s="231">
        <v>5</v>
      </c>
      <c r="O1" s="231">
        <v>6</v>
      </c>
      <c r="P1" s="231">
        <v>7</v>
      </c>
      <c r="Q1" s="231">
        <v>8</v>
      </c>
      <c r="R1" s="231">
        <v>9</v>
      </c>
      <c r="S1" s="231">
        <v>10</v>
      </c>
      <c r="T1" s="231">
        <v>11</v>
      </c>
      <c r="U1" s="231">
        <v>12</v>
      </c>
      <c r="V1" s="231">
        <v>13</v>
      </c>
      <c r="W1" s="231">
        <v>14</v>
      </c>
      <c r="X1" s="231">
        <v>15</v>
      </c>
      <c r="Y1" s="231">
        <v>16</v>
      </c>
      <c r="Z1" s="231">
        <v>17</v>
      </c>
      <c r="AA1" s="231">
        <v>18</v>
      </c>
      <c r="AB1" s="231">
        <v>19</v>
      </c>
      <c r="AC1" s="231">
        <v>20</v>
      </c>
      <c r="AD1" s="231">
        <v>21</v>
      </c>
      <c r="AE1" s="231">
        <v>22</v>
      </c>
      <c r="AF1" s="231">
        <v>23</v>
      </c>
      <c r="AG1" s="231">
        <v>24</v>
      </c>
      <c r="AH1" s="231">
        <v>25</v>
      </c>
      <c r="AI1" s="231">
        <v>26</v>
      </c>
      <c r="AJ1" s="231">
        <v>27</v>
      </c>
      <c r="AK1" s="231">
        <v>28</v>
      </c>
      <c r="AL1" s="231">
        <v>29</v>
      </c>
      <c r="AM1" s="231">
        <v>30</v>
      </c>
      <c r="AN1" s="231">
        <v>31</v>
      </c>
      <c r="AO1" s="231">
        <v>32</v>
      </c>
      <c r="AP1" s="231">
        <v>33</v>
      </c>
      <c r="AQ1" s="231">
        <v>34</v>
      </c>
      <c r="AR1" s="231">
        <v>35</v>
      </c>
      <c r="AS1" s="231">
        <v>36</v>
      </c>
      <c r="AT1" s="231">
        <v>37</v>
      </c>
      <c r="AU1" s="231">
        <v>38</v>
      </c>
      <c r="AV1" s="231">
        <v>39</v>
      </c>
      <c r="AW1" s="231">
        <v>40</v>
      </c>
      <c r="AX1" s="231">
        <v>41</v>
      </c>
      <c r="AY1" s="231">
        <v>42</v>
      </c>
      <c r="AZ1" s="231">
        <v>43</v>
      </c>
      <c r="BA1" s="231">
        <v>44</v>
      </c>
      <c r="BB1" s="231">
        <v>45</v>
      </c>
      <c r="BC1" s="231">
        <v>46</v>
      </c>
      <c r="BD1" s="231">
        <v>47</v>
      </c>
      <c r="BE1" s="231">
        <v>48</v>
      </c>
      <c r="BF1" s="231">
        <v>49</v>
      </c>
      <c r="BG1" s="231">
        <v>50</v>
      </c>
      <c r="BH1" s="231">
        <v>51</v>
      </c>
      <c r="BI1" s="231">
        <v>52</v>
      </c>
      <c r="BJ1" s="231">
        <v>53</v>
      </c>
      <c r="BK1" s="231">
        <v>54</v>
      </c>
      <c r="BL1" s="231">
        <v>55</v>
      </c>
      <c r="BM1" s="231">
        <v>56</v>
      </c>
      <c r="BN1" s="231">
        <v>57</v>
      </c>
      <c r="BO1" s="231">
        <v>58</v>
      </c>
      <c r="BP1" s="231">
        <v>59</v>
      </c>
      <c r="BQ1" s="231">
        <v>60</v>
      </c>
      <c r="BR1" s="231">
        <v>61</v>
      </c>
      <c r="BS1" s="231">
        <v>62</v>
      </c>
      <c r="BT1" s="231">
        <v>63</v>
      </c>
      <c r="BU1" s="231">
        <v>64</v>
      </c>
      <c r="BV1" s="231">
        <v>65</v>
      </c>
      <c r="BW1" s="231">
        <v>66</v>
      </c>
      <c r="BX1" s="231">
        <v>67</v>
      </c>
      <c r="BY1" s="231">
        <v>68</v>
      </c>
      <c r="BZ1" s="231">
        <v>69</v>
      </c>
      <c r="CA1" s="231">
        <v>70</v>
      </c>
      <c r="CB1" s="231">
        <v>71</v>
      </c>
      <c r="CC1" s="231">
        <v>72</v>
      </c>
      <c r="CD1" s="231">
        <v>73</v>
      </c>
      <c r="CE1" s="231">
        <v>74</v>
      </c>
      <c r="CF1" s="231">
        <v>75</v>
      </c>
      <c r="CG1" s="231">
        <v>76</v>
      </c>
      <c r="CH1" s="231">
        <v>77</v>
      </c>
      <c r="CI1" s="231">
        <v>78</v>
      </c>
      <c r="CJ1" s="231">
        <v>79</v>
      </c>
      <c r="CK1" s="231">
        <v>80</v>
      </c>
      <c r="CL1" s="231">
        <v>81</v>
      </c>
      <c r="CM1" s="231">
        <v>82</v>
      </c>
      <c r="CN1" s="231">
        <v>83</v>
      </c>
      <c r="CO1" s="231">
        <v>84</v>
      </c>
      <c r="CP1" s="231">
        <v>85</v>
      </c>
      <c r="CQ1" s="231">
        <v>86</v>
      </c>
      <c r="CR1" s="231">
        <v>87</v>
      </c>
      <c r="CS1" s="231">
        <v>88</v>
      </c>
      <c r="CT1" s="231">
        <v>89</v>
      </c>
      <c r="CU1" s="231">
        <v>90</v>
      </c>
      <c r="CV1" s="231">
        <v>91</v>
      </c>
      <c r="CW1" s="231">
        <v>92</v>
      </c>
      <c r="CX1" s="231">
        <v>93</v>
      </c>
      <c r="CY1" s="231">
        <v>94</v>
      </c>
      <c r="CZ1" s="231">
        <v>95</v>
      </c>
      <c r="DA1" s="231">
        <v>96</v>
      </c>
      <c r="DB1" s="231">
        <v>97</v>
      </c>
      <c r="DC1" s="231">
        <v>98</v>
      </c>
      <c r="DD1" s="231">
        <v>99</v>
      </c>
      <c r="DE1" s="231">
        <v>100</v>
      </c>
      <c r="DF1" s="231">
        <v>101</v>
      </c>
      <c r="DG1" s="231">
        <v>102</v>
      </c>
      <c r="DH1" s="231">
        <v>103</v>
      </c>
      <c r="DI1" s="231">
        <v>104</v>
      </c>
      <c r="DJ1" s="231">
        <v>105</v>
      </c>
      <c r="DK1" s="231">
        <v>106</v>
      </c>
      <c r="DL1" s="231">
        <v>107</v>
      </c>
      <c r="DM1" s="231">
        <v>108</v>
      </c>
      <c r="DN1" s="231">
        <v>109</v>
      </c>
      <c r="DO1" s="231">
        <v>110</v>
      </c>
      <c r="DP1" s="231">
        <v>111</v>
      </c>
    </row>
    <row r="2" spans="1:120" ht="12.75" customHeight="1">
      <c r="A2" s="2"/>
      <c r="B2" s="2"/>
      <c r="C2" s="2"/>
      <c r="D2" s="215" t="s">
        <v>85</v>
      </c>
      <c r="E2" s="216"/>
      <c r="F2" s="216"/>
      <c r="G2" s="217"/>
      <c r="H2" s="2"/>
      <c r="I2" s="177" t="s">
        <v>140</v>
      </c>
      <c r="J2" s="48" t="s">
        <v>142</v>
      </c>
      <c r="K2" s="2"/>
      <c r="L2" s="2"/>
      <c r="M2" s="2"/>
      <c r="N2" s="177"/>
      <c r="O2" s="177"/>
      <c r="P2" s="177"/>
      <c r="Q2" s="177"/>
      <c r="R2" s="177"/>
      <c r="S2" s="177"/>
      <c r="T2" s="177"/>
      <c r="U2" s="39"/>
      <c r="V2" s="178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</row>
    <row r="3" spans="1:120" ht="12.75" customHeight="1">
      <c r="A3" s="2"/>
      <c r="B3" s="2"/>
      <c r="C3" s="2"/>
      <c r="D3" s="92" t="s">
        <v>83</v>
      </c>
      <c r="E3" s="214" t="s">
        <v>1178</v>
      </c>
      <c r="F3" s="214"/>
      <c r="G3" s="214"/>
      <c r="H3" s="2"/>
      <c r="I3" s="177" t="s">
        <v>144</v>
      </c>
      <c r="J3" s="48" t="s">
        <v>117</v>
      </c>
      <c r="K3" s="2"/>
      <c r="L3" s="2"/>
      <c r="M3" s="2"/>
      <c r="N3" s="177"/>
      <c r="O3" s="177"/>
      <c r="P3" s="177"/>
      <c r="Q3" s="177"/>
      <c r="R3" s="177"/>
      <c r="S3" s="177"/>
      <c r="T3" s="177"/>
      <c r="U3" s="39"/>
      <c r="V3" s="178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</row>
    <row r="4" spans="1:120" ht="14.1" customHeight="1">
      <c r="A4" s="2"/>
      <c r="B4" s="2"/>
      <c r="C4" s="2"/>
      <c r="D4" s="93" t="s">
        <v>84</v>
      </c>
      <c r="E4" s="214" t="s">
        <v>1179</v>
      </c>
      <c r="F4" s="214"/>
      <c r="G4" s="214"/>
      <c r="H4" s="2"/>
      <c r="I4" s="177" t="s">
        <v>120</v>
      </c>
      <c r="J4" s="179" t="s">
        <v>118</v>
      </c>
      <c r="K4" s="2"/>
      <c r="L4" s="2"/>
      <c r="M4" s="2"/>
      <c r="N4" s="177"/>
      <c r="O4" s="177"/>
      <c r="P4" s="177"/>
      <c r="Q4" s="177"/>
      <c r="R4" s="177"/>
      <c r="S4" s="177"/>
      <c r="T4" s="177"/>
      <c r="U4" s="39"/>
      <c r="V4" s="178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1180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0" ht="12.75" customHeight="1">
      <c r="A5" s="2"/>
      <c r="B5" s="2"/>
      <c r="C5" s="2"/>
      <c r="D5" s="232" t="s">
        <v>1181</v>
      </c>
      <c r="E5" s="214" t="s">
        <v>1182</v>
      </c>
      <c r="F5" s="214"/>
      <c r="G5" s="214"/>
      <c r="H5" s="2"/>
      <c r="I5" s="177" t="s">
        <v>121</v>
      </c>
      <c r="J5" s="48" t="s">
        <v>119</v>
      </c>
      <c r="K5" s="2"/>
      <c r="L5" s="2"/>
      <c r="M5" s="2"/>
      <c r="N5" s="177"/>
      <c r="O5" s="177"/>
      <c r="P5" s="177"/>
      <c r="Q5" s="177"/>
      <c r="R5" s="177"/>
      <c r="S5" s="177"/>
      <c r="T5" s="177"/>
      <c r="U5" s="39"/>
      <c r="V5" s="178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0" ht="13.5" customHeight="1">
      <c r="A6" s="2"/>
      <c r="B6" s="2"/>
      <c r="C6" s="2"/>
      <c r="D6" s="233"/>
      <c r="E6" s="214" t="s">
        <v>1183</v>
      </c>
      <c r="F6" s="214"/>
      <c r="G6" s="214"/>
      <c r="H6" s="2"/>
      <c r="I6" s="180"/>
      <c r="J6" s="181"/>
      <c r="K6" s="182"/>
      <c r="L6" s="183"/>
      <c r="M6" s="183"/>
      <c r="N6" s="183"/>
      <c r="O6" s="183"/>
      <c r="P6" s="183"/>
      <c r="Q6" s="183"/>
      <c r="R6" s="183"/>
      <c r="S6" s="183"/>
      <c r="T6" s="183"/>
      <c r="U6" s="184"/>
      <c r="V6" s="184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0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4" t="s">
        <v>471</v>
      </c>
      <c r="L7" s="94" t="s">
        <v>6</v>
      </c>
      <c r="M7" s="94" t="s">
        <v>40</v>
      </c>
      <c r="N7" s="94" t="e">
        <f>IF(EngColTemp_ECT="O","EngColTemp","Duct")</f>
        <v>#NAME?</v>
      </c>
      <c r="O7" s="94" t="s">
        <v>345</v>
      </c>
      <c r="P7" s="94" t="s">
        <v>470</v>
      </c>
      <c r="Q7" s="94" t="s">
        <v>532</v>
      </c>
      <c r="R7" s="94" t="s">
        <v>1184</v>
      </c>
      <c r="S7" s="94"/>
      <c r="T7" s="94" t="s">
        <v>86</v>
      </c>
      <c r="U7" s="94" t="s">
        <v>158</v>
      </c>
      <c r="V7" s="94" t="s">
        <v>186</v>
      </c>
      <c r="W7" s="94" t="s">
        <v>41</v>
      </c>
      <c r="X7" s="94" t="s">
        <v>94</v>
      </c>
      <c r="Y7" s="94" t="s">
        <v>208</v>
      </c>
      <c r="Z7" s="94" t="s">
        <v>209</v>
      </c>
      <c r="AA7" s="94" t="s">
        <v>210</v>
      </c>
      <c r="AB7" s="94" t="s">
        <v>207</v>
      </c>
      <c r="AC7" s="94" t="s">
        <v>1185</v>
      </c>
      <c r="AD7" s="94" t="e">
        <f>BLW_MAX</f>
        <v>#NAME?</v>
      </c>
      <c r="AE7" s="94" t="s">
        <v>363</v>
      </c>
      <c r="AF7" s="94" t="s">
        <v>182</v>
      </c>
      <c r="AG7" s="94" t="s">
        <v>184</v>
      </c>
      <c r="AH7" s="94" t="e">
        <f>TempDispUnit</f>
        <v>#NAME?</v>
      </c>
      <c r="AI7" s="94" t="e">
        <f>IF(FLAG_Country&lt;&gt;"USA","DrTempDispC","DrTempDispF")</f>
        <v>#NAME?</v>
      </c>
      <c r="AJ7" s="94" t="e">
        <f>IF(FLAG_Country&lt;&gt;"USA","PsTempDispC","PsTempDispF")</f>
        <v>#NAME?</v>
      </c>
      <c r="AK7" s="94" t="e">
        <f>IF(FLAG_Country&lt;&gt;"USA","DrTempDispF","DrTempDispC")</f>
        <v>#NAME?</v>
      </c>
      <c r="AL7" s="94" t="e">
        <f>IF(FLAG_Country&lt;&gt;"USA","PsTempDispF","PsTempDispC")</f>
        <v>#NAME?</v>
      </c>
      <c r="AM7" s="94" t="s">
        <v>194</v>
      </c>
      <c r="AN7" s="94" t="s">
        <v>42</v>
      </c>
      <c r="AO7" s="94" t="s">
        <v>43</v>
      </c>
      <c r="AP7" s="94" t="s">
        <v>44</v>
      </c>
      <c r="AQ7" s="94" t="s">
        <v>183</v>
      </c>
      <c r="AR7" s="94" t="s">
        <v>45</v>
      </c>
      <c r="AS7" s="94" t="s">
        <v>264</v>
      </c>
      <c r="AT7" s="94" t="s">
        <v>263</v>
      </c>
      <c r="AU7" s="94" t="s">
        <v>321</v>
      </c>
      <c r="AV7" s="94" t="s">
        <v>46</v>
      </c>
      <c r="AW7" s="94" t="s">
        <v>47</v>
      </c>
      <c r="AX7" s="94" t="s">
        <v>322</v>
      </c>
      <c r="AY7" s="94" t="s">
        <v>332</v>
      </c>
      <c r="AZ7" s="94" t="s">
        <v>334</v>
      </c>
      <c r="BA7" s="94" t="e">
        <f>WshFldUSMSta</f>
        <v>#NAME?</v>
      </c>
      <c r="BB7" s="94"/>
      <c r="BC7" s="94" t="s">
        <v>490</v>
      </c>
      <c r="BD7" s="94" t="s">
        <v>491</v>
      </c>
      <c r="BE7" s="94" t="e">
        <f>CO2_Warning</f>
        <v>#NAME?</v>
      </c>
      <c r="BF7" s="94" t="e">
        <f>CO2_OnOffSta</f>
        <v>#NAME?</v>
      </c>
      <c r="BG7" s="94" t="e">
        <f>IsgStopReq</f>
        <v>#NAME?</v>
      </c>
      <c r="BH7" s="94" t="e">
        <f>EngStartReq</f>
        <v>#NAME?</v>
      </c>
      <c r="BI7" s="94" t="e">
        <f>AUTOStep</f>
        <v>#NAME?</v>
      </c>
      <c r="BJ7" s="94" t="e">
        <f>MltAutBlrTxt</f>
        <v>#NAME?</v>
      </c>
      <c r="BK7" s="94" t="e">
        <f>PTC_RELAY_Sta</f>
        <v>#NAME?</v>
      </c>
      <c r="BL7" s="94" t="str">
        <f>eComp_Interlock_Sta</f>
        <v>DATC_HVCompIntlkSta</v>
      </c>
      <c r="BM7" s="94" t="str">
        <f>Service_Lamp_Req</f>
        <v>DATC_SrvLmpReq</v>
      </c>
      <c r="BN7" s="94" t="str">
        <f>DTC_Resp</f>
        <v>DTC_Responsible</v>
      </c>
      <c r="BO7" s="94" t="e">
        <f>WhlHeat_Whl_Sta</f>
        <v>#NAME?</v>
      </c>
      <c r="BP7" s="94" t="e">
        <f>WhlHeat_Heat_Sta</f>
        <v>#NAME?</v>
      </c>
      <c r="BQ7" s="94" t="e">
        <f>WhlHeat_Whl_Step</f>
        <v>#NAME?</v>
      </c>
      <c r="BR7" s="94" t="e">
        <f>WhlHeat_LH_Step</f>
        <v>#NAME?</v>
      </c>
      <c r="BS7" s="94" t="e">
        <f>WhlHeat_RH_Step</f>
        <v>#NAME?</v>
      </c>
      <c r="BT7" s="94" t="e">
        <f>FrChgReqDis</f>
        <v>#NAME?</v>
      </c>
      <c r="BU7" s="94" t="str">
        <f>OpSta</f>
        <v>DATC_OpSta</v>
      </c>
      <c r="BV7" s="94" t="str">
        <f>DTC_Code</f>
        <v>DIAG_DTC_Code</v>
      </c>
      <c r="BW7" s="94" t="str">
        <f>SelfDiagDisp</f>
        <v>DATC_SelfDiagDisp</v>
      </c>
      <c r="BX7" s="94" t="str">
        <f>DTC_Code</f>
        <v>DIAG_DTC_Code</v>
      </c>
      <c r="BY7" s="94" t="str">
        <f>SelfDiagDisp</f>
        <v>DATC_SelfDiagDisp</v>
      </c>
      <c r="BZ7" s="94" t="str">
        <f>EcoClmtLimSta</f>
        <v>DATC_EcoClmtLimSta</v>
      </c>
      <c r="CA7" s="94" t="str">
        <f>ClmtLimOpSta</f>
        <v>DATC_ClmtLimOpSta</v>
      </c>
      <c r="CB7" s="94" t="str">
        <f>HP_ModSta</f>
        <v>DATC_HtrPmpModSta</v>
      </c>
      <c r="CC7" s="94" t="str">
        <f>WaterVlvSta</f>
        <v>DATC_WaterVlvSta</v>
      </c>
      <c r="CD7" s="94" t="str">
        <f>BatteryEWPOper</f>
        <v>DATC_BattEwpOpReq</v>
      </c>
      <c r="CE7" s="94" t="str">
        <f>Coolingfan_Duty</f>
        <v>DATC_RadFanReq_Duty</v>
      </c>
      <c r="CF7" s="94" t="str">
        <f>AAFOpen</f>
        <v>DATC_AAFOpenReq</v>
      </c>
      <c r="CG7" s="94" t="s">
        <v>1186</v>
      </c>
      <c r="CH7" s="94" t="e">
        <f>Compressor</f>
        <v>#NAME?</v>
      </c>
      <c r="CI7" s="94"/>
      <c r="CJ7" s="94" t="str">
        <f>HVPPTargetDutyDr_Perc</f>
        <v>CCU_HVPPTargetDutyDriver_Perc (CCU2)</v>
      </c>
      <c r="CK7" s="94" t="str">
        <f>HVPPTargetDutyPs_Perc</f>
        <v>CCU_HVPPTargetDutyPassenger_Perc (CCU2)</v>
      </c>
      <c r="CL7" s="94" t="str">
        <f>DATC_OpSta</f>
        <v>DATC_OpSta</v>
      </c>
      <c r="CM7" s="94" t="str">
        <f>DATC_CtrlablSta</f>
        <v>DATC_CtrlablSta</v>
      </c>
      <c r="CN7" s="94" t="str">
        <f>V01_EXV</f>
        <v>V01_EXV (H/P)</v>
      </c>
      <c r="CO7" s="94" t="str">
        <f>V02_EXV</f>
        <v>V02_EXV (B/CHILLER)</v>
      </c>
      <c r="CP7" s="94" t="str">
        <f>V04_3way</f>
        <v>V04_3WAY (R/D)</v>
      </c>
      <c r="CQ7" s="94" t="str">
        <f>V05_2way</f>
        <v>V05_2WAY (DEHUMI)</v>
      </c>
      <c r="CR7" s="94" t="str">
        <f>V01_DiagFunctnValue</f>
        <v>V01_DiagFunctnValue</v>
      </c>
      <c r="CS7" s="94" t="str">
        <f>V01_SystemState</f>
        <v>V01_SystemState</v>
      </c>
      <c r="CT7" s="94" t="str">
        <f>V02_DiagFunctnValue</f>
        <v>V02_DiagFunctnValue</v>
      </c>
      <c r="CU7" s="94" t="str">
        <f>V02_SystemState</f>
        <v>V02_SystemState</v>
      </c>
      <c r="CV7" s="94" t="str">
        <f>V04_DiagFunctnValue</f>
        <v>V04_DiagFunctnValue</v>
      </c>
      <c r="CW7" s="94" t="str">
        <f>V04_SystemState</f>
        <v>V04_SystemState</v>
      </c>
      <c r="CX7" s="94" t="str">
        <f>V05_DiagFunctnValue</f>
        <v>V05_DiagFunctnValue</v>
      </c>
      <c r="CY7" s="94" t="str">
        <f>V05_SystemState</f>
        <v>V05_SystemState</v>
      </c>
      <c r="CZ7" s="94" t="str">
        <f>Blower_Motor_Relay</f>
        <v>Blower_Motor_Relay_IO</v>
      </c>
      <c r="DA7" s="94" t="str">
        <f>BattCompPwrCnsmptn</f>
        <v>DATC_BattCompPwrCnsmptn_W2</v>
      </c>
      <c r="DB7" s="94" t="str">
        <f>AcnECompCnsmptPwrVal</f>
        <v>DATC_AcnECompCnsmptPwrVal_W</v>
      </c>
      <c r="DC7" s="94" t="str">
        <f>PtcPwrCnsmptnVal</f>
        <v>DATC_PtcPwrCnsmptnVal_W</v>
      </c>
      <c r="DD7" s="94" t="str">
        <f>ClmtPwrCnsmptn</f>
        <v>DATC_ClmtPwrCnsmptn_W</v>
      </c>
      <c r="DE7" s="94" t="str">
        <f>ClmtPwrSum</f>
        <v>DATC_ClmtPwrSum_Wh</v>
      </c>
      <c r="DF7" s="94" t="str">
        <f>BattPwrSum</f>
        <v>DATC_BattPwrSum_Wh2</v>
      </c>
      <c r="DG7" s="94" t="str">
        <f>BattChlrVlvSta</f>
        <v>DATC_BattChlrVlvSta</v>
      </c>
      <c r="DH7" s="94" t="str">
        <f>BattChlrVlv_FltCode</f>
        <v>DATC_BattChlrVlv_FltCode</v>
      </c>
      <c r="DI7" s="94" t="str">
        <f>BattEvapVlvSta</f>
        <v>DATC_BattEvapVlvSta</v>
      </c>
      <c r="DJ7" s="94" t="str">
        <f>BattEvapVlv_FltCode</f>
        <v>DATC_BattEvapVlv_FltCode</v>
      </c>
      <c r="DK7" s="94"/>
      <c r="DL7" s="94"/>
      <c r="DM7" s="94"/>
      <c r="DN7" s="94"/>
      <c r="DO7" s="94"/>
      <c r="DP7" s="2"/>
    </row>
    <row r="8" spans="1:120" ht="12.75" customHeight="1">
      <c r="A8" s="2"/>
      <c r="B8" s="2"/>
      <c r="C8" s="4"/>
      <c r="D8" s="4"/>
      <c r="E8" s="4"/>
      <c r="F8" s="4"/>
      <c r="G8" s="2"/>
      <c r="H8" s="2"/>
      <c r="I8" s="49"/>
      <c r="J8" s="95" t="s">
        <v>788</v>
      </c>
      <c r="K8" s="95" t="s">
        <v>1187</v>
      </c>
      <c r="L8" s="95"/>
      <c r="M8" s="95"/>
      <c r="N8" s="95"/>
      <c r="O8" s="95"/>
      <c r="P8" s="95"/>
      <c r="Q8" s="95"/>
      <c r="R8" s="95"/>
      <c r="S8" s="95"/>
      <c r="T8" s="95"/>
      <c r="U8" s="96"/>
      <c r="V8" s="96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5"/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/>
      <c r="DC8" s="95"/>
      <c r="DD8" s="95"/>
      <c r="DE8" s="95"/>
      <c r="DF8" s="95"/>
      <c r="DG8" s="95"/>
      <c r="DH8" s="95"/>
      <c r="DI8" s="95"/>
      <c r="DJ8" s="95"/>
      <c r="DK8" s="95"/>
      <c r="DL8" s="95"/>
      <c r="DM8" s="95"/>
      <c r="DN8" s="95"/>
      <c r="DO8" s="95"/>
      <c r="DP8" s="2"/>
    </row>
    <row r="9" spans="1:120" ht="12.75" customHeight="1">
      <c r="A9" s="2"/>
      <c r="B9" s="2"/>
      <c r="C9" s="4"/>
      <c r="D9" s="4"/>
      <c r="E9" s="4"/>
      <c r="F9" s="4"/>
      <c r="G9" s="2"/>
      <c r="H9" s="2"/>
      <c r="I9" s="87" t="s">
        <v>309</v>
      </c>
      <c r="J9" s="87" t="s">
        <v>308</v>
      </c>
      <c r="K9" s="89">
        <v>10</v>
      </c>
      <c r="L9" s="89">
        <v>-2</v>
      </c>
      <c r="M9" s="89">
        <v>10</v>
      </c>
      <c r="N9" s="89">
        <v>80.25</v>
      </c>
      <c r="O9" s="89">
        <v>0</v>
      </c>
      <c r="P9" s="89">
        <v>50</v>
      </c>
      <c r="Q9" s="89">
        <v>400</v>
      </c>
      <c r="R9" s="89">
        <v>55</v>
      </c>
      <c r="S9" s="90"/>
      <c r="T9" s="85"/>
      <c r="U9" s="86"/>
      <c r="V9" s="86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90"/>
      <c r="AY9" s="90"/>
      <c r="AZ9" s="90"/>
      <c r="BA9" s="90"/>
      <c r="BB9" s="90"/>
      <c r="BC9" s="90"/>
      <c r="BD9" s="90"/>
      <c r="BE9" s="90"/>
      <c r="BF9" s="90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2"/>
    </row>
    <row r="10" spans="1:120" ht="12.75" customHeight="1">
      <c r="A10" s="2"/>
      <c r="B10" s="2"/>
      <c r="C10" s="4"/>
      <c r="D10" s="4"/>
      <c r="E10" s="4"/>
      <c r="F10" s="4"/>
      <c r="G10" s="2"/>
      <c r="H10" s="2"/>
      <c r="I10" s="99" t="s">
        <v>7</v>
      </c>
      <c r="J10" s="99" t="s">
        <v>789</v>
      </c>
      <c r="K10" s="99" t="s">
        <v>1188</v>
      </c>
      <c r="L10" s="99"/>
      <c r="M10" s="99"/>
      <c r="N10" s="99"/>
      <c r="O10" s="99"/>
      <c r="P10" s="99"/>
      <c r="Q10" s="99"/>
      <c r="R10" s="99"/>
      <c r="S10" s="99"/>
      <c r="T10" s="99"/>
      <c r="U10" s="100"/>
      <c r="V10" s="100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  <c r="AQ10" s="99"/>
      <c r="AR10" s="99"/>
      <c r="AS10" s="99"/>
      <c r="AT10" s="99"/>
      <c r="AU10" s="99"/>
      <c r="AV10" s="99"/>
      <c r="AW10" s="99"/>
      <c r="AX10" s="99"/>
      <c r="AY10" s="99"/>
      <c r="AZ10" s="99"/>
      <c r="BA10" s="99"/>
      <c r="BB10" s="99"/>
      <c r="BC10" s="99"/>
      <c r="BD10" s="99"/>
      <c r="BE10" s="99"/>
      <c r="BF10" s="99"/>
      <c r="BG10" s="99"/>
      <c r="BH10" s="99"/>
      <c r="BI10" s="99"/>
      <c r="BJ10" s="99"/>
      <c r="BK10" s="99"/>
      <c r="BL10" s="99"/>
      <c r="BM10" s="99"/>
      <c r="BN10" s="99"/>
      <c r="BO10" s="99"/>
      <c r="BP10" s="99"/>
      <c r="BQ10" s="99"/>
      <c r="BR10" s="99"/>
      <c r="BS10" s="99"/>
      <c r="BT10" s="99"/>
      <c r="BU10" s="99"/>
      <c r="BV10" s="99"/>
      <c r="BW10" s="99"/>
      <c r="BX10" s="99"/>
      <c r="BY10" s="99"/>
      <c r="BZ10" s="99"/>
      <c r="CA10" s="99"/>
      <c r="CB10" s="99"/>
      <c r="CC10" s="99"/>
      <c r="CD10" s="99"/>
      <c r="CE10" s="99"/>
      <c r="CF10" s="99"/>
      <c r="CG10" s="99"/>
      <c r="CH10" s="99"/>
      <c r="CI10" s="99"/>
      <c r="CJ10" s="99"/>
      <c r="CK10" s="99"/>
      <c r="CL10" s="99"/>
      <c r="CM10" s="99"/>
      <c r="CN10" s="99"/>
      <c r="CO10" s="99"/>
      <c r="CP10" s="99"/>
      <c r="CQ10" s="99"/>
      <c r="CR10" s="99"/>
      <c r="CS10" s="99"/>
      <c r="CT10" s="99"/>
      <c r="CU10" s="99"/>
      <c r="CV10" s="99"/>
      <c r="CW10" s="99"/>
      <c r="CX10" s="99"/>
      <c r="CY10" s="99"/>
      <c r="CZ10" s="99"/>
      <c r="DA10" s="99"/>
      <c r="DB10" s="99"/>
      <c r="DC10" s="99"/>
      <c r="DD10" s="99"/>
      <c r="DE10" s="99"/>
      <c r="DF10" s="99"/>
      <c r="DG10" s="99"/>
      <c r="DH10" s="99"/>
      <c r="DI10" s="99"/>
      <c r="DJ10" s="99"/>
      <c r="DK10" s="99"/>
      <c r="DL10" s="99"/>
      <c r="DM10" s="99"/>
      <c r="DN10" s="99"/>
      <c r="DO10" s="99"/>
      <c r="DP10" s="2"/>
    </row>
    <row r="11" spans="1:120" ht="12.75" customHeight="1">
      <c r="A11" s="2"/>
      <c r="B11" s="2"/>
      <c r="C11" s="4"/>
      <c r="D11" s="4"/>
      <c r="E11" s="4"/>
      <c r="F11" s="4"/>
      <c r="G11" s="2"/>
      <c r="H11" s="2"/>
      <c r="I11" s="87" t="s">
        <v>48</v>
      </c>
      <c r="J11" s="87" t="s">
        <v>790</v>
      </c>
      <c r="K11" s="186">
        <f>K9</f>
        <v>10</v>
      </c>
      <c r="L11" s="186">
        <f>L9</f>
        <v>-2</v>
      </c>
      <c r="M11" s="186">
        <f>M9</f>
        <v>10</v>
      </c>
      <c r="N11" s="90"/>
      <c r="O11" s="90"/>
      <c r="P11" s="90"/>
      <c r="Q11" s="90"/>
      <c r="R11" s="90"/>
      <c r="S11" s="90"/>
      <c r="T11" s="98" t="s">
        <v>185</v>
      </c>
      <c r="U11" s="88" t="s">
        <v>371</v>
      </c>
      <c r="V11" s="88">
        <v>10</v>
      </c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89" t="s">
        <v>88</v>
      </c>
      <c r="AO11" s="90"/>
      <c r="AP11" s="89" t="s">
        <v>88</v>
      </c>
      <c r="AQ11" s="90"/>
      <c r="AR11" s="90"/>
      <c r="AS11" s="90"/>
      <c r="AT11" s="90"/>
      <c r="AU11" s="90"/>
      <c r="AV11" s="90"/>
      <c r="AW11" s="90"/>
      <c r="AX11" s="90"/>
      <c r="AY11" s="90"/>
      <c r="AZ11" s="90"/>
      <c r="BA11" s="90"/>
      <c r="BB11" s="90"/>
      <c r="BC11" s="90"/>
      <c r="BD11" s="90"/>
      <c r="BE11" s="90"/>
      <c r="BF11" s="90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1">
        <v>7</v>
      </c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1">
        <v>0</v>
      </c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1">
        <v>1</v>
      </c>
      <c r="DH11" s="91">
        <v>1</v>
      </c>
      <c r="DI11" s="91">
        <v>1</v>
      </c>
      <c r="DJ11" s="91">
        <v>1</v>
      </c>
      <c r="DK11" s="90"/>
      <c r="DL11" s="90"/>
      <c r="DM11" s="90"/>
      <c r="DN11" s="90"/>
      <c r="DO11" s="90"/>
      <c r="DP11" s="2"/>
    </row>
    <row r="12" spans="1:120" ht="12.75" customHeight="1">
      <c r="A12" s="2"/>
      <c r="B12" s="2"/>
      <c r="C12" s="4"/>
      <c r="D12" s="2"/>
      <c r="E12" s="2"/>
      <c r="F12" s="2"/>
      <c r="G12" s="2"/>
      <c r="H12" s="2"/>
      <c r="I12" s="185" t="s">
        <v>143</v>
      </c>
      <c r="J12" s="185" t="s">
        <v>791</v>
      </c>
      <c r="K12" s="186">
        <f>K11</f>
        <v>10</v>
      </c>
      <c r="L12" s="186">
        <f>L11</f>
        <v>-2</v>
      </c>
      <c r="M12" s="186">
        <f>M11</f>
        <v>10</v>
      </c>
      <c r="N12" s="90"/>
      <c r="O12" s="90"/>
      <c r="P12" s="90"/>
      <c r="Q12" s="90"/>
      <c r="R12" s="90"/>
      <c r="S12" s="90"/>
      <c r="T12" s="98" t="str">
        <f>BatChllrTgtRpm</f>
        <v>VCU_BatChllrTgtRpm</v>
      </c>
      <c r="U12" s="89">
        <v>1000</v>
      </c>
      <c r="V12" s="88">
        <v>10</v>
      </c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89" t="s">
        <v>88</v>
      </c>
      <c r="AO12" s="90"/>
      <c r="AP12" s="89">
        <f>U12</f>
        <v>1000</v>
      </c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89" t="s">
        <v>1177</v>
      </c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1">
        <v>2</v>
      </c>
      <c r="DH12" s="91">
        <v>1</v>
      </c>
      <c r="DI12" s="91">
        <v>2</v>
      </c>
      <c r="DJ12" s="91">
        <v>1</v>
      </c>
      <c r="DK12" s="90"/>
      <c r="DL12" s="90"/>
      <c r="DM12" s="90"/>
      <c r="DN12" s="90"/>
      <c r="DO12" s="90"/>
      <c r="DP12" s="2"/>
    </row>
    <row r="13" spans="1:120" ht="12.75" customHeight="1">
      <c r="A13" s="2"/>
      <c r="B13" s="2"/>
      <c r="C13" s="4"/>
      <c r="D13" s="2"/>
      <c r="E13" s="2"/>
      <c r="F13" s="2"/>
      <c r="G13" s="2"/>
      <c r="H13" s="2"/>
      <c r="I13" s="185" t="s">
        <v>143</v>
      </c>
      <c r="J13" s="185" t="s">
        <v>792</v>
      </c>
      <c r="K13" s="186">
        <f>K12</f>
        <v>10</v>
      </c>
      <c r="L13" s="186">
        <f>L12</f>
        <v>-2</v>
      </c>
      <c r="M13" s="186">
        <f>M12</f>
        <v>10</v>
      </c>
      <c r="N13" s="90"/>
      <c r="O13" s="90"/>
      <c r="P13" s="90"/>
      <c r="Q13" s="90"/>
      <c r="R13" s="90"/>
      <c r="S13" s="90"/>
      <c r="T13" s="98" t="str">
        <f>BatChllrTgtRpm</f>
        <v>VCU_BatChllrTgtRpm</v>
      </c>
      <c r="U13" s="89">
        <v>0</v>
      </c>
      <c r="V13" s="88">
        <v>10</v>
      </c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89" t="s">
        <v>88</v>
      </c>
      <c r="AO13" s="90"/>
      <c r="AP13" s="89" t="s">
        <v>88</v>
      </c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1">
        <v>0</v>
      </c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1">
        <v>1</v>
      </c>
      <c r="DH13" s="91">
        <v>1</v>
      </c>
      <c r="DI13" s="91">
        <v>1</v>
      </c>
      <c r="DJ13" s="91">
        <v>1</v>
      </c>
      <c r="DK13" s="90"/>
      <c r="DL13" s="90"/>
      <c r="DM13" s="90"/>
      <c r="DN13" s="90"/>
      <c r="DO13" s="90"/>
      <c r="DP13" s="2"/>
    </row>
    <row r="14" spans="1:120" ht="12.75" customHeight="1">
      <c r="A14" s="2"/>
      <c r="B14" s="2"/>
      <c r="C14" s="2"/>
      <c r="D14" s="2"/>
      <c r="E14" s="2"/>
      <c r="F14" s="2"/>
      <c r="G14" s="2"/>
      <c r="H14" s="2"/>
      <c r="I14" s="185"/>
      <c r="J14" s="185"/>
      <c r="K14" s="186"/>
      <c r="L14" s="186"/>
      <c r="M14" s="186"/>
      <c r="N14" s="90"/>
      <c r="O14" s="90"/>
      <c r="P14" s="90"/>
      <c r="Q14" s="90"/>
      <c r="R14" s="90"/>
      <c r="S14" s="90"/>
      <c r="T14" s="85"/>
      <c r="U14" s="86"/>
      <c r="V14" s="86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  <c r="AW14" s="90"/>
      <c r="AX14" s="90"/>
      <c r="AY14" s="90"/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2"/>
    </row>
    <row r="15" spans="1:120" ht="12.75" customHeight="1">
      <c r="A15" s="2"/>
      <c r="B15" s="2"/>
      <c r="C15" s="2"/>
      <c r="D15" s="2"/>
      <c r="E15" s="2"/>
      <c r="F15" s="2"/>
      <c r="G15" s="2"/>
      <c r="H15" s="2"/>
      <c r="I15" s="185"/>
      <c r="J15" s="185"/>
      <c r="K15" s="186"/>
      <c r="L15" s="186"/>
      <c r="M15" s="186"/>
      <c r="N15" s="90"/>
      <c r="O15" s="90"/>
      <c r="P15" s="90"/>
      <c r="Q15" s="90"/>
      <c r="R15" s="90"/>
      <c r="S15" s="90"/>
      <c r="T15" s="85"/>
      <c r="U15" s="86"/>
      <c r="V15" s="86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90"/>
      <c r="AV15" s="90"/>
      <c r="AW15" s="90"/>
      <c r="AX15" s="90"/>
      <c r="AY15" s="90"/>
      <c r="AZ15" s="90"/>
      <c r="BA15" s="90"/>
      <c r="BB15" s="90"/>
      <c r="BC15" s="90"/>
      <c r="BD15" s="90"/>
      <c r="BE15" s="90"/>
      <c r="BF15" s="90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2"/>
    </row>
    <row r="16" spans="1:120" ht="12.75" customHeight="1">
      <c r="A16" s="2"/>
      <c r="B16" s="2"/>
      <c r="C16" s="2"/>
      <c r="D16" s="2"/>
      <c r="E16" s="2"/>
      <c r="F16" s="2"/>
      <c r="G16" s="2"/>
      <c r="H16" s="2"/>
      <c r="I16" s="185"/>
      <c r="J16" s="185"/>
      <c r="K16" s="186"/>
      <c r="L16" s="186"/>
      <c r="M16" s="186"/>
      <c r="N16" s="90"/>
      <c r="O16" s="90"/>
      <c r="P16" s="90"/>
      <c r="Q16" s="90"/>
      <c r="R16" s="90"/>
      <c r="S16" s="90"/>
      <c r="T16" s="85"/>
      <c r="U16" s="86"/>
      <c r="V16" s="86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90"/>
      <c r="AS16" s="90"/>
      <c r="AT16" s="90"/>
      <c r="AU16" s="90"/>
      <c r="AV16" s="90"/>
      <c r="AW16" s="90"/>
      <c r="AX16" s="90"/>
      <c r="AY16" s="90"/>
      <c r="AZ16" s="90"/>
      <c r="BA16" s="90"/>
      <c r="BB16" s="90"/>
      <c r="BC16" s="90"/>
      <c r="BD16" s="90"/>
      <c r="BE16" s="90"/>
      <c r="BF16" s="90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2"/>
    </row>
    <row r="17" spans="1:120" ht="12.75" customHeight="1">
      <c r="A17" s="2"/>
      <c r="B17" s="2"/>
      <c r="C17" s="2"/>
      <c r="D17" s="2"/>
      <c r="E17" s="2"/>
      <c r="F17" s="2"/>
      <c r="G17" s="2"/>
      <c r="H17" s="2"/>
      <c r="I17" s="185"/>
      <c r="J17" s="185"/>
      <c r="K17" s="186"/>
      <c r="L17" s="186"/>
      <c r="M17" s="186"/>
      <c r="N17" s="90"/>
      <c r="O17" s="90"/>
      <c r="P17" s="90"/>
      <c r="Q17" s="90"/>
      <c r="R17" s="90"/>
      <c r="S17" s="90"/>
      <c r="T17" s="85"/>
      <c r="U17" s="86"/>
      <c r="V17" s="86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90"/>
      <c r="AQ17" s="90"/>
      <c r="AR17" s="90"/>
      <c r="AS17" s="90"/>
      <c r="AT17" s="90"/>
      <c r="AU17" s="90"/>
      <c r="AV17" s="90"/>
      <c r="AW17" s="90"/>
      <c r="AX17" s="90"/>
      <c r="AY17" s="90"/>
      <c r="AZ17" s="90"/>
      <c r="BA17" s="90"/>
      <c r="BB17" s="90"/>
      <c r="BC17" s="90"/>
      <c r="BD17" s="90"/>
      <c r="BE17" s="90"/>
      <c r="BF17" s="90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2"/>
    </row>
    <row r="18" spans="1:120" ht="12.75" customHeight="1">
      <c r="A18" s="2"/>
      <c r="B18" s="2"/>
      <c r="C18" s="2"/>
      <c r="D18" s="2"/>
      <c r="E18" s="2"/>
      <c r="F18" s="2"/>
      <c r="G18" s="2"/>
      <c r="H18" s="2"/>
      <c r="I18" s="185"/>
      <c r="J18" s="185"/>
      <c r="K18" s="186"/>
      <c r="L18" s="186"/>
      <c r="M18" s="186"/>
      <c r="N18" s="90"/>
      <c r="O18" s="90"/>
      <c r="P18" s="90"/>
      <c r="Q18" s="90"/>
      <c r="R18" s="90"/>
      <c r="S18" s="90"/>
      <c r="T18" s="85"/>
      <c r="U18" s="86"/>
      <c r="V18" s="86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0"/>
      <c r="AT18" s="90"/>
      <c r="AU18" s="90"/>
      <c r="AV18" s="90"/>
      <c r="AW18" s="90"/>
      <c r="AX18" s="90"/>
      <c r="AY18" s="90"/>
      <c r="AZ18" s="90"/>
      <c r="BA18" s="90"/>
      <c r="BB18" s="90"/>
      <c r="BC18" s="90"/>
      <c r="BD18" s="90"/>
      <c r="BE18" s="90"/>
      <c r="BF18" s="90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2"/>
    </row>
    <row r="19" spans="1:120" ht="12.75" customHeight="1">
      <c r="A19" s="2"/>
      <c r="B19" s="2"/>
      <c r="C19" s="2"/>
      <c r="D19" s="2"/>
      <c r="E19" s="2"/>
      <c r="F19" s="2"/>
      <c r="G19" s="2"/>
      <c r="H19" s="2"/>
      <c r="I19" s="185"/>
      <c r="J19" s="185"/>
      <c r="K19" s="186"/>
      <c r="L19" s="186"/>
      <c r="M19" s="186"/>
      <c r="N19" s="90"/>
      <c r="O19" s="90"/>
      <c r="P19" s="90"/>
      <c r="Q19" s="90"/>
      <c r="R19" s="90"/>
      <c r="S19" s="90"/>
      <c r="T19" s="85"/>
      <c r="U19" s="86"/>
      <c r="V19" s="86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  <c r="AY19" s="90"/>
      <c r="AZ19" s="90"/>
      <c r="BA19" s="90"/>
      <c r="BB19" s="90"/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2"/>
    </row>
    <row r="20" spans="1:120" ht="12.75" customHeight="1">
      <c r="A20" s="2"/>
      <c r="B20" s="2"/>
      <c r="C20" s="2"/>
      <c r="D20" s="2"/>
      <c r="E20" s="2"/>
      <c r="F20" s="2"/>
      <c r="G20" s="2"/>
      <c r="H20" s="2"/>
      <c r="I20" s="185"/>
      <c r="J20" s="185"/>
      <c r="K20" s="186"/>
      <c r="L20" s="186"/>
      <c r="M20" s="186"/>
      <c r="N20" s="90"/>
      <c r="O20" s="90"/>
      <c r="P20" s="90"/>
      <c r="Q20" s="90"/>
      <c r="R20" s="90"/>
      <c r="S20" s="90"/>
      <c r="T20" s="85"/>
      <c r="U20" s="86"/>
      <c r="V20" s="86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90"/>
      <c r="AS20" s="90"/>
      <c r="AT20" s="90"/>
      <c r="AU20" s="90"/>
      <c r="AV20" s="90"/>
      <c r="AW20" s="90"/>
      <c r="AX20" s="90"/>
      <c r="AY20" s="90"/>
      <c r="AZ20" s="90"/>
      <c r="BA20" s="90"/>
      <c r="BB20" s="90"/>
      <c r="BC20" s="90"/>
      <c r="BD20" s="90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2"/>
    </row>
    <row r="21" spans="1:120" ht="12.75" customHeight="1">
      <c r="A21" s="2"/>
      <c r="B21" s="2"/>
      <c r="C21" s="2"/>
      <c r="D21" s="2"/>
      <c r="E21" s="2"/>
      <c r="F21" s="2"/>
      <c r="G21" s="2"/>
      <c r="H21" s="2"/>
      <c r="I21" s="185"/>
      <c r="J21" s="185"/>
      <c r="K21" s="186"/>
      <c r="L21" s="186"/>
      <c r="M21" s="186"/>
      <c r="N21" s="90"/>
      <c r="O21" s="90"/>
      <c r="P21" s="90"/>
      <c r="Q21" s="90"/>
      <c r="R21" s="90"/>
      <c r="S21" s="90"/>
      <c r="T21" s="85"/>
      <c r="U21" s="86"/>
      <c r="V21" s="86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90"/>
      <c r="AU21" s="90"/>
      <c r="AV21" s="90"/>
      <c r="AW21" s="90"/>
      <c r="AX21" s="90"/>
      <c r="AY21" s="90"/>
      <c r="AZ21" s="90"/>
      <c r="BA21" s="90"/>
      <c r="BB21" s="90"/>
      <c r="BC21" s="90"/>
      <c r="BD21" s="90"/>
      <c r="BE21" s="90"/>
      <c r="BF21" s="90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2"/>
    </row>
    <row r="22" spans="1:120" ht="12.75" customHeight="1">
      <c r="A22" s="2"/>
      <c r="B22" s="2"/>
      <c r="C22" s="2"/>
      <c r="D22" s="2"/>
      <c r="E22" s="2"/>
      <c r="F22" s="2"/>
      <c r="G22" s="2"/>
      <c r="H22" s="2"/>
      <c r="I22" s="185"/>
      <c r="J22" s="185"/>
      <c r="K22" s="186"/>
      <c r="L22" s="186"/>
      <c r="M22" s="186"/>
      <c r="N22" s="90"/>
      <c r="O22" s="90"/>
      <c r="P22" s="90"/>
      <c r="Q22" s="90"/>
      <c r="R22" s="90"/>
      <c r="S22" s="90"/>
      <c r="T22" s="85"/>
      <c r="U22" s="86"/>
      <c r="V22" s="86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  <c r="AY22" s="90"/>
      <c r="AZ22" s="90"/>
      <c r="BA22" s="90"/>
      <c r="BB22" s="90"/>
      <c r="BC22" s="90"/>
      <c r="BD22" s="90"/>
      <c r="BE22" s="90"/>
      <c r="BF22" s="90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2"/>
    </row>
    <row r="23" spans="1:120" ht="12.75" customHeight="1">
      <c r="A23" s="2"/>
      <c r="B23" s="2"/>
      <c r="C23" s="2"/>
      <c r="D23" s="2"/>
      <c r="E23" s="2"/>
      <c r="F23" s="2"/>
      <c r="G23" s="2"/>
      <c r="H23" s="2"/>
      <c r="I23" s="185"/>
      <c r="J23" s="185"/>
      <c r="K23" s="186"/>
      <c r="L23" s="186"/>
      <c r="M23" s="186"/>
      <c r="N23" s="90"/>
      <c r="O23" s="90"/>
      <c r="P23" s="90"/>
      <c r="Q23" s="90"/>
      <c r="R23" s="90"/>
      <c r="S23" s="90"/>
      <c r="T23" s="85"/>
      <c r="U23" s="86"/>
      <c r="V23" s="86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90"/>
      <c r="AU23" s="90"/>
      <c r="AV23" s="90"/>
      <c r="AW23" s="90"/>
      <c r="AX23" s="90"/>
      <c r="AY23" s="90"/>
      <c r="AZ23" s="90"/>
      <c r="BA23" s="90"/>
      <c r="BB23" s="90"/>
      <c r="BC23" s="90"/>
      <c r="BD23" s="90"/>
      <c r="BE23" s="90"/>
      <c r="BF23" s="90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2"/>
    </row>
    <row r="24" spans="1:120" ht="12.75" customHeight="1">
      <c r="A24" s="2"/>
      <c r="B24" s="2"/>
      <c r="C24" s="2"/>
      <c r="D24" s="2"/>
      <c r="E24" s="2"/>
      <c r="F24" s="2"/>
      <c r="G24" s="2"/>
      <c r="H24" s="2"/>
      <c r="I24" s="185"/>
      <c r="J24" s="185"/>
      <c r="K24" s="186"/>
      <c r="L24" s="186"/>
      <c r="M24" s="186"/>
      <c r="N24" s="90"/>
      <c r="O24" s="90"/>
      <c r="P24" s="90"/>
      <c r="Q24" s="90"/>
      <c r="R24" s="90"/>
      <c r="S24" s="90"/>
      <c r="T24" s="85"/>
      <c r="U24" s="86"/>
      <c r="V24" s="86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2"/>
    </row>
    <row r="25" spans="1:120" ht="12.75" customHeight="1">
      <c r="A25" s="2"/>
      <c r="B25" s="2"/>
      <c r="C25" s="2"/>
      <c r="D25" s="2"/>
      <c r="E25" s="2"/>
      <c r="F25" s="2"/>
      <c r="G25" s="2"/>
      <c r="H25" s="2"/>
      <c r="I25" s="185"/>
      <c r="J25" s="185"/>
      <c r="K25" s="186"/>
      <c r="L25" s="186"/>
      <c r="M25" s="186"/>
      <c r="N25" s="90"/>
      <c r="O25" s="90"/>
      <c r="P25" s="90"/>
      <c r="Q25" s="90"/>
      <c r="R25" s="90"/>
      <c r="S25" s="90"/>
      <c r="T25" s="85"/>
      <c r="U25" s="86"/>
      <c r="V25" s="86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0"/>
      <c r="AK25" s="90"/>
      <c r="AL25" s="90"/>
      <c r="AM25" s="90"/>
      <c r="AN25" s="90"/>
      <c r="AO25" s="90"/>
      <c r="AP25" s="90"/>
      <c r="AQ25" s="90"/>
      <c r="AR25" s="90"/>
      <c r="AS25" s="90"/>
      <c r="AT25" s="90"/>
      <c r="AU25" s="90"/>
      <c r="AV25" s="90"/>
      <c r="AW25" s="90"/>
      <c r="AX25" s="90"/>
      <c r="AY25" s="90"/>
      <c r="AZ25" s="90"/>
      <c r="BA25" s="90"/>
      <c r="BB25" s="90"/>
      <c r="BC25" s="90"/>
      <c r="BD25" s="90"/>
      <c r="BE25" s="90"/>
      <c r="BF25" s="90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2"/>
    </row>
    <row r="26" spans="1:120" ht="12.75" customHeight="1">
      <c r="A26" s="2"/>
      <c r="B26" s="2"/>
      <c r="C26" s="2"/>
      <c r="D26" s="2"/>
      <c r="E26" s="2"/>
      <c r="F26" s="2"/>
      <c r="G26" s="2"/>
      <c r="H26" s="2"/>
      <c r="I26" s="185"/>
      <c r="J26" s="185"/>
      <c r="K26" s="186"/>
      <c r="L26" s="186"/>
      <c r="M26" s="186"/>
      <c r="N26" s="90"/>
      <c r="O26" s="90"/>
      <c r="P26" s="90"/>
      <c r="Q26" s="90"/>
      <c r="R26" s="90"/>
      <c r="S26" s="90"/>
      <c r="T26" s="85"/>
      <c r="U26" s="86"/>
      <c r="V26" s="86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90"/>
      <c r="AS26" s="90"/>
      <c r="AT26" s="90"/>
      <c r="AU26" s="90"/>
      <c r="AV26" s="90"/>
      <c r="AW26" s="90"/>
      <c r="AX26" s="90"/>
      <c r="AY26" s="90"/>
      <c r="AZ26" s="90"/>
      <c r="BA26" s="90"/>
      <c r="BB26" s="90"/>
      <c r="BC26" s="90"/>
      <c r="BD26" s="90"/>
      <c r="BE26" s="90"/>
      <c r="BF26" s="90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2"/>
    </row>
    <row r="27" spans="1:120" ht="12.75" customHeight="1">
      <c r="A27" s="2"/>
      <c r="B27" s="2"/>
      <c r="C27" s="2"/>
      <c r="D27" s="2"/>
      <c r="E27" s="2"/>
      <c r="F27" s="2"/>
      <c r="G27" s="2"/>
      <c r="H27" s="2"/>
      <c r="I27" s="185"/>
      <c r="J27" s="185"/>
      <c r="K27" s="186"/>
      <c r="L27" s="186"/>
      <c r="M27" s="186"/>
      <c r="N27" s="90"/>
      <c r="O27" s="90"/>
      <c r="P27" s="90"/>
      <c r="Q27" s="90"/>
      <c r="R27" s="90"/>
      <c r="S27" s="90"/>
      <c r="T27" s="85"/>
      <c r="U27" s="86"/>
      <c r="V27" s="86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2"/>
    </row>
    <row r="28" spans="1:120" ht="12.75" customHeight="1">
      <c r="A28" s="2"/>
      <c r="B28" s="2"/>
      <c r="C28" s="2"/>
      <c r="D28" s="2"/>
      <c r="E28" s="2"/>
      <c r="F28" s="2"/>
      <c r="G28" s="2"/>
      <c r="H28" s="2"/>
      <c r="I28" s="185"/>
      <c r="J28" s="185"/>
      <c r="K28" s="186"/>
      <c r="L28" s="186"/>
      <c r="M28" s="186"/>
      <c r="N28" s="90"/>
      <c r="O28" s="90"/>
      <c r="P28" s="90"/>
      <c r="Q28" s="90"/>
      <c r="R28" s="90"/>
      <c r="S28" s="90"/>
      <c r="T28" s="85"/>
      <c r="U28" s="86"/>
      <c r="V28" s="86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0"/>
      <c r="AT28" s="90"/>
      <c r="AU28" s="90"/>
      <c r="AV28" s="90"/>
      <c r="AW28" s="90"/>
      <c r="AX28" s="90"/>
      <c r="AY28" s="90"/>
      <c r="AZ28" s="90"/>
      <c r="BA28" s="90"/>
      <c r="BB28" s="90"/>
      <c r="BC28" s="90"/>
      <c r="BD28" s="90"/>
      <c r="BE28" s="90"/>
      <c r="BF28" s="90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2"/>
    </row>
    <row r="29" spans="1:120" ht="12.75" customHeight="1">
      <c r="A29" s="2"/>
      <c r="B29" s="2"/>
      <c r="C29" s="2"/>
      <c r="D29" s="2"/>
      <c r="E29" s="2"/>
      <c r="F29" s="2"/>
      <c r="G29" s="2"/>
      <c r="H29" s="2"/>
      <c r="I29" s="185"/>
      <c r="J29" s="185"/>
      <c r="K29" s="186"/>
      <c r="L29" s="186"/>
      <c r="M29" s="186"/>
      <c r="N29" s="90"/>
      <c r="O29" s="90"/>
      <c r="P29" s="90"/>
      <c r="Q29" s="90"/>
      <c r="R29" s="90"/>
      <c r="S29" s="90"/>
      <c r="T29" s="85"/>
      <c r="U29" s="86"/>
      <c r="V29" s="86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0"/>
      <c r="AT29" s="90"/>
      <c r="AU29" s="90"/>
      <c r="AV29" s="90"/>
      <c r="AW29" s="90"/>
      <c r="AX29" s="90"/>
      <c r="AY29" s="90"/>
      <c r="AZ29" s="90"/>
      <c r="BA29" s="90"/>
      <c r="BB29" s="90"/>
      <c r="BC29" s="90"/>
      <c r="BD29" s="90"/>
      <c r="BE29" s="90"/>
      <c r="BF29" s="90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2"/>
    </row>
    <row r="30" spans="1:120" ht="12.75" customHeight="1">
      <c r="A30" s="2"/>
      <c r="B30" s="2"/>
      <c r="C30" s="2"/>
      <c r="D30" s="2"/>
      <c r="E30" s="2"/>
      <c r="F30" s="2"/>
      <c r="G30" s="2"/>
      <c r="H30" s="2"/>
      <c r="I30" s="185"/>
      <c r="J30" s="185"/>
      <c r="K30" s="186"/>
      <c r="L30" s="186"/>
      <c r="M30" s="186"/>
      <c r="N30" s="90"/>
      <c r="O30" s="90"/>
      <c r="P30" s="90"/>
      <c r="Q30" s="90"/>
      <c r="R30" s="90"/>
      <c r="S30" s="90"/>
      <c r="T30" s="85"/>
      <c r="U30" s="86"/>
      <c r="V30" s="86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  <c r="AN30" s="90"/>
      <c r="AO30" s="90"/>
      <c r="AP30" s="90"/>
      <c r="AQ30" s="90"/>
      <c r="AR30" s="90"/>
      <c r="AS30" s="90"/>
      <c r="AT30" s="90"/>
      <c r="AU30" s="90"/>
      <c r="AV30" s="90"/>
      <c r="AW30" s="90"/>
      <c r="AX30" s="90"/>
      <c r="AY30" s="90"/>
      <c r="AZ30" s="90"/>
      <c r="BA30" s="90"/>
      <c r="BB30" s="90"/>
      <c r="BC30" s="90"/>
      <c r="BD30" s="90"/>
      <c r="BE30" s="90"/>
      <c r="BF30" s="90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2"/>
    </row>
    <row r="31" spans="1:120" ht="12.75" customHeight="1">
      <c r="A31" s="2"/>
      <c r="B31" s="2"/>
      <c r="C31" s="2"/>
      <c r="D31" s="2"/>
      <c r="E31" s="2"/>
      <c r="F31" s="2"/>
      <c r="G31" s="2"/>
      <c r="H31" s="2"/>
      <c r="I31" s="185"/>
      <c r="J31" s="185"/>
      <c r="K31" s="186"/>
      <c r="L31" s="186"/>
      <c r="M31" s="186"/>
      <c r="N31" s="90"/>
      <c r="O31" s="90"/>
      <c r="P31" s="90"/>
      <c r="Q31" s="90"/>
      <c r="R31" s="90"/>
      <c r="S31" s="90"/>
      <c r="T31" s="85"/>
      <c r="U31" s="86"/>
      <c r="V31" s="86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0"/>
      <c r="AT31" s="90"/>
      <c r="AU31" s="90"/>
      <c r="AV31" s="90"/>
      <c r="AW31" s="90"/>
      <c r="AX31" s="90"/>
      <c r="AY31" s="90"/>
      <c r="AZ31" s="90"/>
      <c r="BA31" s="90"/>
      <c r="BB31" s="90"/>
      <c r="BC31" s="90"/>
      <c r="BD31" s="90"/>
      <c r="BE31" s="90"/>
      <c r="BF31" s="90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2"/>
    </row>
    <row r="32" spans="1:120" ht="12.75" customHeight="1">
      <c r="A32" s="2"/>
      <c r="B32" s="2"/>
      <c r="C32" s="2"/>
      <c r="D32" s="2"/>
      <c r="E32" s="2"/>
      <c r="F32" s="2"/>
      <c r="G32" s="2"/>
      <c r="H32" s="2"/>
      <c r="I32" s="185"/>
      <c r="J32" s="185"/>
      <c r="K32" s="186"/>
      <c r="L32" s="186"/>
      <c r="M32" s="186"/>
      <c r="N32" s="90"/>
      <c r="O32" s="90"/>
      <c r="P32" s="90"/>
      <c r="Q32" s="90"/>
      <c r="R32" s="90"/>
      <c r="S32" s="90"/>
      <c r="T32" s="85"/>
      <c r="U32" s="86"/>
      <c r="V32" s="86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  <c r="AK32" s="90"/>
      <c r="AL32" s="90"/>
      <c r="AM32" s="90"/>
      <c r="AN32" s="90"/>
      <c r="AO32" s="90"/>
      <c r="AP32" s="90"/>
      <c r="AQ32" s="90"/>
      <c r="AR32" s="90"/>
      <c r="AS32" s="90"/>
      <c r="AT32" s="90"/>
      <c r="AU32" s="90"/>
      <c r="AV32" s="90"/>
      <c r="AW32" s="90"/>
      <c r="AX32" s="90"/>
      <c r="AY32" s="90"/>
      <c r="AZ32" s="90"/>
      <c r="BA32" s="90"/>
      <c r="BB32" s="90"/>
      <c r="BC32" s="90"/>
      <c r="BD32" s="90"/>
      <c r="BE32" s="90"/>
      <c r="BF32" s="90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2"/>
    </row>
    <row r="33" spans="1:120" ht="12.75" customHeight="1">
      <c r="A33" s="2"/>
      <c r="B33" s="2"/>
      <c r="C33" s="2"/>
      <c r="D33" s="2"/>
      <c r="E33" s="2"/>
      <c r="F33" s="2"/>
      <c r="G33" s="2"/>
      <c r="H33" s="2"/>
      <c r="I33" s="185"/>
      <c r="J33" s="185"/>
      <c r="K33" s="186"/>
      <c r="L33" s="186"/>
      <c r="M33" s="186"/>
      <c r="N33" s="90"/>
      <c r="O33" s="90"/>
      <c r="P33" s="90"/>
      <c r="Q33" s="90"/>
      <c r="R33" s="90"/>
      <c r="S33" s="90"/>
      <c r="T33" s="85"/>
      <c r="U33" s="86"/>
      <c r="V33" s="86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90"/>
      <c r="AU33" s="90"/>
      <c r="AV33" s="90"/>
      <c r="AW33" s="90"/>
      <c r="AX33" s="90"/>
      <c r="AY33" s="90"/>
      <c r="AZ33" s="90"/>
      <c r="BA33" s="90"/>
      <c r="BB33" s="90"/>
      <c r="BC33" s="90"/>
      <c r="BD33" s="90"/>
      <c r="BE33" s="90"/>
      <c r="BF33" s="90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2"/>
    </row>
    <row r="34" spans="1:120" ht="12.75" customHeight="1">
      <c r="A34" s="2"/>
      <c r="B34" s="2"/>
      <c r="C34" s="2"/>
      <c r="D34" s="2"/>
      <c r="E34" s="2"/>
      <c r="F34" s="2"/>
      <c r="G34" s="2"/>
      <c r="H34" s="2"/>
      <c r="I34" s="185"/>
      <c r="J34" s="185"/>
      <c r="K34" s="186"/>
      <c r="L34" s="186"/>
      <c r="M34" s="186"/>
      <c r="N34" s="90"/>
      <c r="O34" s="90"/>
      <c r="P34" s="90"/>
      <c r="Q34" s="90"/>
      <c r="R34" s="90"/>
      <c r="S34" s="90"/>
      <c r="T34" s="85"/>
      <c r="U34" s="86"/>
      <c r="V34" s="86"/>
      <c r="W34" s="90"/>
      <c r="X34" s="90"/>
      <c r="Y34" s="90"/>
      <c r="Z34" s="90"/>
      <c r="AA34" s="90"/>
      <c r="AB34" s="90"/>
      <c r="AC34" s="90"/>
      <c r="AD34" s="90"/>
      <c r="AE34" s="90"/>
      <c r="AF34" s="90"/>
      <c r="AG34" s="90"/>
      <c r="AH34" s="90"/>
      <c r="AI34" s="90"/>
      <c r="AJ34" s="90"/>
      <c r="AK34" s="90"/>
      <c r="AL34" s="90"/>
      <c r="AM34" s="90"/>
      <c r="AN34" s="90"/>
      <c r="AO34" s="90"/>
      <c r="AP34" s="90"/>
      <c r="AQ34" s="90"/>
      <c r="AR34" s="90"/>
      <c r="AS34" s="90"/>
      <c r="AT34" s="90"/>
      <c r="AU34" s="90"/>
      <c r="AV34" s="90"/>
      <c r="AW34" s="90"/>
      <c r="AX34" s="90"/>
      <c r="AY34" s="90"/>
      <c r="AZ34" s="90"/>
      <c r="BA34" s="90"/>
      <c r="BB34" s="90"/>
      <c r="BC34" s="90"/>
      <c r="BD34" s="90"/>
      <c r="BE34" s="90"/>
      <c r="BF34" s="90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2"/>
    </row>
    <row r="35" spans="1:120" ht="12.75" customHeight="1">
      <c r="A35" s="2"/>
      <c r="B35" s="2"/>
      <c r="C35" s="2"/>
      <c r="D35" s="2"/>
      <c r="E35" s="2"/>
      <c r="F35" s="2"/>
      <c r="G35" s="2"/>
      <c r="H35" s="2"/>
      <c r="I35" s="185"/>
      <c r="J35" s="185"/>
      <c r="K35" s="186"/>
      <c r="L35" s="186"/>
      <c r="M35" s="186"/>
      <c r="N35" s="90"/>
      <c r="O35" s="90"/>
      <c r="P35" s="90"/>
      <c r="Q35" s="90"/>
      <c r="R35" s="90"/>
      <c r="S35" s="90"/>
      <c r="T35" s="85"/>
      <c r="U35" s="86"/>
      <c r="V35" s="86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0"/>
      <c r="AI35" s="90"/>
      <c r="AJ35" s="90"/>
      <c r="AK35" s="90"/>
      <c r="AL35" s="90"/>
      <c r="AM35" s="90"/>
      <c r="AN35" s="90"/>
      <c r="AO35" s="90"/>
      <c r="AP35" s="90"/>
      <c r="AQ35" s="90"/>
      <c r="AR35" s="90"/>
      <c r="AS35" s="90"/>
      <c r="AT35" s="90"/>
      <c r="AU35" s="90"/>
      <c r="AV35" s="90"/>
      <c r="AW35" s="90"/>
      <c r="AX35" s="90"/>
      <c r="AY35" s="90"/>
      <c r="AZ35" s="90"/>
      <c r="BA35" s="90"/>
      <c r="BB35" s="90"/>
      <c r="BC35" s="90"/>
      <c r="BD35" s="90"/>
      <c r="BE35" s="90"/>
      <c r="BF35" s="90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2"/>
    </row>
    <row r="36" spans="1:120" ht="12.75" customHeight="1">
      <c r="A36" s="2"/>
      <c r="B36" s="2"/>
      <c r="C36" s="2"/>
      <c r="D36" s="2"/>
      <c r="E36" s="2"/>
      <c r="F36" s="2"/>
      <c r="G36" s="2"/>
      <c r="H36" s="2"/>
      <c r="I36" s="185"/>
      <c r="J36" s="185"/>
      <c r="K36" s="186"/>
      <c r="L36" s="186"/>
      <c r="M36" s="186"/>
      <c r="N36" s="90"/>
      <c r="O36" s="90"/>
      <c r="P36" s="90"/>
      <c r="Q36" s="90"/>
      <c r="R36" s="90"/>
      <c r="S36" s="90"/>
      <c r="T36" s="85"/>
      <c r="U36" s="86"/>
      <c r="V36" s="86"/>
      <c r="W36" s="90"/>
      <c r="X36" s="90"/>
      <c r="Y36" s="90"/>
      <c r="Z36" s="90"/>
      <c r="AA36" s="90"/>
      <c r="AB36" s="90"/>
      <c r="AC36" s="90"/>
      <c r="AD36" s="90"/>
      <c r="AE36" s="90"/>
      <c r="AF36" s="90"/>
      <c r="AG36" s="90"/>
      <c r="AH36" s="90"/>
      <c r="AI36" s="90"/>
      <c r="AJ36" s="90"/>
      <c r="AK36" s="90"/>
      <c r="AL36" s="90"/>
      <c r="AM36" s="90"/>
      <c r="AN36" s="90"/>
      <c r="AO36" s="90"/>
      <c r="AP36" s="90"/>
      <c r="AQ36" s="90"/>
      <c r="AR36" s="90"/>
      <c r="AS36" s="90"/>
      <c r="AT36" s="90"/>
      <c r="AU36" s="90"/>
      <c r="AV36" s="90"/>
      <c r="AW36" s="90"/>
      <c r="AX36" s="90"/>
      <c r="AY36" s="90"/>
      <c r="AZ36" s="90"/>
      <c r="BA36" s="90"/>
      <c r="BB36" s="90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2"/>
    </row>
    <row r="37" spans="1:120" ht="12.75" customHeight="1">
      <c r="A37" s="2"/>
      <c r="B37" s="2"/>
      <c r="C37" s="2"/>
      <c r="D37" s="2"/>
      <c r="E37" s="2"/>
      <c r="F37" s="2"/>
      <c r="G37" s="2"/>
      <c r="H37" s="2"/>
      <c r="I37" s="185"/>
      <c r="J37" s="185"/>
      <c r="K37" s="186"/>
      <c r="L37" s="186"/>
      <c r="M37" s="186"/>
      <c r="N37" s="90"/>
      <c r="O37" s="90"/>
      <c r="P37" s="90"/>
      <c r="Q37" s="90"/>
      <c r="R37" s="90"/>
      <c r="S37" s="90"/>
      <c r="T37" s="85"/>
      <c r="U37" s="86"/>
      <c r="V37" s="86"/>
      <c r="W37" s="90"/>
      <c r="X37" s="90"/>
      <c r="Y37" s="90"/>
      <c r="Z37" s="90"/>
      <c r="AA37" s="90"/>
      <c r="AB37" s="90"/>
      <c r="AC37" s="90"/>
      <c r="AD37" s="90"/>
      <c r="AE37" s="90"/>
      <c r="AF37" s="90"/>
      <c r="AG37" s="90"/>
      <c r="AH37" s="90"/>
      <c r="AI37" s="90"/>
      <c r="AJ37" s="90"/>
      <c r="AK37" s="90"/>
      <c r="AL37" s="90"/>
      <c r="AM37" s="90"/>
      <c r="AN37" s="90"/>
      <c r="AO37" s="90"/>
      <c r="AP37" s="90"/>
      <c r="AQ37" s="90"/>
      <c r="AR37" s="90"/>
      <c r="AS37" s="90"/>
      <c r="AT37" s="90"/>
      <c r="AU37" s="90"/>
      <c r="AV37" s="90"/>
      <c r="AW37" s="90"/>
      <c r="AX37" s="90"/>
      <c r="AY37" s="90"/>
      <c r="AZ37" s="90"/>
      <c r="BA37" s="90"/>
      <c r="BB37" s="90"/>
      <c r="BC37" s="90"/>
      <c r="BD37" s="90"/>
      <c r="BE37" s="90"/>
      <c r="BF37" s="90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2"/>
    </row>
    <row r="38" spans="1:120" ht="12.75" customHeight="1">
      <c r="A38" s="2"/>
      <c r="B38" s="2"/>
      <c r="C38" s="2"/>
      <c r="D38" s="2"/>
      <c r="E38" s="2"/>
      <c r="F38" s="2"/>
      <c r="G38" s="2"/>
      <c r="H38" s="2"/>
      <c r="I38" s="185"/>
      <c r="J38" s="185"/>
      <c r="K38" s="186"/>
      <c r="L38" s="186"/>
      <c r="M38" s="186"/>
      <c r="N38" s="90"/>
      <c r="O38" s="90"/>
      <c r="P38" s="90"/>
      <c r="Q38" s="90"/>
      <c r="R38" s="90"/>
      <c r="S38" s="90"/>
      <c r="T38" s="85"/>
      <c r="U38" s="86"/>
      <c r="V38" s="86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J38" s="90"/>
      <c r="AK38" s="90"/>
      <c r="AL38" s="90"/>
      <c r="AM38" s="90"/>
      <c r="AN38" s="90"/>
      <c r="AO38" s="90"/>
      <c r="AP38" s="90"/>
      <c r="AQ38" s="90"/>
      <c r="AR38" s="90"/>
      <c r="AS38" s="90"/>
      <c r="AT38" s="90"/>
      <c r="AU38" s="90"/>
      <c r="AV38" s="90"/>
      <c r="AW38" s="90"/>
      <c r="AX38" s="90"/>
      <c r="AY38" s="90"/>
      <c r="AZ38" s="90"/>
      <c r="BA38" s="90"/>
      <c r="BB38" s="90"/>
      <c r="BC38" s="90"/>
      <c r="BD38" s="90"/>
      <c r="BE38" s="90"/>
      <c r="BF38" s="90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2"/>
    </row>
    <row r="39" spans="1:120" ht="12.75" customHeight="1">
      <c r="A39" s="2"/>
      <c r="B39" s="2"/>
      <c r="C39" s="2"/>
      <c r="D39" s="2"/>
      <c r="E39" s="2"/>
      <c r="F39" s="2"/>
      <c r="G39" s="2"/>
      <c r="H39" s="2"/>
      <c r="I39" s="185"/>
      <c r="J39" s="185"/>
      <c r="K39" s="186"/>
      <c r="L39" s="186"/>
      <c r="M39" s="186"/>
      <c r="N39" s="90"/>
      <c r="O39" s="90"/>
      <c r="P39" s="90"/>
      <c r="Q39" s="90"/>
      <c r="R39" s="90"/>
      <c r="S39" s="90"/>
      <c r="T39" s="85"/>
      <c r="U39" s="86"/>
      <c r="V39" s="86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90"/>
      <c r="AN39" s="90"/>
      <c r="AO39" s="90"/>
      <c r="AP39" s="90"/>
      <c r="AQ39" s="90"/>
      <c r="AR39" s="90"/>
      <c r="AS39" s="90"/>
      <c r="AT39" s="90"/>
      <c r="AU39" s="90"/>
      <c r="AV39" s="90"/>
      <c r="AW39" s="90"/>
      <c r="AX39" s="90"/>
      <c r="AY39" s="90"/>
      <c r="AZ39" s="90"/>
      <c r="BA39" s="90"/>
      <c r="BB39" s="90"/>
      <c r="BC39" s="90"/>
      <c r="BD39" s="90"/>
      <c r="BE39" s="90"/>
      <c r="BF39" s="90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2"/>
    </row>
    <row r="40" spans="1:120" ht="12.75" customHeight="1">
      <c r="A40" s="2"/>
      <c r="B40" s="2"/>
      <c r="C40" s="2"/>
      <c r="D40" s="2"/>
      <c r="E40" s="2"/>
      <c r="F40" s="2"/>
      <c r="G40" s="2"/>
      <c r="H40" s="2"/>
      <c r="I40" s="185"/>
      <c r="J40" s="185"/>
      <c r="K40" s="186"/>
      <c r="L40" s="186"/>
      <c r="M40" s="186"/>
      <c r="N40" s="90"/>
      <c r="O40" s="90"/>
      <c r="P40" s="90"/>
      <c r="Q40" s="90"/>
      <c r="R40" s="90"/>
      <c r="S40" s="90"/>
      <c r="T40" s="85"/>
      <c r="U40" s="86"/>
      <c r="V40" s="86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0"/>
      <c r="AR40" s="90"/>
      <c r="AS40" s="90"/>
      <c r="AT40" s="90"/>
      <c r="AU40" s="90"/>
      <c r="AV40" s="90"/>
      <c r="AW40" s="90"/>
      <c r="AX40" s="90"/>
      <c r="AY40" s="90"/>
      <c r="AZ40" s="90"/>
      <c r="BA40" s="90"/>
      <c r="BB40" s="90"/>
      <c r="BC40" s="90"/>
      <c r="BD40" s="90"/>
      <c r="BE40" s="90"/>
      <c r="BF40" s="90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2"/>
    </row>
    <row r="41" spans="1:120" ht="12.75" customHeight="1">
      <c r="A41" s="2"/>
      <c r="B41" s="2"/>
      <c r="C41" s="2"/>
      <c r="D41" s="2"/>
      <c r="E41" s="2"/>
      <c r="F41" s="2"/>
      <c r="G41" s="2"/>
      <c r="H41" s="2"/>
      <c r="I41" s="185"/>
      <c r="J41" s="185"/>
      <c r="K41" s="186"/>
      <c r="L41" s="186"/>
      <c r="M41" s="186"/>
      <c r="N41" s="90"/>
      <c r="O41" s="90"/>
      <c r="P41" s="90"/>
      <c r="Q41" s="90"/>
      <c r="R41" s="90"/>
      <c r="S41" s="90"/>
      <c r="T41" s="85"/>
      <c r="U41" s="86"/>
      <c r="V41" s="86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0"/>
      <c r="AR41" s="90"/>
      <c r="AS41" s="90"/>
      <c r="AT41" s="90"/>
      <c r="AU41" s="90"/>
      <c r="AV41" s="90"/>
      <c r="AW41" s="90"/>
      <c r="AX41" s="90"/>
      <c r="AY41" s="90"/>
      <c r="AZ41" s="90"/>
      <c r="BA41" s="90"/>
      <c r="BB41" s="90"/>
      <c r="BC41" s="90"/>
      <c r="BD41" s="90"/>
      <c r="BE41" s="90"/>
      <c r="BF41" s="90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2"/>
    </row>
    <row r="42" spans="1:120" ht="12.75" customHeight="1">
      <c r="A42" s="2"/>
      <c r="B42" s="2"/>
      <c r="C42" s="2"/>
      <c r="D42" s="2"/>
      <c r="E42" s="2"/>
      <c r="F42" s="2"/>
      <c r="G42" s="2"/>
      <c r="H42" s="2"/>
      <c r="I42" s="185"/>
      <c r="J42" s="185"/>
      <c r="K42" s="186"/>
      <c r="L42" s="186"/>
      <c r="M42" s="186"/>
      <c r="N42" s="90"/>
      <c r="O42" s="90"/>
      <c r="P42" s="90"/>
      <c r="Q42" s="90"/>
      <c r="R42" s="90"/>
      <c r="S42" s="90"/>
      <c r="T42" s="85"/>
      <c r="U42" s="86"/>
      <c r="V42" s="86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  <c r="AN42" s="90"/>
      <c r="AO42" s="90"/>
      <c r="AP42" s="90"/>
      <c r="AQ42" s="90"/>
      <c r="AR42" s="90"/>
      <c r="AS42" s="90"/>
      <c r="AT42" s="90"/>
      <c r="AU42" s="90"/>
      <c r="AV42" s="90"/>
      <c r="AW42" s="90"/>
      <c r="AX42" s="90"/>
      <c r="AY42" s="90"/>
      <c r="AZ42" s="90"/>
      <c r="BA42" s="90"/>
      <c r="BB42" s="90"/>
      <c r="BC42" s="90"/>
      <c r="BD42" s="90"/>
      <c r="BE42" s="90"/>
      <c r="BF42" s="90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2"/>
    </row>
    <row r="43" spans="1:120" ht="12.75" customHeight="1">
      <c r="A43" s="2"/>
      <c r="B43" s="2"/>
      <c r="C43" s="2"/>
      <c r="D43" s="2"/>
      <c r="E43" s="2"/>
      <c r="F43" s="2"/>
      <c r="G43" s="2"/>
      <c r="H43" s="2"/>
      <c r="I43" s="185"/>
      <c r="J43" s="185"/>
      <c r="K43" s="186"/>
      <c r="L43" s="186"/>
      <c r="M43" s="186"/>
      <c r="N43" s="90"/>
      <c r="O43" s="90"/>
      <c r="P43" s="90"/>
      <c r="Q43" s="90"/>
      <c r="R43" s="90"/>
      <c r="S43" s="90"/>
      <c r="T43" s="85"/>
      <c r="U43" s="86"/>
      <c r="V43" s="86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90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2"/>
    </row>
    <row r="44" spans="1:120" ht="12.75" customHeight="1">
      <c r="A44" s="2"/>
      <c r="B44" s="2"/>
      <c r="C44" s="2"/>
      <c r="D44" s="2"/>
      <c r="E44" s="2"/>
      <c r="F44" s="2"/>
      <c r="G44" s="2"/>
      <c r="H44" s="2"/>
      <c r="I44" s="95"/>
      <c r="J44" s="95" t="s">
        <v>472</v>
      </c>
      <c r="K44" s="95" t="s">
        <v>1189</v>
      </c>
      <c r="L44" s="95"/>
      <c r="M44" s="95"/>
      <c r="N44" s="95"/>
      <c r="O44" s="95"/>
      <c r="P44" s="95"/>
      <c r="Q44" s="95"/>
      <c r="R44" s="95"/>
      <c r="S44" s="95"/>
      <c r="T44" s="95"/>
      <c r="U44" s="96"/>
      <c r="V44" s="96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  <c r="BJ44" s="95"/>
      <c r="BK44" s="95"/>
      <c r="BL44" s="95"/>
      <c r="BM44" s="95"/>
      <c r="BN44" s="95"/>
      <c r="BO44" s="95"/>
      <c r="BP44" s="95"/>
      <c r="BQ44" s="95"/>
      <c r="BR44" s="95"/>
      <c r="BS44" s="95"/>
      <c r="BT44" s="95"/>
      <c r="BU44" s="95"/>
      <c r="BV44" s="95"/>
      <c r="BW44" s="95"/>
      <c r="BX44" s="95"/>
      <c r="BY44" s="95"/>
      <c r="BZ44" s="95"/>
      <c r="CA44" s="95"/>
      <c r="CB44" s="95"/>
      <c r="CC44" s="95"/>
      <c r="CD44" s="95"/>
      <c r="CE44" s="95"/>
      <c r="CF44" s="95"/>
      <c r="CG44" s="95"/>
      <c r="CH44" s="95"/>
      <c r="CI44" s="95"/>
      <c r="CJ44" s="95"/>
      <c r="CK44" s="95"/>
      <c r="CL44" s="95"/>
      <c r="CM44" s="95"/>
      <c r="CN44" s="95"/>
      <c r="CO44" s="95"/>
      <c r="CP44" s="95"/>
      <c r="CQ44" s="95"/>
      <c r="CR44" s="95"/>
      <c r="CS44" s="95"/>
      <c r="CT44" s="95"/>
      <c r="CU44" s="95"/>
      <c r="CV44" s="95"/>
      <c r="CW44" s="95"/>
      <c r="CX44" s="95"/>
      <c r="CY44" s="95"/>
      <c r="CZ44" s="95"/>
      <c r="DA44" s="95"/>
      <c r="DB44" s="95"/>
      <c r="DC44" s="95"/>
      <c r="DD44" s="95"/>
      <c r="DE44" s="95"/>
      <c r="DF44" s="95"/>
      <c r="DG44" s="95"/>
      <c r="DH44" s="95"/>
      <c r="DI44" s="95"/>
      <c r="DJ44" s="95"/>
      <c r="DK44" s="95"/>
      <c r="DL44" s="95"/>
      <c r="DM44" s="95"/>
      <c r="DN44" s="95"/>
      <c r="DO44" s="95"/>
      <c r="DP44" s="2"/>
    </row>
    <row r="45" spans="1:120" ht="13.5" customHeight="1">
      <c r="A45" s="2"/>
      <c r="B45" s="2"/>
      <c r="C45" s="2"/>
      <c r="D45" s="2"/>
      <c r="E45" s="2"/>
      <c r="F45" s="2"/>
      <c r="G45" s="2"/>
      <c r="H45" s="2"/>
      <c r="I45" s="97" t="s">
        <v>7</v>
      </c>
      <c r="J45" s="97" t="s">
        <v>733</v>
      </c>
      <c r="K45" s="97" t="s">
        <v>1190</v>
      </c>
      <c r="L45" s="97"/>
      <c r="M45" s="97"/>
      <c r="N45" s="97"/>
      <c r="O45" s="97"/>
      <c r="P45" s="97"/>
      <c r="Q45" s="97"/>
      <c r="R45" s="97"/>
      <c r="S45" s="97"/>
      <c r="T45" s="97"/>
      <c r="U45" s="234"/>
      <c r="V45" s="234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  <c r="BI45" s="97"/>
      <c r="BJ45" s="97"/>
      <c r="BK45" s="97"/>
      <c r="BL45" s="97"/>
      <c r="BM45" s="97"/>
      <c r="BN45" s="97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7"/>
      <c r="CL45" s="97"/>
      <c r="CM45" s="97"/>
      <c r="CN45" s="97"/>
      <c r="CO45" s="97"/>
      <c r="CP45" s="97"/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7"/>
      <c r="DB45" s="97"/>
      <c r="DC45" s="97"/>
      <c r="DD45" s="97"/>
      <c r="DE45" s="97"/>
      <c r="DF45" s="97"/>
      <c r="DG45" s="97"/>
      <c r="DH45" s="97"/>
      <c r="DI45" s="97"/>
      <c r="DJ45" s="97"/>
      <c r="DK45" s="97"/>
      <c r="DL45" s="97"/>
      <c r="DM45" s="97"/>
      <c r="DN45" s="97"/>
      <c r="DO45" s="97"/>
      <c r="DP45" s="2"/>
    </row>
    <row r="46" spans="1:120" ht="12.75" customHeight="1">
      <c r="A46" s="2"/>
      <c r="B46" s="2"/>
      <c r="C46" s="2"/>
      <c r="D46" s="2"/>
      <c r="E46" s="2"/>
      <c r="F46" s="2"/>
      <c r="G46" s="2"/>
      <c r="H46" s="2"/>
      <c r="I46" s="185" t="s">
        <v>48</v>
      </c>
      <c r="J46" s="185" t="s">
        <v>734</v>
      </c>
      <c r="K46" s="89">
        <v>10</v>
      </c>
      <c r="L46" s="89">
        <v>-2</v>
      </c>
      <c r="M46" s="89">
        <v>10</v>
      </c>
      <c r="N46" s="90"/>
      <c r="O46" s="90"/>
      <c r="P46" s="90"/>
      <c r="Q46" s="90"/>
      <c r="R46" s="90"/>
      <c r="S46" s="90"/>
      <c r="T46" s="98" t="s">
        <v>185</v>
      </c>
      <c r="U46" s="88" t="s">
        <v>371</v>
      </c>
      <c r="V46" s="88">
        <v>10</v>
      </c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  <c r="AJ46" s="90"/>
      <c r="AK46" s="90"/>
      <c r="AL46" s="90"/>
      <c r="AM46" s="90"/>
      <c r="AN46" s="89" t="s">
        <v>88</v>
      </c>
      <c r="AO46" s="90"/>
      <c r="AP46" s="89" t="s">
        <v>88</v>
      </c>
      <c r="AQ46" s="90"/>
      <c r="AR46" s="90"/>
      <c r="AS46" s="90"/>
      <c r="AT46" s="90"/>
      <c r="AU46" s="90"/>
      <c r="AV46" s="90"/>
      <c r="AW46" s="90"/>
      <c r="AX46" s="90"/>
      <c r="AY46" s="90"/>
      <c r="AZ46" s="90"/>
      <c r="BA46" s="90"/>
      <c r="BB46" s="90"/>
      <c r="BC46" s="90"/>
      <c r="BD46" s="90"/>
      <c r="BE46" s="90"/>
      <c r="BF46" s="90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1">
        <v>7</v>
      </c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1">
        <v>0</v>
      </c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1">
        <v>1</v>
      </c>
      <c r="DH46" s="91">
        <v>1</v>
      </c>
      <c r="DI46" s="91">
        <v>1</v>
      </c>
      <c r="DJ46" s="91">
        <v>1</v>
      </c>
      <c r="DK46" s="90"/>
      <c r="DL46" s="90"/>
      <c r="DM46" s="90"/>
      <c r="DN46" s="90"/>
      <c r="DO46" s="90"/>
      <c r="DP46" s="2"/>
    </row>
    <row r="47" spans="1:120" ht="12.75" customHeight="1">
      <c r="A47" s="2"/>
      <c r="B47" s="2"/>
      <c r="C47" s="2"/>
      <c r="D47" s="2"/>
      <c r="E47" s="2"/>
      <c r="F47" s="2"/>
      <c r="G47" s="2"/>
      <c r="H47" s="2"/>
      <c r="I47" s="185" t="s">
        <v>536</v>
      </c>
      <c r="J47" s="185" t="s">
        <v>735</v>
      </c>
      <c r="K47" s="186">
        <f>K46</f>
        <v>10</v>
      </c>
      <c r="L47" s="186">
        <f>L46</f>
        <v>-2</v>
      </c>
      <c r="M47" s="186">
        <f>M46</f>
        <v>10</v>
      </c>
      <c r="N47" s="90"/>
      <c r="O47" s="90"/>
      <c r="P47" s="90"/>
      <c r="Q47" s="90"/>
      <c r="R47" s="90"/>
      <c r="S47" s="90"/>
      <c r="T47" s="98" t="str">
        <f>BatChllrTgtRpm</f>
        <v>VCU_BatChllrTgtRpm</v>
      </c>
      <c r="U47" s="89">
        <v>1000</v>
      </c>
      <c r="V47" s="88">
        <v>10</v>
      </c>
      <c r="W47" s="90"/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  <c r="AJ47" s="90"/>
      <c r="AK47" s="90"/>
      <c r="AL47" s="90"/>
      <c r="AM47" s="90"/>
      <c r="AN47" s="89" t="s">
        <v>88</v>
      </c>
      <c r="AO47" s="90"/>
      <c r="AP47" s="89">
        <f>U47</f>
        <v>1000</v>
      </c>
      <c r="AQ47" s="90"/>
      <c r="AR47" s="90"/>
      <c r="AS47" s="90"/>
      <c r="AT47" s="90"/>
      <c r="AU47" s="90"/>
      <c r="AV47" s="90"/>
      <c r="AW47" s="90"/>
      <c r="AX47" s="90"/>
      <c r="AY47" s="90"/>
      <c r="AZ47" s="90"/>
      <c r="BA47" s="90"/>
      <c r="BB47" s="90"/>
      <c r="BC47" s="90"/>
      <c r="BD47" s="90"/>
      <c r="BE47" s="90"/>
      <c r="BF47" s="90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89" t="s">
        <v>1177</v>
      </c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1">
        <v>2</v>
      </c>
      <c r="DH47" s="91">
        <v>1</v>
      </c>
      <c r="DI47" s="91">
        <v>2</v>
      </c>
      <c r="DJ47" s="91">
        <v>1</v>
      </c>
      <c r="DK47" s="90"/>
      <c r="DL47" s="90"/>
      <c r="DM47" s="90"/>
      <c r="DN47" s="90"/>
      <c r="DO47" s="90"/>
      <c r="DP47" s="2"/>
    </row>
    <row r="48" spans="1:120" ht="12.75" customHeight="1">
      <c r="A48" s="2"/>
      <c r="B48" s="2"/>
      <c r="C48" s="2"/>
      <c r="D48" s="2"/>
      <c r="E48" s="2"/>
      <c r="F48" s="2"/>
      <c r="G48" s="2"/>
      <c r="H48" s="2"/>
      <c r="I48" s="185" t="s">
        <v>536</v>
      </c>
      <c r="J48" s="185" t="s">
        <v>1191</v>
      </c>
      <c r="K48" s="186">
        <f>K47</f>
        <v>10</v>
      </c>
      <c r="L48" s="186">
        <f>L47</f>
        <v>-2</v>
      </c>
      <c r="M48" s="186">
        <f>M47</f>
        <v>10</v>
      </c>
      <c r="N48" s="90"/>
      <c r="O48" s="90"/>
      <c r="P48" s="90"/>
      <c r="Q48" s="90"/>
      <c r="R48" s="90"/>
      <c r="S48" s="90"/>
      <c r="T48" s="98" t="str">
        <f>BatChllrTgtRpm</f>
        <v>VCU_BatChllrTgtRpm</v>
      </c>
      <c r="U48" s="89">
        <v>0</v>
      </c>
      <c r="V48" s="88">
        <v>10</v>
      </c>
      <c r="W48" s="90"/>
      <c r="X48" s="90"/>
      <c r="Y48" s="90"/>
      <c r="Z48" s="90"/>
      <c r="AA48" s="90"/>
      <c r="AB48" s="90"/>
      <c r="AC48" s="90"/>
      <c r="AD48" s="90"/>
      <c r="AE48" s="90"/>
      <c r="AF48" s="90"/>
      <c r="AG48" s="90"/>
      <c r="AH48" s="90"/>
      <c r="AI48" s="90"/>
      <c r="AJ48" s="90"/>
      <c r="AK48" s="90"/>
      <c r="AL48" s="90"/>
      <c r="AM48" s="90"/>
      <c r="AN48" s="89" t="s">
        <v>88</v>
      </c>
      <c r="AO48" s="90"/>
      <c r="AP48" s="89" t="s">
        <v>88</v>
      </c>
      <c r="AQ48" s="90"/>
      <c r="AR48" s="90"/>
      <c r="AS48" s="90"/>
      <c r="AT48" s="90"/>
      <c r="AU48" s="90"/>
      <c r="AV48" s="90"/>
      <c r="AW48" s="90"/>
      <c r="AX48" s="90"/>
      <c r="AY48" s="90"/>
      <c r="AZ48" s="90"/>
      <c r="BA48" s="90"/>
      <c r="BB48" s="90"/>
      <c r="BC48" s="90"/>
      <c r="BD48" s="90"/>
      <c r="BE48" s="90"/>
      <c r="BF48" s="90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1">
        <v>0</v>
      </c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1">
        <v>1</v>
      </c>
      <c r="DH48" s="91">
        <v>1</v>
      </c>
      <c r="DI48" s="91">
        <v>1</v>
      </c>
      <c r="DJ48" s="91">
        <v>1</v>
      </c>
      <c r="DK48" s="90"/>
      <c r="DL48" s="90"/>
      <c r="DM48" s="90"/>
      <c r="DN48" s="90"/>
      <c r="DO48" s="90"/>
      <c r="DP48" s="2"/>
    </row>
    <row r="49" spans="1:120" ht="12.75" customHeight="1">
      <c r="A49" s="2"/>
      <c r="B49" s="2"/>
      <c r="C49" s="2"/>
      <c r="D49" s="2"/>
      <c r="E49" s="2"/>
      <c r="F49" s="2"/>
      <c r="G49" s="2"/>
      <c r="H49" s="2"/>
      <c r="I49" s="49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6"/>
      <c r="V49" s="96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  <c r="AT49" s="95"/>
      <c r="AU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95"/>
      <c r="BH49" s="95"/>
      <c r="BI49" s="95"/>
      <c r="BJ49" s="95"/>
      <c r="BK49" s="95"/>
      <c r="BL49" s="95"/>
      <c r="BM49" s="95"/>
      <c r="BN49" s="95"/>
      <c r="BO49" s="95"/>
      <c r="BP49" s="95"/>
      <c r="BQ49" s="95"/>
      <c r="BR49" s="95"/>
      <c r="BS49" s="95"/>
      <c r="BT49" s="95"/>
      <c r="BU49" s="95"/>
      <c r="BV49" s="95"/>
      <c r="BW49" s="95"/>
      <c r="BX49" s="95"/>
      <c r="BY49" s="95"/>
      <c r="BZ49" s="95"/>
      <c r="CA49" s="95"/>
      <c r="CB49" s="95"/>
      <c r="CC49" s="95"/>
      <c r="CD49" s="95"/>
      <c r="CE49" s="95"/>
      <c r="CF49" s="95"/>
      <c r="CG49" s="95"/>
      <c r="CH49" s="95"/>
      <c r="CI49" s="95"/>
      <c r="CJ49" s="95"/>
      <c r="CK49" s="95"/>
      <c r="CL49" s="95"/>
      <c r="CM49" s="95"/>
      <c r="CN49" s="95"/>
      <c r="CO49" s="95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2"/>
    </row>
    <row r="50" spans="1:120" ht="12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40"/>
      <c r="V50" s="40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</row>
    <row r="51" spans="1:120" ht="12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40"/>
      <c r="V51" s="40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</row>
    <row r="52" spans="1:120" ht="12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40"/>
      <c r="V52" s="40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</row>
    <row r="53" spans="1:120" ht="12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40"/>
      <c r="V53" s="40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</row>
    <row r="54" spans="1:120" ht="12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40"/>
      <c r="V54" s="40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</row>
    <row r="55" spans="1:120" ht="12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40"/>
      <c r="V55" s="40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</row>
    <row r="56" spans="1:120" ht="12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40"/>
      <c r="V56" s="40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</row>
    <row r="57" spans="1:120" ht="12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40"/>
      <c r="V57" s="40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</row>
    <row r="58" spans="1:120" ht="12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40"/>
      <c r="V58" s="40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</row>
    <row r="59" spans="1:120" ht="12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40"/>
      <c r="V59" s="40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</row>
    <row r="60" spans="1:120" ht="12.75" customHeight="1">
      <c r="A60" s="2"/>
      <c r="B60" s="2"/>
      <c r="C60" s="4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40"/>
      <c r="V60" s="40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</row>
    <row r="61" spans="1:120" ht="12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40"/>
      <c r="V61" s="40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</row>
    <row r="62" spans="1:120" ht="12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40"/>
      <c r="V62" s="40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</row>
    <row r="63" spans="1:120" ht="12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40"/>
      <c r="V63" s="40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</row>
    <row r="64" spans="1:120" ht="12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40"/>
      <c r="V64" s="40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</row>
    <row r="65" spans="1:120" ht="12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40"/>
      <c r="V65" s="40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</row>
    <row r="66" spans="1:120" ht="12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40"/>
      <c r="V66" s="40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</row>
    <row r="67" spans="1:120" ht="12.75" customHeight="1">
      <c r="A67" s="2"/>
      <c r="B67" s="2"/>
      <c r="C67" s="4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40"/>
      <c r="V67" s="40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</row>
    <row r="68" spans="1:120" ht="12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40"/>
      <c r="V68" s="40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</row>
    <row r="69" spans="1:120" ht="12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40"/>
      <c r="V69" s="40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</row>
    <row r="70" spans="1:120" ht="12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40"/>
      <c r="V70" s="40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</row>
    <row r="71" spans="1:120" ht="12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40"/>
      <c r="V71" s="40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</row>
    <row r="72" spans="1:120" ht="12.75" customHeight="1">
      <c r="A72" s="2"/>
      <c r="B72" s="2"/>
      <c r="C72" s="4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40"/>
      <c r="V72" s="40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</row>
    <row r="73" spans="1:120" ht="12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40"/>
      <c r="V73" s="40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</row>
    <row r="74" spans="1:120" ht="12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40"/>
      <c r="V74" s="40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</row>
    <row r="75" spans="1:120" ht="12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40"/>
      <c r="V75" s="40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</row>
    <row r="76" spans="1:120" ht="12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40"/>
      <c r="V76" s="40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</row>
    <row r="77" spans="1:120" ht="12.75" customHeight="1">
      <c r="A77" s="2"/>
      <c r="B77" s="2"/>
      <c r="C77" s="4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40"/>
      <c r="V77" s="40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</row>
    <row r="101" ht="15.4" customHeight="1"/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137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1.5703125" customWidth="1"/>
    <col min="5" max="5" width="40.7109375" customWidth="1"/>
    <col min="6" max="6" width="10.5703125" customWidth="1"/>
    <col min="7" max="7" width="40.7109375" customWidth="1"/>
    <col min="8" max="8" width="12.42578125" hidden="1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228" t="s">
        <v>310</v>
      </c>
      <c r="B1" s="228" t="s">
        <v>23</v>
      </c>
      <c r="C1" s="228" t="s">
        <v>91</v>
      </c>
      <c r="D1" s="228" t="s">
        <v>24</v>
      </c>
      <c r="E1" s="228" t="s">
        <v>25</v>
      </c>
      <c r="F1" s="229" t="s">
        <v>26</v>
      </c>
      <c r="G1" s="228" t="s">
        <v>27</v>
      </c>
      <c r="H1" s="228" t="s">
        <v>92</v>
      </c>
      <c r="I1" s="228" t="s">
        <v>28</v>
      </c>
      <c r="J1" s="228" t="s">
        <v>29</v>
      </c>
      <c r="K1" s="228" t="s">
        <v>30</v>
      </c>
      <c r="L1" s="228" t="s">
        <v>90</v>
      </c>
    </row>
    <row r="2" spans="1:12" ht="15" customHeight="1">
      <c r="A2" s="64">
        <v>1</v>
      </c>
      <c r="B2" s="38" t="s">
        <v>788</v>
      </c>
      <c r="C2" s="38" t="s">
        <v>793</v>
      </c>
      <c r="D2" s="38" t="str">
        <f>VLOOKUP(B2,Tbl_Button_Display_ASSTS,2,FALSE)</f>
        <v>BAT. ON시 초기화 기능</v>
      </c>
      <c r="E2" s="38"/>
      <c r="F2" s="78"/>
      <c r="G2" s="38"/>
      <c r="H2" s="38"/>
      <c r="I2" s="38"/>
      <c r="J2" s="38"/>
      <c r="K2" s="38"/>
      <c r="L2" s="38"/>
    </row>
    <row r="3" spans="1:12" ht="14.25" customHeight="1" collapsed="1">
      <c r="A3" s="65">
        <v>1</v>
      </c>
      <c r="B3" s="36" t="s">
        <v>31</v>
      </c>
      <c r="C3" s="36" t="s">
        <v>32</v>
      </c>
      <c r="D3" s="36" t="s">
        <v>141</v>
      </c>
      <c r="E3" s="36"/>
      <c r="F3" s="79"/>
      <c r="G3" s="36"/>
      <c r="H3" s="36"/>
      <c r="I3" s="36"/>
      <c r="J3" s="36"/>
      <c r="K3" s="36"/>
      <c r="L3" s="36"/>
    </row>
    <row r="4" spans="1:12" ht="14.25" customHeight="1" outlineLevel="1">
      <c r="A4" s="66">
        <v>1</v>
      </c>
      <c r="B4" s="5" t="s">
        <v>31</v>
      </c>
      <c r="C4" s="6" t="s">
        <v>33</v>
      </c>
      <c r="D4" s="6" t="s">
        <v>122</v>
      </c>
      <c r="E4" s="5"/>
      <c r="F4" s="80"/>
      <c r="G4" s="5"/>
      <c r="H4" s="5"/>
      <c r="I4" s="5"/>
      <c r="J4" s="5"/>
      <c r="K4" s="5"/>
      <c r="L4" s="5"/>
    </row>
    <row r="5" spans="1:12" ht="14.25" customHeight="1" outlineLevel="2">
      <c r="A5" s="67">
        <v>1</v>
      </c>
      <c r="B5" s="7"/>
      <c r="C5" s="7"/>
      <c r="D5" s="7" t="s">
        <v>98</v>
      </c>
      <c r="E5" s="7" t="s">
        <v>133</v>
      </c>
      <c r="F5" s="9">
        <v>14</v>
      </c>
      <c r="G5" s="171" t="s">
        <v>1162</v>
      </c>
      <c r="H5" s="7"/>
      <c r="I5" s="7"/>
      <c r="J5" s="7"/>
      <c r="K5" s="7"/>
      <c r="L5" s="7"/>
    </row>
    <row r="6" spans="1:12" ht="14.25" customHeight="1" outlineLevel="2">
      <c r="A6" s="67">
        <v>1</v>
      </c>
      <c r="B6" s="7"/>
      <c r="C6" s="7"/>
      <c r="D6" s="7" t="s">
        <v>35</v>
      </c>
      <c r="E6" s="7" t="s">
        <v>93</v>
      </c>
      <c r="F6" s="9" t="s">
        <v>373</v>
      </c>
      <c r="G6" s="7"/>
      <c r="H6" s="7"/>
      <c r="I6" s="7"/>
      <c r="J6" s="7"/>
      <c r="K6" s="7"/>
      <c r="L6" s="7"/>
    </row>
    <row r="7" spans="1:12" ht="14.25" customHeight="1" outlineLevel="2">
      <c r="A7" s="67">
        <v>1</v>
      </c>
      <c r="B7" s="7"/>
      <c r="C7" s="7"/>
      <c r="D7" s="7" t="s">
        <v>123</v>
      </c>
      <c r="E7" s="7"/>
      <c r="F7" s="7"/>
      <c r="G7" s="7"/>
      <c r="H7" s="7"/>
      <c r="I7" s="7"/>
      <c r="J7" s="7"/>
      <c r="K7" s="7"/>
      <c r="L7" s="7"/>
    </row>
    <row r="8" spans="1:12" ht="14.25" customHeight="1" outlineLevel="2">
      <c r="A8" s="67">
        <v>1</v>
      </c>
      <c r="B8" s="7"/>
      <c r="C8" s="7"/>
      <c r="D8" s="7"/>
      <c r="E8" s="7" t="e">
        <f>AutoCutMode</f>
        <v>#NAME?</v>
      </c>
      <c r="F8" s="9">
        <v>0</v>
      </c>
      <c r="G8" s="7"/>
      <c r="H8" s="7"/>
      <c r="I8" s="7"/>
      <c r="J8" s="7"/>
      <c r="K8" s="7"/>
      <c r="L8" s="7"/>
    </row>
    <row r="9" spans="1:12" ht="14.25" customHeight="1" outlineLevel="2">
      <c r="A9" s="68">
        <v>1</v>
      </c>
      <c r="B9" s="10"/>
      <c r="C9" s="10"/>
      <c r="D9" s="10"/>
      <c r="E9" s="101" t="e">
        <f>User_Profile</f>
        <v>#NAME?</v>
      </c>
      <c r="F9" s="81">
        <v>0</v>
      </c>
      <c r="G9" s="10"/>
      <c r="H9" s="10"/>
      <c r="I9" s="10"/>
      <c r="J9" s="14"/>
      <c r="K9" s="10"/>
      <c r="L9" s="10"/>
    </row>
    <row r="10" spans="1:12" ht="14.25" customHeight="1" outlineLevel="2">
      <c r="A10" s="67">
        <v>1</v>
      </c>
      <c r="B10" s="7"/>
      <c r="C10" s="7"/>
      <c r="D10" s="7"/>
      <c r="E10" s="7" t="e">
        <f>AirconPressureSensorValue</f>
        <v>#NAME?</v>
      </c>
      <c r="F10" s="9">
        <v>150</v>
      </c>
      <c r="G10" s="7"/>
      <c r="H10" s="7"/>
      <c r="I10" s="7"/>
      <c r="J10" s="7"/>
      <c r="K10" s="7"/>
      <c r="L10" s="7"/>
    </row>
    <row r="11" spans="1:12" ht="14.25" customHeight="1" outlineLevel="2">
      <c r="A11" s="67">
        <v>1</v>
      </c>
      <c r="B11" s="7"/>
      <c r="C11" s="7"/>
      <c r="D11" s="7"/>
      <c r="E11" s="7" t="s">
        <v>99</v>
      </c>
      <c r="F11" s="9">
        <v>1</v>
      </c>
      <c r="G11" s="7"/>
      <c r="H11" s="7"/>
      <c r="I11" s="7"/>
      <c r="J11" s="7"/>
      <c r="K11" s="7"/>
      <c r="L11" s="7"/>
    </row>
    <row r="12" spans="1:12" ht="14.25" customHeight="1" outlineLevel="2">
      <c r="A12" s="67">
        <v>1</v>
      </c>
      <c r="B12" s="7"/>
      <c r="C12" s="7"/>
      <c r="D12" s="7"/>
      <c r="E12" s="7" t="s">
        <v>100</v>
      </c>
      <c r="F12" s="9">
        <v>6000</v>
      </c>
      <c r="G12" s="7"/>
      <c r="H12" s="7"/>
      <c r="I12" s="7"/>
      <c r="J12" s="7"/>
      <c r="K12" s="7"/>
      <c r="L12" s="7"/>
    </row>
    <row r="13" spans="1:12" ht="14.25" customHeight="1" outlineLevel="2">
      <c r="A13" s="67">
        <v>1</v>
      </c>
      <c r="B13" s="7"/>
      <c r="C13" s="7"/>
      <c r="D13" s="7"/>
      <c r="E13" s="7" t="s">
        <v>101</v>
      </c>
      <c r="F13" s="9">
        <v>1</v>
      </c>
      <c r="G13" s="7"/>
      <c r="H13" s="7"/>
      <c r="I13" s="7"/>
      <c r="J13" s="7"/>
      <c r="K13" s="7"/>
      <c r="L13" s="7"/>
    </row>
    <row r="14" spans="1:12" ht="14.25" customHeight="1" outlineLevel="2">
      <c r="A14" s="67">
        <v>1</v>
      </c>
      <c r="B14" s="7"/>
      <c r="C14" s="7"/>
      <c r="D14" s="28" t="s">
        <v>1163</v>
      </c>
      <c r="E14" s="7" t="s">
        <v>107</v>
      </c>
      <c r="F14" s="9">
        <v>35</v>
      </c>
      <c r="G14" s="28"/>
      <c r="H14" s="7"/>
      <c r="I14" s="7"/>
      <c r="J14" s="7"/>
      <c r="K14" s="7"/>
      <c r="L14" s="7"/>
    </row>
    <row r="15" spans="1:12" ht="14.25" customHeight="1" outlineLevel="2">
      <c r="A15" s="67">
        <v>1</v>
      </c>
      <c r="B15" s="7"/>
      <c r="C15" s="7"/>
      <c r="D15" s="28" t="s">
        <v>1164</v>
      </c>
      <c r="E15" s="28" t="s">
        <v>137</v>
      </c>
      <c r="F15" s="9">
        <v>35</v>
      </c>
      <c r="G15" s="7"/>
      <c r="H15" s="7"/>
      <c r="I15" s="7"/>
      <c r="J15" s="7"/>
      <c r="K15" s="7"/>
      <c r="L15" s="7"/>
    </row>
    <row r="16" spans="1:12" ht="14.25" customHeight="1" outlineLevel="2">
      <c r="A16" s="67">
        <v>1</v>
      </c>
      <c r="B16" s="7"/>
      <c r="C16" s="7"/>
      <c r="D16" s="28"/>
      <c r="E16" s="28" t="s">
        <v>138</v>
      </c>
      <c r="F16" s="9">
        <v>35</v>
      </c>
      <c r="G16" s="7"/>
      <c r="H16" s="7"/>
      <c r="I16" s="7"/>
      <c r="J16" s="7"/>
      <c r="K16" s="7"/>
      <c r="L16" s="7"/>
    </row>
    <row r="17" spans="1:12" ht="14.25" customHeight="1" outlineLevel="2">
      <c r="A17" s="67">
        <v>1</v>
      </c>
      <c r="B17" s="7"/>
      <c r="C17" s="7"/>
      <c r="D17" s="28"/>
      <c r="E17" s="28" t="s">
        <v>135</v>
      </c>
      <c r="F17" s="9">
        <v>35</v>
      </c>
      <c r="G17" s="7"/>
      <c r="H17" s="7"/>
      <c r="I17" s="7"/>
      <c r="J17" s="7"/>
      <c r="K17" s="7"/>
      <c r="L17" s="7"/>
    </row>
    <row r="18" spans="1:12" ht="14.25" customHeight="1" outlineLevel="2">
      <c r="A18" s="67">
        <v>1</v>
      </c>
      <c r="B18" s="7"/>
      <c r="C18" s="7"/>
      <c r="D18" s="28"/>
      <c r="E18" s="28" t="s">
        <v>136</v>
      </c>
      <c r="F18" s="9">
        <v>35</v>
      </c>
      <c r="G18" s="7"/>
      <c r="H18" s="7"/>
      <c r="I18" s="7"/>
      <c r="J18" s="7"/>
      <c r="K18" s="7"/>
      <c r="L18" s="7"/>
    </row>
    <row r="19" spans="1:12" ht="14.25" customHeight="1" outlineLevel="2">
      <c r="A19" s="67">
        <v>1</v>
      </c>
      <c r="B19" s="7"/>
      <c r="C19" s="7"/>
      <c r="D19" s="28" t="s">
        <v>1165</v>
      </c>
      <c r="E19" s="7" t="s">
        <v>108</v>
      </c>
      <c r="F19" s="9">
        <f>VLOOKUP(C4,Tbl_Button_Display_ASSTS,5,FALSE)</f>
        <v>80.25</v>
      </c>
      <c r="G19" s="28"/>
      <c r="H19" s="7"/>
      <c r="I19" s="7"/>
      <c r="J19" s="7"/>
      <c r="K19" s="7"/>
      <c r="L19" s="7"/>
    </row>
    <row r="20" spans="1:12" ht="14.25" customHeight="1" outlineLevel="2">
      <c r="A20" s="67">
        <v>1</v>
      </c>
      <c r="B20" s="7"/>
      <c r="C20" s="7"/>
      <c r="D20" s="7" t="s">
        <v>124</v>
      </c>
      <c r="E20" s="7"/>
      <c r="F20" s="7"/>
      <c r="G20" s="7"/>
      <c r="H20" s="7"/>
      <c r="I20" s="7"/>
      <c r="J20" s="7"/>
      <c r="K20" s="7"/>
      <c r="L20" s="7"/>
    </row>
    <row r="21" spans="1:12" ht="14.25" customHeight="1" outlineLevel="2">
      <c r="A21" s="67">
        <v>1</v>
      </c>
      <c r="B21" s="7"/>
      <c r="C21" s="7"/>
      <c r="D21" s="28" t="s">
        <v>125</v>
      </c>
      <c r="E21" s="28" t="s">
        <v>126</v>
      </c>
      <c r="F21" s="9">
        <v>1</v>
      </c>
      <c r="G21" s="28" t="s">
        <v>1166</v>
      </c>
      <c r="H21" s="7"/>
      <c r="I21" s="7"/>
      <c r="J21" s="7"/>
      <c r="K21" s="7"/>
      <c r="L21" s="7"/>
    </row>
    <row r="22" spans="1:12" ht="14.25" customHeight="1" outlineLevel="2">
      <c r="A22" s="67">
        <v>1</v>
      </c>
      <c r="B22" s="7"/>
      <c r="C22" s="7"/>
      <c r="D22" s="28" t="s">
        <v>776</v>
      </c>
      <c r="E22" s="28" t="s">
        <v>775</v>
      </c>
      <c r="F22" s="9">
        <v>2000</v>
      </c>
      <c r="G22" s="28" t="s">
        <v>777</v>
      </c>
      <c r="H22" s="7"/>
      <c r="I22" s="7"/>
      <c r="J22" s="7"/>
      <c r="K22" s="7"/>
      <c r="L22" s="7"/>
    </row>
    <row r="23" spans="1:12" ht="14.25" customHeight="1" outlineLevel="2">
      <c r="A23" s="67">
        <v>1</v>
      </c>
      <c r="B23" s="7"/>
      <c r="C23" s="7"/>
      <c r="D23" s="28" t="s">
        <v>125</v>
      </c>
      <c r="E23" s="28" t="s">
        <v>134</v>
      </c>
      <c r="F23" s="9">
        <v>4</v>
      </c>
      <c r="G23" s="28"/>
      <c r="H23" s="7"/>
      <c r="I23" s="7"/>
      <c r="J23" s="7"/>
      <c r="K23" s="7"/>
      <c r="L23" s="7"/>
    </row>
    <row r="24" spans="1:12" ht="14.25" customHeight="1" outlineLevel="2">
      <c r="A24" s="67">
        <v>1</v>
      </c>
      <c r="B24" s="7"/>
      <c r="C24" s="7"/>
      <c r="D24" s="7"/>
      <c r="E24" s="7" t="s">
        <v>104</v>
      </c>
      <c r="F24" s="9">
        <v>5000</v>
      </c>
      <c r="G24" s="7"/>
      <c r="H24" s="7"/>
      <c r="I24" s="7"/>
      <c r="J24" s="7"/>
      <c r="K24" s="7"/>
      <c r="L24" s="7"/>
    </row>
    <row r="25" spans="1:12" ht="14.25" customHeight="1" outlineLevel="2">
      <c r="A25" s="67">
        <v>1</v>
      </c>
      <c r="B25" s="7"/>
      <c r="C25" s="7"/>
      <c r="D25" s="7"/>
      <c r="E25" s="7" t="s">
        <v>102</v>
      </c>
      <c r="F25" s="9">
        <v>2000</v>
      </c>
      <c r="G25" s="7"/>
      <c r="H25" s="7"/>
      <c r="I25" s="7"/>
      <c r="J25" s="7"/>
      <c r="K25" s="7"/>
      <c r="L25" s="7"/>
    </row>
    <row r="26" spans="1:12" ht="14.25" customHeight="1" outlineLevel="2">
      <c r="A26" s="67">
        <v>1</v>
      </c>
      <c r="B26" s="7"/>
      <c r="C26" s="7"/>
      <c r="D26" s="7"/>
      <c r="E26" s="7" t="s">
        <v>103</v>
      </c>
      <c r="F26" s="9">
        <v>1</v>
      </c>
      <c r="G26" s="7"/>
      <c r="H26" s="7"/>
      <c r="I26" s="7"/>
      <c r="J26" s="7"/>
      <c r="K26" s="7"/>
      <c r="L26" s="7"/>
    </row>
    <row r="27" spans="1:12" ht="14.25" customHeight="1" outlineLevel="2">
      <c r="A27" s="67">
        <v>1</v>
      </c>
      <c r="B27" s="7"/>
      <c r="C27" s="7"/>
      <c r="D27" s="7"/>
      <c r="E27" s="7" t="s">
        <v>104</v>
      </c>
      <c r="F27" s="9">
        <v>5000</v>
      </c>
      <c r="G27" s="7"/>
      <c r="H27" s="7"/>
      <c r="I27" s="7"/>
      <c r="J27" s="7"/>
      <c r="K27" s="7"/>
      <c r="L27" s="7"/>
    </row>
    <row r="28" spans="1:12" ht="14.25" customHeight="1" outlineLevel="2">
      <c r="A28" s="68">
        <v>1</v>
      </c>
      <c r="B28" s="10"/>
      <c r="C28" s="10"/>
      <c r="D28" s="10"/>
      <c r="E28" s="28" t="str">
        <f>BatChllrTgtRpm</f>
        <v>VCU_BatChllrTgtRpm</v>
      </c>
      <c r="F28" s="9">
        <v>0</v>
      </c>
      <c r="G28" s="10"/>
      <c r="H28" s="10"/>
      <c r="I28" s="10"/>
      <c r="J28" s="14"/>
      <c r="K28" s="10"/>
      <c r="L28" s="10"/>
    </row>
    <row r="29" spans="1:12" ht="14.25" customHeight="1" outlineLevel="2">
      <c r="A29" s="68">
        <v>1</v>
      </c>
      <c r="B29" s="10"/>
      <c r="C29" s="10"/>
      <c r="D29" s="10"/>
      <c r="E29" s="28" t="str">
        <f>BatEwpFltSta</f>
        <v>VCU_BatEwpFltSta</v>
      </c>
      <c r="F29" s="9">
        <v>0</v>
      </c>
      <c r="G29" s="10"/>
      <c r="H29" s="10"/>
      <c r="I29" s="10"/>
      <c r="J29" s="14"/>
      <c r="K29" s="10"/>
      <c r="L29" s="10"/>
    </row>
    <row r="30" spans="1:12" ht="14.25" customHeight="1" outlineLevel="2">
      <c r="A30" s="68">
        <v>1</v>
      </c>
      <c r="B30" s="10"/>
      <c r="C30" s="10"/>
      <c r="D30" s="10"/>
      <c r="E30" s="28" t="str">
        <f>LtrEwpFltSt</f>
        <v>VCU_LtrEwpFltSt</v>
      </c>
      <c r="F30" s="9">
        <v>0</v>
      </c>
      <c r="G30" s="10"/>
      <c r="H30" s="10"/>
      <c r="I30" s="10"/>
      <c r="J30" s="14"/>
      <c r="K30" s="10"/>
      <c r="L30" s="10"/>
    </row>
    <row r="31" spans="1:12" ht="14.25" customHeight="1" outlineLevel="2">
      <c r="A31" s="68">
        <v>1</v>
      </c>
      <c r="B31" s="10"/>
      <c r="C31" s="10"/>
      <c r="D31" s="10"/>
      <c r="E31" s="28" t="str">
        <f>PtcOprPrm</f>
        <v>CF_Fcu_PtcOprPrm</v>
      </c>
      <c r="F31" s="9">
        <v>1</v>
      </c>
      <c r="G31" s="10"/>
      <c r="H31" s="10"/>
      <c r="I31" s="10"/>
      <c r="J31" s="14"/>
      <c r="K31" s="10"/>
      <c r="L31" s="10"/>
    </row>
    <row r="32" spans="1:12" ht="14.25" customHeight="1" outlineLevel="2">
      <c r="A32" s="68">
        <v>1</v>
      </c>
      <c r="B32" s="10"/>
      <c r="C32" s="10"/>
      <c r="D32" s="10"/>
      <c r="E32" s="28" t="str">
        <f>PtcPrmPwr_W</f>
        <v>CR_Fcu_PtcPrmPwr_W</v>
      </c>
      <c r="F32" s="9">
        <v>510</v>
      </c>
      <c r="G32" s="10"/>
      <c r="H32" s="10"/>
      <c r="I32" s="10"/>
      <c r="J32" s="14"/>
      <c r="K32" s="10"/>
      <c r="L32" s="10"/>
    </row>
    <row r="33" spans="1:12" ht="14.25" customHeight="1" outlineLevel="2">
      <c r="A33" s="68">
        <v>1</v>
      </c>
      <c r="B33" s="10"/>
      <c r="C33" s="10"/>
      <c r="D33" s="10"/>
      <c r="E33" s="28" t="str">
        <f>HVPP_CstPwrDr_W</f>
        <v>HVPP_CstPwrDr_W</v>
      </c>
      <c r="F33" s="9">
        <v>250</v>
      </c>
      <c r="G33" s="10"/>
      <c r="H33" s="10"/>
      <c r="I33" s="10"/>
      <c r="J33" s="14"/>
      <c r="K33" s="10"/>
      <c r="L33" s="10"/>
    </row>
    <row r="34" spans="1:12" ht="14.25" customHeight="1" outlineLevel="2">
      <c r="A34" s="68">
        <v>1</v>
      </c>
      <c r="B34" s="10"/>
      <c r="C34" s="10"/>
      <c r="D34" s="10"/>
      <c r="E34" s="28" t="str">
        <f>HVPP_CstPwrPs_W</f>
        <v>HVPP_CstPwrPs_W</v>
      </c>
      <c r="F34" s="9">
        <v>250</v>
      </c>
      <c r="G34" s="10"/>
      <c r="H34" s="10"/>
      <c r="I34" s="10"/>
      <c r="J34" s="14"/>
      <c r="K34" s="10"/>
      <c r="L34" s="10"/>
    </row>
    <row r="35" spans="1:12" ht="14.25" customHeight="1" outlineLevel="2">
      <c r="A35" s="67">
        <v>1</v>
      </c>
      <c r="B35" s="7"/>
      <c r="C35" s="7"/>
      <c r="D35" s="7" t="s">
        <v>36</v>
      </c>
      <c r="E35" s="7"/>
      <c r="F35" s="7"/>
      <c r="G35" s="7"/>
      <c r="H35" s="7"/>
      <c r="I35" s="7"/>
      <c r="J35" s="7"/>
      <c r="K35" s="7"/>
      <c r="L35" s="7"/>
    </row>
    <row r="36" spans="1:12" ht="14.25" customHeight="1" outlineLevel="2">
      <c r="A36" s="67">
        <v>1</v>
      </c>
      <c r="B36" s="7"/>
      <c r="C36" s="7"/>
      <c r="D36" s="7"/>
      <c r="E36" s="8" t="e">
        <f>Incar_IN</f>
        <v>#NAME?</v>
      </c>
      <c r="F36" s="63">
        <f>VINTERPOLATION(VLOOKUP(C4,Tbl_Button_Display_ASSTS,2,FALSE),Tbl_Incar_Sensor,3)</f>
        <v>3.3272756433630186</v>
      </c>
      <c r="G36" s="7"/>
      <c r="H36" s="7"/>
      <c r="I36" s="7"/>
      <c r="J36" s="7"/>
      <c r="K36" s="7"/>
      <c r="L36" s="7"/>
    </row>
    <row r="37" spans="1:12" ht="14.25" customHeight="1" outlineLevel="2">
      <c r="A37" s="67">
        <v>1</v>
      </c>
      <c r="B37" s="7"/>
      <c r="C37" s="7"/>
      <c r="D37" s="7"/>
      <c r="E37" s="8" t="e">
        <f>Amb_IN</f>
        <v>#NAME?</v>
      </c>
      <c r="F37" s="63">
        <f>VINTERPOLATION(VLOOKUP(C4,Tbl_Button_Display_ASSTS,3,FALSE),Tbl_Amb_Sensor,3)</f>
        <v>3.8892180094786726</v>
      </c>
      <c r="G37" s="28" t="s">
        <v>1167</v>
      </c>
      <c r="H37" s="7"/>
      <c r="I37" s="7"/>
      <c r="J37" s="7"/>
      <c r="K37" s="7"/>
      <c r="L37" s="7"/>
    </row>
    <row r="38" spans="1:12" ht="14.25" customHeight="1" outlineLevel="2">
      <c r="A38" s="67">
        <v>1</v>
      </c>
      <c r="B38" s="7"/>
      <c r="C38" s="7"/>
      <c r="D38" s="28" t="s">
        <v>1168</v>
      </c>
      <c r="E38" s="8" t="e">
        <f>EvaDr_IN</f>
        <v>#NAME?</v>
      </c>
      <c r="F38" s="63">
        <f>VINTERPOLATION(VLOOKUP(C4,Tbl_Button_Display_ASSTS,4,FALSE),Tbl_Eva_Sensor,3)</f>
        <v>1.8795506552943622</v>
      </c>
      <c r="G38" s="7"/>
      <c r="H38" s="7"/>
      <c r="I38" s="7"/>
      <c r="J38" s="7"/>
      <c r="K38" s="7"/>
      <c r="L38" s="7"/>
    </row>
    <row r="39" spans="1:12" ht="14.25" customHeight="1" outlineLevel="2">
      <c r="A39" s="67">
        <v>1</v>
      </c>
      <c r="B39" s="7"/>
      <c r="C39" s="7"/>
      <c r="D39" s="7"/>
      <c r="E39" s="8" t="e">
        <f>CionDiag_V</f>
        <v>#NAME?</v>
      </c>
      <c r="F39" s="9">
        <v>2.7</v>
      </c>
      <c r="G39" s="7"/>
      <c r="H39" s="7"/>
      <c r="I39" s="7"/>
      <c r="J39" s="7"/>
      <c r="K39" s="7"/>
      <c r="L39" s="7"/>
    </row>
    <row r="40" spans="1:12" ht="14.25" customHeight="1" outlineLevel="2">
      <c r="A40" s="67">
        <v>1</v>
      </c>
      <c r="B40" s="7"/>
      <c r="C40" s="7"/>
      <c r="D40" s="28" t="s">
        <v>1169</v>
      </c>
      <c r="E40" s="29" t="e">
        <f>Duct_ALL_V</f>
        <v>#NAME?</v>
      </c>
      <c r="F40" s="230">
        <f>VINTERPOLATION(VLOOKUP(C4,Tbl_Button_Display_ASSTS,9,FALSE),Tbl_Duct_Sensor,3)</f>
        <v>0.74548935050593534</v>
      </c>
      <c r="G40" s="7"/>
      <c r="H40" s="7"/>
      <c r="I40" s="7"/>
      <c r="J40" s="7"/>
      <c r="K40" s="7"/>
      <c r="L40" s="7"/>
    </row>
    <row r="41" spans="1:12" ht="14.25" customHeight="1" outlineLevel="2">
      <c r="A41" s="67">
        <v>1</v>
      </c>
      <c r="B41" s="7"/>
      <c r="C41" s="7"/>
      <c r="D41" s="7"/>
      <c r="E41" s="8" t="e">
        <f>Photo_L_V</f>
        <v>#NAME?</v>
      </c>
      <c r="F41" s="9">
        <v>0</v>
      </c>
      <c r="G41" s="7"/>
      <c r="H41" s="7"/>
      <c r="I41" s="7"/>
      <c r="J41" s="7"/>
      <c r="K41" s="7"/>
      <c r="L41" s="7"/>
    </row>
    <row r="42" spans="1:12" ht="14.25" customHeight="1" outlineLevel="2">
      <c r="A42" s="67">
        <v>1</v>
      </c>
      <c r="B42" s="7"/>
      <c r="C42" s="7"/>
      <c r="D42" s="7"/>
      <c r="E42" s="8" t="e">
        <f>Photo_R_V</f>
        <v>#NAME?</v>
      </c>
      <c r="F42" s="9">
        <v>0</v>
      </c>
      <c r="G42" s="7"/>
      <c r="H42" s="7"/>
      <c r="I42" s="7"/>
      <c r="J42" s="7"/>
      <c r="K42" s="7"/>
      <c r="L42" s="7"/>
    </row>
    <row r="43" spans="1:12" ht="14.25" customHeight="1" outlineLevel="2">
      <c r="A43" s="67">
        <v>1</v>
      </c>
      <c r="B43" s="7"/>
      <c r="C43" s="7"/>
      <c r="D43" s="10"/>
      <c r="E43" s="13" t="e">
        <f>T_windshield</f>
        <v>#NAME?</v>
      </c>
      <c r="F43" s="11">
        <v>30</v>
      </c>
      <c r="G43" s="28" t="s">
        <v>344</v>
      </c>
      <c r="H43" s="7"/>
      <c r="I43" s="7"/>
      <c r="J43" s="7"/>
      <c r="K43" s="7"/>
      <c r="L43" s="7"/>
    </row>
    <row r="44" spans="1:12" ht="14.25" customHeight="1" outlineLevel="1">
      <c r="A44" s="67">
        <v>1</v>
      </c>
      <c r="B44" s="7"/>
      <c r="C44" s="7"/>
      <c r="D44" s="28" t="s">
        <v>1170</v>
      </c>
      <c r="E44" s="28" t="s">
        <v>127</v>
      </c>
      <c r="F44" s="9">
        <v>35</v>
      </c>
      <c r="G44" s="28"/>
      <c r="H44" s="7"/>
      <c r="I44" s="7"/>
      <c r="J44" s="7"/>
      <c r="K44" s="7"/>
      <c r="L44" s="7"/>
    </row>
    <row r="45" spans="1:12" ht="14.25" customHeight="1" outlineLevel="2">
      <c r="A45" s="67">
        <v>1</v>
      </c>
      <c r="B45" s="7"/>
      <c r="C45" s="7"/>
      <c r="D45" s="28" t="s">
        <v>1170</v>
      </c>
      <c r="E45" s="28" t="s">
        <v>106</v>
      </c>
      <c r="F45" s="9">
        <v>35</v>
      </c>
      <c r="G45" s="7"/>
      <c r="H45" s="7"/>
      <c r="I45" s="7"/>
      <c r="J45" s="7"/>
      <c r="K45" s="7"/>
      <c r="L45" s="7"/>
    </row>
    <row r="46" spans="1:12" ht="14.25" customHeight="1" outlineLevel="2">
      <c r="A46" s="67">
        <v>1</v>
      </c>
      <c r="B46" s="7"/>
      <c r="C46" s="7"/>
      <c r="D46" s="28" t="s">
        <v>1171</v>
      </c>
      <c r="E46" s="29" t="str">
        <f>P_SIGNAL_COMP_OUT</f>
        <v>Snr_P SIGNAL_COMP OUT(PSI)_IN</v>
      </c>
      <c r="F46" s="9">
        <v>80</v>
      </c>
      <c r="G46" s="28" t="s">
        <v>1172</v>
      </c>
      <c r="H46" s="7"/>
      <c r="I46" s="7"/>
      <c r="J46" s="7"/>
      <c r="K46" s="7"/>
      <c r="L46" s="7"/>
    </row>
    <row r="47" spans="1:12" ht="14.25" customHeight="1" outlineLevel="2">
      <c r="A47" s="67">
        <v>1</v>
      </c>
      <c r="B47" s="7"/>
      <c r="C47" s="7"/>
      <c r="D47" s="28"/>
      <c r="E47" s="29" t="str">
        <f>T_SIGNAL_COMP_OUT</f>
        <v>Snr_T SIGNAL_COMP OUT(degC)_IN</v>
      </c>
      <c r="F47" s="9">
        <v>40</v>
      </c>
      <c r="G47" s="28" t="s">
        <v>1173</v>
      </c>
      <c r="H47" s="7"/>
      <c r="I47" s="7"/>
      <c r="J47" s="7"/>
      <c r="K47" s="7"/>
      <c r="L47" s="7"/>
    </row>
    <row r="48" spans="1:12" ht="14.25" customHeight="1" outlineLevel="2">
      <c r="A48" s="68">
        <v>1</v>
      </c>
      <c r="B48" s="10"/>
      <c r="C48" s="10"/>
      <c r="D48" s="28"/>
      <c r="E48" s="29" t="str">
        <f>P_SIGNAL_BCHILLER</f>
        <v>Snr_P SIGNAL_B/CHILLER(PSI)_IN</v>
      </c>
      <c r="F48" s="9">
        <v>40</v>
      </c>
      <c r="G48" s="7"/>
      <c r="H48" s="10"/>
      <c r="I48" s="10"/>
      <c r="J48" s="14"/>
      <c r="K48" s="10"/>
      <c r="L48" s="10"/>
    </row>
    <row r="49" spans="1:12" ht="14.25" customHeight="1" outlineLevel="2">
      <c r="A49" s="67">
        <v>1</v>
      </c>
      <c r="B49" s="7"/>
      <c r="C49" s="7"/>
      <c r="D49" s="28"/>
      <c r="E49" s="29" t="str">
        <f>T_SIGNAL_BCHILLER</f>
        <v>Snr_T SIGNAL_B/CHILLER(degC)_IN</v>
      </c>
      <c r="F49" s="9">
        <v>40</v>
      </c>
      <c r="G49" s="7"/>
      <c r="H49" s="7"/>
      <c r="I49" s="7"/>
      <c r="J49" s="7"/>
      <c r="K49" s="7"/>
      <c r="L49" s="7"/>
    </row>
    <row r="50" spans="1:12" ht="14.25" customHeight="1" outlineLevel="1">
      <c r="A50" s="67">
        <v>1</v>
      </c>
      <c r="B50" s="7"/>
      <c r="C50" s="7"/>
      <c r="D50" s="28"/>
      <c r="E50" s="29"/>
      <c r="F50" s="9"/>
      <c r="G50" s="7"/>
      <c r="H50" s="7"/>
      <c r="I50" s="7"/>
      <c r="J50" s="7"/>
      <c r="K50" s="7"/>
      <c r="L50" s="7"/>
    </row>
    <row r="51" spans="1:12" ht="15" customHeight="1" outlineLevel="2">
      <c r="A51" s="66">
        <v>1</v>
      </c>
      <c r="B51" s="5" t="s">
        <v>31</v>
      </c>
      <c r="C51" s="6" t="s">
        <v>34</v>
      </c>
      <c r="D51" s="6" t="s">
        <v>1174</v>
      </c>
      <c r="E51" s="5"/>
      <c r="F51" s="5"/>
      <c r="G51" s="5"/>
      <c r="H51" s="5"/>
      <c r="I51" s="5"/>
      <c r="J51" s="5"/>
      <c r="K51" s="5"/>
      <c r="L51" s="5"/>
    </row>
    <row r="52" spans="1:12" ht="14.25" customHeight="1" outlineLevel="2">
      <c r="A52" s="68">
        <v>1</v>
      </c>
      <c r="B52" s="10"/>
      <c r="C52" s="10"/>
      <c r="D52" s="10" t="s">
        <v>384</v>
      </c>
      <c r="E52" s="10"/>
      <c r="F52" s="10"/>
      <c r="G52" s="10" t="s">
        <v>385</v>
      </c>
      <c r="H52" s="10"/>
      <c r="I52" s="7"/>
      <c r="J52" s="84"/>
      <c r="K52" s="10"/>
      <c r="L52" s="10"/>
    </row>
    <row r="53" spans="1:12" ht="14.25" customHeight="1" outlineLevel="2">
      <c r="A53" s="68">
        <v>1</v>
      </c>
      <c r="B53" s="10"/>
      <c r="C53" s="10"/>
      <c r="D53" s="10" t="s">
        <v>384</v>
      </c>
      <c r="E53" s="10"/>
      <c r="F53" s="10"/>
      <c r="G53" s="10" t="s">
        <v>386</v>
      </c>
      <c r="H53" s="10"/>
      <c r="I53" s="7"/>
      <c r="J53" s="84"/>
      <c r="K53" s="10"/>
      <c r="L53" s="10"/>
    </row>
    <row r="54" spans="1:12" ht="14.25" customHeight="1" outlineLevel="2">
      <c r="A54" s="68">
        <v>1</v>
      </c>
      <c r="B54" s="10"/>
      <c r="C54" s="10"/>
      <c r="D54" s="10" t="s">
        <v>384</v>
      </c>
      <c r="E54" s="10"/>
      <c r="F54" s="10"/>
      <c r="G54" s="10" t="s">
        <v>387</v>
      </c>
      <c r="H54" s="10"/>
      <c r="I54" s="7"/>
      <c r="J54" s="84"/>
      <c r="K54" s="10"/>
      <c r="L54" s="10"/>
    </row>
    <row r="55" spans="1:12" ht="14.25" customHeight="1" outlineLevel="1">
      <c r="A55" s="68">
        <v>1</v>
      </c>
      <c r="B55" s="10"/>
      <c r="C55" s="10"/>
      <c r="D55" s="10" t="s">
        <v>384</v>
      </c>
      <c r="E55" s="10"/>
      <c r="F55" s="10"/>
      <c r="G55" s="10" t="s">
        <v>388</v>
      </c>
      <c r="H55" s="10"/>
      <c r="I55" s="7"/>
      <c r="J55" s="84"/>
      <c r="K55" s="10"/>
      <c r="L55" s="10"/>
    </row>
    <row r="56" spans="1:12" ht="14.25" customHeight="1" outlineLevel="2">
      <c r="A56" s="68">
        <v>1</v>
      </c>
      <c r="B56" s="10"/>
      <c r="C56" s="10"/>
      <c r="D56" s="10" t="s">
        <v>384</v>
      </c>
      <c r="E56" s="10"/>
      <c r="F56" s="10"/>
      <c r="G56" s="10" t="s">
        <v>389</v>
      </c>
      <c r="H56" s="10"/>
      <c r="I56" s="7"/>
      <c r="J56" s="84"/>
      <c r="K56" s="10"/>
      <c r="L56" s="10"/>
    </row>
    <row r="57" spans="1:12" ht="14.25" customHeight="1" outlineLevel="2">
      <c r="A57" s="66">
        <v>1</v>
      </c>
      <c r="B57" s="5" t="s">
        <v>31</v>
      </c>
      <c r="C57" s="6" t="s">
        <v>37</v>
      </c>
      <c r="D57" s="6" t="s">
        <v>164</v>
      </c>
      <c r="E57" s="5"/>
      <c r="F57" s="80"/>
      <c r="G57" s="5"/>
      <c r="H57" s="5"/>
      <c r="I57" s="5"/>
      <c r="J57" s="5"/>
      <c r="K57" s="5"/>
      <c r="L57" s="5"/>
    </row>
    <row r="58" spans="1:12" ht="14.25" customHeight="1" outlineLevel="2">
      <c r="A58" s="68">
        <v>1</v>
      </c>
      <c r="B58" s="10"/>
      <c r="C58" s="10"/>
      <c r="D58" s="10"/>
      <c r="E58" s="10" t="s">
        <v>131</v>
      </c>
      <c r="F58" s="81" t="s">
        <v>132</v>
      </c>
      <c r="G58" s="10"/>
      <c r="H58" s="10"/>
      <c r="I58" s="30"/>
      <c r="J58" s="30"/>
      <c r="K58" s="10"/>
      <c r="L58" s="10"/>
    </row>
    <row r="59" spans="1:12" ht="14.25" customHeight="1" collapsed="1">
      <c r="A59" s="68">
        <v>1</v>
      </c>
      <c r="B59" s="10"/>
      <c r="C59" s="10"/>
      <c r="D59" s="10"/>
      <c r="E59" s="10"/>
      <c r="F59" s="82"/>
      <c r="G59" s="10" t="s">
        <v>128</v>
      </c>
      <c r="H59" s="10"/>
      <c r="I59" s="31" t="s">
        <v>130</v>
      </c>
      <c r="J59" s="10"/>
      <c r="K59" s="10"/>
      <c r="L59" s="10"/>
    </row>
    <row r="60" spans="1:12" ht="14.25" customHeight="1" outlineLevel="1">
      <c r="A60" s="68">
        <v>1</v>
      </c>
      <c r="B60" s="10"/>
      <c r="C60" s="10"/>
      <c r="D60" s="44" t="s">
        <v>1175</v>
      </c>
      <c r="E60" s="10" t="s">
        <v>89</v>
      </c>
      <c r="F60" s="9" t="e">
        <f>CONCATENATE("자가진단 진입 : ",SelfDiagCode)</f>
        <v>#NAME?</v>
      </c>
      <c r="G60" s="10"/>
      <c r="H60" s="10"/>
      <c r="I60" s="10"/>
      <c r="J60" s="30"/>
      <c r="K60" s="10"/>
      <c r="L60" s="10"/>
    </row>
    <row r="61" spans="1:12" ht="14.25" customHeight="1" outlineLevel="2">
      <c r="A61" s="68">
        <v>1</v>
      </c>
      <c r="B61" s="10"/>
      <c r="C61" s="10"/>
      <c r="D61" s="10"/>
      <c r="E61" s="10"/>
      <c r="F61" s="82"/>
      <c r="G61" s="10" t="s">
        <v>129</v>
      </c>
      <c r="H61" s="10"/>
      <c r="I61" s="12">
        <v>0</v>
      </c>
      <c r="J61" s="30"/>
      <c r="K61" s="10"/>
      <c r="L61" s="10"/>
    </row>
    <row r="62" spans="1:12" ht="14.25" customHeight="1" outlineLevel="2">
      <c r="A62" s="66">
        <v>1</v>
      </c>
      <c r="B62" s="5" t="s">
        <v>31</v>
      </c>
      <c r="C62" s="6" t="s">
        <v>97</v>
      </c>
      <c r="D62" s="6" t="s">
        <v>113</v>
      </c>
      <c r="E62" s="5"/>
      <c r="F62" s="80"/>
      <c r="G62" s="5"/>
      <c r="H62" s="5"/>
      <c r="I62" s="5"/>
      <c r="J62" s="5"/>
      <c r="K62" s="5"/>
      <c r="L62" s="5"/>
    </row>
    <row r="63" spans="1:12" ht="14.25" customHeight="1" outlineLevel="2">
      <c r="A63" s="67">
        <v>1</v>
      </c>
      <c r="B63" s="7"/>
      <c r="C63" s="7"/>
      <c r="D63" s="7" t="s">
        <v>139</v>
      </c>
      <c r="E63" s="7" t="s">
        <v>93</v>
      </c>
      <c r="F63" s="81" t="s">
        <v>373</v>
      </c>
      <c r="G63" s="7"/>
      <c r="H63" s="7"/>
      <c r="I63" s="7"/>
      <c r="J63" s="7"/>
      <c r="K63" s="7"/>
      <c r="L63" s="7"/>
    </row>
    <row r="64" spans="1:12" ht="14.25" customHeight="1" outlineLevel="2">
      <c r="A64" s="68">
        <v>1</v>
      </c>
      <c r="B64" s="10"/>
      <c r="C64" s="10"/>
      <c r="D64" s="10"/>
      <c r="E64" s="7" t="s">
        <v>5</v>
      </c>
      <c r="F64" s="81">
        <v>2</v>
      </c>
      <c r="G64" s="10"/>
      <c r="H64" s="10"/>
      <c r="I64" s="10"/>
      <c r="J64" s="10"/>
      <c r="K64" s="10"/>
      <c r="L64" s="10"/>
    </row>
    <row r="65" spans="1:12" ht="14.25" customHeight="1" outlineLevel="2">
      <c r="A65" s="68">
        <v>1</v>
      </c>
      <c r="B65" s="10"/>
      <c r="C65" s="10"/>
      <c r="D65" s="44"/>
      <c r="E65" s="10" t="s">
        <v>89</v>
      </c>
      <c r="F65" s="83" t="s">
        <v>1176</v>
      </c>
      <c r="G65" s="41"/>
      <c r="H65" s="41"/>
      <c r="I65" s="41"/>
      <c r="J65" s="30"/>
      <c r="K65" s="10"/>
      <c r="L65" s="10"/>
    </row>
    <row r="66" spans="1:12" ht="14.25" customHeight="1" outlineLevel="2">
      <c r="A66" s="103">
        <v>1</v>
      </c>
      <c r="B66" s="104" t="s">
        <v>7</v>
      </c>
      <c r="C66" s="104" t="s">
        <v>789</v>
      </c>
      <c r="D66" s="104" t="str">
        <f>VLOOKUP(C66,Tbl_Button_Display_ASSTS, 2,FALSE)</f>
        <v>BAT. ON시 초기화 기능 확인</v>
      </c>
      <c r="E66" s="104"/>
      <c r="F66" s="104"/>
      <c r="G66" s="104"/>
      <c r="H66" s="104"/>
      <c r="I66" s="104"/>
      <c r="J66" s="104"/>
      <c r="K66" s="104"/>
      <c r="L66" s="104"/>
    </row>
    <row r="67" spans="1:12" ht="14.25" customHeight="1" outlineLevel="2">
      <c r="A67" s="105">
        <v>1</v>
      </c>
      <c r="B67" s="106" t="s">
        <v>38</v>
      </c>
      <c r="C67" s="106" t="s">
        <v>790</v>
      </c>
      <c r="D67" s="106" t="s">
        <v>39</v>
      </c>
      <c r="E67" s="106"/>
      <c r="F67" s="106"/>
      <c r="G67" s="106"/>
      <c r="H67" s="106"/>
      <c r="I67" s="106"/>
      <c r="J67" s="106"/>
      <c r="K67" s="106"/>
      <c r="L67" s="106"/>
    </row>
    <row r="68" spans="1:12" ht="14.25" customHeight="1" outlineLevel="2">
      <c r="A68" s="68">
        <v>1</v>
      </c>
      <c r="B68" s="10"/>
      <c r="C68" s="10"/>
      <c r="D68" s="10"/>
      <c r="E68" s="101" t="e">
        <f>Incar_IN</f>
        <v>#NAME?</v>
      </c>
      <c r="F68" s="63">
        <f>VINTERPOLATION(VLOOKUP(C67,Tbl_Button_Display_ASSTS,2,FALSE),Tbl_Incar_Sensor,3)</f>
        <v>3.3272756433630186</v>
      </c>
      <c r="G68" s="10"/>
      <c r="H68" s="10"/>
      <c r="I68" s="10"/>
      <c r="J68" s="10"/>
      <c r="K68" s="10"/>
      <c r="L68" s="10"/>
    </row>
    <row r="69" spans="1:12" ht="16.5" customHeight="1" outlineLevel="2">
      <c r="A69" s="68">
        <v>1</v>
      </c>
      <c r="B69" s="10"/>
      <c r="C69" s="10"/>
      <c r="D69" s="10"/>
      <c r="E69" s="101" t="e">
        <f>Amb_IN</f>
        <v>#NAME?</v>
      </c>
      <c r="F69" s="63">
        <f>VINTERPOLATION(VLOOKUP(C67,Tbl_Button_Display_ASSTS,3,FALSE),Tbl_Amb_Sensor,3)</f>
        <v>3.8892180094786726</v>
      </c>
      <c r="G69" s="188"/>
      <c r="H69" s="10"/>
      <c r="I69" s="10"/>
      <c r="J69" s="10"/>
      <c r="K69" s="10"/>
      <c r="L69" s="10"/>
    </row>
    <row r="70" spans="1:12" ht="14.25" customHeight="1" outlineLevel="2">
      <c r="A70" s="68">
        <v>1</v>
      </c>
      <c r="B70" s="10"/>
      <c r="C70" s="10"/>
      <c r="D70" s="10"/>
      <c r="E70" s="101" t="str">
        <f>VLOOKUP(C67,Tbl_Button_Display_ASSTS,11,FALSE)</f>
        <v>Power_Reset</v>
      </c>
      <c r="F70" s="11" t="str">
        <f>VLOOKUP(C67,Tbl_Button_Display_ASSTS,12,FALSE)</f>
        <v xml:space="preserve"> </v>
      </c>
      <c r="G70" s="10"/>
      <c r="H70" s="10"/>
      <c r="I70" s="10"/>
      <c r="J70" s="10"/>
      <c r="K70" s="10"/>
      <c r="L70" s="10"/>
    </row>
    <row r="71" spans="1:12" ht="14.25" customHeight="1" outlineLevel="2">
      <c r="A71" s="68">
        <v>1</v>
      </c>
      <c r="B71" s="10"/>
      <c r="C71" s="10"/>
      <c r="D71" s="10"/>
      <c r="E71" s="14" t="s">
        <v>5</v>
      </c>
      <c r="F71" s="11">
        <f>VLOOKUP(C67,Tbl_Button_Display_ASSTS,13,FALSE)</f>
        <v>10</v>
      </c>
      <c r="G71" s="10"/>
      <c r="H71" s="10"/>
      <c r="I71" s="10"/>
      <c r="J71" s="10"/>
      <c r="K71" s="10"/>
      <c r="L71" s="10"/>
    </row>
    <row r="72" spans="1:12" ht="14.25" customHeight="1" outlineLevel="2">
      <c r="A72" s="68">
        <v>1</v>
      </c>
      <c r="B72" s="10"/>
      <c r="C72" s="10"/>
      <c r="D72" s="10" t="e">
        <f>IF(BAT_ON_Initialize="X","","Set_System_Off")</f>
        <v>#NAME?</v>
      </c>
      <c r="E72" s="101" t="e">
        <f>IF(D72="Set_System_Off","Sw_OFF","")</f>
        <v>#NAME?</v>
      </c>
      <c r="F72" s="81" t="e">
        <f>IF(D72="Set_System_Off",1,"")</f>
        <v>#NAME?</v>
      </c>
      <c r="G72" s="10"/>
      <c r="H72" s="10"/>
      <c r="I72" s="10"/>
      <c r="J72" s="14"/>
      <c r="K72" s="10"/>
      <c r="L72" s="108"/>
    </row>
    <row r="73" spans="1:12" ht="14.25" customHeight="1" outlineLevel="2">
      <c r="A73" s="68">
        <v>1</v>
      </c>
      <c r="B73" s="10"/>
      <c r="C73" s="10"/>
      <c r="D73" s="10"/>
      <c r="E73" s="14" t="e">
        <f>IF(D72="Set_System_Off","Delay(Sec)","")</f>
        <v>#NAME?</v>
      </c>
      <c r="F73" s="81" t="e">
        <f>IF(D72="Set_System_Off",2,"")</f>
        <v>#NAME?</v>
      </c>
      <c r="G73" s="10"/>
      <c r="H73" s="10"/>
      <c r="I73" s="10"/>
      <c r="J73" s="10"/>
      <c r="K73" s="10"/>
      <c r="L73" s="108"/>
    </row>
    <row r="74" spans="1:12" ht="14.25" customHeight="1" outlineLevel="2">
      <c r="A74" s="68">
        <v>1</v>
      </c>
      <c r="B74" s="10"/>
      <c r="C74" s="10"/>
      <c r="D74" s="10"/>
      <c r="E74" s="10"/>
      <c r="F74" s="82"/>
      <c r="G74" s="10" t="e">
        <f>Incar_OUT</f>
        <v>#NAME?</v>
      </c>
      <c r="H74" s="10"/>
      <c r="I74" s="12">
        <f>VLOOKUP(C67,Tbl_Button_Display_ASSTS,2,FALSE)</f>
        <v>10</v>
      </c>
      <c r="J74" s="10"/>
      <c r="K74" s="10"/>
      <c r="L74" s="10"/>
    </row>
    <row r="75" spans="1:12" ht="16.5" customHeight="1" outlineLevel="1">
      <c r="A75" s="68">
        <v>1</v>
      </c>
      <c r="B75" s="10"/>
      <c r="C75" s="10"/>
      <c r="D75" s="10"/>
      <c r="E75" s="188"/>
      <c r="F75" s="82"/>
      <c r="G75" s="10" t="e">
        <f>Amb_OUT</f>
        <v>#NAME?</v>
      </c>
      <c r="H75" s="10"/>
      <c r="I75" s="12">
        <f>VLOOKUP(C67,Tbl_Button_Display_ASSTS,3,FALSE)</f>
        <v>-2</v>
      </c>
      <c r="J75" s="10"/>
      <c r="K75" s="10"/>
      <c r="L75" s="10"/>
    </row>
    <row r="76" spans="1:12" ht="14.25" customHeight="1" outlineLevel="2">
      <c r="A76" s="68">
        <v>1</v>
      </c>
      <c r="B76" s="10"/>
      <c r="C76" s="10"/>
      <c r="D76" s="10"/>
      <c r="E76" s="10"/>
      <c r="F76" s="10"/>
      <c r="G76" s="10" t="e">
        <f>CompSpd_rpm</f>
        <v>#NAME?</v>
      </c>
      <c r="H76" s="10"/>
      <c r="I76" s="12" t="str">
        <f>VLOOKUP(C67,Tbl_Button_Display_ASSTS,33,FALSE)</f>
        <v>Off</v>
      </c>
      <c r="J76" s="10"/>
      <c r="K76" s="10"/>
      <c r="L76" s="10"/>
    </row>
    <row r="77" spans="1:12" ht="14.25" customHeight="1" outlineLevel="2">
      <c r="A77" s="68">
        <v>1</v>
      </c>
      <c r="B77" s="10"/>
      <c r="C77" s="10"/>
      <c r="D77" s="10"/>
      <c r="E77" s="10"/>
      <c r="F77" s="10"/>
      <c r="G77" s="10" t="str">
        <f>HP_ModSta</f>
        <v>DATC_HtrPmpModSta</v>
      </c>
      <c r="H77" s="47" t="e">
        <f>VLOOKUP(C67,Tbl_Button_Display_ASSTS,71,FALSE)</f>
        <v>#REF!</v>
      </c>
      <c r="I77" s="45" t="e">
        <f>(IF(H77="","",VLOOKUP(H77,Tbl_HP_Cycle,2,FALSE)))</f>
        <v>#REF!</v>
      </c>
      <c r="J77" s="10"/>
      <c r="K77" s="10"/>
      <c r="L77" s="10"/>
    </row>
    <row r="78" spans="1:12" ht="14.25" customHeight="1" outlineLevel="2">
      <c r="A78" s="68">
        <v>1</v>
      </c>
      <c r="B78" s="10"/>
      <c r="C78" s="10"/>
      <c r="D78" s="10"/>
      <c r="E78" s="10"/>
      <c r="F78" s="10"/>
      <c r="G78" s="10" t="str">
        <f>V02_EXV</f>
        <v>V02_EXV (B/CHILLER)</v>
      </c>
      <c r="H78" s="10"/>
      <c r="I78" s="12" t="e">
        <f>VLOOKUP(C67,Tbl_Button_Display_ASSTS,84,FALSE)</f>
        <v>#REF!</v>
      </c>
      <c r="J78" s="10"/>
      <c r="K78" s="10"/>
      <c r="L78" s="10"/>
    </row>
    <row r="79" spans="1:12" ht="14.25" customHeight="1" outlineLevel="2">
      <c r="A79" s="68">
        <v>1</v>
      </c>
      <c r="B79" s="10"/>
      <c r="C79" s="10"/>
      <c r="D79" s="10"/>
      <c r="E79" s="10"/>
      <c r="F79" s="10"/>
      <c r="G79" s="10" t="str">
        <f>BattChlrVlvSta</f>
        <v>DATC_BattChlrVlvSta</v>
      </c>
      <c r="H79" s="10"/>
      <c r="I79" s="12" t="e">
        <f>VLOOKUP(C67,Tbl_Button_Display_ASSTS,102,FALSE)</f>
        <v>#REF!</v>
      </c>
      <c r="J79" s="10"/>
      <c r="K79" s="10"/>
      <c r="L79" s="10"/>
    </row>
    <row r="80" spans="1:12" ht="14.25" customHeight="1" outlineLevel="2">
      <c r="A80" s="68">
        <v>1</v>
      </c>
      <c r="B80" s="10"/>
      <c r="C80" s="10"/>
      <c r="D80" s="10"/>
      <c r="E80" s="10"/>
      <c r="F80" s="10"/>
      <c r="G80" s="10" t="str">
        <f>BattChlrVlv_FltCode</f>
        <v>DATC_BattChlrVlv_FltCode</v>
      </c>
      <c r="H80" s="10"/>
      <c r="I80" s="12" t="e">
        <f>VLOOKUP(C67,Tbl_Button_Display_ASSTS,103,FALSE)</f>
        <v>#REF!</v>
      </c>
      <c r="J80" s="10"/>
      <c r="K80" s="10"/>
      <c r="L80" s="10"/>
    </row>
    <row r="81" spans="1:12" ht="14.25" customHeight="1" outlineLevel="2">
      <c r="A81" s="68">
        <v>1</v>
      </c>
      <c r="B81" s="10"/>
      <c r="C81" s="10"/>
      <c r="D81" s="10"/>
      <c r="E81" s="10"/>
      <c r="F81" s="10"/>
      <c r="G81" s="10" t="str">
        <f>BattEvapVlvSta</f>
        <v>DATC_BattEvapVlvSta</v>
      </c>
      <c r="H81" s="10"/>
      <c r="I81" s="12" t="e">
        <f>VLOOKUP(C67,Tbl_Button_Display_ASSTS,104,FALSE)</f>
        <v>#REF!</v>
      </c>
      <c r="J81" s="10"/>
      <c r="K81" s="10"/>
      <c r="L81" s="10"/>
    </row>
    <row r="82" spans="1:12" ht="14.25" customHeight="1" outlineLevel="2">
      <c r="A82" s="68">
        <v>1</v>
      </c>
      <c r="B82" s="10"/>
      <c r="C82" s="10"/>
      <c r="D82" s="10"/>
      <c r="E82" s="10"/>
      <c r="F82" s="10"/>
      <c r="G82" s="10" t="str">
        <f>BattEvapVlv_FltCode</f>
        <v>DATC_BattEvapVlv_FltCode</v>
      </c>
      <c r="H82" s="10"/>
      <c r="I82" s="46" t="e">
        <f>VLOOKUP(C67,Tbl_Button_Display_ASSTS,105,FALSE)</f>
        <v>#REF!</v>
      </c>
      <c r="J82" s="10"/>
      <c r="K82" s="10"/>
      <c r="L82" s="10"/>
    </row>
    <row r="83" spans="1:12" ht="14.25" customHeight="1" outlineLevel="2">
      <c r="A83" s="69">
        <v>1</v>
      </c>
      <c r="B83" s="37" t="s">
        <v>143</v>
      </c>
      <c r="C83" s="37" t="s">
        <v>791</v>
      </c>
      <c r="D83" s="37" t="str">
        <f>CONCATENATE(E84," = ",F84," 설정 시, 배터리 냉각을 위한 COMP 작동 동작 확인")</f>
        <v>VCU_BatChllrTgtRpm = 1000 설정 시, 배터리 냉각을 위한 COMP 작동 동작 확인</v>
      </c>
      <c r="E83" s="37"/>
      <c r="F83" s="37"/>
      <c r="G83" s="37"/>
      <c r="H83" s="37"/>
      <c r="I83" s="37"/>
      <c r="J83" s="37"/>
      <c r="K83" s="37"/>
      <c r="L83" s="37"/>
    </row>
    <row r="84" spans="1:12" ht="14.25" customHeight="1" outlineLevel="2">
      <c r="A84" s="68">
        <v>1</v>
      </c>
      <c r="B84" s="10"/>
      <c r="C84" s="10"/>
      <c r="D84" s="10"/>
      <c r="E84" s="101" t="str">
        <f>VLOOKUP(C83,Tbl_Button_Display_ASSTS,11,FALSE)</f>
        <v>VCU_BatChllrTgtRpm</v>
      </c>
      <c r="F84" s="11">
        <f>VLOOKUP(C83,Tbl_Button_Display_ASSTS,12,FALSE)</f>
        <v>1000</v>
      </c>
      <c r="G84" s="10"/>
      <c r="H84" s="10"/>
      <c r="I84" s="10"/>
      <c r="J84" s="10"/>
      <c r="K84" s="10"/>
      <c r="L84" s="10"/>
    </row>
    <row r="85" spans="1:12" ht="14.25" customHeight="1" outlineLevel="2">
      <c r="A85" s="68">
        <v>1</v>
      </c>
      <c r="B85" s="10"/>
      <c r="C85" s="10"/>
      <c r="D85" s="10"/>
      <c r="E85" s="14" t="s">
        <v>5</v>
      </c>
      <c r="F85" s="11">
        <f>VLOOKUP(C83,Tbl_Button_Display_ASSTS,13,FALSE)</f>
        <v>10</v>
      </c>
      <c r="G85" s="10"/>
      <c r="H85" s="10"/>
      <c r="I85" s="10"/>
      <c r="J85" s="10"/>
      <c r="K85" s="10"/>
      <c r="L85" s="10"/>
    </row>
    <row r="86" spans="1:12" ht="14.25" customHeight="1" outlineLevel="1">
      <c r="A86" s="68">
        <v>1</v>
      </c>
      <c r="B86" s="10"/>
      <c r="C86" s="10"/>
      <c r="D86" s="10"/>
      <c r="E86" s="10"/>
      <c r="F86" s="10"/>
      <c r="G86" s="10" t="e">
        <f>CompSpd_rpm</f>
        <v>#NAME?</v>
      </c>
      <c r="H86" s="10"/>
      <c r="I86" s="12">
        <f>VLOOKUP(C83,Tbl_Button_Display_ASSTS,33,FALSE)</f>
        <v>1000</v>
      </c>
      <c r="J86" s="10"/>
      <c r="K86" s="10"/>
      <c r="L86" s="10"/>
    </row>
    <row r="87" spans="1:12" ht="14.25" customHeight="1" outlineLevel="2">
      <c r="A87" s="68">
        <v>1</v>
      </c>
      <c r="B87" s="10"/>
      <c r="C87" s="10"/>
      <c r="D87" s="10"/>
      <c r="E87" s="10"/>
      <c r="F87" s="10"/>
      <c r="G87" s="10" t="str">
        <f>V02_EXV</f>
        <v>V02_EXV (B/CHILLER)</v>
      </c>
      <c r="H87" s="10"/>
      <c r="I87" s="12" t="e">
        <f>VLOOKUP(C83,Tbl_Button_Display_ASSTS,84,FALSE)</f>
        <v>#REF!</v>
      </c>
      <c r="J87" s="10"/>
      <c r="K87" s="10"/>
      <c r="L87" s="10"/>
    </row>
    <row r="88" spans="1:12" ht="14.25" customHeight="1" outlineLevel="2">
      <c r="A88" s="68">
        <v>1</v>
      </c>
      <c r="B88" s="10"/>
      <c r="C88" s="10"/>
      <c r="D88" s="10"/>
      <c r="E88" s="10"/>
      <c r="F88" s="10"/>
      <c r="G88" s="10" t="str">
        <f>BattChlrVlvSta</f>
        <v>DATC_BattChlrVlvSta</v>
      </c>
      <c r="H88" s="10"/>
      <c r="I88" s="12" t="e">
        <f>VLOOKUP(C83,Tbl_Button_Display_ASSTS,102,FALSE)</f>
        <v>#REF!</v>
      </c>
      <c r="J88" s="10"/>
      <c r="K88" s="10"/>
      <c r="L88" s="10"/>
    </row>
    <row r="89" spans="1:12" ht="14.25" customHeight="1" outlineLevel="2">
      <c r="A89" s="68">
        <v>1</v>
      </c>
      <c r="B89" s="10"/>
      <c r="C89" s="10"/>
      <c r="D89" s="10"/>
      <c r="E89" s="10"/>
      <c r="F89" s="10"/>
      <c r="G89" s="10" t="str">
        <f>BattChlrVlv_FltCode</f>
        <v>DATC_BattChlrVlv_FltCode</v>
      </c>
      <c r="H89" s="10"/>
      <c r="I89" s="12" t="e">
        <f>VLOOKUP(C83,Tbl_Button_Display_ASSTS,103,FALSE)</f>
        <v>#REF!</v>
      </c>
      <c r="J89" s="10"/>
      <c r="K89" s="10"/>
      <c r="L89" s="10"/>
    </row>
    <row r="90" spans="1:12" ht="14.25" customHeight="1" outlineLevel="2">
      <c r="A90" s="68">
        <v>1</v>
      </c>
      <c r="B90" s="10"/>
      <c r="C90" s="10"/>
      <c r="D90" s="10"/>
      <c r="E90" s="10"/>
      <c r="F90" s="10"/>
      <c r="G90" s="10" t="str">
        <f>BattEvapVlvSta</f>
        <v>DATC_BattEvapVlvSta</v>
      </c>
      <c r="H90" s="10"/>
      <c r="I90" s="12" t="e">
        <f>VLOOKUP(C83,Tbl_Button_Display_ASSTS,104,FALSE)</f>
        <v>#REF!</v>
      </c>
      <c r="J90" s="10"/>
      <c r="K90" s="10"/>
      <c r="L90" s="10"/>
    </row>
    <row r="91" spans="1:12" ht="14.25" customHeight="1" outlineLevel="2">
      <c r="A91" s="68">
        <v>1</v>
      </c>
      <c r="B91" s="10"/>
      <c r="C91" s="10"/>
      <c r="D91" s="10"/>
      <c r="E91" s="10"/>
      <c r="F91" s="10"/>
      <c r="G91" s="10" t="str">
        <f>BattEvapVlv_FltCode</f>
        <v>DATC_BattEvapVlv_FltCode</v>
      </c>
      <c r="H91" s="10"/>
      <c r="I91" s="46" t="e">
        <f>VLOOKUP(C83,Tbl_Button_Display_ASSTS,105,FALSE)</f>
        <v>#REF!</v>
      </c>
      <c r="J91" s="10"/>
      <c r="K91" s="10"/>
      <c r="L91" s="10"/>
    </row>
    <row r="92" spans="1:12" ht="14.25" customHeight="1" outlineLevel="2">
      <c r="A92" s="69">
        <v>1</v>
      </c>
      <c r="B92" s="37" t="s">
        <v>143</v>
      </c>
      <c r="C92" s="37" t="s">
        <v>792</v>
      </c>
      <c r="D92" s="37" t="str">
        <f>CONCATENATE(E93," = ",F93," 설정 시, 배터리 냉각을 위한 COMP 작동 동작 해제 확인")</f>
        <v>VCU_BatChllrTgtRpm = 0 설정 시, 배터리 냉각을 위한 COMP 작동 동작 해제 확인</v>
      </c>
      <c r="E92" s="37"/>
      <c r="F92" s="37"/>
      <c r="G92" s="37"/>
      <c r="H92" s="37"/>
      <c r="I92" s="37"/>
      <c r="J92" s="37"/>
      <c r="K92" s="37"/>
      <c r="L92" s="37"/>
    </row>
    <row r="93" spans="1:12" ht="14.25" customHeight="1" outlineLevel="2">
      <c r="A93" s="68">
        <v>1</v>
      </c>
      <c r="B93" s="10"/>
      <c r="C93" s="10"/>
      <c r="D93" s="10"/>
      <c r="E93" s="101" t="str">
        <f>VLOOKUP(C92,Tbl_Button_Display_ASSTS,11,FALSE)</f>
        <v>VCU_BatChllrTgtRpm</v>
      </c>
      <c r="F93" s="11">
        <f>VLOOKUP(C92,Tbl_Button_Display_ASSTS,12,FALSE)</f>
        <v>0</v>
      </c>
      <c r="G93" s="10"/>
      <c r="H93" s="10"/>
      <c r="I93" s="10"/>
      <c r="J93" s="10"/>
      <c r="K93" s="10"/>
      <c r="L93" s="10"/>
    </row>
    <row r="94" spans="1:12" ht="14.25" customHeight="1" outlineLevel="2">
      <c r="A94" s="68">
        <v>1</v>
      </c>
      <c r="B94" s="10"/>
      <c r="C94" s="10"/>
      <c r="D94" s="10"/>
      <c r="E94" s="14" t="s">
        <v>5</v>
      </c>
      <c r="F94" s="11">
        <f>VLOOKUP(C92,Tbl_Button_Display_ASSTS,13,FALSE)</f>
        <v>10</v>
      </c>
      <c r="G94" s="10"/>
      <c r="H94" s="10"/>
      <c r="I94" s="10"/>
      <c r="J94" s="10"/>
      <c r="K94" s="10"/>
      <c r="L94" s="10"/>
    </row>
    <row r="95" spans="1:12" ht="14.25" customHeight="1" outlineLevel="2">
      <c r="A95" s="68">
        <v>1</v>
      </c>
      <c r="B95" s="10"/>
      <c r="C95" s="10"/>
      <c r="D95" s="10"/>
      <c r="E95" s="10"/>
      <c r="F95" s="10"/>
      <c r="G95" s="10" t="e">
        <f>CompSpd_rpm</f>
        <v>#NAME?</v>
      </c>
      <c r="H95" s="10"/>
      <c r="I95" s="12" t="str">
        <f>VLOOKUP(C92,Tbl_Button_Display_ASSTS,33,FALSE)</f>
        <v>Off</v>
      </c>
      <c r="J95" s="10"/>
      <c r="K95" s="10"/>
      <c r="L95" s="10"/>
    </row>
    <row r="96" spans="1:12" ht="14.25" customHeight="1" outlineLevel="2">
      <c r="A96" s="68">
        <v>1</v>
      </c>
      <c r="B96" s="10"/>
      <c r="C96" s="10"/>
      <c r="D96" s="10"/>
      <c r="E96" s="10"/>
      <c r="F96" s="10"/>
      <c r="G96" s="10" t="str">
        <f>V02_EXV</f>
        <v>V02_EXV (B/CHILLER)</v>
      </c>
      <c r="H96" s="10"/>
      <c r="I96" s="12" t="e">
        <f>VLOOKUP(C92,Tbl_Button_Display_ASSTS,84,FALSE)</f>
        <v>#REF!</v>
      </c>
      <c r="J96" s="10"/>
      <c r="K96" s="10"/>
      <c r="L96" s="10"/>
    </row>
    <row r="97" spans="1:12" ht="14.25" customHeight="1" outlineLevel="1">
      <c r="A97" s="68">
        <v>1</v>
      </c>
      <c r="B97" s="10"/>
      <c r="C97" s="10"/>
      <c r="D97" s="10"/>
      <c r="E97" s="10"/>
      <c r="F97" s="10"/>
      <c r="G97" s="10" t="str">
        <f>BattChlrVlvSta</f>
        <v>DATC_BattChlrVlvSta</v>
      </c>
      <c r="H97" s="10"/>
      <c r="I97" s="12" t="e">
        <f>VLOOKUP(C92,Tbl_Button_Display_ASSTS,102,FALSE)</f>
        <v>#REF!</v>
      </c>
      <c r="J97" s="10"/>
      <c r="K97" s="10"/>
      <c r="L97" s="10"/>
    </row>
    <row r="98" spans="1:12" ht="14.25" customHeight="1" outlineLevel="2">
      <c r="A98" s="68">
        <v>1</v>
      </c>
      <c r="B98" s="10"/>
      <c r="C98" s="10"/>
      <c r="D98" s="10"/>
      <c r="E98" s="10"/>
      <c r="F98" s="10"/>
      <c r="G98" s="10" t="str">
        <f>BattChlrVlv_FltCode</f>
        <v>DATC_BattChlrVlv_FltCode</v>
      </c>
      <c r="H98" s="10"/>
      <c r="I98" s="12" t="e">
        <f>VLOOKUP(C92,Tbl_Button_Display_ASSTS,103,FALSE)</f>
        <v>#REF!</v>
      </c>
      <c r="J98" s="10"/>
      <c r="K98" s="10"/>
      <c r="L98" s="10"/>
    </row>
    <row r="99" spans="1:12" ht="14.25" customHeight="1" outlineLevel="2">
      <c r="A99" s="68">
        <v>1</v>
      </c>
      <c r="B99" s="10"/>
      <c r="C99" s="10"/>
      <c r="D99" s="10"/>
      <c r="E99" s="10"/>
      <c r="F99" s="10"/>
      <c r="G99" s="10" t="str">
        <f>BattEvapVlvSta</f>
        <v>DATC_BattEvapVlvSta</v>
      </c>
      <c r="H99" s="10"/>
      <c r="I99" s="12" t="e">
        <f>VLOOKUP(C92,Tbl_Button_Display_ASSTS,104,FALSE)</f>
        <v>#REF!</v>
      </c>
      <c r="J99" s="10"/>
      <c r="K99" s="10"/>
      <c r="L99" s="10"/>
    </row>
    <row r="100" spans="1:12" ht="14.25" customHeight="1" outlineLevel="2">
      <c r="A100" s="68">
        <v>1</v>
      </c>
      <c r="B100" s="10"/>
      <c r="C100" s="10"/>
      <c r="D100" s="10"/>
      <c r="E100" s="10"/>
      <c r="F100" s="10"/>
      <c r="G100" s="10" t="str">
        <f>BattEvapVlv_FltCode</f>
        <v>DATC_BattEvapVlv_FltCode</v>
      </c>
      <c r="H100" s="10"/>
      <c r="I100" s="46" t="e">
        <f>VLOOKUP(C92,Tbl_Button_Display_ASSTS,105,FALSE)</f>
        <v>#REF!</v>
      </c>
      <c r="J100" s="10"/>
      <c r="K100" s="10"/>
      <c r="L100" s="10"/>
    </row>
    <row r="101" spans="1:12" ht="15" customHeight="1" outlineLevel="2">
      <c r="A101" s="64">
        <v>1</v>
      </c>
      <c r="B101" s="38" t="s">
        <v>472</v>
      </c>
      <c r="C101" s="38" t="s">
        <v>535</v>
      </c>
      <c r="D101" s="107" t="str">
        <f>VLOOKUP(B101,Tbl_Button_Display_ASSTS,2,FALSE)</f>
        <v>배터리쿨링 협조 제어사양 (H/P 할때)</v>
      </c>
      <c r="E101" s="107"/>
      <c r="F101" s="78"/>
      <c r="G101" s="107"/>
      <c r="H101" s="107"/>
      <c r="I101" s="107"/>
      <c r="J101" s="107"/>
      <c r="K101" s="107"/>
      <c r="L101" s="107"/>
    </row>
    <row r="102" spans="1:12" ht="14.25" customHeight="1" outlineLevel="2">
      <c r="A102" s="103">
        <v>1</v>
      </c>
      <c r="B102" s="104" t="s">
        <v>7</v>
      </c>
      <c r="C102" s="104" t="s">
        <v>733</v>
      </c>
      <c r="D102" s="104" t="str">
        <f>VLOOKUP(C102,Tbl_Button_Display_ASSTS, 2,FALSE)</f>
        <v>배터리쿨링 협조 제어사양 (H/P 할때) 로직 동작 확인</v>
      </c>
      <c r="E102" s="104"/>
      <c r="F102" s="104"/>
      <c r="G102" s="104"/>
      <c r="H102" s="104"/>
      <c r="I102" s="104"/>
      <c r="J102" s="104"/>
      <c r="K102" s="104"/>
      <c r="L102" s="104"/>
    </row>
    <row r="103" spans="1:12" ht="14.25" customHeight="1" outlineLevel="2">
      <c r="A103" s="105">
        <v>1</v>
      </c>
      <c r="B103" s="106" t="s">
        <v>38</v>
      </c>
      <c r="C103" s="106" t="s">
        <v>734</v>
      </c>
      <c r="D103" s="106" t="s">
        <v>39</v>
      </c>
      <c r="E103" s="106"/>
      <c r="F103" s="106"/>
      <c r="G103" s="106"/>
      <c r="H103" s="106"/>
      <c r="I103" s="106"/>
      <c r="J103" s="106"/>
      <c r="K103" s="106"/>
      <c r="L103" s="106"/>
    </row>
    <row r="104" spans="1:12" ht="14.25" customHeight="1" outlineLevel="2">
      <c r="A104" s="68">
        <v>1</v>
      </c>
      <c r="B104" s="10"/>
      <c r="C104" s="10"/>
      <c r="D104" s="10"/>
      <c r="E104" s="101" t="e">
        <f>Incar_IN</f>
        <v>#NAME?</v>
      </c>
      <c r="F104" s="63">
        <f>VINTERPOLATION(VLOOKUP(C103,Tbl_Button_Display_ASSTS,2,FALSE),Tbl_Incar_Sensor,3)</f>
        <v>3.3272756433630186</v>
      </c>
      <c r="G104" s="10"/>
      <c r="H104" s="10"/>
      <c r="I104" s="10"/>
      <c r="J104" s="10"/>
      <c r="K104" s="10"/>
      <c r="L104" s="10"/>
    </row>
    <row r="105" spans="1:12" ht="16.5" customHeight="1" outlineLevel="2">
      <c r="A105" s="68">
        <v>1</v>
      </c>
      <c r="B105" s="10"/>
      <c r="C105" s="10"/>
      <c r="D105" s="10"/>
      <c r="E105" s="101" t="e">
        <f>Amb_IN</f>
        <v>#NAME?</v>
      </c>
      <c r="F105" s="63">
        <f>VINTERPOLATION(VLOOKUP(C103,Tbl_Button_Display_ASSTS,3,FALSE),Tbl_Amb_Sensor,3)</f>
        <v>3.8892180094786726</v>
      </c>
      <c r="G105" s="188"/>
      <c r="H105" s="10"/>
      <c r="I105" s="10"/>
      <c r="J105" s="10"/>
      <c r="K105" s="10"/>
      <c r="L105" s="10"/>
    </row>
    <row r="106" spans="1:12" ht="14.25" customHeight="1" outlineLevel="2">
      <c r="A106" s="68">
        <v>1</v>
      </c>
      <c r="B106" s="10"/>
      <c r="C106" s="10"/>
      <c r="D106" s="10"/>
      <c r="E106" s="101" t="str">
        <f>VLOOKUP(C103,Tbl_Button_Display_ASSTS,11,FALSE)</f>
        <v>Power_Reset</v>
      </c>
      <c r="F106" s="11" t="str">
        <f>VLOOKUP(C103,Tbl_Button_Display_ASSTS,12,FALSE)</f>
        <v xml:space="preserve"> </v>
      </c>
      <c r="G106" s="10"/>
      <c r="H106" s="10"/>
      <c r="I106" s="10"/>
      <c r="J106" s="10"/>
      <c r="K106" s="10"/>
      <c r="L106" s="10"/>
    </row>
    <row r="107" spans="1:12" ht="14.25" customHeight="1" outlineLevel="2">
      <c r="A107" s="68">
        <v>1</v>
      </c>
      <c r="B107" s="10"/>
      <c r="C107" s="10"/>
      <c r="D107" s="10"/>
      <c r="E107" s="14" t="s">
        <v>5</v>
      </c>
      <c r="F107" s="11">
        <f>VLOOKUP(C103,Tbl_Button_Display_ASSTS,13,FALSE)</f>
        <v>10</v>
      </c>
      <c r="G107" s="10"/>
      <c r="H107" s="10"/>
      <c r="I107" s="10"/>
      <c r="J107" s="10"/>
      <c r="K107" s="10"/>
      <c r="L107" s="10"/>
    </row>
    <row r="108" spans="1:12" ht="14.25" customHeight="1">
      <c r="A108" s="68">
        <v>1</v>
      </c>
      <c r="B108" s="10"/>
      <c r="C108" s="10"/>
      <c r="D108" s="10" t="e">
        <f>IF(BAT_ON_Initialize="X","","Set_System_Off")</f>
        <v>#NAME?</v>
      </c>
      <c r="E108" s="101" t="e">
        <f>IF(D108="Set_System_Off","Sw_OFF","")</f>
        <v>#NAME?</v>
      </c>
      <c r="F108" s="81" t="e">
        <f>IF(D108="Set_System_Off",1,"")</f>
        <v>#NAME?</v>
      </c>
      <c r="G108" s="10"/>
      <c r="H108" s="10"/>
      <c r="I108" s="10"/>
      <c r="J108" s="14"/>
      <c r="K108" s="10"/>
      <c r="L108" s="108"/>
    </row>
    <row r="109" spans="1:12" ht="14.25" customHeight="1" collapsed="1">
      <c r="A109" s="68">
        <v>1</v>
      </c>
      <c r="B109" s="10"/>
      <c r="C109" s="10"/>
      <c r="D109" s="10"/>
      <c r="E109" s="14" t="e">
        <f>IF(D108="Set_System_Off","Delay(Sec)","")</f>
        <v>#NAME?</v>
      </c>
      <c r="F109" s="81" t="e">
        <f>IF(D108="Set_System_Off",2,"")</f>
        <v>#NAME?</v>
      </c>
      <c r="G109" s="10"/>
      <c r="H109" s="10"/>
      <c r="I109" s="10"/>
      <c r="J109" s="10"/>
      <c r="K109" s="10"/>
      <c r="L109" s="108"/>
    </row>
    <row r="110" spans="1:12" ht="14.25" customHeight="1" outlineLevel="1">
      <c r="A110" s="68">
        <v>1</v>
      </c>
      <c r="B110" s="10"/>
      <c r="C110" s="10"/>
      <c r="D110" s="10"/>
      <c r="E110" s="10"/>
      <c r="F110" s="82"/>
      <c r="G110" s="10" t="e">
        <f>Incar_OUT</f>
        <v>#NAME?</v>
      </c>
      <c r="H110" s="10"/>
      <c r="I110" s="12">
        <f>VLOOKUP(C103,Tbl_Button_Display_ASSTS,2,FALSE)</f>
        <v>10</v>
      </c>
      <c r="J110" s="10"/>
      <c r="K110" s="10"/>
      <c r="L110" s="10"/>
    </row>
    <row r="111" spans="1:12" ht="16.5" customHeight="1" outlineLevel="2">
      <c r="A111" s="68">
        <v>1</v>
      </c>
      <c r="B111" s="10"/>
      <c r="C111" s="10"/>
      <c r="D111" s="10"/>
      <c r="E111" s="188"/>
      <c r="F111" s="82"/>
      <c r="G111" s="10" t="e">
        <f>Amb_OUT</f>
        <v>#NAME?</v>
      </c>
      <c r="H111" s="10"/>
      <c r="I111" s="12">
        <f>VLOOKUP(C103,Tbl_Button_Display_ASSTS,3,FALSE)</f>
        <v>-2</v>
      </c>
      <c r="J111" s="10"/>
      <c r="K111" s="10"/>
      <c r="L111" s="10"/>
    </row>
    <row r="112" spans="1:12" ht="14.25" customHeight="1" outlineLevel="2">
      <c r="A112" s="68">
        <v>1</v>
      </c>
      <c r="B112" s="10"/>
      <c r="C112" s="10"/>
      <c r="D112" s="10"/>
      <c r="E112" s="10"/>
      <c r="F112" s="10"/>
      <c r="G112" s="10" t="e">
        <f>CompSpd_rpm</f>
        <v>#NAME?</v>
      </c>
      <c r="H112" s="10"/>
      <c r="I112" s="12" t="str">
        <f>VLOOKUP(C103,Tbl_Button_Display_ASSTS,33,FALSE)</f>
        <v>Off</v>
      </c>
      <c r="J112" s="10"/>
      <c r="K112" s="10"/>
      <c r="L112" s="10"/>
    </row>
    <row r="113" spans="1:12" ht="14.25" customHeight="1" outlineLevel="2">
      <c r="A113" s="68">
        <v>1</v>
      </c>
      <c r="B113" s="10"/>
      <c r="C113" s="10"/>
      <c r="D113" s="10"/>
      <c r="E113" s="10"/>
      <c r="F113" s="10"/>
      <c r="G113" s="10" t="str">
        <f>HP_ModSta</f>
        <v>DATC_HtrPmpModSta</v>
      </c>
      <c r="H113" s="47" t="e">
        <f>VLOOKUP(C103,Tbl_Button_Display_ASSTS,71,FALSE)</f>
        <v>#REF!</v>
      </c>
      <c r="I113" s="45" t="e">
        <f>(IF(H113="","",VLOOKUP(H113,Tbl_HP_Cycle,2,FALSE)))</f>
        <v>#REF!</v>
      </c>
      <c r="J113" s="10"/>
      <c r="K113" s="10"/>
      <c r="L113" s="10"/>
    </row>
    <row r="114" spans="1:12" ht="14.25" customHeight="1" outlineLevel="2">
      <c r="A114" s="68">
        <v>1</v>
      </c>
      <c r="B114" s="10"/>
      <c r="C114" s="10"/>
      <c r="D114" s="10"/>
      <c r="E114" s="10"/>
      <c r="F114" s="10"/>
      <c r="G114" s="10" t="str">
        <f>V02_EXV</f>
        <v>V02_EXV (B/CHILLER)</v>
      </c>
      <c r="H114" s="10"/>
      <c r="I114" s="12" t="e">
        <f>VLOOKUP(C103,Tbl_Button_Display_ASSTS,84,FALSE)</f>
        <v>#REF!</v>
      </c>
      <c r="J114" s="10"/>
      <c r="K114" s="10"/>
      <c r="L114" s="10"/>
    </row>
    <row r="115" spans="1:12" ht="14.25" customHeight="1" outlineLevel="2">
      <c r="A115" s="68">
        <v>1</v>
      </c>
      <c r="B115" s="10"/>
      <c r="C115" s="10"/>
      <c r="D115" s="10"/>
      <c r="E115" s="10"/>
      <c r="F115" s="10"/>
      <c r="G115" s="10" t="str">
        <f>BattChlrVlvSta</f>
        <v>DATC_BattChlrVlvSta</v>
      </c>
      <c r="H115" s="10"/>
      <c r="I115" s="12" t="e">
        <f>VLOOKUP(C103,Tbl_Button_Display_ASSTS,102,FALSE)</f>
        <v>#REF!</v>
      </c>
      <c r="J115" s="10"/>
      <c r="K115" s="10"/>
      <c r="L115" s="10"/>
    </row>
    <row r="116" spans="1:12" ht="14.25" customHeight="1" outlineLevel="2">
      <c r="A116" s="68">
        <v>1</v>
      </c>
      <c r="B116" s="10"/>
      <c r="C116" s="10"/>
      <c r="D116" s="10"/>
      <c r="E116" s="10"/>
      <c r="F116" s="10"/>
      <c r="G116" s="10" t="str">
        <f>BattChlrVlv_FltCode</f>
        <v>DATC_BattChlrVlv_FltCode</v>
      </c>
      <c r="H116" s="10"/>
      <c r="I116" s="12" t="e">
        <f>VLOOKUP(C103,Tbl_Button_Display_ASSTS,103,FALSE)</f>
        <v>#REF!</v>
      </c>
      <c r="J116" s="10"/>
      <c r="K116" s="10"/>
      <c r="L116" s="10"/>
    </row>
    <row r="117" spans="1:12" ht="14.25" customHeight="1" outlineLevel="2">
      <c r="A117" s="68">
        <v>1</v>
      </c>
      <c r="B117" s="10"/>
      <c r="C117" s="10"/>
      <c r="D117" s="10"/>
      <c r="E117" s="10"/>
      <c r="F117" s="10"/>
      <c r="G117" s="10" t="str">
        <f>BattEvapVlvSta</f>
        <v>DATC_BattEvapVlvSta</v>
      </c>
      <c r="H117" s="10"/>
      <c r="I117" s="12" t="e">
        <f>VLOOKUP(C103,Tbl_Button_Display_ASSTS,104,FALSE)</f>
        <v>#REF!</v>
      </c>
      <c r="J117" s="10"/>
      <c r="K117" s="10"/>
      <c r="L117" s="10"/>
    </row>
    <row r="118" spans="1:12" ht="14.25" customHeight="1" outlineLevel="2">
      <c r="A118" s="68">
        <v>1</v>
      </c>
      <c r="B118" s="10"/>
      <c r="C118" s="10"/>
      <c r="D118" s="10"/>
      <c r="E118" s="10"/>
      <c r="F118" s="10"/>
      <c r="G118" s="10" t="str">
        <f>BattEvapVlv_FltCode</f>
        <v>DATC_BattEvapVlv_FltCode</v>
      </c>
      <c r="H118" s="10"/>
      <c r="I118" s="46" t="e">
        <f>VLOOKUP(C103,Tbl_Button_Display_ASSTS,105,FALSE)</f>
        <v>#REF!</v>
      </c>
      <c r="J118" s="10"/>
      <c r="K118" s="10"/>
      <c r="L118" s="10"/>
    </row>
    <row r="119" spans="1:12" ht="14.25" customHeight="1" outlineLevel="2">
      <c r="A119" s="69">
        <v>1</v>
      </c>
      <c r="B119" s="37" t="s">
        <v>143</v>
      </c>
      <c r="C119" s="37" t="s">
        <v>735</v>
      </c>
      <c r="D119" s="37" t="str">
        <f>CONCATENATE(E120," = ",F120," 설정 시, 배터리 냉각을 위한 COMP 작동 동작 확인")</f>
        <v>VCU_BatChllrTgtRpm = 1000 설정 시, 배터리 냉각을 위한 COMP 작동 동작 확인</v>
      </c>
      <c r="E119" s="37"/>
      <c r="F119" s="37"/>
      <c r="G119" s="37"/>
      <c r="H119" s="37"/>
      <c r="I119" s="37"/>
      <c r="J119" s="37"/>
      <c r="K119" s="37"/>
      <c r="L119" s="37"/>
    </row>
    <row r="120" spans="1:12" ht="14.25" customHeight="1" outlineLevel="2">
      <c r="A120" s="68">
        <v>1</v>
      </c>
      <c r="B120" s="10"/>
      <c r="C120" s="10"/>
      <c r="D120" s="10"/>
      <c r="E120" s="101" t="str">
        <f>VLOOKUP(C119,Tbl_Button_Display_ASSTS,11,FALSE)</f>
        <v>VCU_BatChllrTgtRpm</v>
      </c>
      <c r="F120" s="11">
        <f>VLOOKUP(C119,Tbl_Button_Display_ASSTS,12,FALSE)</f>
        <v>1000</v>
      </c>
      <c r="G120" s="10"/>
      <c r="H120" s="10"/>
      <c r="I120" s="10"/>
      <c r="J120" s="10"/>
      <c r="K120" s="10"/>
      <c r="L120" s="10"/>
    </row>
    <row r="121" spans="1:12" ht="14.25" customHeight="1" outlineLevel="1">
      <c r="A121" s="68">
        <v>1</v>
      </c>
      <c r="B121" s="10"/>
      <c r="C121" s="10"/>
      <c r="D121" s="10"/>
      <c r="E121" s="14" t="s">
        <v>5</v>
      </c>
      <c r="F121" s="11">
        <f>VLOOKUP(C119,Tbl_Button_Display_ASSTS,13,FALSE)</f>
        <v>10</v>
      </c>
      <c r="G121" s="10"/>
      <c r="H121" s="10"/>
      <c r="I121" s="10"/>
      <c r="J121" s="10"/>
      <c r="K121" s="10"/>
      <c r="L121" s="10"/>
    </row>
    <row r="122" spans="1:12" ht="14.25" customHeight="1" outlineLevel="2">
      <c r="A122" s="68">
        <v>1</v>
      </c>
      <c r="B122" s="10"/>
      <c r="C122" s="10"/>
      <c r="D122" s="10"/>
      <c r="E122" s="10"/>
      <c r="F122" s="10"/>
      <c r="G122" s="10" t="e">
        <f>CompSpd_rpm</f>
        <v>#NAME?</v>
      </c>
      <c r="H122" s="10"/>
      <c r="I122" s="12">
        <f>VLOOKUP(C119,Tbl_Button_Display_ASSTS,33,FALSE)</f>
        <v>1000</v>
      </c>
      <c r="J122" s="10"/>
      <c r="K122" s="10"/>
      <c r="L122" s="10"/>
    </row>
    <row r="123" spans="1:12" ht="14.25" customHeight="1" outlineLevel="2">
      <c r="A123" s="68">
        <v>1</v>
      </c>
      <c r="B123" s="10"/>
      <c r="C123" s="10"/>
      <c r="D123" s="10"/>
      <c r="E123" s="10"/>
      <c r="F123" s="10"/>
      <c r="G123" s="10" t="str">
        <f>V02_EXV</f>
        <v>V02_EXV (B/CHILLER)</v>
      </c>
      <c r="H123" s="10"/>
      <c r="I123" s="12" t="e">
        <f>VLOOKUP(C119,Tbl_Button_Display_ASSTS,84,FALSE)</f>
        <v>#REF!</v>
      </c>
      <c r="J123" s="10"/>
      <c r="K123" s="10"/>
      <c r="L123" s="10"/>
    </row>
    <row r="124" spans="1:12" ht="14.25" customHeight="1" outlineLevel="2">
      <c r="A124" s="68">
        <v>1</v>
      </c>
      <c r="B124" s="10"/>
      <c r="C124" s="10"/>
      <c r="D124" s="10"/>
      <c r="E124" s="10"/>
      <c r="F124" s="10"/>
      <c r="G124" s="10" t="str">
        <f>BattChlrVlvSta</f>
        <v>DATC_BattChlrVlvSta</v>
      </c>
      <c r="H124" s="10"/>
      <c r="I124" s="12" t="e">
        <f>VLOOKUP(C119,Tbl_Button_Display_ASSTS,102,FALSE)</f>
        <v>#REF!</v>
      </c>
      <c r="J124" s="10"/>
      <c r="K124" s="10"/>
      <c r="L124" s="10"/>
    </row>
    <row r="125" spans="1:12" ht="14.25" customHeight="1" outlineLevel="2">
      <c r="A125" s="68">
        <v>1</v>
      </c>
      <c r="B125" s="10"/>
      <c r="C125" s="10"/>
      <c r="D125" s="10"/>
      <c r="E125" s="10"/>
      <c r="F125" s="10"/>
      <c r="G125" s="10" t="str">
        <f>BattChlrVlv_FltCode</f>
        <v>DATC_BattChlrVlv_FltCode</v>
      </c>
      <c r="H125" s="10"/>
      <c r="I125" s="12" t="e">
        <f>VLOOKUP(C119,Tbl_Button_Display_ASSTS,103,FALSE)</f>
        <v>#REF!</v>
      </c>
      <c r="J125" s="10"/>
      <c r="K125" s="10"/>
      <c r="L125" s="10"/>
    </row>
    <row r="126" spans="1:12" ht="14.25" customHeight="1" outlineLevel="2">
      <c r="A126" s="68">
        <v>1</v>
      </c>
      <c r="B126" s="10"/>
      <c r="C126" s="10"/>
      <c r="D126" s="10"/>
      <c r="E126" s="10"/>
      <c r="F126" s="10"/>
      <c r="G126" s="10" t="str">
        <f>BattEvapVlvSta</f>
        <v>DATC_BattEvapVlvSta</v>
      </c>
      <c r="H126" s="10"/>
      <c r="I126" s="12" t="e">
        <f>VLOOKUP(C119,Tbl_Button_Display_ASSTS,104,FALSE)</f>
        <v>#REF!</v>
      </c>
      <c r="J126" s="10"/>
      <c r="K126" s="10"/>
      <c r="L126" s="10"/>
    </row>
    <row r="127" spans="1:12" ht="14.25" customHeight="1" outlineLevel="2">
      <c r="A127" s="68">
        <v>1</v>
      </c>
      <c r="B127" s="10"/>
      <c r="C127" s="10"/>
      <c r="D127" s="10"/>
      <c r="E127" s="10"/>
      <c r="F127" s="10"/>
      <c r="G127" s="10" t="str">
        <f>BattEvapVlv_FltCode</f>
        <v>DATC_BattEvapVlv_FltCode</v>
      </c>
      <c r="H127" s="10"/>
      <c r="I127" s="46" t="e">
        <f>VLOOKUP(C119,Tbl_Button_Display_ASSTS,105,FALSE)</f>
        <v>#REF!</v>
      </c>
      <c r="J127" s="10"/>
      <c r="K127" s="10"/>
      <c r="L127" s="10"/>
    </row>
    <row r="128" spans="1:12" ht="14.25" customHeight="1" outlineLevel="2">
      <c r="A128" s="69">
        <v>1</v>
      </c>
      <c r="B128" s="37" t="s">
        <v>143</v>
      </c>
      <c r="C128" s="37" t="s">
        <v>736</v>
      </c>
      <c r="D128" s="37" t="str">
        <f>CONCATENATE(E129," = ",F129," 설정 시, 배터리 냉각을 위한 COMP 작동 동작 해제 확인")</f>
        <v>VCU_BatChllrTgtRpm = 0 설정 시, 배터리 냉각을 위한 COMP 작동 동작 해제 확인</v>
      </c>
      <c r="E128" s="37"/>
      <c r="F128" s="37"/>
      <c r="G128" s="37"/>
      <c r="H128" s="37"/>
      <c r="I128" s="37"/>
      <c r="J128" s="37"/>
      <c r="K128" s="37"/>
      <c r="L128" s="37"/>
    </row>
    <row r="129" spans="1:12" ht="14.25" customHeight="1" outlineLevel="2">
      <c r="A129" s="68">
        <v>1</v>
      </c>
      <c r="B129" s="10"/>
      <c r="C129" s="10"/>
      <c r="D129" s="10"/>
      <c r="E129" s="101" t="str">
        <f>VLOOKUP(C128,Tbl_Button_Display_ASSTS,11,FALSE)</f>
        <v>VCU_BatChllrTgtRpm</v>
      </c>
      <c r="F129" s="11">
        <f>VLOOKUP(C128,Tbl_Button_Display_ASSTS,12,FALSE)</f>
        <v>0</v>
      </c>
      <c r="G129" s="10"/>
      <c r="H129" s="10"/>
      <c r="I129" s="10"/>
      <c r="J129" s="10"/>
      <c r="K129" s="10"/>
      <c r="L129" s="10"/>
    </row>
    <row r="130" spans="1:12" ht="14.25" customHeight="1" outlineLevel="2">
      <c r="A130" s="68">
        <v>1</v>
      </c>
      <c r="B130" s="10"/>
      <c r="C130" s="10"/>
      <c r="D130" s="10"/>
      <c r="E130" s="14" t="s">
        <v>5</v>
      </c>
      <c r="F130" s="11">
        <f>VLOOKUP(C128,Tbl_Button_Display_ASSTS,13,FALSE)</f>
        <v>10</v>
      </c>
      <c r="G130" s="10"/>
      <c r="H130" s="10"/>
      <c r="I130" s="10"/>
      <c r="J130" s="10"/>
      <c r="K130" s="10"/>
      <c r="L130" s="10"/>
    </row>
    <row r="131" spans="1:12" ht="14.25" customHeight="1" outlineLevel="2">
      <c r="A131" s="68">
        <v>1</v>
      </c>
      <c r="B131" s="10"/>
      <c r="C131" s="10"/>
      <c r="D131" s="10"/>
      <c r="E131" s="10"/>
      <c r="F131" s="10"/>
      <c r="G131" s="10" t="e">
        <f>CompSpd_rpm</f>
        <v>#NAME?</v>
      </c>
      <c r="H131" s="10"/>
      <c r="I131" s="12" t="str">
        <f>VLOOKUP(C128,Tbl_Button_Display_ASSTS,33,FALSE)</f>
        <v>Off</v>
      </c>
      <c r="J131" s="10"/>
      <c r="K131" s="10"/>
      <c r="L131" s="10"/>
    </row>
    <row r="132" spans="1:12" ht="14.25" customHeight="1" outlineLevel="1">
      <c r="A132" s="68">
        <v>1</v>
      </c>
      <c r="B132" s="10"/>
      <c r="C132" s="10"/>
      <c r="D132" s="10"/>
      <c r="E132" s="10"/>
      <c r="F132" s="10"/>
      <c r="G132" s="10" t="str">
        <f>V02_EXV</f>
        <v>V02_EXV (B/CHILLER)</v>
      </c>
      <c r="H132" s="10"/>
      <c r="I132" s="12" t="e">
        <f>VLOOKUP(C128,Tbl_Button_Display_ASSTS,84,FALSE)</f>
        <v>#REF!</v>
      </c>
      <c r="J132" s="10"/>
      <c r="K132" s="10"/>
      <c r="L132" s="10"/>
    </row>
    <row r="133" spans="1:12" ht="14.25" customHeight="1" outlineLevel="2">
      <c r="A133" s="68">
        <v>1</v>
      </c>
      <c r="B133" s="10"/>
      <c r="C133" s="10"/>
      <c r="D133" s="10"/>
      <c r="E133" s="10"/>
      <c r="F133" s="10"/>
      <c r="G133" s="10" t="str">
        <f>BattChlrVlvSta</f>
        <v>DATC_BattChlrVlvSta</v>
      </c>
      <c r="H133" s="10"/>
      <c r="I133" s="12" t="e">
        <f>VLOOKUP(C128,Tbl_Button_Display_ASSTS,102,FALSE)</f>
        <v>#REF!</v>
      </c>
      <c r="J133" s="10"/>
      <c r="K133" s="10"/>
      <c r="L133" s="10"/>
    </row>
    <row r="134" spans="1:12" ht="14.25" customHeight="1" outlineLevel="2">
      <c r="A134" s="68">
        <v>1</v>
      </c>
      <c r="B134" s="10"/>
      <c r="C134" s="10"/>
      <c r="D134" s="10"/>
      <c r="E134" s="10"/>
      <c r="F134" s="10"/>
      <c r="G134" s="10" t="str">
        <f>BattChlrVlv_FltCode</f>
        <v>DATC_BattChlrVlv_FltCode</v>
      </c>
      <c r="H134" s="10"/>
      <c r="I134" s="12" t="e">
        <f>VLOOKUP(C128,Tbl_Button_Display_ASSTS,103,FALSE)</f>
        <v>#REF!</v>
      </c>
      <c r="J134" s="10"/>
      <c r="K134" s="10"/>
      <c r="L134" s="10"/>
    </row>
    <row r="135" spans="1:12" ht="14.25" customHeight="1" outlineLevel="2">
      <c r="A135" s="68">
        <v>1</v>
      </c>
      <c r="B135" s="10"/>
      <c r="C135" s="10"/>
      <c r="D135" s="10"/>
      <c r="E135" s="10"/>
      <c r="F135" s="10"/>
      <c r="G135" s="10" t="str">
        <f>BattEvapVlvSta</f>
        <v>DATC_BattEvapVlvSta</v>
      </c>
      <c r="H135" s="10"/>
      <c r="I135" s="12" t="e">
        <f>VLOOKUP(C128,Tbl_Button_Display_ASSTS,104,FALSE)</f>
        <v>#REF!</v>
      </c>
      <c r="J135" s="10"/>
      <c r="K135" s="10"/>
      <c r="L135" s="10"/>
    </row>
    <row r="136" spans="1:12" ht="14.25" customHeight="1" outlineLevel="2">
      <c r="A136" s="68">
        <v>1</v>
      </c>
      <c r="B136" s="10"/>
      <c r="C136" s="10"/>
      <c r="D136" s="10"/>
      <c r="E136" s="10"/>
      <c r="F136" s="10"/>
      <c r="G136" s="10" t="str">
        <f>BattEvapVlv_FltCode</f>
        <v>DATC_BattEvapVlv_FltCode</v>
      </c>
      <c r="H136" s="10"/>
      <c r="I136" s="46" t="e">
        <f>VLOOKUP(C128,Tbl_Button_Display_ASSTS,105,FALSE)</f>
        <v>#REF!</v>
      </c>
      <c r="J136" s="10"/>
      <c r="K136" s="10"/>
      <c r="L136" s="10"/>
    </row>
    <row r="137" spans="1:12" ht="14.25" customHeight="1" outlineLevel="2">
      <c r="A137" s="173" t="s">
        <v>787</v>
      </c>
      <c r="B137" s="174"/>
      <c r="C137" s="174"/>
      <c r="D137" s="174"/>
      <c r="E137" s="174"/>
      <c r="F137" s="175"/>
      <c r="G137" s="174"/>
      <c r="H137" s="174"/>
      <c r="I137" s="174"/>
      <c r="J137" s="174"/>
      <c r="K137" s="174"/>
      <c r="L137" s="174"/>
    </row>
    <row r="138" spans="1:12" hidden="1" outlineLevel="2"/>
    <row r="139" spans="1:12" hidden="1" outlineLevel="2"/>
    <row r="140" spans="1:12" hidden="1" outlineLevel="2"/>
    <row r="141" spans="1:12" hidden="1" outlineLevel="2"/>
    <row r="142" spans="1:12" hidden="1" outlineLevel="2"/>
    <row r="143" spans="1:12" hidden="1" outlineLevel="1"/>
    <row r="144" spans="1:12" hidden="1" outlineLevel="2"/>
    <row r="145" hidden="1" outlineLevel="2"/>
    <row r="146" hidden="1" outlineLevel="2"/>
    <row r="147" hidden="1" outlineLevel="2"/>
    <row r="148" hidden="1" outlineLevel="2"/>
    <row r="149" hidden="1" outlineLevel="2"/>
    <row r="150" hidden="1" outlineLevel="2"/>
    <row r="151" hidden="1" outlineLevel="2"/>
    <row r="152" hidden="1" outlineLevel="2"/>
    <row r="153" hidden="1" outlineLevel="2"/>
    <row r="154" hidden="1" outlineLevel="1"/>
    <row r="155" hidden="1" outlineLevel="2"/>
    <row r="156" hidden="1" outlineLevel="2"/>
    <row r="157" hidden="1" outlineLevel="2"/>
    <row r="158" hidden="1" outlineLevel="2"/>
    <row r="159" hidden="1" outlineLevel="2"/>
    <row r="160" hidden="1" outlineLevel="2"/>
    <row r="161" hidden="1" outlineLevel="2"/>
    <row r="162" hidden="1" outlineLevel="2"/>
    <row r="163" hidden="1" outlineLevel="2"/>
    <row r="164" hidden="1" outlineLevel="2"/>
    <row r="165" hidden="1" outlineLevel="2"/>
    <row r="166" hidden="1" outlineLevel="1"/>
    <row r="167" hidden="1" outlineLevel="2"/>
    <row r="168" hidden="1" outlineLevel="2"/>
    <row r="169" hidden="1" outlineLevel="2"/>
    <row r="170" hidden="1" outlineLevel="2"/>
    <row r="172" collapsed="1"/>
    <row r="173" hidden="1" outlineLevel="1"/>
    <row r="174" hidden="1" outlineLevel="2"/>
    <row r="175" hidden="1" outlineLevel="2"/>
    <row r="176" hidden="1" outlineLevel="2"/>
    <row r="177" hidden="1" outlineLevel="2"/>
    <row r="178" hidden="1" outlineLevel="2"/>
    <row r="179" hidden="1" outlineLevel="2"/>
    <row r="180" hidden="1" outlineLevel="2"/>
    <row r="181" hidden="1" outlineLevel="2"/>
    <row r="182" hidden="1" outlineLevel="2"/>
    <row r="183" hidden="1" outlineLevel="2"/>
    <row r="184" hidden="1" outlineLevel="2"/>
    <row r="185" hidden="1" outlineLevel="2"/>
    <row r="186" hidden="1" outlineLevel="1"/>
    <row r="187" hidden="1" outlineLevel="2"/>
    <row r="188" hidden="1" outlineLevel="2"/>
    <row r="189" hidden="1" outlineLevel="2"/>
    <row r="190" hidden="1" outlineLevel="2"/>
    <row r="191" hidden="1" outlineLevel="2"/>
    <row r="192" hidden="1" outlineLevel="2"/>
    <row r="193" hidden="1" outlineLevel="1"/>
    <row r="194" hidden="1" outlineLevel="2"/>
    <row r="195" hidden="1" outlineLevel="2"/>
    <row r="196" hidden="1" outlineLevel="2"/>
    <row r="197" hidden="1" outlineLevel="2"/>
    <row r="198" hidden="1" outlineLevel="2"/>
    <row r="199" hidden="1" outlineLevel="2"/>
    <row r="201" collapsed="1"/>
    <row r="202" hidden="1" outlineLevel="1"/>
    <row r="203" hidden="1" outlineLevel="2"/>
    <row r="204" hidden="1" outlineLevel="2"/>
    <row r="205" hidden="1" outlineLevel="2"/>
    <row r="206" hidden="1" outlineLevel="2"/>
    <row r="207" hidden="1" outlineLevel="2"/>
    <row r="208" hidden="1" outlineLevel="2"/>
    <row r="209" hidden="1" outlineLevel="1"/>
    <row r="210" hidden="1" outlineLevel="2"/>
    <row r="211" hidden="1" outlineLevel="2"/>
    <row r="212" hidden="1" outlineLevel="2"/>
    <row r="213" hidden="1" outlineLevel="2"/>
    <row r="214" hidden="1" outlineLevel="2"/>
    <row r="215" hidden="1" outlineLevel="2"/>
    <row r="216" hidden="1" outlineLevel="1"/>
    <row r="217" hidden="1" outlineLevel="2"/>
    <row r="218" hidden="1" outlineLevel="2"/>
    <row r="219" hidden="1" outlineLevel="2"/>
    <row r="220" hidden="1" outlineLevel="2"/>
    <row r="221" hidden="1" outlineLevel="2"/>
    <row r="222" hidden="1" outlineLevel="2"/>
    <row r="223" hidden="1" outlineLevel="1"/>
    <row r="224" hidden="1" outlineLevel="2"/>
    <row r="225" hidden="1" outlineLevel="2"/>
    <row r="226" hidden="1" outlineLevel="2"/>
    <row r="227" hidden="1" outlineLevel="2"/>
    <row r="228" hidden="1" outlineLevel="2"/>
    <row r="229" hidden="1" outlineLevel="2"/>
    <row r="230" hidden="1" outlineLevel="1"/>
    <row r="231" hidden="1" outlineLevel="2"/>
    <row r="232" hidden="1" outlineLevel="2"/>
    <row r="233" hidden="1" outlineLevel="2"/>
    <row r="234" hidden="1" outlineLevel="2"/>
    <row r="235" hidden="1" outlineLevel="1"/>
    <row r="236" hidden="1" outlineLevel="2"/>
    <row r="237" hidden="1" outlineLevel="2"/>
    <row r="238" hidden="1" outlineLevel="2"/>
    <row r="239" hidden="1" outlineLevel="2"/>
    <row r="240" hidden="1" outlineLevel="1"/>
    <row r="241" hidden="1" outlineLevel="2"/>
    <row r="242" hidden="1" outlineLevel="2"/>
    <row r="243" hidden="1" outlineLevel="2"/>
    <row r="244" hidden="1" outlineLevel="2"/>
    <row r="245" hidden="1" outlineLevel="1"/>
    <row r="246" hidden="1" outlineLevel="2"/>
    <row r="247" hidden="1" outlineLevel="2"/>
    <row r="248" hidden="1" outlineLevel="2"/>
    <row r="249" hidden="1" outlineLevel="2"/>
    <row r="250" hidden="1" outlineLevel="1"/>
    <row r="251" hidden="1" outlineLevel="2"/>
    <row r="252" hidden="1" outlineLevel="2"/>
    <row r="253" hidden="1" outlineLevel="2"/>
    <row r="254" hidden="1" outlineLevel="2"/>
    <row r="255" hidden="1" outlineLevel="1"/>
    <row r="256" hidden="1" outlineLevel="2"/>
    <row r="257" hidden="1" outlineLevel="2"/>
    <row r="258" hidden="1" outlineLevel="2"/>
    <row r="259" hidden="1" outlineLevel="2"/>
    <row r="260" hidden="1" outlineLevel="1"/>
    <row r="261" hidden="1" outlineLevel="2"/>
    <row r="262" hidden="1" outlineLevel="2"/>
    <row r="263" hidden="1" outlineLevel="2"/>
    <row r="264" hidden="1" outlineLevel="2"/>
    <row r="265" collapsed="1"/>
    <row r="266" hidden="1" outlineLevel="1"/>
    <row r="267" hidden="1" outlineLevel="2"/>
    <row r="268" hidden="1" outlineLevel="2"/>
    <row r="269" hidden="1" outlineLevel="2"/>
    <row r="270" hidden="1" outlineLevel="2"/>
    <row r="271" hidden="1" outlineLevel="2"/>
    <row r="272" hidden="1" outlineLevel="1"/>
    <row r="273" hidden="1" outlineLevel="2"/>
    <row r="274" hidden="1" outlineLevel="2"/>
    <row r="275" hidden="1" outlineLevel="2"/>
    <row r="276" hidden="1" outlineLevel="2"/>
    <row r="277" hidden="1" outlineLevel="2"/>
    <row r="278" hidden="1" outlineLevel="2"/>
    <row r="279" hidden="1" outlineLevel="2"/>
    <row r="280" hidden="1" outlineLevel="2"/>
    <row r="281" hidden="1" outlineLevel="2"/>
    <row r="282" hidden="1" outlineLevel="2"/>
    <row r="283" hidden="1" outlineLevel="2"/>
    <row r="284" hidden="1" outlineLevel="2"/>
    <row r="285" hidden="1" outlineLevel="2"/>
    <row r="286" hidden="1" outlineLevel="2"/>
    <row r="287" hidden="1" outlineLevel="2"/>
    <row r="288" hidden="1" outlineLevel="2"/>
    <row r="289" hidden="1" outlineLevel="2"/>
    <row r="290" hidden="1" outlineLevel="2"/>
    <row r="291" hidden="1" outlineLevel="2"/>
    <row r="292" hidden="1" outlineLevel="2"/>
    <row r="293" hidden="1" outlineLevel="2"/>
    <row r="294" hidden="1" outlineLevel="1"/>
    <row r="295" hidden="1" outlineLevel="2"/>
    <row r="296" hidden="1" outlineLevel="2"/>
    <row r="297" hidden="1" outlineLevel="2"/>
    <row r="298" hidden="1" outlineLevel="2"/>
    <row r="299" hidden="1" outlineLevel="2"/>
    <row r="300" hidden="1" outlineLevel="2"/>
    <row r="301" hidden="1" outlineLevel="2"/>
    <row r="302" hidden="1" outlineLevel="2"/>
    <row r="303" hidden="1" outlineLevel="2"/>
    <row r="304" hidden="1" outlineLevel="2"/>
    <row r="305" hidden="1" outlineLevel="2"/>
    <row r="306" hidden="1" outlineLevel="2"/>
    <row r="307" hidden="1" outlineLevel="2"/>
    <row r="308" hidden="1" outlineLevel="2"/>
    <row r="309" hidden="1" outlineLevel="2"/>
    <row r="310" hidden="1" outlineLevel="2"/>
    <row r="311" hidden="1" outlineLevel="2"/>
    <row r="312" hidden="1" outlineLevel="2"/>
    <row r="313" hidden="1" outlineLevel="2"/>
    <row r="314" hidden="1" outlineLevel="2"/>
    <row r="315" hidden="1" outlineLevel="2"/>
    <row r="317" collapsed="1"/>
    <row r="318" hidden="1" outlineLevel="1"/>
    <row r="319" hidden="1" outlineLevel="2"/>
    <row r="320" hidden="1" outlineLevel="2"/>
    <row r="321" hidden="1" outlineLevel="2"/>
    <row r="322" hidden="1" outlineLevel="2"/>
    <row r="323" hidden="1" outlineLevel="2"/>
    <row r="324" hidden="1" outlineLevel="2"/>
    <row r="325" hidden="1" outlineLevel="2"/>
    <row r="326" hidden="1" outlineLevel="2"/>
    <row r="327" hidden="1" outlineLevel="2"/>
    <row r="328" hidden="1" outlineLevel="1"/>
    <row r="329" hidden="1" outlineLevel="2"/>
    <row r="330" hidden="1" outlineLevel="2"/>
    <row r="331" hidden="1" outlineLevel="2"/>
    <row r="332" hidden="1" outlineLevel="2"/>
    <row r="333" hidden="1" outlineLevel="1"/>
    <row r="334" hidden="1" outlineLevel="2"/>
    <row r="335" hidden="1" outlineLevel="2"/>
    <row r="336" hidden="1" outlineLevel="2"/>
    <row r="337" hidden="1" outlineLevel="2"/>
    <row r="339" collapsed="1"/>
    <row r="340" hidden="1" outlineLevel="1"/>
    <row r="341" hidden="1" outlineLevel="2"/>
    <row r="342" hidden="1" outlineLevel="2"/>
    <row r="343" hidden="1" outlineLevel="2"/>
    <row r="344" hidden="1" outlineLevel="2"/>
    <row r="345" hidden="1" outlineLevel="2"/>
    <row r="346" hidden="1" outlineLevel="2"/>
    <row r="347" hidden="1" outlineLevel="1"/>
    <row r="348" hidden="1" outlineLevel="2"/>
    <row r="349" hidden="1" outlineLevel="2"/>
    <row r="350" hidden="1" outlineLevel="2"/>
    <row r="351" hidden="1" outlineLevel="2"/>
    <row r="352" hidden="1" outlineLevel="2"/>
    <row r="353" hidden="1" outlineLevel="2"/>
    <row r="354" hidden="1" outlineLevel="1"/>
    <row r="355" hidden="1" outlineLevel="2"/>
    <row r="356" hidden="1" outlineLevel="2"/>
    <row r="357" hidden="1" outlineLevel="2"/>
    <row r="358" hidden="1" outlineLevel="2"/>
    <row r="359" hidden="1" outlineLevel="2"/>
    <row r="360" hidden="1" outlineLevel="2"/>
    <row r="361" hidden="1" outlineLevel="1"/>
    <row r="362" hidden="1" outlineLevel="2"/>
    <row r="363" hidden="1" outlineLevel="2"/>
    <row r="364" hidden="1" outlineLevel="2"/>
    <row r="365" hidden="1" outlineLevel="2"/>
    <row r="366" hidden="1" outlineLevel="2"/>
    <row r="367" hidden="1" outlineLevel="2"/>
    <row r="368" hidden="1" outlineLevel="2"/>
    <row r="369" hidden="1" outlineLevel="2"/>
    <row r="371" collapsed="1"/>
    <row r="372" hidden="1" outlineLevel="1"/>
    <row r="373" hidden="1" outlineLevel="2"/>
    <row r="374" hidden="1" outlineLevel="2"/>
    <row r="375" hidden="1" outlineLevel="2"/>
    <row r="376" hidden="1" outlineLevel="2"/>
    <row r="377" hidden="1" outlineLevel="2"/>
    <row r="378" hidden="1" outlineLevel="2"/>
    <row r="379" hidden="1" outlineLevel="2"/>
    <row r="380" hidden="1" outlineLevel="2"/>
    <row r="381" hidden="1" outlineLevel="2"/>
    <row r="382" hidden="1" outlineLevel="2"/>
    <row r="383" hidden="1" outlineLevel="1"/>
    <row r="384" hidden="1" outlineLevel="2"/>
    <row r="385" hidden="1" outlineLevel="2"/>
    <row r="386" hidden="1" outlineLevel="2"/>
    <row r="387" hidden="1" outlineLevel="2"/>
    <row r="388" hidden="1" outlineLevel="2"/>
    <row r="389" hidden="1" outlineLevel="1"/>
    <row r="390" hidden="1" outlineLevel="2"/>
    <row r="391" hidden="1" outlineLevel="2"/>
    <row r="392" hidden="1" outlineLevel="2"/>
    <row r="393" hidden="1" outlineLevel="2"/>
    <row r="394" hidden="1" outlineLevel="2"/>
    <row r="395" hidden="1" outlineLevel="1"/>
    <row r="396" hidden="1" outlineLevel="2"/>
    <row r="397" hidden="1" outlineLevel="2"/>
    <row r="398" hidden="1" outlineLevel="2"/>
    <row r="399" hidden="1" outlineLevel="2"/>
    <row r="400" hidden="1" outlineLevel="2"/>
    <row r="401" hidden="1" outlineLevel="1"/>
    <row r="402" hidden="1" outlineLevel="2"/>
    <row r="403" hidden="1" outlineLevel="2"/>
    <row r="404" hidden="1" outlineLevel="2"/>
    <row r="405" hidden="1" outlineLevel="2"/>
    <row r="406" hidden="1" outlineLevel="2"/>
    <row r="408" collapsed="1"/>
    <row r="409" hidden="1" outlineLevel="1"/>
    <row r="410" hidden="1" outlineLevel="2"/>
    <row r="411" hidden="1" outlineLevel="2"/>
    <row r="412" hidden="1" outlineLevel="2"/>
    <row r="413" hidden="1" outlineLevel="2"/>
    <row r="414" hidden="1" outlineLevel="2"/>
    <row r="415" hidden="1" outlineLevel="2"/>
    <row r="416" hidden="1" outlineLevel="2"/>
    <row r="417" hidden="1" outlineLevel="2"/>
    <row r="418" hidden="1" outlineLevel="2"/>
    <row r="419" hidden="1" outlineLevel="2"/>
    <row r="420" hidden="1" outlineLevel="2"/>
    <row r="421" hidden="1" outlineLevel="2"/>
    <row r="422" hidden="1" outlineLevel="2"/>
    <row r="423" hidden="1" outlineLevel="2"/>
    <row r="424" hidden="1" outlineLevel="1"/>
    <row r="425" hidden="1" outlineLevel="2"/>
    <row r="426" hidden="1" outlineLevel="2"/>
    <row r="427" hidden="1" outlineLevel="2"/>
    <row r="428" hidden="1" outlineLevel="2"/>
    <row r="429" hidden="1" outlineLevel="2"/>
    <row r="430" hidden="1" outlineLevel="1"/>
    <row r="431" hidden="1" outlineLevel="2"/>
    <row r="432" hidden="1" outlineLevel="2"/>
    <row r="433" hidden="1" outlineLevel="2"/>
    <row r="434" hidden="1" outlineLevel="2"/>
    <row r="435" hidden="1" outlineLevel="2"/>
    <row r="436" collapsed="1"/>
    <row r="437" hidden="1" outlineLevel="1"/>
    <row r="438" hidden="1" outlineLevel="2"/>
    <row r="439" hidden="1" outlineLevel="2"/>
    <row r="440" hidden="1" outlineLevel="2"/>
    <row r="441" hidden="1" outlineLevel="2"/>
    <row r="442" hidden="1" outlineLevel="2"/>
    <row r="443" hidden="1" outlineLevel="2"/>
    <row r="444" hidden="1" outlineLevel="1"/>
    <row r="445" hidden="1" outlineLevel="2"/>
    <row r="446" hidden="1" outlineLevel="2"/>
    <row r="447" hidden="1" outlineLevel="2"/>
    <row r="448" hidden="1" outlineLevel="2"/>
    <row r="449" hidden="1" outlineLevel="2"/>
    <row r="450" hidden="1" outlineLevel="2"/>
    <row r="452" collapsed="1"/>
    <row r="453" hidden="1" outlineLevel="1"/>
    <row r="454" hidden="1" outlineLevel="2"/>
    <row r="455" hidden="1" outlineLevel="2"/>
    <row r="456" hidden="1" outlineLevel="2"/>
    <row r="457" hidden="1" outlineLevel="2"/>
    <row r="458" hidden="1" outlineLevel="2"/>
    <row r="459" hidden="1" outlineLevel="1"/>
    <row r="460" hidden="1" outlineLevel="2"/>
    <row r="461" hidden="1" outlineLevel="2"/>
    <row r="462" hidden="1" outlineLevel="2"/>
    <row r="463" hidden="1" outlineLevel="2"/>
    <row r="464" hidden="1" outlineLevel="2"/>
    <row r="465" hidden="1" outlineLevel="1"/>
    <row r="466" hidden="1" outlineLevel="2"/>
    <row r="467" hidden="1" outlineLevel="2"/>
    <row r="468" hidden="1" outlineLevel="2"/>
    <row r="469" hidden="1" outlineLevel="2"/>
    <row r="470" hidden="1" outlineLevel="2"/>
    <row r="471" collapsed="1"/>
    <row r="472" hidden="1" outlineLevel="1"/>
    <row r="473" hidden="1" outlineLevel="2"/>
    <row r="474" hidden="1" outlineLevel="2"/>
    <row r="475" hidden="1" outlineLevel="2"/>
    <row r="476" hidden="1" outlineLevel="2"/>
    <row r="477" hidden="1" outlineLevel="2"/>
    <row r="478" hidden="1" outlineLevel="1"/>
    <row r="479" hidden="1" outlineLevel="2"/>
    <row r="480" hidden="1" outlineLevel="2"/>
    <row r="481" hidden="1" outlineLevel="2"/>
    <row r="482" hidden="1" outlineLevel="2"/>
    <row r="483" hidden="1" outlineLevel="2"/>
    <row r="484" hidden="1" outlineLevel="1"/>
    <row r="485" hidden="1" outlineLevel="2"/>
    <row r="486" hidden="1" outlineLevel="2"/>
    <row r="487" hidden="1" outlineLevel="2"/>
    <row r="488" hidden="1" outlineLevel="2"/>
    <row r="489" hidden="1" outlineLevel="2"/>
    <row r="490" hidden="1" outlineLevel="1"/>
    <row r="491" hidden="1" outlineLevel="2"/>
    <row r="492" hidden="1" outlineLevel="2"/>
    <row r="493" hidden="1" outlineLevel="2"/>
    <row r="494" hidden="1" outlineLevel="2"/>
    <row r="495" hidden="1" outlineLevel="2"/>
    <row r="496" hidden="1" outlineLevel="1"/>
    <row r="497" hidden="1" outlineLevel="2"/>
    <row r="498" hidden="1" outlineLevel="2"/>
    <row r="499" hidden="1" outlineLevel="2"/>
    <row r="500" hidden="1" outlineLevel="2"/>
    <row r="501" hidden="1" outlineLevel="2"/>
    <row r="502" hidden="1" outlineLevel="1"/>
    <row r="503" hidden="1" outlineLevel="2"/>
    <row r="504" hidden="1" outlineLevel="2"/>
    <row r="505" hidden="1" outlineLevel="2"/>
    <row r="506" hidden="1" outlineLevel="2"/>
    <row r="507" hidden="1" outlineLevel="2"/>
    <row r="508" hidden="1" outlineLevel="1"/>
    <row r="509" hidden="1" outlineLevel="2"/>
    <row r="510" hidden="1" outlineLevel="2"/>
    <row r="511" hidden="1" outlineLevel="2"/>
    <row r="512" hidden="1" outlineLevel="2"/>
    <row r="513" hidden="1" outlineLevel="2"/>
    <row r="514" hidden="1" outlineLevel="1"/>
    <row r="515" hidden="1" outlineLevel="2"/>
    <row r="516" hidden="1" outlineLevel="2"/>
    <row r="517" hidden="1" outlineLevel="2"/>
    <row r="518" hidden="1" outlineLevel="2"/>
    <row r="519" hidden="1" outlineLevel="2"/>
    <row r="520" hidden="1" outlineLevel="1"/>
    <row r="521" hidden="1" outlineLevel="2"/>
    <row r="522" hidden="1" outlineLevel="2"/>
    <row r="523" hidden="1" outlineLevel="2"/>
    <row r="524" hidden="1" outlineLevel="2"/>
    <row r="525" hidden="1" outlineLevel="2"/>
    <row r="526" hidden="1" outlineLevel="1"/>
    <row r="527" hidden="1" outlineLevel="2"/>
    <row r="528" hidden="1" outlineLevel="2"/>
    <row r="529" hidden="1" outlineLevel="2"/>
    <row r="530" hidden="1" outlineLevel="2"/>
    <row r="531" hidden="1" outlineLevel="2"/>
    <row r="533" collapsed="1"/>
    <row r="534" hidden="1" outlineLevel="1"/>
    <row r="535" hidden="1" outlineLevel="2"/>
    <row r="536" hidden="1" outlineLevel="2"/>
    <row r="537" hidden="1" outlineLevel="2"/>
    <row r="538" hidden="1" outlineLevel="2"/>
    <row r="539" hidden="1" outlineLevel="1"/>
    <row r="540" hidden="1" outlineLevel="2"/>
    <row r="541" hidden="1" outlineLevel="2"/>
    <row r="542" hidden="1" outlineLevel="2"/>
    <row r="543" hidden="1" outlineLevel="2"/>
    <row r="544" hidden="1" outlineLevel="1"/>
    <row r="545" hidden="1" outlineLevel="2"/>
    <row r="546" hidden="1" outlineLevel="2"/>
    <row r="547" hidden="1" outlineLevel="2"/>
    <row r="548" hidden="1" outlineLevel="2"/>
    <row r="550" collapsed="1"/>
    <row r="551" hidden="1" outlineLevel="1"/>
    <row r="552" hidden="1" outlineLevel="2"/>
    <row r="553" hidden="1" outlineLevel="2"/>
    <row r="554" hidden="1" outlineLevel="2"/>
    <row r="555" hidden="1" outlineLevel="2"/>
    <row r="556" hidden="1" outlineLevel="2"/>
    <row r="557" hidden="1" outlineLevel="1"/>
    <row r="558" hidden="1" outlineLevel="2"/>
    <row r="559" hidden="1" outlineLevel="2"/>
    <row r="560" hidden="1" outlineLevel="2"/>
    <row r="561" hidden="1" outlineLevel="2"/>
    <row r="562" hidden="1" outlineLevel="2"/>
    <row r="563" hidden="1" outlineLevel="1"/>
    <row r="564" hidden="1" outlineLevel="2"/>
    <row r="565" hidden="1" outlineLevel="2"/>
    <row r="566" hidden="1" outlineLevel="2"/>
    <row r="567" hidden="1" outlineLevel="2"/>
    <row r="568" hidden="1" outlineLevel="2"/>
    <row r="569" hidden="1" outlineLevel="1"/>
    <row r="570" hidden="1" outlineLevel="2"/>
    <row r="571" hidden="1" outlineLevel="2"/>
    <row r="572" hidden="1" outlineLevel="2"/>
    <row r="573" hidden="1" outlineLevel="2"/>
    <row r="574" hidden="1" outlineLevel="2"/>
    <row r="575" hidden="1" outlineLevel="1"/>
    <row r="576" hidden="1" outlineLevel="2"/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0:K27 K112 K35:K65 K114:K137 K76 K78:K101">
    <cfRule type="containsText" dxfId="50" priority="49" operator="containsText" text="nok">
      <formula>NOT(ISERROR(SEARCH("nok",K1)))</formula>
    </cfRule>
    <cfRule type="containsText" dxfId="49" priority="50" operator="containsText" text="fail">
      <formula>NOT(ISERROR(SEARCH("fail",K1)))</formula>
    </cfRule>
    <cfRule type="containsText" dxfId="48" priority="51" operator="containsText" text="pass">
      <formula>NOT(ISERROR(SEARCH("pass",K1)))</formula>
    </cfRule>
  </conditionalFormatting>
  <conditionalFormatting sqref="K9">
    <cfRule type="containsText" dxfId="47" priority="46" operator="containsText" text="nok">
      <formula>NOT(ISERROR(SEARCH("nok",K9)))</formula>
    </cfRule>
    <cfRule type="containsText" dxfId="46" priority="47" operator="containsText" text="fail">
      <formula>NOT(ISERROR(SEARCH("fail",K9)))</formula>
    </cfRule>
    <cfRule type="containsText" dxfId="45" priority="48" operator="containsText" text="pass">
      <formula>NOT(ISERROR(SEARCH("pass",K9)))</formula>
    </cfRule>
  </conditionalFormatting>
  <conditionalFormatting sqref="K103">
    <cfRule type="containsText" dxfId="44" priority="43" operator="containsText" text="nok">
      <formula>NOT(ISERROR(SEARCH("nok",K103)))</formula>
    </cfRule>
    <cfRule type="containsText" dxfId="43" priority="44" operator="containsText" text="fail">
      <formula>NOT(ISERROR(SEARCH("fail",K103)))</formula>
    </cfRule>
    <cfRule type="containsText" dxfId="42" priority="45" operator="containsText" text="pass">
      <formula>NOT(ISERROR(SEARCH("pass",K103)))</formula>
    </cfRule>
  </conditionalFormatting>
  <conditionalFormatting sqref="K102">
    <cfRule type="containsText" dxfId="41" priority="40" operator="containsText" text="nok">
      <formula>NOT(ISERROR(SEARCH("nok",K102)))</formula>
    </cfRule>
    <cfRule type="containsText" dxfId="40" priority="41" operator="containsText" text="fail">
      <formula>NOT(ISERROR(SEARCH("fail",K102)))</formula>
    </cfRule>
    <cfRule type="containsText" dxfId="39" priority="42" operator="containsText" text="pass">
      <formula>NOT(ISERROR(SEARCH("pass",K102)))</formula>
    </cfRule>
  </conditionalFormatting>
  <conditionalFormatting sqref="K113">
    <cfRule type="containsText" dxfId="38" priority="37" operator="containsText" text="nok">
      <formula>NOT(ISERROR(SEARCH("nok",K113)))</formula>
    </cfRule>
    <cfRule type="containsText" dxfId="37" priority="38" operator="containsText" text="fail">
      <formula>NOT(ISERROR(SEARCH("fail",K113)))</formula>
    </cfRule>
    <cfRule type="containsText" dxfId="36" priority="39" operator="containsText" text="pass">
      <formula>NOT(ISERROR(SEARCH("pass",K113)))</formula>
    </cfRule>
  </conditionalFormatting>
  <conditionalFormatting sqref="K104:K107">
    <cfRule type="containsText" dxfId="35" priority="34" operator="containsText" text="nok">
      <formula>NOT(ISERROR(SEARCH("nok",K104)))</formula>
    </cfRule>
    <cfRule type="containsText" dxfId="34" priority="35" operator="containsText" text="fail">
      <formula>NOT(ISERROR(SEARCH("fail",K104)))</formula>
    </cfRule>
    <cfRule type="containsText" dxfId="33" priority="36" operator="containsText" text="pass">
      <formula>NOT(ISERROR(SEARCH("pass",K104)))</formula>
    </cfRule>
  </conditionalFormatting>
  <conditionalFormatting sqref="K110:K112">
    <cfRule type="containsText" dxfId="32" priority="31" operator="containsText" text="nok">
      <formula>NOT(ISERROR(SEARCH("nok",K110)))</formula>
    </cfRule>
    <cfRule type="containsText" dxfId="31" priority="32" operator="containsText" text="fail">
      <formula>NOT(ISERROR(SEARCH("fail",K110)))</formula>
    </cfRule>
    <cfRule type="containsText" dxfId="30" priority="33" operator="containsText" text="pass">
      <formula>NOT(ISERROR(SEARCH("pass",K110)))</formula>
    </cfRule>
  </conditionalFormatting>
  <conditionalFormatting sqref="K108:K109">
    <cfRule type="containsText" dxfId="29" priority="28" operator="containsText" text="nok">
      <formula>NOT(ISERROR(SEARCH("nok",K108)))</formula>
    </cfRule>
    <cfRule type="containsText" dxfId="28" priority="29" operator="containsText" text="fail">
      <formula>NOT(ISERROR(SEARCH("fail",K108)))</formula>
    </cfRule>
    <cfRule type="containsText" dxfId="27" priority="30" operator="containsText" text="pass">
      <formula>NOT(ISERROR(SEARCH("pass",K108)))</formula>
    </cfRule>
  </conditionalFormatting>
  <conditionalFormatting sqref="K28:K34">
    <cfRule type="containsText" dxfId="26" priority="25" operator="containsText" text="nok">
      <formula>NOT(ISERROR(SEARCH("nok",K28)))</formula>
    </cfRule>
    <cfRule type="containsText" dxfId="25" priority="26" operator="containsText" text="fail">
      <formula>NOT(ISERROR(SEARCH("fail",K28)))</formula>
    </cfRule>
    <cfRule type="containsText" dxfId="24" priority="27" operator="containsText" text="pass">
      <formula>NOT(ISERROR(SEARCH("pass",K28)))</formula>
    </cfRule>
  </conditionalFormatting>
  <conditionalFormatting sqref="K28:K34">
    <cfRule type="containsText" dxfId="23" priority="22" operator="containsText" text="nok">
      <formula>NOT(ISERROR(SEARCH("nok",K28)))</formula>
    </cfRule>
    <cfRule type="containsText" dxfId="22" priority="23" operator="containsText" text="fail">
      <formula>NOT(ISERROR(SEARCH("fail",K28)))</formula>
    </cfRule>
    <cfRule type="containsText" dxfId="21" priority="24" operator="containsText" text="pass">
      <formula>NOT(ISERROR(SEARCH("pass",K28)))</formula>
    </cfRule>
  </conditionalFormatting>
  <conditionalFormatting sqref="K28:K34">
    <cfRule type="containsText" dxfId="20" priority="19" operator="containsText" text="nok">
      <formula>NOT(ISERROR(SEARCH("nok",K28)))</formula>
    </cfRule>
    <cfRule type="containsText" dxfId="19" priority="20" operator="containsText" text="fail">
      <formula>NOT(ISERROR(SEARCH("fail",K28)))</formula>
    </cfRule>
    <cfRule type="containsText" dxfId="18" priority="21" operator="containsText" text="pass">
      <formula>NOT(ISERROR(SEARCH("pass",K28)))</formula>
    </cfRule>
  </conditionalFormatting>
  <conditionalFormatting sqref="K67">
    <cfRule type="containsText" dxfId="17" priority="16" operator="containsText" text="nok">
      <formula>NOT(ISERROR(SEARCH("nok",K67)))</formula>
    </cfRule>
    <cfRule type="containsText" dxfId="16" priority="17" operator="containsText" text="fail">
      <formula>NOT(ISERROR(SEARCH("fail",K67)))</formula>
    </cfRule>
    <cfRule type="containsText" dxfId="15" priority="18" operator="containsText" text="pass">
      <formula>NOT(ISERROR(SEARCH("pass",K67)))</formula>
    </cfRule>
  </conditionalFormatting>
  <conditionalFormatting sqref="K66">
    <cfRule type="containsText" dxfId="14" priority="13" operator="containsText" text="nok">
      <formula>NOT(ISERROR(SEARCH("nok",K66)))</formula>
    </cfRule>
    <cfRule type="containsText" dxfId="13" priority="14" operator="containsText" text="fail">
      <formula>NOT(ISERROR(SEARCH("fail",K66)))</formula>
    </cfRule>
    <cfRule type="containsText" dxfId="12" priority="15" operator="containsText" text="pass">
      <formula>NOT(ISERROR(SEARCH("pass",K66)))</formula>
    </cfRule>
  </conditionalFormatting>
  <conditionalFormatting sqref="K77">
    <cfRule type="containsText" dxfId="11" priority="10" operator="containsText" text="nok">
      <formula>NOT(ISERROR(SEARCH("nok",K77)))</formula>
    </cfRule>
    <cfRule type="containsText" dxfId="10" priority="11" operator="containsText" text="fail">
      <formula>NOT(ISERROR(SEARCH("fail",K77)))</formula>
    </cfRule>
    <cfRule type="containsText" dxfId="9" priority="12" operator="containsText" text="pass">
      <formula>NOT(ISERROR(SEARCH("pass",K77)))</formula>
    </cfRule>
  </conditionalFormatting>
  <conditionalFormatting sqref="K68:K71">
    <cfRule type="containsText" dxfId="8" priority="7" operator="containsText" text="nok">
      <formula>NOT(ISERROR(SEARCH("nok",K68)))</formula>
    </cfRule>
    <cfRule type="containsText" dxfId="7" priority="8" operator="containsText" text="fail">
      <formula>NOT(ISERROR(SEARCH("fail",K68)))</formula>
    </cfRule>
    <cfRule type="containsText" dxfId="6" priority="9" operator="containsText" text="pass">
      <formula>NOT(ISERROR(SEARCH("pass",K68)))</formula>
    </cfRule>
  </conditionalFormatting>
  <conditionalFormatting sqref="K74:K76">
    <cfRule type="containsText" dxfId="5" priority="4" operator="containsText" text="nok">
      <formula>NOT(ISERROR(SEARCH("nok",K74)))</formula>
    </cfRule>
    <cfRule type="containsText" dxfId="4" priority="5" operator="containsText" text="fail">
      <formula>NOT(ISERROR(SEARCH("fail",K74)))</formula>
    </cfRule>
    <cfRule type="containsText" dxfId="3" priority="6" operator="containsText" text="pass">
      <formula>NOT(ISERROR(SEARCH("pass",K74)))</formula>
    </cfRule>
  </conditionalFormatting>
  <conditionalFormatting sqref="K72:K73">
    <cfRule type="containsText" dxfId="2" priority="1" operator="containsText" text="nok">
      <formula>NOT(ISERROR(SEARCH("nok",K72)))</formula>
    </cfRule>
    <cfRule type="containsText" dxfId="1" priority="2" operator="containsText" text="fail">
      <formula>NOT(ISERROR(SEARCH("fail",K72)))</formula>
    </cfRule>
    <cfRule type="containsText" dxfId="0" priority="3" operator="containsText" text="pass">
      <formula>NOT(ISERROR(SEARCH("pass",K72)))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48" customWidth="1"/>
    <col min="2" max="2" width="21.28515625" style="148" customWidth="1"/>
    <col min="3" max="3" width="19.7109375" style="148" customWidth="1"/>
    <col min="4" max="4" width="20.85546875" style="148" customWidth="1"/>
    <col min="5" max="12" width="19.7109375" style="148" customWidth="1"/>
    <col min="13" max="13" width="9.28515625" style="148"/>
    <col min="14" max="14" width="17.85546875" style="148" customWidth="1"/>
    <col min="15" max="15" width="17.5703125" style="148" customWidth="1"/>
    <col min="16" max="16" width="18.140625" style="148" customWidth="1"/>
    <col min="17" max="17" width="16.5703125" style="148" customWidth="1"/>
    <col min="18" max="18" width="18.28515625" style="148" customWidth="1"/>
    <col min="19" max="19" width="18.28515625" style="148" bestFit="1" customWidth="1"/>
    <col min="20" max="20" width="18.7109375" style="148" bestFit="1" customWidth="1"/>
    <col min="21" max="16384" width="9.28515625" style="148"/>
  </cols>
  <sheetData>
    <row r="1" spans="2:22" s="205" customFormat="1"/>
    <row r="2" spans="2:22" s="33" customFormat="1">
      <c r="B2" s="32" t="s">
        <v>69</v>
      </c>
      <c r="C2" s="32"/>
      <c r="F2" s="32" t="s">
        <v>51</v>
      </c>
      <c r="G2" s="32"/>
      <c r="I2" s="1"/>
      <c r="J2" s="32" t="s">
        <v>65</v>
      </c>
      <c r="K2" s="32"/>
      <c r="N2" s="32" t="s">
        <v>261</v>
      </c>
      <c r="P2" s="32" t="s">
        <v>262</v>
      </c>
      <c r="S2" s="32" t="s">
        <v>798</v>
      </c>
      <c r="T2" s="32"/>
    </row>
    <row r="3" spans="2:22" ht="13.5">
      <c r="B3" s="34" t="s">
        <v>70</v>
      </c>
      <c r="C3" s="35" t="s">
        <v>71</v>
      </c>
      <c r="D3" s="34" t="s">
        <v>68</v>
      </c>
      <c r="F3" s="34" t="s">
        <v>52</v>
      </c>
      <c r="G3" s="35" t="s">
        <v>53</v>
      </c>
      <c r="H3" s="34" t="s">
        <v>54</v>
      </c>
      <c r="J3" s="34" t="s">
        <v>66</v>
      </c>
      <c r="K3" s="35" t="s">
        <v>67</v>
      </c>
      <c r="L3" s="34" t="s">
        <v>68</v>
      </c>
      <c r="N3" s="221" t="s">
        <v>316</v>
      </c>
      <c r="O3" s="221"/>
      <c r="P3" s="221"/>
      <c r="Q3" s="221"/>
      <c r="S3" s="35" t="s">
        <v>799</v>
      </c>
      <c r="T3" s="35" t="s">
        <v>800</v>
      </c>
      <c r="U3" s="35" t="s">
        <v>801</v>
      </c>
      <c r="V3" s="34" t="s">
        <v>68</v>
      </c>
    </row>
    <row r="4" spans="2:22">
      <c r="B4" s="149" t="s">
        <v>2</v>
      </c>
      <c r="C4" s="189">
        <v>0</v>
      </c>
      <c r="D4" s="149"/>
      <c r="F4" s="149" t="s">
        <v>14</v>
      </c>
      <c r="G4" s="190">
        <v>0.3</v>
      </c>
      <c r="H4" s="149"/>
      <c r="J4" s="149" t="s">
        <v>14</v>
      </c>
      <c r="K4" s="190">
        <v>4.7</v>
      </c>
      <c r="L4" s="149"/>
      <c r="N4" s="222" t="s">
        <v>590</v>
      </c>
      <c r="O4" s="224" t="s">
        <v>591</v>
      </c>
      <c r="P4" s="222" t="s">
        <v>590</v>
      </c>
      <c r="Q4" s="224" t="s">
        <v>592</v>
      </c>
      <c r="R4" s="191" t="s">
        <v>802</v>
      </c>
      <c r="S4" s="152">
        <v>3.4</v>
      </c>
      <c r="T4" s="189">
        <v>0.6</v>
      </c>
      <c r="U4" s="189">
        <v>1.3</v>
      </c>
      <c r="V4" s="149"/>
    </row>
    <row r="5" spans="2:22">
      <c r="B5" s="150">
        <v>1</v>
      </c>
      <c r="C5" s="189">
        <v>3.8</v>
      </c>
      <c r="D5" s="149"/>
      <c r="F5" s="149" t="s">
        <v>110</v>
      </c>
      <c r="G5" s="190">
        <v>1.4</v>
      </c>
      <c r="H5" s="149" t="s">
        <v>87</v>
      </c>
      <c r="J5" s="149" t="s">
        <v>110</v>
      </c>
      <c r="K5" s="190">
        <v>4.7</v>
      </c>
      <c r="L5" s="149" t="s">
        <v>111</v>
      </c>
      <c r="N5" s="223"/>
      <c r="O5" s="225"/>
      <c r="P5" s="223"/>
      <c r="Q5" s="225"/>
      <c r="R5" s="191"/>
      <c r="S5" s="152">
        <v>4.3</v>
      </c>
      <c r="T5" s="189">
        <v>0.6</v>
      </c>
      <c r="U5" s="189">
        <v>1.3</v>
      </c>
      <c r="V5" s="149"/>
    </row>
    <row r="6" spans="2:22">
      <c r="B6" s="150">
        <v>2</v>
      </c>
      <c r="C6" s="189">
        <v>5.0999999999999996</v>
      </c>
      <c r="D6" s="149"/>
      <c r="F6" s="149" t="s">
        <v>15</v>
      </c>
      <c r="G6" s="190"/>
      <c r="H6" s="149"/>
      <c r="J6" s="149" t="s">
        <v>15</v>
      </c>
      <c r="K6" s="190"/>
      <c r="L6" s="149"/>
      <c r="N6" s="70">
        <v>-40</v>
      </c>
      <c r="O6" s="71">
        <v>11.3</v>
      </c>
      <c r="P6" s="70">
        <v>-40</v>
      </c>
      <c r="Q6" s="71">
        <v>11.3</v>
      </c>
      <c r="R6" s="191"/>
      <c r="S6" s="152">
        <v>5.3</v>
      </c>
      <c r="T6" s="189">
        <v>1</v>
      </c>
      <c r="U6" s="189">
        <v>1.3</v>
      </c>
      <c r="V6" s="149"/>
    </row>
    <row r="7" spans="2:22">
      <c r="B7" s="150">
        <v>3</v>
      </c>
      <c r="C7" s="189">
        <v>6.3</v>
      </c>
      <c r="D7" s="149"/>
      <c r="F7" s="149" t="s">
        <v>16</v>
      </c>
      <c r="G7" s="190">
        <v>1.4</v>
      </c>
      <c r="H7" s="149" t="s">
        <v>238</v>
      </c>
      <c r="J7" s="149" t="s">
        <v>16</v>
      </c>
      <c r="K7" s="190">
        <v>3.23</v>
      </c>
      <c r="L7" s="149" t="s">
        <v>238</v>
      </c>
      <c r="N7" s="70">
        <v>-20</v>
      </c>
      <c r="O7" s="71">
        <v>11.3</v>
      </c>
      <c r="P7" s="70">
        <v>-20</v>
      </c>
      <c r="Q7" s="71">
        <v>11.3</v>
      </c>
      <c r="R7" s="191"/>
      <c r="S7" s="152">
        <v>6.3</v>
      </c>
      <c r="T7" s="189">
        <v>1.4</v>
      </c>
      <c r="U7" s="189">
        <v>1.4</v>
      </c>
      <c r="V7" s="149"/>
    </row>
    <row r="8" spans="2:22">
      <c r="B8" s="150">
        <v>4</v>
      </c>
      <c r="C8" s="189">
        <v>7.6</v>
      </c>
      <c r="D8" s="149"/>
      <c r="F8" s="149" t="s">
        <v>17</v>
      </c>
      <c r="G8" s="190">
        <v>2.5</v>
      </c>
      <c r="H8" s="149"/>
      <c r="J8" s="149" t="s">
        <v>17</v>
      </c>
      <c r="K8" s="190">
        <v>3.94</v>
      </c>
      <c r="L8" s="149"/>
      <c r="N8" s="70">
        <v>-10</v>
      </c>
      <c r="O8" s="71">
        <v>11.3</v>
      </c>
      <c r="P8" s="70">
        <v>-10</v>
      </c>
      <c r="Q8" s="71">
        <v>11.3</v>
      </c>
      <c r="R8" s="191"/>
      <c r="S8" s="152">
        <v>7.4</v>
      </c>
      <c r="T8" s="189">
        <v>1.8</v>
      </c>
      <c r="U8" s="189">
        <v>1.4</v>
      </c>
      <c r="V8" s="149"/>
    </row>
    <row r="9" spans="2:22">
      <c r="B9" s="150">
        <v>5</v>
      </c>
      <c r="C9" s="189">
        <v>8.8000000000000007</v>
      </c>
      <c r="D9" s="149"/>
      <c r="F9" s="149" t="s">
        <v>109</v>
      </c>
      <c r="G9" s="190">
        <v>3.6</v>
      </c>
      <c r="H9" s="149" t="s">
        <v>109</v>
      </c>
      <c r="J9" s="149" t="s">
        <v>109</v>
      </c>
      <c r="K9" s="190">
        <v>3.38</v>
      </c>
      <c r="L9" s="149" t="s">
        <v>112</v>
      </c>
      <c r="N9" s="70">
        <v>-5</v>
      </c>
      <c r="O9" s="71">
        <v>11.3</v>
      </c>
      <c r="P9" s="70">
        <v>-5</v>
      </c>
      <c r="Q9" s="71">
        <v>11.3</v>
      </c>
      <c r="R9" s="191"/>
      <c r="S9" s="152">
        <v>8.6</v>
      </c>
      <c r="T9" s="189">
        <v>2.1</v>
      </c>
      <c r="U9" s="189">
        <v>1.5</v>
      </c>
      <c r="V9" s="149"/>
    </row>
    <row r="10" spans="2:22">
      <c r="B10" s="150">
        <v>6</v>
      </c>
      <c r="C10" s="189">
        <v>10.1</v>
      </c>
      <c r="D10" s="149"/>
      <c r="F10" s="149" t="s">
        <v>18</v>
      </c>
      <c r="G10" s="190">
        <v>4.7</v>
      </c>
      <c r="H10" s="149"/>
      <c r="I10" s="151"/>
      <c r="J10" s="149" t="s">
        <v>18</v>
      </c>
      <c r="K10" s="190">
        <v>1.71</v>
      </c>
      <c r="L10" s="149"/>
      <c r="N10" s="70">
        <v>0</v>
      </c>
      <c r="O10" s="71">
        <v>11.3</v>
      </c>
      <c r="P10" s="70">
        <v>0</v>
      </c>
      <c r="Q10" s="71">
        <v>11.3</v>
      </c>
      <c r="R10" s="191"/>
      <c r="S10" s="152">
        <v>9.8000000000000007</v>
      </c>
      <c r="T10" s="189">
        <v>2.5</v>
      </c>
      <c r="U10" s="189">
        <v>1.5</v>
      </c>
      <c r="V10" s="149"/>
    </row>
    <row r="11" spans="2:22">
      <c r="B11" s="150">
        <v>7</v>
      </c>
      <c r="C11" s="189">
        <v>11.3</v>
      </c>
      <c r="D11" s="149"/>
      <c r="F11" s="149" t="s">
        <v>19</v>
      </c>
      <c r="G11" s="190"/>
      <c r="H11" s="149"/>
      <c r="I11" s="151"/>
      <c r="J11" s="149" t="s">
        <v>19</v>
      </c>
      <c r="K11" s="189">
        <v>3.39</v>
      </c>
      <c r="L11" s="149"/>
      <c r="N11" s="70">
        <v>8</v>
      </c>
      <c r="O11" s="71">
        <v>9</v>
      </c>
      <c r="P11" s="70">
        <v>8</v>
      </c>
      <c r="Q11" s="71">
        <v>9</v>
      </c>
      <c r="R11" s="191"/>
      <c r="S11" s="152">
        <v>11</v>
      </c>
      <c r="T11" s="189">
        <v>2.9</v>
      </c>
      <c r="U11" s="189">
        <v>1.5</v>
      </c>
      <c r="V11" s="149"/>
    </row>
    <row r="12" spans="2:22">
      <c r="B12" s="150">
        <v>8</v>
      </c>
      <c r="C12" s="189">
        <v>13.5</v>
      </c>
      <c r="D12" s="149"/>
      <c r="F12" s="149" t="s">
        <v>20</v>
      </c>
      <c r="G12" s="190"/>
      <c r="H12" s="149"/>
      <c r="I12" s="151"/>
      <c r="J12" s="149" t="s">
        <v>20</v>
      </c>
      <c r="K12" s="189">
        <v>2.13</v>
      </c>
      <c r="L12" s="149"/>
      <c r="N12" s="70">
        <v>17</v>
      </c>
      <c r="O12" s="71">
        <v>9</v>
      </c>
      <c r="P12" s="70">
        <v>17</v>
      </c>
      <c r="Q12" s="71">
        <v>9</v>
      </c>
      <c r="R12" s="191" t="s">
        <v>803</v>
      </c>
      <c r="S12" s="152">
        <v>12.5</v>
      </c>
      <c r="T12" s="152">
        <v>3.4</v>
      </c>
      <c r="U12" s="152">
        <v>1.6</v>
      </c>
      <c r="V12" s="149"/>
    </row>
    <row r="13" spans="2:22">
      <c r="B13" s="149" t="s">
        <v>21</v>
      </c>
      <c r="C13" s="152">
        <v>3.8</v>
      </c>
      <c r="D13" s="149"/>
      <c r="F13" s="149" t="s">
        <v>288</v>
      </c>
      <c r="G13" s="189">
        <v>4.7</v>
      </c>
      <c r="H13" s="149"/>
      <c r="I13" s="151"/>
      <c r="J13" s="149" t="s">
        <v>288</v>
      </c>
      <c r="K13" s="189">
        <v>1.59</v>
      </c>
      <c r="L13" s="149"/>
      <c r="N13" s="70">
        <v>25</v>
      </c>
      <c r="O13" s="71">
        <v>12.5</v>
      </c>
      <c r="P13" s="70">
        <v>25</v>
      </c>
      <c r="Q13" s="71">
        <v>12.5</v>
      </c>
      <c r="S13" s="152">
        <v>16</v>
      </c>
      <c r="T13" s="152">
        <v>3.4</v>
      </c>
      <c r="U13" s="152">
        <v>1.6</v>
      </c>
      <c r="V13" s="149"/>
    </row>
    <row r="14" spans="2:22">
      <c r="B14" s="149" t="s">
        <v>4</v>
      </c>
      <c r="C14" s="152">
        <v>11.3</v>
      </c>
      <c r="D14" s="149"/>
      <c r="F14" s="149" t="s">
        <v>22</v>
      </c>
      <c r="G14" s="189">
        <v>2.5</v>
      </c>
      <c r="H14" s="149"/>
      <c r="I14" s="151"/>
      <c r="J14" s="149" t="s">
        <v>365</v>
      </c>
      <c r="K14" s="189">
        <v>4.7</v>
      </c>
      <c r="L14" s="149"/>
      <c r="N14" s="70">
        <v>28.9</v>
      </c>
      <c r="O14" s="71">
        <v>12.5</v>
      </c>
      <c r="P14" s="70">
        <v>25.1</v>
      </c>
      <c r="Q14" s="71">
        <v>13.5</v>
      </c>
    </row>
    <row r="15" spans="2:22">
      <c r="B15" s="149" t="s">
        <v>3</v>
      </c>
      <c r="C15" s="152">
        <v>3.8</v>
      </c>
      <c r="D15" s="149"/>
      <c r="F15" s="149" t="s">
        <v>743</v>
      </c>
      <c r="G15" s="189">
        <v>0.9</v>
      </c>
      <c r="H15" s="149"/>
      <c r="I15" s="151"/>
      <c r="J15" s="149" t="s">
        <v>335</v>
      </c>
      <c r="K15" s="189">
        <v>2.52</v>
      </c>
      <c r="L15" s="149"/>
      <c r="N15" s="70">
        <v>29</v>
      </c>
      <c r="O15" s="71">
        <v>13.5</v>
      </c>
      <c r="P15" s="70">
        <v>29</v>
      </c>
      <c r="Q15" s="71">
        <v>13.5</v>
      </c>
    </row>
    <row r="16" spans="2:22">
      <c r="B16" s="149" t="s">
        <v>287</v>
      </c>
      <c r="C16" s="152">
        <v>6.5</v>
      </c>
      <c r="D16" s="149"/>
      <c r="F16" s="149" t="s">
        <v>804</v>
      </c>
      <c r="G16" s="189">
        <v>4.7</v>
      </c>
      <c r="H16" s="149"/>
      <c r="I16" s="151"/>
      <c r="J16" s="149" t="s">
        <v>336</v>
      </c>
      <c r="K16" s="189">
        <v>3.46</v>
      </c>
      <c r="L16" s="149"/>
      <c r="N16" s="70">
        <v>40</v>
      </c>
      <c r="O16" s="71">
        <v>13.5</v>
      </c>
      <c r="P16" s="70">
        <v>40</v>
      </c>
      <c r="Q16" s="71">
        <v>13.5</v>
      </c>
    </row>
    <row r="17" spans="2:17">
      <c r="B17" s="149" t="s">
        <v>362</v>
      </c>
      <c r="C17" s="152">
        <v>4.5</v>
      </c>
      <c r="D17" s="149"/>
      <c r="F17" s="149" t="s">
        <v>805</v>
      </c>
      <c r="G17" s="189">
        <v>1.2</v>
      </c>
      <c r="H17" s="149"/>
      <c r="I17" s="151"/>
      <c r="J17" s="149" t="s">
        <v>743</v>
      </c>
      <c r="K17" s="189">
        <v>0.9</v>
      </c>
      <c r="L17" s="149"/>
      <c r="N17" s="70">
        <v>60</v>
      </c>
      <c r="O17" s="71">
        <v>13.5</v>
      </c>
      <c r="P17" s="70">
        <v>60</v>
      </c>
      <c r="Q17" s="71">
        <v>13.5</v>
      </c>
    </row>
    <row r="18" spans="2:17">
      <c r="B18" s="149"/>
      <c r="C18" s="152"/>
      <c r="D18" s="149"/>
      <c r="F18" s="149"/>
      <c r="G18" s="189"/>
      <c r="H18" s="149"/>
      <c r="I18" s="151"/>
      <c r="J18" s="149" t="s">
        <v>759</v>
      </c>
      <c r="K18" s="189">
        <v>4.7</v>
      </c>
      <c r="L18" s="149" t="s">
        <v>744</v>
      </c>
    </row>
    <row r="19" spans="2:17">
      <c r="B19" s="149"/>
      <c r="C19" s="152"/>
      <c r="D19" s="149"/>
      <c r="F19" s="149"/>
      <c r="G19" s="189"/>
      <c r="H19" s="149"/>
      <c r="I19" s="151"/>
      <c r="J19" s="149"/>
      <c r="K19" s="189"/>
      <c r="L19" s="149"/>
      <c r="N19" s="32" t="s">
        <v>358</v>
      </c>
    </row>
    <row r="20" spans="2:17" ht="13.5">
      <c r="B20" s="149"/>
      <c r="C20" s="152"/>
      <c r="D20" s="149" t="s">
        <v>797</v>
      </c>
      <c r="F20" s="149"/>
      <c r="G20" s="189"/>
      <c r="H20" s="149"/>
      <c r="I20" s="151"/>
      <c r="J20" s="149"/>
      <c r="K20" s="189"/>
      <c r="L20" s="149"/>
      <c r="N20" s="72" t="s">
        <v>354</v>
      </c>
      <c r="O20" s="73"/>
      <c r="P20" s="73"/>
      <c r="Q20" s="74"/>
    </row>
    <row r="21" spans="2:17" ht="13.5">
      <c r="B21" s="149" t="s">
        <v>283</v>
      </c>
      <c r="C21" s="152" t="s">
        <v>284</v>
      </c>
      <c r="D21" s="149"/>
      <c r="F21" s="149"/>
      <c r="G21" s="189"/>
      <c r="H21" s="149"/>
      <c r="I21" s="151"/>
      <c r="J21" s="149"/>
      <c r="K21" s="189"/>
      <c r="L21" s="149"/>
      <c r="N21" s="72" t="s">
        <v>355</v>
      </c>
      <c r="O21" s="73"/>
      <c r="P21" s="73"/>
      <c r="Q21" s="74"/>
    </row>
    <row r="22" spans="2:17">
      <c r="F22" s="151"/>
      <c r="G22" s="153"/>
      <c r="H22" s="151"/>
      <c r="I22" s="151"/>
      <c r="J22" s="151"/>
      <c r="K22" s="151"/>
      <c r="L22" s="151"/>
      <c r="N22" s="72"/>
      <c r="O22" s="75" t="s">
        <v>350</v>
      </c>
      <c r="P22" s="75" t="s">
        <v>351</v>
      </c>
      <c r="Q22" s="75" t="s">
        <v>352</v>
      </c>
    </row>
    <row r="23" spans="2:17" s="33" customFormat="1" ht="13.5">
      <c r="B23" s="32" t="s">
        <v>72</v>
      </c>
      <c r="C23" s="32"/>
      <c r="F23" s="32" t="s">
        <v>76</v>
      </c>
      <c r="G23" s="32"/>
      <c r="I23" s="151"/>
      <c r="J23" s="56" t="s">
        <v>257</v>
      </c>
      <c r="K23" s="56"/>
      <c r="L23" s="57"/>
      <c r="N23" s="102" t="s">
        <v>353</v>
      </c>
      <c r="O23" s="102" t="s">
        <v>593</v>
      </c>
      <c r="P23" s="102" t="s">
        <v>593</v>
      </c>
      <c r="Q23" s="102" t="s">
        <v>593</v>
      </c>
    </row>
    <row r="24" spans="2:17">
      <c r="B24" s="34" t="s">
        <v>73</v>
      </c>
      <c r="C24" s="35" t="s">
        <v>74</v>
      </c>
      <c r="D24" s="34" t="s">
        <v>54</v>
      </c>
      <c r="F24" s="34" t="s">
        <v>77</v>
      </c>
      <c r="G24" s="35" t="s">
        <v>74</v>
      </c>
      <c r="H24" s="34" t="s">
        <v>54</v>
      </c>
      <c r="I24" s="151"/>
      <c r="J24" s="58" t="s">
        <v>258</v>
      </c>
      <c r="K24" s="59" t="s">
        <v>259</v>
      </c>
      <c r="L24" s="58" t="s">
        <v>68</v>
      </c>
      <c r="N24" s="76">
        <v>0</v>
      </c>
      <c r="O24" s="77">
        <v>4.5</v>
      </c>
      <c r="P24" s="77">
        <v>4</v>
      </c>
      <c r="Q24" s="77">
        <v>3.4</v>
      </c>
    </row>
    <row r="25" spans="2:17">
      <c r="B25" s="149" t="s">
        <v>49</v>
      </c>
      <c r="C25" s="152">
        <v>0.3</v>
      </c>
      <c r="D25" s="149" t="s">
        <v>96</v>
      </c>
      <c r="F25" s="149" t="s">
        <v>78</v>
      </c>
      <c r="G25" s="152">
        <v>0.3</v>
      </c>
      <c r="H25" s="149"/>
      <c r="I25" s="151"/>
      <c r="J25" s="154">
        <v>0</v>
      </c>
      <c r="K25" s="60" t="s">
        <v>2</v>
      </c>
      <c r="L25" s="154"/>
      <c r="N25" s="76">
        <v>5</v>
      </c>
      <c r="O25" s="77">
        <v>4.5</v>
      </c>
      <c r="P25" s="77">
        <v>4</v>
      </c>
      <c r="Q25" s="77">
        <v>3.4</v>
      </c>
    </row>
    <row r="26" spans="2:17">
      <c r="B26" s="149" t="s">
        <v>50</v>
      </c>
      <c r="C26" s="152">
        <v>4.7</v>
      </c>
      <c r="D26" s="149" t="s">
        <v>96</v>
      </c>
      <c r="F26" s="149" t="s">
        <v>79</v>
      </c>
      <c r="G26" s="152">
        <v>4.7</v>
      </c>
      <c r="H26" s="149" t="s">
        <v>366</v>
      </c>
      <c r="I26" s="151"/>
      <c r="J26" s="155">
        <v>3</v>
      </c>
      <c r="K26" s="60">
        <v>1</v>
      </c>
      <c r="L26" s="154"/>
      <c r="N26" s="76">
        <v>10</v>
      </c>
      <c r="O26" s="77">
        <v>4.6500000000000004</v>
      </c>
      <c r="P26" s="77">
        <v>4.2</v>
      </c>
      <c r="Q26" s="77">
        <v>3.75</v>
      </c>
    </row>
    <row r="27" spans="2:17">
      <c r="B27" s="149" t="s">
        <v>75</v>
      </c>
      <c r="C27" s="152">
        <v>1.5</v>
      </c>
      <c r="D27" s="149" t="s">
        <v>96</v>
      </c>
      <c r="F27" s="149" t="s">
        <v>80</v>
      </c>
      <c r="G27" s="152"/>
      <c r="H27" s="149"/>
      <c r="I27" s="151"/>
      <c r="J27" s="155">
        <v>5.5</v>
      </c>
      <c r="K27" s="60">
        <v>2</v>
      </c>
      <c r="L27" s="154"/>
      <c r="N27" s="76">
        <v>15</v>
      </c>
      <c r="O27" s="77">
        <v>4.8</v>
      </c>
      <c r="P27" s="77">
        <v>4.4000000000000004</v>
      </c>
      <c r="Q27" s="77">
        <v>4</v>
      </c>
    </row>
    <row r="28" spans="2:17">
      <c r="B28" s="149" t="s">
        <v>714</v>
      </c>
      <c r="C28" s="152">
        <v>2.5</v>
      </c>
      <c r="D28" s="149" t="s">
        <v>715</v>
      </c>
      <c r="F28" s="149" t="s">
        <v>81</v>
      </c>
      <c r="G28" s="152"/>
      <c r="H28" s="149"/>
      <c r="I28" s="151"/>
      <c r="J28" s="155">
        <v>6.3</v>
      </c>
      <c r="K28" s="60">
        <v>3</v>
      </c>
      <c r="L28" s="154"/>
      <c r="N28" s="76">
        <v>20</v>
      </c>
      <c r="O28" s="77">
        <v>4.95</v>
      </c>
      <c r="P28" s="77">
        <v>4.5999999999999996</v>
      </c>
      <c r="Q28" s="77">
        <v>4.25</v>
      </c>
    </row>
    <row r="29" spans="2:17">
      <c r="B29" s="149" t="s">
        <v>716</v>
      </c>
      <c r="C29" s="152">
        <v>2.94</v>
      </c>
      <c r="D29" s="149" t="s">
        <v>717</v>
      </c>
      <c r="F29" s="149" t="s">
        <v>82</v>
      </c>
      <c r="G29" s="152"/>
      <c r="H29" s="149"/>
      <c r="I29" s="151"/>
      <c r="J29" s="155">
        <v>7.1</v>
      </c>
      <c r="K29" s="60">
        <v>4</v>
      </c>
      <c r="L29" s="154"/>
      <c r="N29" s="76">
        <v>25</v>
      </c>
      <c r="O29" s="77">
        <v>5.0999999999999996</v>
      </c>
      <c r="P29" s="77">
        <v>4.8</v>
      </c>
      <c r="Q29" s="77">
        <v>4.5</v>
      </c>
    </row>
    <row r="30" spans="2:17">
      <c r="B30" s="149" t="s">
        <v>718</v>
      </c>
      <c r="C30" s="152">
        <v>3.38</v>
      </c>
      <c r="D30" s="149" t="s">
        <v>719</v>
      </c>
      <c r="F30" s="149" t="s">
        <v>742</v>
      </c>
      <c r="G30" s="152">
        <v>1.7</v>
      </c>
      <c r="H30" s="149" t="s">
        <v>766</v>
      </c>
      <c r="I30" s="151"/>
      <c r="J30" s="155">
        <v>8</v>
      </c>
      <c r="K30" s="60">
        <v>5</v>
      </c>
      <c r="L30" s="154"/>
      <c r="N30" s="76">
        <v>30</v>
      </c>
      <c r="O30" s="77">
        <v>5.0999999999999996</v>
      </c>
      <c r="P30" s="77">
        <v>4.8</v>
      </c>
      <c r="Q30" s="77">
        <v>4.5</v>
      </c>
    </row>
    <row r="31" spans="2:17">
      <c r="B31" s="149" t="s">
        <v>720</v>
      </c>
      <c r="C31" s="152">
        <v>3.82</v>
      </c>
      <c r="D31" s="149" t="s">
        <v>721</v>
      </c>
      <c r="F31" s="149"/>
      <c r="G31" s="152"/>
      <c r="H31" s="149"/>
      <c r="I31" s="151"/>
      <c r="J31" s="155">
        <v>9.4</v>
      </c>
      <c r="K31" s="60">
        <v>6</v>
      </c>
      <c r="L31" s="154"/>
      <c r="N31" s="76">
        <v>30</v>
      </c>
      <c r="O31" s="77">
        <v>5.0999999999999996</v>
      </c>
      <c r="P31" s="77">
        <v>4.8</v>
      </c>
      <c r="Q31" s="77">
        <v>4.5</v>
      </c>
    </row>
    <row r="32" spans="2:17">
      <c r="B32" s="149" t="s">
        <v>320</v>
      </c>
      <c r="C32" s="152">
        <v>2.8</v>
      </c>
      <c r="D32" s="149" t="s">
        <v>95</v>
      </c>
      <c r="F32" s="149"/>
      <c r="G32" s="152"/>
      <c r="H32" s="149"/>
      <c r="I32" s="151"/>
      <c r="J32" s="155">
        <v>10.5</v>
      </c>
      <c r="K32" s="60">
        <v>7</v>
      </c>
      <c r="L32" s="154"/>
    </row>
    <row r="33" spans="2:16">
      <c r="B33" s="149" t="s">
        <v>741</v>
      </c>
      <c r="C33" s="152">
        <v>4.3</v>
      </c>
      <c r="D33" s="149"/>
      <c r="F33" s="149"/>
      <c r="G33" s="152"/>
      <c r="H33" s="149"/>
      <c r="I33" s="151"/>
      <c r="J33" s="155">
        <v>12.5</v>
      </c>
      <c r="K33" s="60">
        <v>8</v>
      </c>
      <c r="L33" s="154"/>
    </row>
    <row r="34" spans="2:16">
      <c r="B34" s="149"/>
      <c r="C34" s="152"/>
      <c r="D34" s="149"/>
      <c r="F34" s="149"/>
      <c r="G34" s="152"/>
      <c r="H34" s="149"/>
      <c r="I34" s="151"/>
      <c r="J34" s="156"/>
      <c r="K34" s="156"/>
      <c r="L34" s="156"/>
    </row>
    <row r="35" spans="2:16">
      <c r="B35" s="149"/>
      <c r="C35" s="152"/>
      <c r="D35" s="149"/>
      <c r="F35" s="149"/>
      <c r="G35" s="152"/>
      <c r="H35" s="149"/>
      <c r="I35" s="151"/>
      <c r="J35" s="56" t="s">
        <v>260</v>
      </c>
      <c r="K35" s="56"/>
      <c r="L35" s="57"/>
    </row>
    <row r="36" spans="2:16">
      <c r="B36" s="149"/>
      <c r="C36" s="152"/>
      <c r="D36" s="149"/>
      <c r="F36" s="149"/>
      <c r="G36" s="152"/>
      <c r="H36" s="149"/>
      <c r="I36" s="151"/>
      <c r="J36" s="58" t="s">
        <v>258</v>
      </c>
      <c r="K36" s="59" t="s">
        <v>259</v>
      </c>
      <c r="L36" s="58" t="s">
        <v>68</v>
      </c>
    </row>
    <row r="37" spans="2:16" ht="13.5">
      <c r="B37" s="149" t="s">
        <v>368</v>
      </c>
      <c r="C37" s="152" t="s">
        <v>369</v>
      </c>
      <c r="D37" s="149"/>
      <c r="F37" s="149" t="s">
        <v>246</v>
      </c>
      <c r="G37" s="152" t="s">
        <v>429</v>
      </c>
      <c r="H37" s="149"/>
      <c r="I37" s="151"/>
      <c r="J37" s="154">
        <v>0</v>
      </c>
      <c r="K37" s="60" t="s">
        <v>2</v>
      </c>
      <c r="L37" s="154"/>
    </row>
    <row r="38" spans="2:16">
      <c r="F38" s="151"/>
      <c r="G38" s="153"/>
      <c r="H38" s="151"/>
      <c r="I38" s="151"/>
      <c r="J38" s="155">
        <v>3</v>
      </c>
      <c r="K38" s="60">
        <v>1</v>
      </c>
      <c r="L38" s="154"/>
    </row>
    <row r="39" spans="2:16">
      <c r="B39" s="87" t="s">
        <v>55</v>
      </c>
      <c r="C39" s="157" t="s">
        <v>8</v>
      </c>
      <c r="D39" s="151"/>
      <c r="E39" s="151"/>
      <c r="F39" s="151"/>
      <c r="G39" s="151"/>
      <c r="H39" s="151"/>
      <c r="I39" s="151"/>
      <c r="J39" s="155">
        <v>5.21</v>
      </c>
      <c r="K39" s="60">
        <v>2</v>
      </c>
      <c r="L39" s="154"/>
    </row>
    <row r="40" spans="2:16">
      <c r="B40" s="87" t="s">
        <v>56</v>
      </c>
      <c r="C40" s="158">
        <f>MATCH(FLAG_Country,list_Country,0)</f>
        <v>1</v>
      </c>
      <c r="D40" s="151"/>
      <c r="E40" s="159" t="s">
        <v>8</v>
      </c>
      <c r="F40" s="159" t="s">
        <v>9</v>
      </c>
      <c r="G40" s="159" t="s">
        <v>10</v>
      </c>
      <c r="H40" s="159" t="s">
        <v>11</v>
      </c>
      <c r="I40" s="151"/>
      <c r="J40" s="155">
        <v>6.11</v>
      </c>
      <c r="K40" s="60">
        <v>3</v>
      </c>
      <c r="L40" s="154"/>
    </row>
    <row r="41" spans="2:16">
      <c r="B41" s="87" t="s">
        <v>57</v>
      </c>
      <c r="C41" s="158">
        <f t="shared" ref="C41:C48" si="0">INDEX(E41:H41,1,col_country)</f>
        <v>0</v>
      </c>
      <c r="D41" s="151"/>
      <c r="E41" s="87">
        <v>0</v>
      </c>
      <c r="F41" s="87">
        <v>1</v>
      </c>
      <c r="G41" s="87">
        <v>0</v>
      </c>
      <c r="H41" s="87">
        <v>0</v>
      </c>
      <c r="I41" s="151"/>
      <c r="J41" s="155">
        <v>6.81</v>
      </c>
      <c r="K41" s="60">
        <v>4</v>
      </c>
      <c r="L41" s="154"/>
    </row>
    <row r="42" spans="2:16">
      <c r="B42" s="87" t="s">
        <v>58</v>
      </c>
      <c r="C42" s="158" t="str">
        <f t="shared" si="0"/>
        <v>degC</v>
      </c>
      <c r="D42" s="151"/>
      <c r="E42" s="87" t="s">
        <v>12</v>
      </c>
      <c r="F42" s="87" t="s">
        <v>13</v>
      </c>
      <c r="G42" s="87" t="s">
        <v>12</v>
      </c>
      <c r="H42" s="87" t="s">
        <v>12</v>
      </c>
      <c r="I42" s="151"/>
      <c r="J42" s="155">
        <v>7.71</v>
      </c>
      <c r="K42" s="60">
        <v>5</v>
      </c>
      <c r="L42" s="154"/>
    </row>
    <row r="43" spans="2:16">
      <c r="B43" s="87" t="s">
        <v>59</v>
      </c>
      <c r="C43" s="158">
        <f t="shared" si="0"/>
        <v>22</v>
      </c>
      <c r="D43" s="151"/>
      <c r="E43" s="87">
        <v>22</v>
      </c>
      <c r="F43" s="87">
        <v>72</v>
      </c>
      <c r="G43" s="87">
        <v>22</v>
      </c>
      <c r="H43" s="87">
        <v>22</v>
      </c>
      <c r="J43" s="155">
        <v>9.11</v>
      </c>
      <c r="K43" s="60">
        <v>6</v>
      </c>
      <c r="L43" s="154"/>
    </row>
    <row r="44" spans="2:16">
      <c r="B44" s="87" t="s">
        <v>60</v>
      </c>
      <c r="C44" s="158">
        <f t="shared" si="0"/>
        <v>14</v>
      </c>
      <c r="D44" s="151"/>
      <c r="E44" s="87">
        <v>14</v>
      </c>
      <c r="F44" s="87">
        <v>56</v>
      </c>
      <c r="G44" s="87">
        <v>14</v>
      </c>
      <c r="H44" s="87">
        <v>14</v>
      </c>
      <c r="J44" s="155">
        <v>10.210000000000001</v>
      </c>
      <c r="K44" s="60">
        <v>7</v>
      </c>
      <c r="L44" s="154"/>
    </row>
    <row r="45" spans="2:16">
      <c r="B45" s="87" t="s">
        <v>61</v>
      </c>
      <c r="C45" s="158">
        <f t="shared" si="0"/>
        <v>17</v>
      </c>
      <c r="D45" s="151"/>
      <c r="E45" s="87">
        <v>17</v>
      </c>
      <c r="F45" s="87">
        <v>62</v>
      </c>
      <c r="G45" s="87">
        <v>17</v>
      </c>
      <c r="H45" s="87">
        <v>17</v>
      </c>
      <c r="J45" s="155">
        <v>12.21</v>
      </c>
      <c r="K45" s="60">
        <v>8</v>
      </c>
      <c r="L45" s="154"/>
    </row>
    <row r="46" spans="2:16">
      <c r="B46" s="87" t="s">
        <v>62</v>
      </c>
      <c r="C46" s="158">
        <f t="shared" si="0"/>
        <v>27</v>
      </c>
      <c r="D46" s="151"/>
      <c r="E46" s="87">
        <v>27</v>
      </c>
      <c r="F46" s="87">
        <v>82</v>
      </c>
      <c r="G46" s="87">
        <v>27</v>
      </c>
      <c r="H46" s="87">
        <v>27</v>
      </c>
      <c r="I46" s="151"/>
      <c r="J46" s="151"/>
      <c r="K46" s="151"/>
      <c r="L46" s="151"/>
    </row>
    <row r="47" spans="2:16">
      <c r="B47" s="87" t="s">
        <v>63</v>
      </c>
      <c r="C47" s="158">
        <f t="shared" si="0"/>
        <v>141.5</v>
      </c>
      <c r="D47" s="151"/>
      <c r="E47" s="87">
        <v>141.5</v>
      </c>
      <c r="F47" s="87">
        <v>311</v>
      </c>
      <c r="G47" s="87">
        <v>141.5</v>
      </c>
      <c r="H47" s="87">
        <v>141.5</v>
      </c>
      <c r="I47" s="151"/>
      <c r="J47" s="56" t="s">
        <v>424</v>
      </c>
      <c r="K47" s="56"/>
      <c r="L47" s="57"/>
      <c r="N47" s="32" t="s">
        <v>560</v>
      </c>
      <c r="O47" s="32"/>
      <c r="P47" s="33"/>
    </row>
    <row r="48" spans="2:16" s="33" customFormat="1">
      <c r="B48" s="87" t="s">
        <v>64</v>
      </c>
      <c r="C48" s="158">
        <f t="shared" si="0"/>
        <v>0.5</v>
      </c>
      <c r="D48" s="151"/>
      <c r="E48" s="87">
        <v>0.5</v>
      </c>
      <c r="F48" s="87">
        <v>1</v>
      </c>
      <c r="G48" s="87">
        <v>0.5</v>
      </c>
      <c r="H48" s="87">
        <v>0.5</v>
      </c>
      <c r="I48" s="160"/>
      <c r="J48" s="58" t="s">
        <v>430</v>
      </c>
      <c r="K48" s="59" t="s">
        <v>374</v>
      </c>
      <c r="L48" s="58" t="s">
        <v>68</v>
      </c>
      <c r="N48" s="34" t="s">
        <v>52</v>
      </c>
      <c r="O48" s="35" t="s">
        <v>561</v>
      </c>
      <c r="P48" s="34" t="s">
        <v>54</v>
      </c>
    </row>
    <row r="49" spans="2:16" ht="13.5">
      <c r="F49" s="160"/>
      <c r="G49" s="151"/>
      <c r="I49" s="160"/>
      <c r="J49" s="154" t="s">
        <v>375</v>
      </c>
      <c r="K49" s="60">
        <v>30</v>
      </c>
      <c r="L49" s="154" t="s">
        <v>376</v>
      </c>
      <c r="N49" s="149" t="s">
        <v>562</v>
      </c>
      <c r="O49" s="152">
        <v>1</v>
      </c>
      <c r="P49" s="149" t="s">
        <v>562</v>
      </c>
    </row>
    <row r="50" spans="2:16" ht="13.5">
      <c r="B50" s="149" t="s">
        <v>145</v>
      </c>
      <c r="C50" s="152" t="str">
        <f>const_TempUnit</f>
        <v>degC</v>
      </c>
      <c r="E50" s="54" t="s">
        <v>253</v>
      </c>
      <c r="F50" s="161"/>
      <c r="I50" s="160"/>
      <c r="J50" s="154" t="s">
        <v>377</v>
      </c>
      <c r="K50" s="60">
        <v>35</v>
      </c>
      <c r="L50" s="154" t="s">
        <v>378</v>
      </c>
      <c r="N50" s="149" t="s">
        <v>563</v>
      </c>
      <c r="O50" s="152">
        <v>4</v>
      </c>
      <c r="P50" s="149" t="s">
        <v>564</v>
      </c>
    </row>
    <row r="51" spans="2:16" ht="13.5">
      <c r="B51" s="149" t="s">
        <v>146</v>
      </c>
      <c r="C51" s="152" t="str">
        <f>IF(FLAG_Country&lt;&gt;"USA",F42,E42)</f>
        <v>degF</v>
      </c>
      <c r="E51" s="55" t="s">
        <v>431</v>
      </c>
      <c r="F51" s="55" t="s">
        <v>254</v>
      </c>
      <c r="I51" s="160"/>
      <c r="J51" s="154" t="s">
        <v>379</v>
      </c>
      <c r="K51" s="60">
        <v>55</v>
      </c>
      <c r="L51" s="154" t="s">
        <v>380</v>
      </c>
      <c r="N51" s="149" t="s">
        <v>565</v>
      </c>
      <c r="O51" s="152">
        <v>3</v>
      </c>
      <c r="P51" s="149" t="s">
        <v>566</v>
      </c>
    </row>
    <row r="52" spans="2:16">
      <c r="B52" s="149" t="s">
        <v>147</v>
      </c>
      <c r="C52" s="152">
        <f>const_Tset_default</f>
        <v>22</v>
      </c>
      <c r="E52" s="152">
        <v>35</v>
      </c>
      <c r="F52" s="162">
        <f>Celo_Blower_Min</f>
        <v>4.5</v>
      </c>
      <c r="I52" s="160"/>
      <c r="N52" s="149" t="s">
        <v>567</v>
      </c>
      <c r="O52" s="152">
        <v>2</v>
      </c>
      <c r="P52" s="149" t="s">
        <v>568</v>
      </c>
    </row>
    <row r="53" spans="2:16">
      <c r="B53" s="149" t="s">
        <v>148</v>
      </c>
      <c r="C53" s="152">
        <f>IF(FLAG_Country&lt;&gt;"USA",F43,E43)</f>
        <v>72</v>
      </c>
      <c r="E53" s="152">
        <v>55</v>
      </c>
      <c r="F53" s="162">
        <f>Celo_Blower_Max</f>
        <v>11.3</v>
      </c>
      <c r="I53" s="160"/>
      <c r="N53" s="151"/>
      <c r="O53" s="151"/>
      <c r="P53" s="151"/>
    </row>
    <row r="54" spans="2:16">
      <c r="B54" s="149" t="s">
        <v>149</v>
      </c>
      <c r="C54" s="152">
        <f>const_Tset_off</f>
        <v>14</v>
      </c>
      <c r="F54" s="160"/>
      <c r="G54" s="151"/>
      <c r="I54" s="160"/>
      <c r="J54" s="32" t="s">
        <v>504</v>
      </c>
      <c r="N54" s="32" t="s">
        <v>569</v>
      </c>
      <c r="O54" s="32"/>
      <c r="P54" s="33"/>
    </row>
    <row r="55" spans="2:16">
      <c r="B55" s="149" t="s">
        <v>150</v>
      </c>
      <c r="C55" s="152">
        <f>IF(FLAG_Country&lt;&gt;"USA",F44,E44)</f>
        <v>56</v>
      </c>
      <c r="E55" s="54" t="s">
        <v>339</v>
      </c>
      <c r="F55" s="161"/>
      <c r="G55" s="54" t="s">
        <v>349</v>
      </c>
      <c r="H55" s="161"/>
      <c r="I55" s="160"/>
      <c r="J55" s="34" t="s">
        <v>580</v>
      </c>
      <c r="K55" s="35" t="s">
        <v>581</v>
      </c>
      <c r="L55" s="34" t="s">
        <v>54</v>
      </c>
      <c r="N55" s="34" t="s">
        <v>52</v>
      </c>
      <c r="O55" s="35" t="s">
        <v>561</v>
      </c>
      <c r="P55" s="34" t="s">
        <v>54</v>
      </c>
    </row>
    <row r="56" spans="2:16">
      <c r="B56" s="149" t="s">
        <v>151</v>
      </c>
      <c r="C56" s="152">
        <f>const_Tset_min</f>
        <v>17</v>
      </c>
      <c r="E56" s="55" t="s">
        <v>338</v>
      </c>
      <c r="F56" s="55" t="s">
        <v>254</v>
      </c>
      <c r="G56" s="55" t="s">
        <v>356</v>
      </c>
      <c r="H56" s="55" t="s">
        <v>254</v>
      </c>
      <c r="I56" s="160"/>
      <c r="J56" s="149">
        <v>0</v>
      </c>
      <c r="K56" s="42">
        <v>0</v>
      </c>
      <c r="L56" s="149"/>
      <c r="N56" s="149" t="s">
        <v>562</v>
      </c>
      <c r="O56" s="152">
        <v>1</v>
      </c>
      <c r="P56" s="149" t="s">
        <v>562</v>
      </c>
    </row>
    <row r="57" spans="2:16">
      <c r="B57" s="149" t="s">
        <v>152</v>
      </c>
      <c r="C57" s="152">
        <f>IF(FLAG_Country&lt;&gt;"USA",F45,E45)</f>
        <v>62</v>
      </c>
      <c r="E57" s="152">
        <v>1.6</v>
      </c>
      <c r="F57" s="162">
        <f>ADS_Min</f>
        <v>4.2</v>
      </c>
      <c r="G57" s="152">
        <v>35</v>
      </c>
      <c r="H57" s="162">
        <f>PM_Blower_Min</f>
        <v>3.8</v>
      </c>
      <c r="I57" s="163"/>
      <c r="J57" s="149">
        <v>400</v>
      </c>
      <c r="K57" s="42">
        <v>0.34</v>
      </c>
      <c r="L57" s="149"/>
      <c r="N57" s="149" t="s">
        <v>563</v>
      </c>
      <c r="O57" s="152">
        <v>2</v>
      </c>
      <c r="P57" s="149" t="s">
        <v>564</v>
      </c>
    </row>
    <row r="58" spans="2:16">
      <c r="B58" s="149" t="s">
        <v>153</v>
      </c>
      <c r="C58" s="152">
        <f>const_Tset_max</f>
        <v>27</v>
      </c>
      <c r="E58" s="152">
        <v>4.2</v>
      </c>
      <c r="F58" s="162">
        <f>ADS_Max</f>
        <v>8</v>
      </c>
      <c r="G58" s="152">
        <v>75</v>
      </c>
      <c r="H58" s="162">
        <f>PM_Blower_Max</f>
        <v>8</v>
      </c>
      <c r="I58" s="160"/>
      <c r="J58" s="149">
        <v>1000</v>
      </c>
      <c r="K58" s="42">
        <v>0.85</v>
      </c>
      <c r="L58" s="149"/>
      <c r="N58" s="149" t="s">
        <v>565</v>
      </c>
      <c r="O58" s="152">
        <v>3</v>
      </c>
      <c r="P58" s="149" t="s">
        <v>566</v>
      </c>
    </row>
    <row r="59" spans="2:16">
      <c r="B59" s="149" t="s">
        <v>154</v>
      </c>
      <c r="C59" s="152">
        <f>IF(FLAG_Country&lt;&gt;"USA",F46,E46)</f>
        <v>82</v>
      </c>
      <c r="F59" s="160"/>
      <c r="H59" s="160"/>
      <c r="I59" s="160"/>
      <c r="J59" s="149">
        <v>2000</v>
      </c>
      <c r="K59" s="42">
        <v>1.7</v>
      </c>
      <c r="L59" s="149"/>
      <c r="N59" s="149" t="s">
        <v>567</v>
      </c>
      <c r="O59" s="152">
        <v>4</v>
      </c>
      <c r="P59" s="149" t="s">
        <v>568</v>
      </c>
    </row>
    <row r="60" spans="2:16">
      <c r="B60" s="149" t="s">
        <v>155</v>
      </c>
      <c r="C60" s="152">
        <f>const_Tset_invalid</f>
        <v>141.5</v>
      </c>
      <c r="E60" s="54" t="s">
        <v>340</v>
      </c>
      <c r="F60" s="161"/>
      <c r="G60" s="54" t="s">
        <v>348</v>
      </c>
      <c r="H60" s="161"/>
      <c r="I60" s="160"/>
      <c r="J60" s="149">
        <v>3000</v>
      </c>
      <c r="K60" s="42">
        <v>2.5499999999999998</v>
      </c>
      <c r="L60" s="149"/>
    </row>
    <row r="61" spans="2:16">
      <c r="B61" s="149" t="s">
        <v>156</v>
      </c>
      <c r="C61" s="152">
        <f>IF(FLAG_Country&lt;&gt;"USA",F47,E47)</f>
        <v>311</v>
      </c>
      <c r="E61" s="55" t="s">
        <v>338</v>
      </c>
      <c r="F61" s="55" t="s">
        <v>254</v>
      </c>
      <c r="G61" s="55" t="s">
        <v>356</v>
      </c>
      <c r="H61" s="55" t="s">
        <v>254</v>
      </c>
      <c r="I61" s="160"/>
      <c r="J61" s="149">
        <v>4000</v>
      </c>
      <c r="K61" s="42">
        <v>3.4</v>
      </c>
      <c r="L61" s="149"/>
    </row>
    <row r="62" spans="2:16">
      <c r="B62" s="149" t="s">
        <v>157</v>
      </c>
      <c r="C62" s="152">
        <f>const_Tset_resolution</f>
        <v>0.5</v>
      </c>
      <c r="E62" s="152">
        <v>1</v>
      </c>
      <c r="F62" s="162">
        <f>ADS_Min</f>
        <v>4.2</v>
      </c>
      <c r="G62" s="152">
        <v>25</v>
      </c>
      <c r="H62" s="162">
        <f>PM_Blower_Min</f>
        <v>3.8</v>
      </c>
      <c r="I62" s="163"/>
      <c r="J62" s="163"/>
    </row>
    <row r="63" spans="2:16">
      <c r="B63" s="149" t="s">
        <v>159</v>
      </c>
      <c r="C63" s="152">
        <f>IF(FLAG_Country&lt;&gt;"USA",F48,E48)</f>
        <v>1</v>
      </c>
      <c r="E63" s="152">
        <v>3.6</v>
      </c>
      <c r="F63" s="162">
        <f>ADS_Max</f>
        <v>8</v>
      </c>
      <c r="G63" s="152">
        <v>65</v>
      </c>
      <c r="H63" s="162">
        <f>PM_Blower_Max</f>
        <v>8</v>
      </c>
      <c r="I63" s="163"/>
      <c r="J63" s="163"/>
    </row>
    <row r="64" spans="2:16">
      <c r="F64" s="163"/>
      <c r="G64" s="151"/>
      <c r="I64" s="163"/>
      <c r="J64" s="163"/>
    </row>
    <row r="65" spans="2:20">
      <c r="F65" s="151"/>
      <c r="G65" s="151"/>
      <c r="I65" s="151"/>
      <c r="J65" s="151"/>
    </row>
    <row r="66" spans="2:20">
      <c r="B66" s="32" t="s">
        <v>163</v>
      </c>
      <c r="F66" s="32" t="s">
        <v>469</v>
      </c>
      <c r="I66" s="151"/>
      <c r="J66" s="32" t="s">
        <v>247</v>
      </c>
      <c r="N66" s="32" t="s">
        <v>499</v>
      </c>
      <c r="O66" s="32"/>
      <c r="P66" s="33"/>
      <c r="R66" s="32" t="s">
        <v>500</v>
      </c>
      <c r="S66" s="32"/>
      <c r="T66" s="33"/>
    </row>
    <row r="67" spans="2:20">
      <c r="B67" s="34" t="s">
        <v>162</v>
      </c>
      <c r="C67" s="35" t="s">
        <v>161</v>
      </c>
      <c r="D67" s="34" t="s">
        <v>54</v>
      </c>
      <c r="F67" s="34" t="s">
        <v>248</v>
      </c>
      <c r="G67" s="35" t="s">
        <v>187</v>
      </c>
      <c r="H67" s="34" t="s">
        <v>54</v>
      </c>
      <c r="J67" s="34" t="s">
        <v>248</v>
      </c>
      <c r="K67" s="35" t="s">
        <v>188</v>
      </c>
      <c r="L67" s="34" t="s">
        <v>54</v>
      </c>
      <c r="N67" s="34" t="s">
        <v>501</v>
      </c>
      <c r="O67" s="35" t="s">
        <v>502</v>
      </c>
      <c r="P67" s="34" t="s">
        <v>503</v>
      </c>
      <c r="R67" s="34" t="s">
        <v>501</v>
      </c>
      <c r="S67" s="35" t="s">
        <v>502</v>
      </c>
      <c r="T67" s="34" t="s">
        <v>503</v>
      </c>
    </row>
    <row r="68" spans="2:20">
      <c r="B68" s="218" t="s">
        <v>579</v>
      </c>
      <c r="C68" s="219"/>
      <c r="D68" s="220"/>
      <c r="F68" s="149" t="s">
        <v>212</v>
      </c>
      <c r="G68" s="42" t="s">
        <v>325</v>
      </c>
      <c r="H68" s="149" t="s">
        <v>806</v>
      </c>
      <c r="J68" s="149" t="s">
        <v>280</v>
      </c>
      <c r="K68" s="43" t="s">
        <v>277</v>
      </c>
      <c r="L68" s="149" t="s">
        <v>281</v>
      </c>
      <c r="N68" s="164">
        <v>0.3</v>
      </c>
      <c r="O68" s="165">
        <v>0.3</v>
      </c>
      <c r="P68" s="165">
        <v>2.15</v>
      </c>
      <c r="Q68" s="166"/>
      <c r="R68" s="164">
        <v>0.3</v>
      </c>
      <c r="S68" s="165">
        <v>0.3</v>
      </c>
      <c r="T68" s="165">
        <v>2.15</v>
      </c>
    </row>
    <row r="69" spans="2:20" ht="14.25">
      <c r="B69" s="149" t="s">
        <v>160</v>
      </c>
      <c r="C69" s="152" t="s">
        <v>417</v>
      </c>
      <c r="D69" s="149" t="s">
        <v>410</v>
      </c>
      <c r="E69" s="148" t="s">
        <v>807</v>
      </c>
      <c r="F69" s="149" t="s">
        <v>211</v>
      </c>
      <c r="G69" s="42" t="s">
        <v>325</v>
      </c>
      <c r="H69" s="149" t="s">
        <v>808</v>
      </c>
      <c r="J69" s="149" t="s">
        <v>290</v>
      </c>
      <c r="K69" s="43" t="s">
        <v>298</v>
      </c>
      <c r="L69" s="149" t="s">
        <v>289</v>
      </c>
      <c r="N69" s="164">
        <v>0.85</v>
      </c>
      <c r="O69" s="165">
        <v>0.3</v>
      </c>
      <c r="P69" s="165">
        <v>4.7</v>
      </c>
      <c r="Q69" s="166"/>
      <c r="R69" s="164">
        <v>0.85</v>
      </c>
      <c r="S69" s="165">
        <v>0.3</v>
      </c>
      <c r="T69" s="165">
        <v>4.7</v>
      </c>
    </row>
    <row r="70" spans="2:20" ht="13.5">
      <c r="B70" s="149" t="s">
        <v>166</v>
      </c>
      <c r="C70" s="152" t="s">
        <v>783</v>
      </c>
      <c r="D70" s="149"/>
      <c r="F70" s="149" t="s">
        <v>299</v>
      </c>
      <c r="G70" s="42" t="s">
        <v>213</v>
      </c>
      <c r="H70" s="149" t="s">
        <v>809</v>
      </c>
      <c r="J70" s="149" t="s">
        <v>292</v>
      </c>
      <c r="K70" s="43" t="s">
        <v>317</v>
      </c>
      <c r="L70" s="149" t="s">
        <v>291</v>
      </c>
      <c r="N70" s="164">
        <v>1.4</v>
      </c>
      <c r="O70" s="165">
        <v>2.6</v>
      </c>
      <c r="P70" s="165">
        <v>4.7</v>
      </c>
      <c r="Q70" s="166"/>
      <c r="R70" s="164">
        <v>1.4</v>
      </c>
      <c r="S70" s="165">
        <v>2.1</v>
      </c>
      <c r="T70" s="165">
        <v>4.7</v>
      </c>
    </row>
    <row r="71" spans="2:20">
      <c r="B71" s="149" t="s">
        <v>167</v>
      </c>
      <c r="C71" s="152" t="s">
        <v>810</v>
      </c>
      <c r="D71" s="149"/>
      <c r="F71" s="149" t="s">
        <v>300</v>
      </c>
      <c r="G71" s="42" t="s">
        <v>213</v>
      </c>
      <c r="H71" s="149" t="s">
        <v>811</v>
      </c>
      <c r="J71" s="149" t="s">
        <v>294</v>
      </c>
      <c r="K71" s="43" t="s">
        <v>297</v>
      </c>
      <c r="L71" s="149" t="s">
        <v>278</v>
      </c>
      <c r="N71" s="164">
        <v>1.95</v>
      </c>
      <c r="O71" s="165">
        <v>2.8</v>
      </c>
      <c r="P71" s="165">
        <v>4.7</v>
      </c>
      <c r="Q71" s="166"/>
      <c r="R71" s="164">
        <v>1.9</v>
      </c>
      <c r="S71" s="165">
        <v>2.8</v>
      </c>
      <c r="T71" s="165">
        <v>4.7</v>
      </c>
    </row>
    <row r="72" spans="2:20" ht="13.5">
      <c r="B72" s="149" t="s">
        <v>168</v>
      </c>
      <c r="C72" s="152" t="s">
        <v>784</v>
      </c>
      <c r="D72" s="149"/>
      <c r="F72" s="149" t="s">
        <v>326</v>
      </c>
      <c r="G72" s="42" t="s">
        <v>325</v>
      </c>
      <c r="H72" s="149" t="s">
        <v>466</v>
      </c>
      <c r="J72" s="149" t="s">
        <v>295</v>
      </c>
      <c r="K72" s="43" t="s">
        <v>296</v>
      </c>
      <c r="L72" s="149" t="s">
        <v>279</v>
      </c>
      <c r="N72" s="164">
        <v>2.5</v>
      </c>
      <c r="O72" s="165">
        <v>3</v>
      </c>
      <c r="P72" s="165">
        <v>4.7</v>
      </c>
      <c r="Q72" s="166"/>
      <c r="R72" s="164">
        <v>2.5</v>
      </c>
      <c r="S72" s="165">
        <v>3</v>
      </c>
      <c r="T72" s="165">
        <v>4.7</v>
      </c>
    </row>
    <row r="73" spans="2:20">
      <c r="B73" s="149" t="s">
        <v>169</v>
      </c>
      <c r="C73" s="152" t="s">
        <v>785</v>
      </c>
      <c r="D73" s="149"/>
      <c r="F73" s="149" t="s">
        <v>381</v>
      </c>
      <c r="G73" s="42" t="s">
        <v>325</v>
      </c>
      <c r="H73" s="149" t="s">
        <v>467</v>
      </c>
      <c r="J73" s="149" t="s">
        <v>293</v>
      </c>
      <c r="K73" s="43" t="s">
        <v>318</v>
      </c>
      <c r="L73" s="149" t="s">
        <v>282</v>
      </c>
      <c r="N73" s="164">
        <v>3.05</v>
      </c>
      <c r="O73" s="165">
        <v>3.1</v>
      </c>
      <c r="P73" s="165">
        <v>4.7</v>
      </c>
      <c r="Q73" s="166"/>
      <c r="R73" s="164">
        <v>2.8</v>
      </c>
      <c r="S73" s="165">
        <v>3.2</v>
      </c>
      <c r="T73" s="165">
        <v>4.7</v>
      </c>
    </row>
    <row r="74" spans="2:20">
      <c r="B74" s="149" t="s">
        <v>165</v>
      </c>
      <c r="C74" s="152" t="s">
        <v>812</v>
      </c>
      <c r="D74" s="149"/>
      <c r="F74" s="149" t="s">
        <v>465</v>
      </c>
      <c r="G74" s="42" t="s">
        <v>213</v>
      </c>
      <c r="H74" s="149" t="s">
        <v>468</v>
      </c>
      <c r="J74" s="149" t="s">
        <v>382</v>
      </c>
      <c r="K74" s="43" t="s">
        <v>383</v>
      </c>
      <c r="L74" s="149" t="s">
        <v>395</v>
      </c>
      <c r="N74" s="164">
        <v>3.5</v>
      </c>
      <c r="O74" s="165">
        <v>3.3</v>
      </c>
      <c r="P74" s="165">
        <v>4.7</v>
      </c>
      <c r="Q74" s="166"/>
      <c r="R74" s="164">
        <v>3.25</v>
      </c>
      <c r="S74" s="165">
        <v>3.3</v>
      </c>
      <c r="T74" s="165">
        <v>4.7</v>
      </c>
    </row>
    <row r="75" spans="2:20" ht="13.5">
      <c r="B75" s="149" t="s">
        <v>170</v>
      </c>
      <c r="C75" s="152" t="s">
        <v>813</v>
      </c>
      <c r="D75" s="149"/>
      <c r="F75" s="149" t="s">
        <v>474</v>
      </c>
      <c r="G75" s="42" t="s">
        <v>213</v>
      </c>
      <c r="H75" s="149" t="s">
        <v>473</v>
      </c>
      <c r="J75" s="149" t="s">
        <v>525</v>
      </c>
      <c r="K75" s="43" t="s">
        <v>755</v>
      </c>
      <c r="L75" s="149" t="s">
        <v>739</v>
      </c>
      <c r="N75" s="164">
        <v>4.1500000000000004</v>
      </c>
      <c r="O75" s="165">
        <v>3.5</v>
      </c>
      <c r="P75" s="165">
        <v>4.7</v>
      </c>
      <c r="Q75" s="166"/>
      <c r="R75" s="164">
        <v>4.1500000000000004</v>
      </c>
      <c r="S75" s="165">
        <v>3.5</v>
      </c>
      <c r="T75" s="165">
        <v>4.7</v>
      </c>
    </row>
    <row r="76" spans="2:20">
      <c r="B76" s="149" t="s">
        <v>171</v>
      </c>
      <c r="C76" s="152" t="s">
        <v>814</v>
      </c>
      <c r="D76" s="149"/>
      <c r="F76" s="149" t="s">
        <v>487</v>
      </c>
      <c r="G76" s="42" t="s">
        <v>325</v>
      </c>
      <c r="H76" s="149" t="s">
        <v>488</v>
      </c>
      <c r="J76" s="149" t="s">
        <v>756</v>
      </c>
      <c r="K76" s="43" t="s">
        <v>757</v>
      </c>
      <c r="L76" s="149" t="s">
        <v>758</v>
      </c>
      <c r="N76" s="164">
        <v>4.7</v>
      </c>
      <c r="O76" s="165">
        <v>3.5</v>
      </c>
      <c r="P76" s="165">
        <v>4.7</v>
      </c>
      <c r="Q76" s="166"/>
      <c r="R76" s="164">
        <v>4.7</v>
      </c>
      <c r="S76" s="165">
        <v>3.5</v>
      </c>
      <c r="T76" s="165">
        <v>4.7</v>
      </c>
    </row>
    <row r="77" spans="2:20">
      <c r="B77" s="149" t="s">
        <v>172</v>
      </c>
      <c r="C77" s="152" t="s">
        <v>815</v>
      </c>
      <c r="D77" s="149"/>
      <c r="F77" s="149" t="s">
        <v>816</v>
      </c>
      <c r="G77" s="42" t="s">
        <v>213</v>
      </c>
      <c r="H77" s="149" t="s">
        <v>817</v>
      </c>
      <c r="J77" s="149"/>
      <c r="K77" s="43"/>
      <c r="L77" s="149"/>
    </row>
    <row r="78" spans="2:20" ht="13.5">
      <c r="B78" s="149" t="s">
        <v>173</v>
      </c>
      <c r="C78" s="152" t="s">
        <v>818</v>
      </c>
      <c r="D78" s="149"/>
      <c r="F78" s="149" t="s">
        <v>819</v>
      </c>
      <c r="G78" s="42" t="s">
        <v>325</v>
      </c>
      <c r="H78" s="149" t="s">
        <v>820</v>
      </c>
      <c r="J78" s="149"/>
      <c r="K78" s="43"/>
      <c r="L78" s="149"/>
      <c r="N78" s="32" t="s">
        <v>821</v>
      </c>
      <c r="O78" s="32"/>
    </row>
    <row r="79" spans="2:20" ht="13.5">
      <c r="B79" s="149" t="s">
        <v>174</v>
      </c>
      <c r="C79" s="152" t="s">
        <v>822</v>
      </c>
      <c r="D79" s="149"/>
      <c r="F79" s="149" t="s">
        <v>823</v>
      </c>
      <c r="G79" s="42" t="s">
        <v>213</v>
      </c>
      <c r="H79" s="149" t="s">
        <v>824</v>
      </c>
      <c r="J79" s="149"/>
      <c r="K79" s="43"/>
      <c r="L79" s="149"/>
      <c r="N79" s="34"/>
      <c r="O79" s="34" t="s">
        <v>825</v>
      </c>
      <c r="P79" s="34" t="s">
        <v>826</v>
      </c>
      <c r="Q79" s="34" t="s">
        <v>827</v>
      </c>
      <c r="R79" s="34" t="s">
        <v>828</v>
      </c>
      <c r="S79" s="34" t="s">
        <v>829</v>
      </c>
    </row>
    <row r="80" spans="2:20">
      <c r="B80" s="149" t="s">
        <v>175</v>
      </c>
      <c r="C80" s="152" t="s">
        <v>782</v>
      </c>
      <c r="D80" s="149" t="s">
        <v>239</v>
      </c>
      <c r="E80" s="148" t="s">
        <v>830</v>
      </c>
      <c r="F80" s="149"/>
      <c r="G80" s="42"/>
      <c r="H80" s="149"/>
      <c r="J80" s="149"/>
      <c r="K80" s="43"/>
      <c r="L80" s="149"/>
      <c r="N80" s="192">
        <v>1</v>
      </c>
      <c r="O80" s="43">
        <v>3.4</v>
      </c>
      <c r="P80" s="149">
        <v>45.6</v>
      </c>
      <c r="Q80" s="149">
        <v>33.299999999999997</v>
      </c>
      <c r="R80" s="149">
        <v>28</v>
      </c>
      <c r="S80" s="149">
        <v>24</v>
      </c>
    </row>
    <row r="81" spans="2:19">
      <c r="B81" s="149" t="s">
        <v>778</v>
      </c>
      <c r="C81" s="152" t="s">
        <v>831</v>
      </c>
      <c r="D81" s="149" t="s">
        <v>832</v>
      </c>
      <c r="F81" s="149"/>
      <c r="G81" s="42"/>
      <c r="H81" s="149"/>
      <c r="J81" s="149"/>
      <c r="K81" s="43"/>
      <c r="L81" s="149"/>
      <c r="N81" s="192">
        <v>1</v>
      </c>
      <c r="O81" s="43">
        <v>4.8</v>
      </c>
      <c r="P81" s="149">
        <v>61.5</v>
      </c>
      <c r="Q81" s="149">
        <v>45.6</v>
      </c>
      <c r="R81" s="149">
        <v>38.5</v>
      </c>
      <c r="S81" s="149">
        <v>33.1</v>
      </c>
    </row>
    <row r="82" spans="2:19">
      <c r="B82" s="149" t="s">
        <v>193</v>
      </c>
      <c r="C82" s="152" t="s">
        <v>833</v>
      </c>
      <c r="D82" s="149" t="s">
        <v>240</v>
      </c>
      <c r="F82" s="149"/>
      <c r="G82" s="42"/>
      <c r="H82" s="149"/>
      <c r="J82" s="149"/>
      <c r="K82" s="43"/>
      <c r="L82" s="149"/>
      <c r="N82" s="192">
        <v>2</v>
      </c>
      <c r="O82" s="43">
        <v>5.8</v>
      </c>
      <c r="P82" s="149">
        <v>72.400000000000006</v>
      </c>
      <c r="Q82" s="149">
        <v>54.4</v>
      </c>
      <c r="R82" s="149">
        <v>45.9</v>
      </c>
      <c r="S82" s="149">
        <v>39.799999999999997</v>
      </c>
    </row>
    <row r="83" spans="2:19">
      <c r="B83" s="149" t="s">
        <v>221</v>
      </c>
      <c r="C83" s="152" t="s">
        <v>834</v>
      </c>
      <c r="D83" s="149" t="s">
        <v>245</v>
      </c>
      <c r="F83" s="149"/>
      <c r="G83" s="42"/>
      <c r="H83" s="149"/>
      <c r="J83" s="149"/>
      <c r="K83" s="43"/>
      <c r="L83" s="149"/>
      <c r="N83" s="192">
        <v>3</v>
      </c>
      <c r="O83" s="43">
        <v>6.8</v>
      </c>
      <c r="P83" s="149">
        <v>82.5</v>
      </c>
      <c r="Q83" s="149">
        <v>62.7</v>
      </c>
      <c r="R83" s="149">
        <v>53.5</v>
      </c>
      <c r="S83" s="149">
        <v>46.6</v>
      </c>
    </row>
    <row r="84" spans="2:19">
      <c r="B84" s="149" t="s">
        <v>570</v>
      </c>
      <c r="C84" s="152" t="s">
        <v>571</v>
      </c>
      <c r="D84" s="149" t="s">
        <v>572</v>
      </c>
      <c r="F84" s="149"/>
      <c r="G84" s="42"/>
      <c r="H84" s="149"/>
      <c r="J84" s="149"/>
      <c r="K84" s="43"/>
      <c r="L84" s="149"/>
      <c r="N84" s="192">
        <v>4</v>
      </c>
      <c r="O84" s="43">
        <v>7.1</v>
      </c>
      <c r="P84" s="149">
        <v>85.1</v>
      </c>
      <c r="Q84" s="149">
        <v>65.400000000000006</v>
      </c>
      <c r="R84" s="149">
        <v>55.9</v>
      </c>
      <c r="S84" s="149">
        <v>48.6</v>
      </c>
    </row>
    <row r="85" spans="2:19">
      <c r="B85" s="149" t="s">
        <v>573</v>
      </c>
      <c r="C85" s="152" t="s">
        <v>574</v>
      </c>
      <c r="D85" s="149" t="s">
        <v>575</v>
      </c>
      <c r="F85" s="149"/>
      <c r="G85" s="42"/>
      <c r="H85" s="149"/>
      <c r="J85" s="149"/>
      <c r="K85" s="43"/>
      <c r="L85" s="149"/>
      <c r="N85" s="192">
        <v>5</v>
      </c>
      <c r="O85" s="43">
        <v>8</v>
      </c>
      <c r="P85" s="149">
        <v>89.7</v>
      </c>
      <c r="Q85" s="149">
        <v>73.3</v>
      </c>
      <c r="R85" s="149">
        <v>62.8</v>
      </c>
      <c r="S85" s="149">
        <v>54.8</v>
      </c>
    </row>
    <row r="86" spans="2:19" ht="13.5">
      <c r="B86" s="149" t="s">
        <v>835</v>
      </c>
      <c r="C86" s="152" t="s">
        <v>836</v>
      </c>
      <c r="D86" s="149" t="s">
        <v>837</v>
      </c>
      <c r="F86" s="149"/>
      <c r="G86" s="42"/>
      <c r="H86" s="149"/>
      <c r="J86" s="149"/>
      <c r="K86" s="43"/>
      <c r="L86" s="149"/>
      <c r="N86" s="192">
        <v>6</v>
      </c>
      <c r="O86" s="43">
        <v>9.1999999999999993</v>
      </c>
      <c r="P86" s="149">
        <v>100</v>
      </c>
      <c r="Q86" s="149">
        <v>81.599999999999994</v>
      </c>
      <c r="R86" s="149">
        <v>71.599999999999994</v>
      </c>
      <c r="S86" s="149">
        <v>62.9</v>
      </c>
    </row>
    <row r="87" spans="2:19">
      <c r="B87" s="149"/>
      <c r="C87" s="152"/>
      <c r="D87" s="149"/>
      <c r="F87" s="149"/>
      <c r="G87" s="42"/>
      <c r="H87" s="149"/>
      <c r="J87" s="149"/>
      <c r="K87" s="43"/>
      <c r="L87" s="149"/>
      <c r="N87" s="192">
        <v>7</v>
      </c>
      <c r="O87" s="43">
        <v>11</v>
      </c>
      <c r="P87" s="149">
        <v>100</v>
      </c>
      <c r="Q87" s="149">
        <v>90.9</v>
      </c>
      <c r="R87" s="149">
        <v>82.8</v>
      </c>
      <c r="S87" s="149">
        <v>74.5</v>
      </c>
    </row>
    <row r="88" spans="2:19">
      <c r="B88" s="218" t="s">
        <v>582</v>
      </c>
      <c r="C88" s="219"/>
      <c r="D88" s="220"/>
      <c r="F88" s="149"/>
      <c r="G88" s="42"/>
      <c r="H88" s="149"/>
      <c r="J88" s="149"/>
      <c r="K88" s="43"/>
      <c r="L88" s="149"/>
      <c r="N88" s="192">
        <v>7</v>
      </c>
      <c r="O88" s="43">
        <v>12.5</v>
      </c>
      <c r="P88" s="149">
        <v>100</v>
      </c>
      <c r="Q88" s="149">
        <v>100</v>
      </c>
      <c r="R88" s="149">
        <v>89.1</v>
      </c>
      <c r="S88" s="149">
        <v>82.6</v>
      </c>
    </row>
    <row r="89" spans="2:19">
      <c r="B89" s="149" t="s">
        <v>195</v>
      </c>
      <c r="C89" s="152" t="s">
        <v>199</v>
      </c>
      <c r="D89" s="149" t="s">
        <v>404</v>
      </c>
      <c r="F89" s="149"/>
      <c r="G89" s="42"/>
      <c r="H89" s="149"/>
      <c r="J89" s="149"/>
      <c r="K89" s="43"/>
      <c r="L89" s="149"/>
      <c r="N89" s="192">
        <v>8</v>
      </c>
      <c r="O89" s="43">
        <v>13.5</v>
      </c>
      <c r="P89" s="149">
        <v>100</v>
      </c>
      <c r="Q89" s="149">
        <v>100</v>
      </c>
      <c r="R89" s="149">
        <v>100</v>
      </c>
      <c r="S89" s="149">
        <v>100</v>
      </c>
    </row>
    <row r="90" spans="2:19">
      <c r="B90" s="149" t="s">
        <v>196</v>
      </c>
      <c r="C90" s="152" t="s">
        <v>200</v>
      </c>
      <c r="D90" s="149" t="s">
        <v>403</v>
      </c>
      <c r="N90" s="193"/>
    </row>
    <row r="91" spans="2:19">
      <c r="B91" s="149" t="s">
        <v>197</v>
      </c>
      <c r="C91" s="152" t="s">
        <v>201</v>
      </c>
      <c r="D91" s="149" t="s">
        <v>402</v>
      </c>
      <c r="N91" s="168" t="s">
        <v>838</v>
      </c>
    </row>
    <row r="92" spans="2:19">
      <c r="B92" s="149" t="s">
        <v>198</v>
      </c>
      <c r="C92" s="152" t="s">
        <v>202</v>
      </c>
      <c r="D92" s="149" t="s">
        <v>401</v>
      </c>
      <c r="N92" s="149"/>
      <c r="O92" s="149"/>
      <c r="P92" s="149"/>
    </row>
    <row r="93" spans="2:19">
      <c r="B93" s="149" t="s">
        <v>176</v>
      </c>
      <c r="C93" s="152" t="s">
        <v>177</v>
      </c>
      <c r="D93" s="149" t="s">
        <v>400</v>
      </c>
      <c r="N93" s="194">
        <v>0</v>
      </c>
      <c r="O93" s="194" t="s">
        <v>839</v>
      </c>
      <c r="P93" s="149"/>
    </row>
    <row r="94" spans="2:19">
      <c r="B94" s="149" t="s">
        <v>205</v>
      </c>
      <c r="C94" s="152" t="s">
        <v>203</v>
      </c>
      <c r="D94" s="149" t="s">
        <v>422</v>
      </c>
      <c r="N94" s="194">
        <v>1</v>
      </c>
      <c r="O94" s="194" t="s">
        <v>840</v>
      </c>
      <c r="P94" s="149"/>
    </row>
    <row r="95" spans="2:19">
      <c r="B95" s="149" t="s">
        <v>206</v>
      </c>
      <c r="C95" s="152" t="s">
        <v>204</v>
      </c>
      <c r="D95" s="149" t="s">
        <v>423</v>
      </c>
    </row>
    <row r="96" spans="2:19">
      <c r="B96" s="149" t="s">
        <v>505</v>
      </c>
      <c r="C96" s="152" t="s">
        <v>507</v>
      </c>
      <c r="D96" s="149" t="s">
        <v>509</v>
      </c>
      <c r="N96" s="32" t="s">
        <v>841</v>
      </c>
      <c r="O96" s="148" t="s">
        <v>842</v>
      </c>
    </row>
    <row r="97" spans="2:15">
      <c r="B97" s="149" t="s">
        <v>506</v>
      </c>
      <c r="C97" s="152" t="s">
        <v>508</v>
      </c>
      <c r="D97" s="149" t="s">
        <v>510</v>
      </c>
      <c r="N97" s="34"/>
      <c r="O97" s="35"/>
    </row>
    <row r="98" spans="2:15">
      <c r="B98" s="149"/>
      <c r="C98" s="152"/>
      <c r="D98" s="149"/>
      <c r="N98" s="194">
        <v>0</v>
      </c>
      <c r="O98" s="194" t="s">
        <v>843</v>
      </c>
    </row>
    <row r="99" spans="2:15">
      <c r="B99" s="218" t="s">
        <v>583</v>
      </c>
      <c r="C99" s="219"/>
      <c r="D99" s="220"/>
      <c r="N99" s="194">
        <v>1</v>
      </c>
      <c r="O99" s="194" t="s">
        <v>844</v>
      </c>
    </row>
    <row r="100" spans="2:15">
      <c r="B100" s="149" t="s">
        <v>845</v>
      </c>
      <c r="C100" s="152" t="s">
        <v>846</v>
      </c>
      <c r="D100" s="149" t="s">
        <v>847</v>
      </c>
      <c r="N100" s="194">
        <v>2</v>
      </c>
      <c r="O100" s="194" t="s">
        <v>848</v>
      </c>
    </row>
    <row r="101" spans="2:15">
      <c r="B101" s="149" t="s">
        <v>475</v>
      </c>
      <c r="C101" s="152" t="s">
        <v>479</v>
      </c>
      <c r="D101" s="149" t="s">
        <v>594</v>
      </c>
      <c r="N101" s="194">
        <v>3</v>
      </c>
      <c r="O101" s="194" t="s">
        <v>849</v>
      </c>
    </row>
    <row r="102" spans="2:15">
      <c r="B102" s="149" t="s">
        <v>476</v>
      </c>
      <c r="C102" s="152" t="s">
        <v>480</v>
      </c>
      <c r="D102" s="149" t="s">
        <v>595</v>
      </c>
      <c r="N102" s="194">
        <v>4</v>
      </c>
      <c r="O102" s="194" t="s">
        <v>850</v>
      </c>
    </row>
    <row r="103" spans="2:15">
      <c r="B103" s="149" t="s">
        <v>477</v>
      </c>
      <c r="C103" s="152" t="s">
        <v>481</v>
      </c>
      <c r="D103" s="149" t="s">
        <v>596</v>
      </c>
      <c r="N103" s="194">
        <v>5</v>
      </c>
      <c r="O103" s="194" t="s">
        <v>851</v>
      </c>
    </row>
    <row r="104" spans="2:15">
      <c r="B104" s="149" t="s">
        <v>478</v>
      </c>
      <c r="C104" s="152" t="s">
        <v>482</v>
      </c>
      <c r="D104" s="149" t="s">
        <v>597</v>
      </c>
      <c r="N104" s="194">
        <v>6</v>
      </c>
      <c r="O104" s="194" t="s">
        <v>852</v>
      </c>
    </row>
    <row r="105" spans="2:15">
      <c r="B105" s="149" t="s">
        <v>538</v>
      </c>
      <c r="C105" s="152" t="s">
        <v>537</v>
      </c>
      <c r="D105" s="149" t="s">
        <v>539</v>
      </c>
      <c r="N105" s="194">
        <v>7</v>
      </c>
      <c r="O105" s="194" t="s">
        <v>853</v>
      </c>
    </row>
    <row r="106" spans="2:15">
      <c r="B106" s="149" t="s">
        <v>854</v>
      </c>
      <c r="C106" s="152" t="s">
        <v>855</v>
      </c>
      <c r="D106" s="149" t="s">
        <v>856</v>
      </c>
      <c r="N106" s="194">
        <v>8</v>
      </c>
      <c r="O106" s="194" t="s">
        <v>857</v>
      </c>
    </row>
    <row r="107" spans="2:15">
      <c r="B107" s="149" t="s">
        <v>858</v>
      </c>
      <c r="C107" s="152" t="s">
        <v>859</v>
      </c>
      <c r="D107" s="149" t="s">
        <v>860</v>
      </c>
      <c r="N107" s="194">
        <v>9</v>
      </c>
      <c r="O107" s="194" t="s">
        <v>861</v>
      </c>
    </row>
    <row r="108" spans="2:15">
      <c r="B108" s="149" t="s">
        <v>862</v>
      </c>
      <c r="C108" s="152" t="s">
        <v>863</v>
      </c>
      <c r="D108" s="149" t="s">
        <v>864</v>
      </c>
      <c r="N108" s="194">
        <v>10</v>
      </c>
      <c r="O108" s="194" t="s">
        <v>865</v>
      </c>
    </row>
    <row r="109" spans="2:15">
      <c r="B109" s="149" t="s">
        <v>866</v>
      </c>
      <c r="C109" s="152" t="s">
        <v>867</v>
      </c>
      <c r="D109" s="149" t="s">
        <v>868</v>
      </c>
    </row>
    <row r="110" spans="2:15">
      <c r="B110" s="149" t="s">
        <v>869</v>
      </c>
      <c r="C110" s="152" t="s">
        <v>870</v>
      </c>
      <c r="D110" s="149" t="s">
        <v>871</v>
      </c>
    </row>
    <row r="111" spans="2:15">
      <c r="B111" s="149" t="s">
        <v>541</v>
      </c>
      <c r="C111" s="152" t="s">
        <v>540</v>
      </c>
      <c r="D111" s="149" t="s">
        <v>588</v>
      </c>
    </row>
    <row r="112" spans="2:15">
      <c r="B112" s="149" t="s">
        <v>543</v>
      </c>
      <c r="C112" s="152" t="s">
        <v>542</v>
      </c>
      <c r="D112" s="149" t="s">
        <v>545</v>
      </c>
    </row>
    <row r="113" spans="2:5">
      <c r="B113" s="149" t="s">
        <v>544</v>
      </c>
      <c r="C113" s="152" t="s">
        <v>105</v>
      </c>
      <c r="D113" s="149" t="s">
        <v>546</v>
      </c>
    </row>
    <row r="114" spans="2:5">
      <c r="B114" s="149" t="s">
        <v>311</v>
      </c>
      <c r="C114" s="152" t="s">
        <v>372</v>
      </c>
      <c r="D114" s="149" t="s">
        <v>405</v>
      </c>
    </row>
    <row r="115" spans="2:5">
      <c r="B115" s="149" t="s">
        <v>313</v>
      </c>
      <c r="C115" s="152" t="s">
        <v>312</v>
      </c>
      <c r="D115" s="149" t="s">
        <v>433</v>
      </c>
    </row>
    <row r="116" spans="2:5">
      <c r="B116" s="149" t="s">
        <v>315</v>
      </c>
      <c r="C116" s="152" t="s">
        <v>314</v>
      </c>
      <c r="D116" s="149" t="s">
        <v>434</v>
      </c>
    </row>
    <row r="117" spans="2:5" ht="13.5">
      <c r="B117" s="149" t="s">
        <v>872</v>
      </c>
      <c r="C117" s="152" t="s">
        <v>873</v>
      </c>
      <c r="D117" s="149" t="s">
        <v>874</v>
      </c>
    </row>
    <row r="118" spans="2:5" ht="13.5">
      <c r="B118" s="149" t="s">
        <v>875</v>
      </c>
      <c r="C118" s="152" t="s">
        <v>876</v>
      </c>
      <c r="D118" s="149" t="s">
        <v>877</v>
      </c>
    </row>
    <row r="119" spans="2:5" ht="13.5">
      <c r="B119" s="149" t="s">
        <v>878</v>
      </c>
      <c r="C119" s="152" t="s">
        <v>879</v>
      </c>
      <c r="D119" s="149" t="s">
        <v>880</v>
      </c>
    </row>
    <row r="120" spans="2:5" ht="14.25">
      <c r="B120" s="149" t="s">
        <v>881</v>
      </c>
      <c r="C120" s="152" t="s">
        <v>882</v>
      </c>
      <c r="D120" s="149" t="s">
        <v>883</v>
      </c>
    </row>
    <row r="121" spans="2:5">
      <c r="B121" s="149"/>
      <c r="C121" s="152"/>
      <c r="D121" s="149"/>
    </row>
    <row r="122" spans="2:5">
      <c r="B122" s="149"/>
      <c r="C122" s="152"/>
      <c r="D122" s="149"/>
    </row>
    <row r="123" spans="2:5" ht="13.5">
      <c r="B123" s="149" t="s">
        <v>178</v>
      </c>
      <c r="C123" s="152" t="s">
        <v>884</v>
      </c>
      <c r="D123" s="149" t="s">
        <v>483</v>
      </c>
      <c r="E123" s="148" t="s">
        <v>885</v>
      </c>
    </row>
    <row r="124" spans="2:5">
      <c r="B124" s="149" t="s">
        <v>179</v>
      </c>
      <c r="C124" s="152" t="s">
        <v>781</v>
      </c>
      <c r="D124" s="149" t="s">
        <v>484</v>
      </c>
    </row>
    <row r="125" spans="2:5">
      <c r="B125" s="149" t="s">
        <v>180</v>
      </c>
      <c r="C125" s="152" t="s">
        <v>886</v>
      </c>
      <c r="D125" s="149" t="s">
        <v>485</v>
      </c>
    </row>
    <row r="126" spans="2:5">
      <c r="B126" s="149" t="s">
        <v>181</v>
      </c>
      <c r="C126" s="152"/>
      <c r="D126" s="149" t="s">
        <v>486</v>
      </c>
    </row>
    <row r="127" spans="2:5">
      <c r="B127" s="149" t="s">
        <v>887</v>
      </c>
      <c r="C127" s="152" t="s">
        <v>888</v>
      </c>
      <c r="D127" s="149" t="s">
        <v>856</v>
      </c>
    </row>
    <row r="128" spans="2:5">
      <c r="B128" s="149" t="s">
        <v>889</v>
      </c>
      <c r="C128" s="152" t="s">
        <v>890</v>
      </c>
      <c r="D128" s="149" t="s">
        <v>860</v>
      </c>
    </row>
    <row r="129" spans="2:7" ht="13.5">
      <c r="B129" s="149" t="s">
        <v>891</v>
      </c>
      <c r="C129" s="152" t="s">
        <v>892</v>
      </c>
      <c r="D129" s="149" t="s">
        <v>864</v>
      </c>
      <c r="G129" s="195"/>
    </row>
    <row r="130" spans="2:7">
      <c r="B130" s="149" t="s">
        <v>893</v>
      </c>
      <c r="C130" s="152" t="s">
        <v>894</v>
      </c>
      <c r="D130" s="149" t="s">
        <v>868</v>
      </c>
      <c r="E130" s="196"/>
    </row>
    <row r="131" spans="2:7">
      <c r="B131" s="149" t="s">
        <v>895</v>
      </c>
      <c r="C131" s="152" t="s">
        <v>896</v>
      </c>
      <c r="D131" s="149" t="s">
        <v>871</v>
      </c>
    </row>
    <row r="132" spans="2:7">
      <c r="B132" s="149"/>
      <c r="C132" s="152"/>
      <c r="D132" s="149"/>
    </row>
    <row r="133" spans="2:7">
      <c r="B133" s="149"/>
      <c r="C133" s="152"/>
      <c r="D133" s="149"/>
    </row>
    <row r="134" spans="2:7">
      <c r="B134" s="218" t="s">
        <v>598</v>
      </c>
      <c r="C134" s="219"/>
      <c r="D134" s="220"/>
    </row>
    <row r="135" spans="2:7">
      <c r="B135" s="149" t="s">
        <v>241</v>
      </c>
      <c r="C135" s="152" t="s">
        <v>897</v>
      </c>
      <c r="D135" s="149" t="s">
        <v>255</v>
      </c>
      <c r="E135" s="148" t="s">
        <v>898</v>
      </c>
    </row>
    <row r="136" spans="2:7">
      <c r="B136" s="149" t="s">
        <v>492</v>
      </c>
      <c r="C136" s="152" t="s">
        <v>786</v>
      </c>
      <c r="D136" s="149" t="s">
        <v>586</v>
      </c>
    </row>
    <row r="137" spans="2:7">
      <c r="B137" s="149" t="s">
        <v>899</v>
      </c>
      <c r="C137" s="152" t="s">
        <v>900</v>
      </c>
      <c r="D137" s="149"/>
      <c r="E137" s="148" t="s">
        <v>901</v>
      </c>
    </row>
    <row r="138" spans="2:7">
      <c r="B138" s="149" t="s">
        <v>902</v>
      </c>
      <c r="C138" s="152" t="s">
        <v>903</v>
      </c>
      <c r="D138" s="149"/>
      <c r="E138" s="148" t="s">
        <v>901</v>
      </c>
    </row>
    <row r="139" spans="2:7">
      <c r="B139" s="149" t="s">
        <v>904</v>
      </c>
      <c r="C139" s="152" t="s">
        <v>905</v>
      </c>
      <c r="D139" s="149"/>
      <c r="E139" s="148" t="s">
        <v>901</v>
      </c>
    </row>
    <row r="140" spans="2:7">
      <c r="B140" s="149" t="s">
        <v>906</v>
      </c>
      <c r="C140" s="152" t="s">
        <v>907</v>
      </c>
      <c r="D140" s="149"/>
      <c r="E140" s="148" t="s">
        <v>901</v>
      </c>
    </row>
    <row r="141" spans="2:7">
      <c r="B141" s="149"/>
      <c r="C141" s="152"/>
      <c r="D141" s="149"/>
    </row>
    <row r="142" spans="2:7" ht="13.5">
      <c r="B142" s="149" t="s">
        <v>244</v>
      </c>
      <c r="C142" s="152" t="s">
        <v>243</v>
      </c>
      <c r="D142" s="149" t="s">
        <v>396</v>
      </c>
      <c r="E142" s="148" t="s">
        <v>390</v>
      </c>
    </row>
    <row r="143" spans="2:7">
      <c r="B143" s="149" t="s">
        <v>252</v>
      </c>
      <c r="C143" s="152">
        <v>4.5</v>
      </c>
      <c r="D143" s="149" t="s">
        <v>432</v>
      </c>
    </row>
    <row r="144" spans="2:7">
      <c r="B144" s="149" t="s">
        <v>256</v>
      </c>
      <c r="C144" s="152">
        <v>11.3</v>
      </c>
      <c r="D144" s="149" t="s">
        <v>432</v>
      </c>
    </row>
    <row r="145" spans="2:5">
      <c r="B145" s="149"/>
      <c r="C145" s="152"/>
      <c r="D145" s="149"/>
    </row>
    <row r="146" spans="2:5">
      <c r="B146" s="149" t="s">
        <v>270</v>
      </c>
      <c r="C146" s="152" t="s">
        <v>269</v>
      </c>
      <c r="D146" s="149" t="s">
        <v>584</v>
      </c>
      <c r="E146" s="148" t="s">
        <v>265</v>
      </c>
    </row>
    <row r="147" spans="2:5">
      <c r="B147" s="149" t="s">
        <v>272</v>
      </c>
      <c r="C147" s="152" t="s">
        <v>271</v>
      </c>
      <c r="D147" s="149" t="s">
        <v>584</v>
      </c>
      <c r="E147" s="148" t="s">
        <v>266</v>
      </c>
    </row>
    <row r="148" spans="2:5">
      <c r="B148" s="149" t="s">
        <v>274</v>
      </c>
      <c r="C148" s="152" t="s">
        <v>273</v>
      </c>
      <c r="D148" s="167" t="s">
        <v>397</v>
      </c>
      <c r="E148" s="148" t="s">
        <v>267</v>
      </c>
    </row>
    <row r="149" spans="2:5">
      <c r="B149" s="149" t="s">
        <v>276</v>
      </c>
      <c r="C149" s="152" t="s">
        <v>275</v>
      </c>
      <c r="D149" s="167" t="s">
        <v>418</v>
      </c>
      <c r="E149" s="148" t="s">
        <v>268</v>
      </c>
    </row>
    <row r="150" spans="2:5">
      <c r="B150" s="149"/>
      <c r="C150" s="152"/>
      <c r="D150" s="149"/>
    </row>
    <row r="151" spans="2:5">
      <c r="B151" s="149" t="s">
        <v>286</v>
      </c>
      <c r="C151" s="152">
        <v>4.2</v>
      </c>
      <c r="D151" s="149" t="s">
        <v>908</v>
      </c>
    </row>
    <row r="152" spans="2:5">
      <c r="B152" s="149" t="s">
        <v>285</v>
      </c>
      <c r="C152" s="152">
        <v>8</v>
      </c>
      <c r="D152" s="149" t="s">
        <v>908</v>
      </c>
    </row>
    <row r="153" spans="2:5">
      <c r="B153" s="149"/>
      <c r="C153" s="152"/>
      <c r="D153" s="149"/>
    </row>
    <row r="154" spans="2:5">
      <c r="B154" s="149" t="s">
        <v>319</v>
      </c>
      <c r="C154" s="152" t="s">
        <v>909</v>
      </c>
      <c r="D154" s="149" t="s">
        <v>398</v>
      </c>
      <c r="E154" s="148" t="s">
        <v>391</v>
      </c>
    </row>
    <row r="155" spans="2:5">
      <c r="B155" s="149" t="s">
        <v>324</v>
      </c>
      <c r="C155" s="152" t="s">
        <v>910</v>
      </c>
      <c r="D155" s="149" t="s">
        <v>398</v>
      </c>
      <c r="E155" s="148" t="s">
        <v>323</v>
      </c>
    </row>
    <row r="156" spans="2:5">
      <c r="B156" s="149" t="s">
        <v>329</v>
      </c>
      <c r="C156" s="152" t="s">
        <v>328</v>
      </c>
      <c r="D156" s="149" t="s">
        <v>399</v>
      </c>
      <c r="E156" s="148" t="s">
        <v>327</v>
      </c>
    </row>
    <row r="157" spans="2:5">
      <c r="B157" s="149" t="s">
        <v>331</v>
      </c>
      <c r="C157" s="152" t="s">
        <v>330</v>
      </c>
      <c r="D157" s="149" t="s">
        <v>399</v>
      </c>
      <c r="E157" s="148" t="s">
        <v>266</v>
      </c>
    </row>
    <row r="158" spans="2:5">
      <c r="B158" s="149" t="s">
        <v>333</v>
      </c>
      <c r="C158" s="152" t="s">
        <v>394</v>
      </c>
      <c r="D158" s="149" t="s">
        <v>357</v>
      </c>
      <c r="E158" s="148" t="s">
        <v>337</v>
      </c>
    </row>
    <row r="159" spans="2:5">
      <c r="B159" s="149"/>
      <c r="C159" s="152"/>
      <c r="D159" s="149"/>
    </row>
    <row r="160" spans="2:5">
      <c r="B160" s="149" t="s">
        <v>341</v>
      </c>
      <c r="C160" s="152" t="s">
        <v>341</v>
      </c>
      <c r="D160" s="149" t="s">
        <v>406</v>
      </c>
      <c r="E160" s="148" t="s">
        <v>392</v>
      </c>
    </row>
    <row r="161" spans="2:5">
      <c r="B161" s="149" t="s">
        <v>342</v>
      </c>
      <c r="C161" s="152" t="s">
        <v>342</v>
      </c>
      <c r="D161" s="149" t="s">
        <v>406</v>
      </c>
      <c r="E161" s="148" t="s">
        <v>489</v>
      </c>
    </row>
    <row r="162" spans="2:5">
      <c r="B162" s="149" t="s">
        <v>343</v>
      </c>
      <c r="C162" s="152" t="s">
        <v>343</v>
      </c>
      <c r="D162" s="149" t="s">
        <v>406</v>
      </c>
      <c r="E162" s="148" t="s">
        <v>393</v>
      </c>
    </row>
    <row r="163" spans="2:5">
      <c r="B163" s="149" t="s">
        <v>346</v>
      </c>
      <c r="C163" s="152">
        <v>3.8</v>
      </c>
      <c r="D163" s="149" t="s">
        <v>406</v>
      </c>
    </row>
    <row r="164" spans="2:5">
      <c r="B164" s="149" t="s">
        <v>347</v>
      </c>
      <c r="C164" s="152">
        <v>8</v>
      </c>
      <c r="D164" s="149" t="s">
        <v>406</v>
      </c>
    </row>
    <row r="165" spans="2:5">
      <c r="B165" s="149"/>
      <c r="C165" s="152" t="s">
        <v>911</v>
      </c>
      <c r="D165" s="149"/>
    </row>
    <row r="166" spans="2:5">
      <c r="B166" s="149"/>
      <c r="C166" s="152" t="s">
        <v>912</v>
      </c>
      <c r="D166" s="149"/>
    </row>
    <row r="167" spans="2:5">
      <c r="B167" s="149"/>
      <c r="C167" s="152" t="s">
        <v>913</v>
      </c>
      <c r="D167" s="149"/>
      <c r="E167" s="148" t="s">
        <v>914</v>
      </c>
    </row>
    <row r="168" spans="2:5">
      <c r="B168" s="149"/>
      <c r="C168" s="152"/>
      <c r="D168" s="149"/>
    </row>
    <row r="169" spans="2:5">
      <c r="B169" s="149"/>
      <c r="C169" s="152"/>
      <c r="D169" s="149"/>
    </row>
    <row r="170" spans="2:5">
      <c r="B170" s="149" t="s">
        <v>359</v>
      </c>
      <c r="C170" s="152">
        <v>4.5</v>
      </c>
      <c r="D170" s="149" t="s">
        <v>557</v>
      </c>
    </row>
    <row r="171" spans="2:5">
      <c r="B171" s="149" t="s">
        <v>360</v>
      </c>
      <c r="C171" s="152">
        <v>4</v>
      </c>
      <c r="D171" s="149" t="s">
        <v>558</v>
      </c>
    </row>
    <row r="172" spans="2:5">
      <c r="B172" s="149" t="s">
        <v>361</v>
      </c>
      <c r="C172" s="152">
        <v>3.4</v>
      </c>
      <c r="D172" s="149" t="s">
        <v>559</v>
      </c>
    </row>
    <row r="173" spans="2:5">
      <c r="B173" s="149" t="s">
        <v>551</v>
      </c>
      <c r="C173" s="152">
        <v>13.5</v>
      </c>
      <c r="D173" s="149" t="s">
        <v>554</v>
      </c>
      <c r="E173" s="168" t="s">
        <v>585</v>
      </c>
    </row>
    <row r="174" spans="2:5">
      <c r="B174" s="149" t="s">
        <v>552</v>
      </c>
      <c r="C174" s="152">
        <v>10</v>
      </c>
      <c r="D174" s="149" t="s">
        <v>555</v>
      </c>
    </row>
    <row r="175" spans="2:5">
      <c r="B175" s="149" t="s">
        <v>553</v>
      </c>
      <c r="C175" s="152">
        <v>8</v>
      </c>
      <c r="D175" s="149" t="s">
        <v>556</v>
      </c>
    </row>
    <row r="176" spans="2:5">
      <c r="B176" s="149"/>
      <c r="C176" s="152"/>
      <c r="D176" s="149"/>
    </row>
    <row r="177" spans="2:5">
      <c r="B177" s="149" t="s">
        <v>419</v>
      </c>
      <c r="C177" s="152" t="s">
        <v>414</v>
      </c>
      <c r="D177" s="149" t="s">
        <v>407</v>
      </c>
      <c r="E177" s="148" t="s">
        <v>411</v>
      </c>
    </row>
    <row r="178" spans="2:5">
      <c r="B178" s="149" t="s">
        <v>420</v>
      </c>
      <c r="C178" s="152" t="s">
        <v>415</v>
      </c>
      <c r="D178" s="149" t="s">
        <v>408</v>
      </c>
      <c r="E178" s="148" t="s">
        <v>412</v>
      </c>
    </row>
    <row r="179" spans="2:5">
      <c r="B179" s="149" t="s">
        <v>421</v>
      </c>
      <c r="C179" s="152" t="s">
        <v>416</v>
      </c>
      <c r="D179" s="149" t="s">
        <v>409</v>
      </c>
      <c r="E179" s="148" t="s">
        <v>413</v>
      </c>
    </row>
    <row r="180" spans="2:5">
      <c r="B180" s="149"/>
      <c r="C180" s="152"/>
      <c r="D180" s="149"/>
    </row>
    <row r="181" spans="2:5">
      <c r="B181" s="149" t="s">
        <v>428</v>
      </c>
      <c r="C181" s="152" t="s">
        <v>915</v>
      </c>
      <c r="D181" s="197" t="s">
        <v>916</v>
      </c>
      <c r="E181" s="148" t="s">
        <v>436</v>
      </c>
    </row>
    <row r="182" spans="2:5">
      <c r="B182" s="149" t="s">
        <v>427</v>
      </c>
      <c r="C182" s="152" t="s">
        <v>917</v>
      </c>
      <c r="D182" s="197" t="s">
        <v>918</v>
      </c>
      <c r="E182" s="148" t="s">
        <v>451</v>
      </c>
    </row>
    <row r="183" spans="2:5">
      <c r="B183" s="149" t="s">
        <v>425</v>
      </c>
      <c r="C183" s="152" t="s">
        <v>919</v>
      </c>
      <c r="D183" s="197" t="s">
        <v>920</v>
      </c>
      <c r="E183" s="148" t="s">
        <v>437</v>
      </c>
    </row>
    <row r="184" spans="2:5">
      <c r="B184" s="149" t="s">
        <v>426</v>
      </c>
      <c r="C184" s="152" t="s">
        <v>921</v>
      </c>
      <c r="D184" s="197" t="s">
        <v>922</v>
      </c>
      <c r="E184" s="148" t="s">
        <v>435</v>
      </c>
    </row>
    <row r="185" spans="2:5" ht="13.5">
      <c r="B185" s="149" t="s">
        <v>923</v>
      </c>
      <c r="C185" s="152" t="s">
        <v>924</v>
      </c>
      <c r="D185" s="197" t="s">
        <v>925</v>
      </c>
      <c r="E185" s="148" t="s">
        <v>926</v>
      </c>
    </row>
    <row r="186" spans="2:5" ht="13.5">
      <c r="B186" s="149" t="s">
        <v>795</v>
      </c>
      <c r="C186" s="152" t="s">
        <v>795</v>
      </c>
      <c r="D186" s="187" t="s">
        <v>927</v>
      </c>
      <c r="E186" s="148" t="s">
        <v>796</v>
      </c>
    </row>
    <row r="187" spans="2:5">
      <c r="B187" s="149" t="s">
        <v>928</v>
      </c>
      <c r="C187" s="152" t="s">
        <v>928</v>
      </c>
      <c r="D187" s="149"/>
      <c r="E187" s="148" t="s">
        <v>929</v>
      </c>
    </row>
    <row r="188" spans="2:5">
      <c r="B188" s="149"/>
      <c r="C188" s="152"/>
      <c r="D188" s="149"/>
    </row>
    <row r="189" spans="2:5">
      <c r="B189" s="149" t="s">
        <v>439</v>
      </c>
      <c r="C189" s="152" t="s">
        <v>438</v>
      </c>
      <c r="D189" s="149" t="s">
        <v>440</v>
      </c>
      <c r="E189" s="148" t="s">
        <v>441</v>
      </c>
    </row>
    <row r="190" spans="2:5">
      <c r="B190" s="149" t="s">
        <v>442</v>
      </c>
      <c r="C190" s="152" t="s">
        <v>442</v>
      </c>
      <c r="D190" s="149" t="s">
        <v>452</v>
      </c>
      <c r="E190" s="148" t="s">
        <v>443</v>
      </c>
    </row>
    <row r="191" spans="2:5">
      <c r="B191" s="149" t="s">
        <v>930</v>
      </c>
      <c r="C191" s="152" t="s">
        <v>931</v>
      </c>
      <c r="D191" s="149"/>
    </row>
    <row r="192" spans="2:5">
      <c r="B192" s="149"/>
      <c r="C192" s="152"/>
      <c r="D192" s="149"/>
    </row>
    <row r="193" spans="2:5">
      <c r="B193" s="149" t="s">
        <v>462</v>
      </c>
      <c r="C193" s="152" t="s">
        <v>444</v>
      </c>
      <c r="D193" s="149" t="s">
        <v>457</v>
      </c>
    </row>
    <row r="194" spans="2:5">
      <c r="B194" s="149" t="s">
        <v>463</v>
      </c>
      <c r="C194" s="152" t="s">
        <v>445</v>
      </c>
      <c r="D194" s="149" t="s">
        <v>457</v>
      </c>
      <c r="E194" s="148" t="s">
        <v>450</v>
      </c>
    </row>
    <row r="195" spans="2:5">
      <c r="B195" s="149" t="s">
        <v>464</v>
      </c>
      <c r="C195" s="152" t="s">
        <v>446</v>
      </c>
      <c r="D195" s="149" t="s">
        <v>722</v>
      </c>
    </row>
    <row r="196" spans="2:5">
      <c r="B196" s="149" t="s">
        <v>448</v>
      </c>
      <c r="C196" s="152" t="s">
        <v>447</v>
      </c>
      <c r="D196" s="149" t="s">
        <v>449</v>
      </c>
    </row>
    <row r="197" spans="2:5">
      <c r="B197" s="149" t="s">
        <v>459</v>
      </c>
      <c r="C197" s="152" t="s">
        <v>458</v>
      </c>
      <c r="D197" s="149" t="s">
        <v>456</v>
      </c>
      <c r="E197" s="148" t="s">
        <v>454</v>
      </c>
    </row>
    <row r="198" spans="2:5">
      <c r="B198" s="149" t="s">
        <v>461</v>
      </c>
      <c r="C198" s="152" t="s">
        <v>460</v>
      </c>
      <c r="D198" s="149" t="s">
        <v>453</v>
      </c>
      <c r="E198" s="148" t="s">
        <v>455</v>
      </c>
    </row>
    <row r="199" spans="2:5">
      <c r="B199" s="149"/>
      <c r="C199" s="152"/>
      <c r="D199" s="149"/>
    </row>
    <row r="200" spans="2:5">
      <c r="B200" s="149" t="s">
        <v>498</v>
      </c>
      <c r="C200" s="152" t="s">
        <v>495</v>
      </c>
      <c r="D200" s="149" t="s">
        <v>534</v>
      </c>
    </row>
    <row r="201" spans="2:5">
      <c r="B201" s="149" t="s">
        <v>496</v>
      </c>
      <c r="C201" s="152" t="s">
        <v>497</v>
      </c>
      <c r="D201" s="149" t="s">
        <v>533</v>
      </c>
    </row>
    <row r="202" spans="2:5">
      <c r="B202" s="149" t="s">
        <v>531</v>
      </c>
      <c r="C202" s="152" t="s">
        <v>526</v>
      </c>
      <c r="D202" s="149" t="s">
        <v>529</v>
      </c>
      <c r="E202" s="148" t="s">
        <v>695</v>
      </c>
    </row>
    <row r="203" spans="2:5">
      <c r="B203" s="149" t="s">
        <v>530</v>
      </c>
      <c r="C203" s="152" t="s">
        <v>527</v>
      </c>
      <c r="D203" s="149" t="s">
        <v>528</v>
      </c>
      <c r="E203" s="148" t="s">
        <v>524</v>
      </c>
    </row>
    <row r="204" spans="2:5">
      <c r="B204" s="149" t="s">
        <v>493</v>
      </c>
      <c r="C204" s="152" t="s">
        <v>494</v>
      </c>
      <c r="D204" s="149" t="s">
        <v>587</v>
      </c>
    </row>
    <row r="205" spans="2:5">
      <c r="B205" s="149"/>
      <c r="C205" s="152"/>
      <c r="D205" s="149"/>
    </row>
    <row r="206" spans="2:5">
      <c r="B206" s="149" t="s">
        <v>547</v>
      </c>
      <c r="C206" s="152" t="s">
        <v>577</v>
      </c>
      <c r="D206" s="149" t="s">
        <v>549</v>
      </c>
    </row>
    <row r="207" spans="2:5">
      <c r="B207" s="149" t="s">
        <v>548</v>
      </c>
      <c r="C207" s="152" t="s">
        <v>576</v>
      </c>
      <c r="D207" s="149" t="s">
        <v>589</v>
      </c>
    </row>
    <row r="208" spans="2:5">
      <c r="B208" s="149" t="s">
        <v>550</v>
      </c>
      <c r="C208" s="152" t="s">
        <v>724</v>
      </c>
      <c r="D208" s="149" t="s">
        <v>723</v>
      </c>
    </row>
    <row r="209" spans="2:5">
      <c r="B209" s="149"/>
      <c r="C209" s="152"/>
      <c r="D209" s="149"/>
    </row>
    <row r="210" spans="2:5">
      <c r="B210" s="149" t="s">
        <v>779</v>
      </c>
      <c r="C210" s="152" t="s">
        <v>932</v>
      </c>
      <c r="D210" s="149" t="s">
        <v>578</v>
      </c>
    </row>
    <row r="211" spans="2:5">
      <c r="B211" s="149" t="s">
        <v>600</v>
      </c>
      <c r="C211" s="152" t="s">
        <v>599</v>
      </c>
      <c r="D211" s="149" t="s">
        <v>601</v>
      </c>
      <c r="E211" s="148" t="s">
        <v>602</v>
      </c>
    </row>
    <row r="212" spans="2:5">
      <c r="B212" s="149"/>
      <c r="C212" s="152"/>
      <c r="D212" s="149"/>
    </row>
    <row r="213" spans="2:5">
      <c r="B213" s="149" t="s">
        <v>604</v>
      </c>
      <c r="C213" s="152" t="s">
        <v>603</v>
      </c>
      <c r="D213" s="149" t="s">
        <v>605</v>
      </c>
    </row>
    <row r="214" spans="2:5">
      <c r="B214" s="149"/>
      <c r="C214" s="152"/>
      <c r="D214" s="149"/>
    </row>
    <row r="215" spans="2:5">
      <c r="B215" s="149" t="s">
        <v>698</v>
      </c>
      <c r="C215" s="152" t="s">
        <v>704</v>
      </c>
      <c r="D215" s="149" t="s">
        <v>708</v>
      </c>
      <c r="E215" s="148" t="s">
        <v>710</v>
      </c>
    </row>
    <row r="216" spans="2:5">
      <c r="B216" s="149" t="s">
        <v>699</v>
      </c>
      <c r="C216" s="152" t="s">
        <v>705</v>
      </c>
      <c r="D216" s="149" t="s">
        <v>707</v>
      </c>
      <c r="E216" s="148" t="s">
        <v>711</v>
      </c>
    </row>
    <row r="217" spans="2:5">
      <c r="B217" s="149" t="s">
        <v>700</v>
      </c>
      <c r="C217" s="152" t="s">
        <v>703</v>
      </c>
      <c r="D217" s="149" t="s">
        <v>706</v>
      </c>
      <c r="E217" s="148" t="s">
        <v>712</v>
      </c>
    </row>
    <row r="218" spans="2:5">
      <c r="B218" s="149" t="s">
        <v>701</v>
      </c>
      <c r="C218" s="152" t="s">
        <v>702</v>
      </c>
      <c r="D218" s="149" t="s">
        <v>709</v>
      </c>
      <c r="E218" s="148" t="s">
        <v>713</v>
      </c>
    </row>
    <row r="219" spans="2:5">
      <c r="B219" s="149"/>
      <c r="C219" s="152"/>
      <c r="D219" s="149"/>
    </row>
    <row r="220" spans="2:5">
      <c r="B220" s="149" t="s">
        <v>746</v>
      </c>
      <c r="C220" s="152" t="s">
        <v>745</v>
      </c>
      <c r="D220" s="149" t="s">
        <v>933</v>
      </c>
    </row>
    <row r="221" spans="2:5" ht="13.15" customHeight="1">
      <c r="B221" s="149" t="s">
        <v>607</v>
      </c>
      <c r="C221" s="152" t="s">
        <v>608</v>
      </c>
      <c r="D221" s="149" t="s">
        <v>934</v>
      </c>
    </row>
    <row r="222" spans="2:5">
      <c r="B222" s="149"/>
      <c r="C222" s="152"/>
      <c r="D222" s="149"/>
    </row>
    <row r="223" spans="2:5">
      <c r="B223" s="149" t="s">
        <v>609</v>
      </c>
      <c r="C223" s="152" t="s">
        <v>610</v>
      </c>
      <c r="D223" s="149" t="s">
        <v>611</v>
      </c>
    </row>
    <row r="224" spans="2:5">
      <c r="B224" s="149" t="s">
        <v>612</v>
      </c>
      <c r="C224" s="152" t="s">
        <v>613</v>
      </c>
      <c r="D224" s="149" t="s">
        <v>614</v>
      </c>
    </row>
    <row r="225" spans="2:5">
      <c r="B225" s="149" t="s">
        <v>935</v>
      </c>
      <c r="C225" s="152" t="s">
        <v>795</v>
      </c>
      <c r="D225" s="149"/>
    </row>
    <row r="226" spans="2:5">
      <c r="B226" s="149"/>
      <c r="C226" s="152"/>
      <c r="D226" s="149"/>
    </row>
    <row r="227" spans="2:5">
      <c r="B227" s="149" t="s">
        <v>740</v>
      </c>
      <c r="C227" s="152" t="s">
        <v>936</v>
      </c>
      <c r="D227" s="149" t="s">
        <v>767</v>
      </c>
    </row>
    <row r="228" spans="2:5">
      <c r="B228" s="149" t="s">
        <v>615</v>
      </c>
      <c r="C228" s="152" t="s">
        <v>616</v>
      </c>
      <c r="D228" s="149" t="s">
        <v>662</v>
      </c>
    </row>
    <row r="229" spans="2:5">
      <c r="B229" s="149" t="s">
        <v>617</v>
      </c>
      <c r="C229" s="152" t="s">
        <v>618</v>
      </c>
      <c r="D229" s="149" t="s">
        <v>663</v>
      </c>
    </row>
    <row r="230" spans="2:5">
      <c r="B230" s="149"/>
      <c r="C230" s="152"/>
      <c r="D230" s="149"/>
    </row>
    <row r="231" spans="2:5">
      <c r="B231" s="149" t="s">
        <v>619</v>
      </c>
      <c r="C231" s="152" t="s">
        <v>620</v>
      </c>
      <c r="D231" s="149" t="s">
        <v>664</v>
      </c>
    </row>
    <row r="232" spans="2:5">
      <c r="B232" s="149" t="s">
        <v>621</v>
      </c>
      <c r="C232" s="152" t="s">
        <v>622</v>
      </c>
      <c r="D232" s="149" t="s">
        <v>623</v>
      </c>
    </row>
    <row r="233" spans="2:5">
      <c r="B233" s="149"/>
      <c r="C233" s="152"/>
      <c r="D233" s="149"/>
    </row>
    <row r="234" spans="2:5">
      <c r="B234" s="149" t="s">
        <v>937</v>
      </c>
      <c r="C234" s="152" t="s">
        <v>938</v>
      </c>
      <c r="D234" s="149" t="s">
        <v>939</v>
      </c>
    </row>
    <row r="235" spans="2:5">
      <c r="B235" s="149"/>
      <c r="C235" s="152"/>
      <c r="D235" s="149"/>
    </row>
    <row r="236" spans="2:5">
      <c r="B236" s="149" t="s">
        <v>624</v>
      </c>
      <c r="C236" s="152" t="s">
        <v>625</v>
      </c>
      <c r="D236" s="149" t="s">
        <v>665</v>
      </c>
    </row>
    <row r="237" spans="2:5">
      <c r="B237" s="149" t="s">
        <v>626</v>
      </c>
      <c r="C237" s="152" t="s">
        <v>627</v>
      </c>
      <c r="D237" s="149" t="s">
        <v>666</v>
      </c>
    </row>
    <row r="238" spans="2:5">
      <c r="B238" s="149" t="s">
        <v>628</v>
      </c>
      <c r="C238" s="152" t="s">
        <v>629</v>
      </c>
      <c r="D238" s="149" t="s">
        <v>667</v>
      </c>
    </row>
    <row r="239" spans="2:5">
      <c r="B239" s="149"/>
      <c r="C239" s="152"/>
      <c r="D239" s="149"/>
    </row>
    <row r="240" spans="2:5">
      <c r="B240" s="149" t="s">
        <v>940</v>
      </c>
      <c r="C240" s="152" t="s">
        <v>941</v>
      </c>
      <c r="D240" s="149" t="s">
        <v>942</v>
      </c>
      <c r="E240" s="148" t="s">
        <v>943</v>
      </c>
    </row>
    <row r="241" spans="2:5">
      <c r="B241" s="149" t="s">
        <v>944</v>
      </c>
      <c r="C241" s="152" t="s">
        <v>945</v>
      </c>
      <c r="D241" s="149"/>
      <c r="E241" s="148" t="s">
        <v>946</v>
      </c>
    </row>
    <row r="242" spans="2:5">
      <c r="B242" s="149" t="s">
        <v>947</v>
      </c>
      <c r="C242" s="152" t="s">
        <v>948</v>
      </c>
      <c r="D242" s="149"/>
      <c r="E242" s="148" t="s">
        <v>949</v>
      </c>
    </row>
    <row r="243" spans="2:5">
      <c r="B243" s="149" t="s">
        <v>950</v>
      </c>
      <c r="C243" s="152" t="s">
        <v>951</v>
      </c>
      <c r="D243" s="149"/>
      <c r="E243" s="148" t="s">
        <v>952</v>
      </c>
    </row>
    <row r="244" spans="2:5">
      <c r="B244" s="149" t="s">
        <v>953</v>
      </c>
      <c r="C244" s="152" t="s">
        <v>954</v>
      </c>
      <c r="D244" s="149"/>
      <c r="E244" s="148" t="s">
        <v>955</v>
      </c>
    </row>
    <row r="245" spans="2:5">
      <c r="B245" s="149" t="s">
        <v>956</v>
      </c>
      <c r="C245" s="152" t="s">
        <v>957</v>
      </c>
      <c r="D245" s="149"/>
      <c r="E245" s="148" t="s">
        <v>958</v>
      </c>
    </row>
    <row r="246" spans="2:5">
      <c r="B246" s="149" t="s">
        <v>959</v>
      </c>
      <c r="C246" s="152" t="s">
        <v>960</v>
      </c>
      <c r="D246" s="149"/>
      <c r="E246" s="148" t="s">
        <v>961</v>
      </c>
    </row>
    <row r="247" spans="2:5">
      <c r="B247" s="149" t="s">
        <v>962</v>
      </c>
      <c r="C247" s="152" t="s">
        <v>963</v>
      </c>
      <c r="D247" s="149"/>
      <c r="E247" s="148" t="s">
        <v>964</v>
      </c>
    </row>
    <row r="248" spans="2:5">
      <c r="B248" s="149" t="s">
        <v>965</v>
      </c>
      <c r="C248" s="152" t="s">
        <v>966</v>
      </c>
      <c r="D248" s="149"/>
      <c r="E248" s="148" t="s">
        <v>949</v>
      </c>
    </row>
    <row r="249" spans="2:5">
      <c r="B249" s="149" t="s">
        <v>967</v>
      </c>
      <c r="C249" s="152" t="s">
        <v>968</v>
      </c>
      <c r="D249" s="149"/>
      <c r="E249" s="148" t="s">
        <v>969</v>
      </c>
    </row>
    <row r="250" spans="2:5">
      <c r="B250" s="149" t="s">
        <v>970</v>
      </c>
      <c r="C250" s="152" t="s">
        <v>971</v>
      </c>
      <c r="D250" s="149"/>
      <c r="E250" s="148" t="s">
        <v>972</v>
      </c>
    </row>
    <row r="251" spans="2:5">
      <c r="B251" s="149" t="s">
        <v>973</v>
      </c>
      <c r="C251" s="152" t="s">
        <v>974</v>
      </c>
      <c r="D251" s="149"/>
      <c r="E251" s="148" t="s">
        <v>975</v>
      </c>
    </row>
    <row r="252" spans="2:5">
      <c r="B252" s="149"/>
      <c r="C252" s="152"/>
      <c r="D252" s="149"/>
    </row>
    <row r="253" spans="2:5">
      <c r="B253" s="149" t="s">
        <v>976</v>
      </c>
      <c r="C253" s="152" t="s">
        <v>977</v>
      </c>
      <c r="D253" s="149" t="s">
        <v>978</v>
      </c>
      <c r="E253" s="148" t="s">
        <v>979</v>
      </c>
    </row>
    <row r="254" spans="2:5">
      <c r="B254" s="149"/>
      <c r="C254" s="152"/>
      <c r="D254" s="149"/>
    </row>
    <row r="255" spans="2:5">
      <c r="B255" s="149" t="s">
        <v>630</v>
      </c>
      <c r="C255" s="152" t="s">
        <v>631</v>
      </c>
      <c r="D255" s="149" t="s">
        <v>632</v>
      </c>
    </row>
    <row r="256" spans="2:5">
      <c r="B256" s="149" t="s">
        <v>633</v>
      </c>
      <c r="C256" s="152" t="s">
        <v>634</v>
      </c>
      <c r="D256" s="149" t="s">
        <v>635</v>
      </c>
    </row>
    <row r="257" spans="2:4">
      <c r="B257" s="149"/>
      <c r="C257" s="152"/>
      <c r="D257" s="149"/>
    </row>
    <row r="258" spans="2:4">
      <c r="B258" s="149" t="s">
        <v>636</v>
      </c>
      <c r="C258" s="152" t="s">
        <v>637</v>
      </c>
      <c r="D258" s="149" t="s">
        <v>638</v>
      </c>
    </row>
    <row r="259" spans="2:4">
      <c r="B259" s="149"/>
      <c r="C259" s="152"/>
      <c r="D259" s="149"/>
    </row>
    <row r="260" spans="2:4">
      <c r="B260" s="149" t="s">
        <v>639</v>
      </c>
      <c r="C260" s="152" t="s">
        <v>640</v>
      </c>
      <c r="D260" s="149" t="s">
        <v>668</v>
      </c>
    </row>
    <row r="261" spans="2:4">
      <c r="B261" s="149"/>
      <c r="C261" s="152"/>
      <c r="D261" s="149"/>
    </row>
    <row r="262" spans="2:4">
      <c r="B262" s="149" t="s">
        <v>641</v>
      </c>
      <c r="C262" s="152" t="s">
        <v>642</v>
      </c>
      <c r="D262" s="149" t="s">
        <v>669</v>
      </c>
    </row>
    <row r="263" spans="2:4">
      <c r="B263" s="149" t="s">
        <v>643</v>
      </c>
      <c r="C263" s="152" t="s">
        <v>644</v>
      </c>
      <c r="D263" s="149" t="s">
        <v>670</v>
      </c>
    </row>
    <row r="264" spans="2:4">
      <c r="B264" s="149"/>
      <c r="C264" s="152"/>
      <c r="D264" s="149"/>
    </row>
    <row r="265" spans="2:4">
      <c r="B265" s="149" t="s">
        <v>980</v>
      </c>
      <c r="C265" s="152" t="s">
        <v>981</v>
      </c>
      <c r="D265" s="149"/>
    </row>
    <row r="266" spans="2:4">
      <c r="B266" s="149" t="s">
        <v>982</v>
      </c>
      <c r="C266" s="152" t="s">
        <v>983</v>
      </c>
      <c r="D266" s="149"/>
    </row>
    <row r="267" spans="2:4">
      <c r="B267" s="149"/>
      <c r="C267" s="152"/>
      <c r="D267" s="149"/>
    </row>
    <row r="268" spans="2:4">
      <c r="B268" s="149" t="s">
        <v>645</v>
      </c>
      <c r="C268" s="152" t="s">
        <v>737</v>
      </c>
      <c r="D268" s="149" t="s">
        <v>725</v>
      </c>
    </row>
    <row r="269" spans="2:4">
      <c r="B269" s="149" t="s">
        <v>646</v>
      </c>
      <c r="C269" s="152" t="s">
        <v>738</v>
      </c>
      <c r="D269" s="149" t="s">
        <v>725</v>
      </c>
    </row>
    <row r="270" spans="2:4">
      <c r="B270" s="149"/>
      <c r="C270" s="152"/>
      <c r="D270" s="149"/>
    </row>
    <row r="271" spans="2:4">
      <c r="B271" s="149" t="s">
        <v>647</v>
      </c>
      <c r="C271" s="152" t="s">
        <v>648</v>
      </c>
      <c r="D271" s="149" t="s">
        <v>671</v>
      </c>
    </row>
    <row r="272" spans="2:4">
      <c r="B272" s="149" t="s">
        <v>649</v>
      </c>
      <c r="C272" s="152" t="s">
        <v>650</v>
      </c>
      <c r="D272" s="149" t="s">
        <v>672</v>
      </c>
    </row>
    <row r="273" spans="2:5">
      <c r="B273" s="149" t="s">
        <v>651</v>
      </c>
      <c r="C273" s="152" t="s">
        <v>652</v>
      </c>
      <c r="D273" s="149" t="s">
        <v>673</v>
      </c>
    </row>
    <row r="274" spans="2:5">
      <c r="B274" s="149"/>
      <c r="C274" s="152"/>
      <c r="D274" s="149"/>
    </row>
    <row r="275" spans="2:5">
      <c r="B275" s="149" t="s">
        <v>747</v>
      </c>
      <c r="C275" s="152" t="s">
        <v>748</v>
      </c>
      <c r="D275" s="149"/>
      <c r="E275" s="148" t="s">
        <v>455</v>
      </c>
    </row>
    <row r="276" spans="2:5">
      <c r="B276" s="149" t="s">
        <v>749</v>
      </c>
      <c r="C276" s="152" t="s">
        <v>750</v>
      </c>
      <c r="D276" s="149"/>
      <c r="E276" s="148" t="s">
        <v>751</v>
      </c>
    </row>
    <row r="277" spans="2:5">
      <c r="B277" s="149" t="s">
        <v>653</v>
      </c>
      <c r="C277" s="152" t="s">
        <v>654</v>
      </c>
      <c r="D277" s="149" t="s">
        <v>674</v>
      </c>
    </row>
    <row r="278" spans="2:5" ht="13.5">
      <c r="B278" s="149" t="s">
        <v>655</v>
      </c>
      <c r="C278" s="152" t="s">
        <v>656</v>
      </c>
      <c r="D278" s="149" t="s">
        <v>675</v>
      </c>
    </row>
    <row r="279" spans="2:5">
      <c r="B279" s="149" t="s">
        <v>984</v>
      </c>
      <c r="C279" s="152" t="s">
        <v>985</v>
      </c>
      <c r="D279" s="149" t="s">
        <v>986</v>
      </c>
    </row>
    <row r="280" spans="2:5">
      <c r="B280" s="149" t="s">
        <v>657</v>
      </c>
      <c r="C280" s="152" t="s">
        <v>658</v>
      </c>
      <c r="D280" s="149" t="s">
        <v>676</v>
      </c>
    </row>
    <row r="281" spans="2:5">
      <c r="B281" s="149" t="s">
        <v>659</v>
      </c>
      <c r="C281" s="152" t="s">
        <v>660</v>
      </c>
      <c r="D281" s="149" t="s">
        <v>661</v>
      </c>
    </row>
    <row r="282" spans="2:5">
      <c r="B282" s="149" t="s">
        <v>752</v>
      </c>
      <c r="C282" s="152" t="s">
        <v>753</v>
      </c>
      <c r="D282" s="149"/>
    </row>
    <row r="283" spans="2:5">
      <c r="B283" s="149"/>
      <c r="C283" s="152"/>
      <c r="D283" s="149"/>
    </row>
    <row r="284" spans="2:5">
      <c r="B284" s="169" t="s">
        <v>677</v>
      </c>
      <c r="C284" s="170" t="s">
        <v>696</v>
      </c>
      <c r="D284" s="169" t="s">
        <v>768</v>
      </c>
      <c r="E284" s="148" t="s">
        <v>697</v>
      </c>
    </row>
    <row r="285" spans="2:5">
      <c r="B285" s="169" t="s">
        <v>678</v>
      </c>
      <c r="C285" s="170" t="s">
        <v>679</v>
      </c>
      <c r="D285" s="169" t="s">
        <v>769</v>
      </c>
      <c r="E285" s="148" t="s">
        <v>697</v>
      </c>
    </row>
    <row r="286" spans="2:5">
      <c r="B286" s="169" t="s">
        <v>680</v>
      </c>
      <c r="C286" s="170" t="s">
        <v>726</v>
      </c>
      <c r="D286" s="169" t="s">
        <v>770</v>
      </c>
      <c r="E286" s="148" t="s">
        <v>754</v>
      </c>
    </row>
    <row r="287" spans="2:5">
      <c r="B287" s="169" t="s">
        <v>681</v>
      </c>
      <c r="C287" s="170" t="s">
        <v>682</v>
      </c>
      <c r="D287" s="169" t="s">
        <v>771</v>
      </c>
      <c r="E287" s="148" t="s">
        <v>727</v>
      </c>
    </row>
    <row r="288" spans="2:5">
      <c r="B288" s="169" t="s">
        <v>694</v>
      </c>
      <c r="C288" s="170" t="s">
        <v>683</v>
      </c>
      <c r="D288" s="198" t="s">
        <v>780</v>
      </c>
      <c r="E288" s="148" t="s">
        <v>728</v>
      </c>
    </row>
    <row r="289" spans="2:5">
      <c r="B289" s="169" t="s">
        <v>684</v>
      </c>
      <c r="C289" s="170" t="s">
        <v>685</v>
      </c>
      <c r="D289" s="169" t="s">
        <v>772</v>
      </c>
      <c r="E289" s="148" t="s">
        <v>729</v>
      </c>
    </row>
    <row r="290" spans="2:5">
      <c r="B290" s="169" t="s">
        <v>686</v>
      </c>
      <c r="C290" s="170" t="s">
        <v>687</v>
      </c>
      <c r="D290" s="169" t="s">
        <v>773</v>
      </c>
      <c r="E290" s="148" t="s">
        <v>730</v>
      </c>
    </row>
    <row r="291" spans="2:5">
      <c r="B291" s="169" t="s">
        <v>688</v>
      </c>
      <c r="C291" s="170" t="s">
        <v>689</v>
      </c>
      <c r="D291" s="169" t="s">
        <v>774</v>
      </c>
      <c r="E291" s="148" t="s">
        <v>731</v>
      </c>
    </row>
    <row r="292" spans="2:5">
      <c r="B292" s="169" t="s">
        <v>690</v>
      </c>
      <c r="C292" s="170" t="s">
        <v>691</v>
      </c>
      <c r="D292" s="169" t="s">
        <v>774</v>
      </c>
      <c r="E292" s="148" t="s">
        <v>731</v>
      </c>
    </row>
    <row r="293" spans="2:5">
      <c r="B293" s="169" t="s">
        <v>692</v>
      </c>
      <c r="C293" s="170" t="s">
        <v>693</v>
      </c>
      <c r="D293" s="169" t="s">
        <v>774</v>
      </c>
      <c r="E293" s="148" t="s">
        <v>732</v>
      </c>
    </row>
    <row r="294" spans="2:5">
      <c r="B294" s="149"/>
      <c r="C294" s="152"/>
      <c r="D294" s="149"/>
    </row>
    <row r="295" spans="2:5">
      <c r="B295" s="149" t="s">
        <v>987</v>
      </c>
      <c r="C295" s="152" t="s">
        <v>988</v>
      </c>
      <c r="D295" s="149"/>
      <c r="E295" s="148" t="s">
        <v>988</v>
      </c>
    </row>
    <row r="296" spans="2:5">
      <c r="B296" s="149" t="s">
        <v>989</v>
      </c>
      <c r="C296" s="152" t="s">
        <v>990</v>
      </c>
      <c r="D296" s="149"/>
    </row>
    <row r="297" spans="2:5">
      <c r="B297" s="149"/>
      <c r="C297" s="152"/>
      <c r="D297" s="149"/>
    </row>
    <row r="298" spans="2:5">
      <c r="B298" s="149" t="s">
        <v>991</v>
      </c>
      <c r="C298" s="152" t="s">
        <v>992</v>
      </c>
      <c r="D298" s="149" t="s">
        <v>993</v>
      </c>
    </row>
    <row r="299" spans="2:5">
      <c r="B299" s="149" t="s">
        <v>940</v>
      </c>
      <c r="C299" s="152" t="s">
        <v>941</v>
      </c>
      <c r="D299" s="167" t="s">
        <v>942</v>
      </c>
      <c r="E299" s="148" t="s">
        <v>994</v>
      </c>
    </row>
    <row r="300" spans="2:5">
      <c r="B300" s="149" t="s">
        <v>995</v>
      </c>
      <c r="C300" s="152" t="s">
        <v>996</v>
      </c>
      <c r="D300" s="149"/>
    </row>
    <row r="301" spans="2:5">
      <c r="B301" s="149" t="s">
        <v>997</v>
      </c>
      <c r="C301" s="152" t="s">
        <v>998</v>
      </c>
      <c r="D301" s="149"/>
    </row>
    <row r="302" spans="2:5">
      <c r="B302" s="149" t="s">
        <v>944</v>
      </c>
      <c r="C302" s="152" t="s">
        <v>945</v>
      </c>
      <c r="D302" s="167"/>
      <c r="E302" s="148" t="s">
        <v>946</v>
      </c>
    </row>
    <row r="303" spans="2:5">
      <c r="B303" s="149" t="s">
        <v>999</v>
      </c>
      <c r="C303" s="152" t="s">
        <v>1000</v>
      </c>
      <c r="D303" s="149" t="s">
        <v>1001</v>
      </c>
    </row>
    <row r="304" spans="2:5">
      <c r="B304" s="149" t="s">
        <v>1002</v>
      </c>
      <c r="C304" s="152" t="s">
        <v>1003</v>
      </c>
      <c r="D304" s="149" t="s">
        <v>1004</v>
      </c>
    </row>
    <row r="305" spans="2:5">
      <c r="B305" s="149" t="s">
        <v>1005</v>
      </c>
      <c r="C305" s="152" t="s">
        <v>1006</v>
      </c>
      <c r="D305" s="149" t="s">
        <v>1007</v>
      </c>
    </row>
    <row r="306" spans="2:5">
      <c r="B306" s="149" t="s">
        <v>947</v>
      </c>
      <c r="C306" s="152" t="s">
        <v>948</v>
      </c>
      <c r="D306" s="149"/>
      <c r="E306" s="148" t="s">
        <v>949</v>
      </c>
    </row>
    <row r="307" spans="2:5">
      <c r="B307" s="149" t="s">
        <v>1008</v>
      </c>
      <c r="C307" s="152" t="s">
        <v>951</v>
      </c>
      <c r="D307" s="149"/>
      <c r="E307" s="148" t="s">
        <v>952</v>
      </c>
    </row>
    <row r="308" spans="2:5">
      <c r="B308" s="149" t="s">
        <v>1009</v>
      </c>
      <c r="C308" s="152" t="s">
        <v>1010</v>
      </c>
      <c r="D308" s="149"/>
      <c r="E308" s="148" t="s">
        <v>955</v>
      </c>
    </row>
    <row r="309" spans="2:5">
      <c r="B309" s="149" t="s">
        <v>953</v>
      </c>
      <c r="C309" s="152" t="s">
        <v>954</v>
      </c>
      <c r="D309" s="149"/>
      <c r="E309" s="148" t="s">
        <v>955</v>
      </c>
    </row>
    <row r="310" spans="2:5">
      <c r="B310" s="149" t="s">
        <v>1011</v>
      </c>
      <c r="C310" s="152" t="s">
        <v>1012</v>
      </c>
      <c r="D310" s="149"/>
      <c r="E310" s="148" t="s">
        <v>964</v>
      </c>
    </row>
    <row r="311" spans="2:5">
      <c r="B311" s="149" t="s">
        <v>956</v>
      </c>
      <c r="C311" s="152" t="s">
        <v>957</v>
      </c>
      <c r="D311" s="149"/>
      <c r="E311" s="148" t="s">
        <v>958</v>
      </c>
    </row>
    <row r="312" spans="2:5">
      <c r="B312" s="149" t="s">
        <v>959</v>
      </c>
      <c r="C312" s="152" t="s">
        <v>960</v>
      </c>
      <c r="D312" s="149"/>
      <c r="E312" s="148" t="s">
        <v>961</v>
      </c>
    </row>
    <row r="313" spans="2:5">
      <c r="B313" s="149" t="s">
        <v>962</v>
      </c>
      <c r="C313" s="152" t="s">
        <v>963</v>
      </c>
      <c r="D313" s="149"/>
      <c r="E313" s="148" t="s">
        <v>964</v>
      </c>
    </row>
    <row r="314" spans="2:5">
      <c r="B314" s="149" t="s">
        <v>967</v>
      </c>
      <c r="C314" s="152" t="s">
        <v>968</v>
      </c>
      <c r="D314" s="149"/>
      <c r="E314" s="148" t="s">
        <v>969</v>
      </c>
    </row>
    <row r="315" spans="2:5">
      <c r="B315" s="149"/>
      <c r="C315" s="152"/>
      <c r="D315" s="149"/>
    </row>
    <row r="316" spans="2:5">
      <c r="B316" s="149" t="s">
        <v>1013</v>
      </c>
      <c r="C316" s="152" t="s">
        <v>1014</v>
      </c>
      <c r="D316" s="149"/>
      <c r="E316" s="148" t="s">
        <v>1015</v>
      </c>
    </row>
    <row r="317" spans="2:5">
      <c r="B317" s="149" t="s">
        <v>1016</v>
      </c>
      <c r="C317" s="152" t="s">
        <v>1017</v>
      </c>
      <c r="D317" s="149"/>
      <c r="E317" s="148" t="s">
        <v>1015</v>
      </c>
    </row>
    <row r="318" spans="2:5">
      <c r="B318" s="149" t="s">
        <v>1018</v>
      </c>
      <c r="C318" s="152" t="s">
        <v>1019</v>
      </c>
      <c r="D318" s="149"/>
      <c r="E318" s="148" t="s">
        <v>1020</v>
      </c>
    </row>
    <row r="319" spans="2:5">
      <c r="B319" s="149" t="s">
        <v>1021</v>
      </c>
      <c r="C319" s="152" t="s">
        <v>1022</v>
      </c>
      <c r="D319" s="149"/>
      <c r="E319" s="148" t="s">
        <v>1020</v>
      </c>
    </row>
    <row r="320" spans="2:5">
      <c r="B320" s="149"/>
      <c r="C320" s="152"/>
      <c r="D320" s="149"/>
    </row>
    <row r="321" spans="2:5">
      <c r="B321" s="149"/>
      <c r="C321" s="152"/>
      <c r="D321" s="149"/>
    </row>
    <row r="322" spans="2:5">
      <c r="B322" s="149"/>
      <c r="C322" s="152"/>
      <c r="D322" s="149"/>
    </row>
    <row r="323" spans="2:5">
      <c r="B323" s="149"/>
      <c r="C323" s="152"/>
      <c r="D323" s="149"/>
    </row>
    <row r="324" spans="2:5">
      <c r="B324" s="149"/>
      <c r="C324" s="152"/>
      <c r="D324" s="149"/>
    </row>
    <row r="325" spans="2:5">
      <c r="B325" s="149"/>
      <c r="C325" s="152"/>
      <c r="D325" s="149"/>
    </row>
    <row r="326" spans="2:5">
      <c r="B326" s="218" t="s">
        <v>1023</v>
      </c>
      <c r="C326" s="219"/>
      <c r="D326" s="220"/>
    </row>
    <row r="327" spans="2:5">
      <c r="B327" s="149" t="s">
        <v>1024</v>
      </c>
      <c r="C327" s="152" t="s">
        <v>1025</v>
      </c>
      <c r="D327" s="149"/>
      <c r="E327" s="148" t="s">
        <v>842</v>
      </c>
    </row>
    <row r="328" spans="2:5">
      <c r="B328" s="149"/>
      <c r="C328" s="152"/>
      <c r="D328" s="149"/>
    </row>
    <row r="329" spans="2:5" ht="13.5">
      <c r="B329" s="149" t="s">
        <v>1026</v>
      </c>
      <c r="C329" s="152" t="s">
        <v>1027</v>
      </c>
      <c r="D329" s="149" t="s">
        <v>1028</v>
      </c>
      <c r="E329" s="199"/>
    </row>
    <row r="330" spans="2:5">
      <c r="B330" s="149" t="s">
        <v>1029</v>
      </c>
      <c r="C330" s="152" t="s">
        <v>1030</v>
      </c>
      <c r="D330" s="149"/>
      <c r="E330" s="199" t="s">
        <v>1031</v>
      </c>
    </row>
    <row r="331" spans="2:5">
      <c r="B331" s="149" t="s">
        <v>1032</v>
      </c>
      <c r="C331" s="152" t="s">
        <v>1033</v>
      </c>
      <c r="D331" s="149"/>
      <c r="E331" s="148" t="s">
        <v>1034</v>
      </c>
    </row>
    <row r="332" spans="2:5">
      <c r="B332" s="149"/>
      <c r="C332" s="152"/>
      <c r="D332" s="149"/>
    </row>
    <row r="333" spans="2:5" ht="13.5">
      <c r="B333" s="149" t="s">
        <v>1035</v>
      </c>
      <c r="C333" s="152" t="s">
        <v>1036</v>
      </c>
      <c r="D333" s="187" t="s">
        <v>1037</v>
      </c>
      <c r="E333" s="148" t="s">
        <v>1038</v>
      </c>
    </row>
    <row r="334" spans="2:5">
      <c r="B334" s="149"/>
      <c r="C334" s="152"/>
      <c r="D334" s="149"/>
    </row>
    <row r="335" spans="2:5" ht="13.5">
      <c r="B335" s="149" t="s">
        <v>1039</v>
      </c>
      <c r="C335" s="152" t="s">
        <v>1040</v>
      </c>
      <c r="D335" s="149" t="s">
        <v>1041</v>
      </c>
      <c r="E335" s="148" t="s">
        <v>1042</v>
      </c>
    </row>
    <row r="336" spans="2:5">
      <c r="B336" s="149" t="s">
        <v>1043</v>
      </c>
      <c r="C336" s="152" t="s">
        <v>1044</v>
      </c>
      <c r="D336" s="149" t="s">
        <v>1045</v>
      </c>
    </row>
    <row r="337" spans="2:6">
      <c r="B337" s="149"/>
      <c r="C337" s="152"/>
      <c r="D337" s="149"/>
    </row>
    <row r="338" spans="2:6" ht="13.5">
      <c r="B338" s="149" t="s">
        <v>1046</v>
      </c>
      <c r="C338" s="152" t="s">
        <v>1047</v>
      </c>
      <c r="D338" s="187" t="s">
        <v>1048</v>
      </c>
      <c r="E338" s="148" t="s">
        <v>1049</v>
      </c>
    </row>
    <row r="339" spans="2:6" ht="13.5">
      <c r="B339" s="149" t="s">
        <v>1050</v>
      </c>
      <c r="C339" s="152" t="s">
        <v>1051</v>
      </c>
      <c r="D339" s="149"/>
      <c r="E339" s="148" t="s">
        <v>1052</v>
      </c>
    </row>
    <row r="340" spans="2:6">
      <c r="B340" s="149"/>
      <c r="C340" s="152"/>
      <c r="D340" s="149"/>
    </row>
    <row r="341" spans="2:6">
      <c r="B341" s="149" t="s">
        <v>1053</v>
      </c>
      <c r="C341" s="152" t="s">
        <v>1054</v>
      </c>
      <c r="D341" s="149"/>
    </row>
    <row r="342" spans="2:6">
      <c r="B342" s="149" t="s">
        <v>1055</v>
      </c>
      <c r="C342" s="152" t="s">
        <v>1056</v>
      </c>
      <c r="D342" s="149"/>
    </row>
    <row r="343" spans="2:6">
      <c r="B343" s="149"/>
      <c r="C343" s="152"/>
      <c r="D343" s="149"/>
    </row>
    <row r="344" spans="2:6" ht="13.5">
      <c r="B344" s="149" t="s">
        <v>1057</v>
      </c>
      <c r="C344" s="152" t="s">
        <v>1058</v>
      </c>
      <c r="D344" s="187" t="s">
        <v>1059</v>
      </c>
      <c r="E344" s="148" t="s">
        <v>1060</v>
      </c>
    </row>
    <row r="345" spans="2:6">
      <c r="B345" s="149"/>
      <c r="C345" s="152"/>
      <c r="D345" s="149"/>
    </row>
    <row r="346" spans="2:6" ht="13.5">
      <c r="B346" s="149"/>
      <c r="C346" s="152"/>
      <c r="D346" s="149"/>
      <c r="E346" s="195" t="s">
        <v>1061</v>
      </c>
    </row>
    <row r="347" spans="2:6" ht="13.5">
      <c r="B347" s="149" t="s">
        <v>1062</v>
      </c>
      <c r="C347" s="152" t="s">
        <v>1063</v>
      </c>
      <c r="D347" s="149" t="s">
        <v>1064</v>
      </c>
      <c r="E347" s="200">
        <v>6027</v>
      </c>
      <c r="F347" s="195" t="s">
        <v>1065</v>
      </c>
    </row>
    <row r="348" spans="2:6">
      <c r="B348" s="149" t="s">
        <v>1066</v>
      </c>
      <c r="C348" s="152" t="s">
        <v>1067</v>
      </c>
      <c r="D348" s="149" t="s">
        <v>1068</v>
      </c>
      <c r="E348" s="168">
        <v>0</v>
      </c>
    </row>
    <row r="349" spans="2:6">
      <c r="B349" s="149" t="s">
        <v>1069</v>
      </c>
      <c r="C349" s="152" t="s">
        <v>1070</v>
      </c>
      <c r="D349" s="149" t="s">
        <v>1071</v>
      </c>
      <c r="E349" s="168">
        <v>0</v>
      </c>
    </row>
    <row r="350" spans="2:6">
      <c r="B350" s="149" t="s">
        <v>1072</v>
      </c>
      <c r="C350" s="152" t="s">
        <v>1073</v>
      </c>
      <c r="D350" s="149" t="s">
        <v>1074</v>
      </c>
      <c r="E350" s="168">
        <v>0</v>
      </c>
    </row>
    <row r="351" spans="2:6" ht="13.5">
      <c r="B351" s="149" t="s">
        <v>1075</v>
      </c>
      <c r="C351" s="152" t="s">
        <v>1076</v>
      </c>
      <c r="D351" s="149" t="s">
        <v>1064</v>
      </c>
      <c r="E351" s="148" t="s">
        <v>1077</v>
      </c>
    </row>
    <row r="352" spans="2:6">
      <c r="B352" s="149" t="s">
        <v>1078</v>
      </c>
      <c r="C352" s="152" t="s">
        <v>1079</v>
      </c>
      <c r="D352" s="149" t="s">
        <v>1064</v>
      </c>
    </row>
    <row r="353" spans="2:5">
      <c r="B353" s="149" t="s">
        <v>1080</v>
      </c>
      <c r="C353" s="152" t="s">
        <v>1081</v>
      </c>
      <c r="D353" s="149" t="s">
        <v>1068</v>
      </c>
    </row>
    <row r="354" spans="2:5">
      <c r="B354" s="149" t="s">
        <v>1082</v>
      </c>
      <c r="C354" s="152" t="s">
        <v>1083</v>
      </c>
      <c r="D354" s="149" t="s">
        <v>1068</v>
      </c>
    </row>
    <row r="355" spans="2:5">
      <c r="B355" s="149" t="s">
        <v>1084</v>
      </c>
      <c r="C355" s="152" t="s">
        <v>1085</v>
      </c>
      <c r="D355" s="149" t="s">
        <v>1071</v>
      </c>
    </row>
    <row r="356" spans="2:5">
      <c r="B356" s="149" t="s">
        <v>1086</v>
      </c>
      <c r="C356" s="152" t="s">
        <v>1087</v>
      </c>
      <c r="D356" s="149" t="s">
        <v>1071</v>
      </c>
    </row>
    <row r="357" spans="2:5">
      <c r="B357" s="149" t="s">
        <v>1088</v>
      </c>
      <c r="C357" s="152" t="s">
        <v>1088</v>
      </c>
      <c r="D357" s="149" t="s">
        <v>1074</v>
      </c>
    </row>
    <row r="358" spans="2:5">
      <c r="B358" s="149" t="s">
        <v>1089</v>
      </c>
      <c r="C358" s="152" t="s">
        <v>1090</v>
      </c>
      <c r="D358" s="149" t="s">
        <v>1074</v>
      </c>
    </row>
    <row r="359" spans="2:5">
      <c r="B359" s="149"/>
      <c r="C359" s="152"/>
      <c r="D359" s="149"/>
    </row>
    <row r="360" spans="2:5" ht="13.5">
      <c r="B360" s="149" t="s">
        <v>1091</v>
      </c>
      <c r="C360" s="152" t="s">
        <v>1092</v>
      </c>
      <c r="D360" s="149" t="s">
        <v>1093</v>
      </c>
      <c r="E360" s="195" t="s">
        <v>1094</v>
      </c>
    </row>
    <row r="361" spans="2:5">
      <c r="B361" s="149"/>
      <c r="C361" s="152"/>
      <c r="D361" s="149"/>
    </row>
    <row r="362" spans="2:5" ht="13.5">
      <c r="B362" s="149" t="s">
        <v>1095</v>
      </c>
      <c r="C362" s="152" t="s">
        <v>1096</v>
      </c>
      <c r="D362" s="149"/>
      <c r="E362" s="148" t="s">
        <v>1097</v>
      </c>
    </row>
    <row r="363" spans="2:5">
      <c r="B363" s="149" t="s">
        <v>1098</v>
      </c>
      <c r="C363" s="152" t="s">
        <v>1099</v>
      </c>
      <c r="D363" s="149" t="s">
        <v>1100</v>
      </c>
    </row>
    <row r="364" spans="2:5">
      <c r="B364" s="149"/>
      <c r="C364" s="152"/>
      <c r="D364" s="149"/>
    </row>
    <row r="365" spans="2:5" ht="13.5">
      <c r="B365" s="149"/>
      <c r="C365" s="152"/>
      <c r="D365" s="149"/>
      <c r="E365" s="195"/>
    </row>
    <row r="366" spans="2:5">
      <c r="B366" s="149" t="s">
        <v>1101</v>
      </c>
      <c r="C366" s="152" t="s">
        <v>1102</v>
      </c>
      <c r="D366" s="167"/>
      <c r="E366" s="148" t="s">
        <v>975</v>
      </c>
    </row>
    <row r="367" spans="2:5" ht="13.5">
      <c r="B367" s="149" t="s">
        <v>1103</v>
      </c>
      <c r="C367" s="152" t="s">
        <v>1104</v>
      </c>
      <c r="D367" s="187" t="s">
        <v>1105</v>
      </c>
    </row>
    <row r="368" spans="2:5">
      <c r="B368" s="149" t="s">
        <v>1106</v>
      </c>
      <c r="C368" s="152" t="s">
        <v>1107</v>
      </c>
      <c r="D368" s="149"/>
    </row>
    <row r="369" spans="2:5">
      <c r="B369" s="149" t="s">
        <v>1108</v>
      </c>
      <c r="C369" s="152" t="s">
        <v>1109</v>
      </c>
      <c r="D369" s="149"/>
    </row>
    <row r="370" spans="2:5">
      <c r="B370" s="149" t="s">
        <v>1110</v>
      </c>
      <c r="C370" s="152" t="s">
        <v>1111</v>
      </c>
      <c r="D370" s="149"/>
    </row>
    <row r="371" spans="2:5">
      <c r="B371" s="149" t="s">
        <v>1112</v>
      </c>
      <c r="C371" s="152" t="s">
        <v>1113</v>
      </c>
      <c r="D371" s="149"/>
    </row>
    <row r="372" spans="2:5">
      <c r="B372" s="149" t="s">
        <v>1114</v>
      </c>
      <c r="C372" s="152" t="s">
        <v>1115</v>
      </c>
      <c r="D372" s="149"/>
    </row>
    <row r="373" spans="2:5">
      <c r="B373" s="149" t="s">
        <v>1116</v>
      </c>
      <c r="C373" s="152" t="s">
        <v>1117</v>
      </c>
      <c r="D373" s="149"/>
    </row>
    <row r="374" spans="2:5">
      <c r="B374" s="149" t="s">
        <v>1118</v>
      </c>
      <c r="C374" s="152" t="s">
        <v>1119</v>
      </c>
      <c r="D374" s="149"/>
    </row>
    <row r="375" spans="2:5">
      <c r="B375" s="149" t="s">
        <v>1120</v>
      </c>
      <c r="C375" s="152" t="s">
        <v>1121</v>
      </c>
      <c r="D375" s="149"/>
    </row>
    <row r="376" spans="2:5">
      <c r="B376" s="149"/>
      <c r="C376" s="152"/>
      <c r="D376" s="149"/>
    </row>
    <row r="377" spans="2:5" ht="13.5">
      <c r="B377" s="149" t="s">
        <v>1122</v>
      </c>
      <c r="C377" s="152" t="s">
        <v>1123</v>
      </c>
      <c r="D377" s="149" t="s">
        <v>1124</v>
      </c>
      <c r="E377" s="148" t="s">
        <v>1125</v>
      </c>
    </row>
    <row r="378" spans="2:5">
      <c r="B378" s="149" t="s">
        <v>1126</v>
      </c>
      <c r="C378" s="152" t="s">
        <v>1127</v>
      </c>
      <c r="D378" s="149"/>
    </row>
    <row r="379" spans="2:5">
      <c r="B379" s="149"/>
      <c r="C379" s="152"/>
      <c r="D379" s="149"/>
    </row>
    <row r="380" spans="2:5" ht="13.5">
      <c r="B380" s="201" t="s">
        <v>1128</v>
      </c>
      <c r="C380" s="202" t="s">
        <v>1129</v>
      </c>
      <c r="D380" s="203" t="s">
        <v>1130</v>
      </c>
      <c r="E380" s="148" t="s">
        <v>1131</v>
      </c>
    </row>
    <row r="381" spans="2:5">
      <c r="B381" s="149"/>
      <c r="C381" s="152"/>
      <c r="D381" s="149"/>
    </row>
    <row r="382" spans="2:5">
      <c r="B382" s="149"/>
      <c r="C382" s="152"/>
      <c r="D382" s="149"/>
    </row>
    <row r="383" spans="2:5">
      <c r="B383" s="149"/>
      <c r="C383" s="152"/>
      <c r="D383" s="149"/>
    </row>
    <row r="384" spans="2:5">
      <c r="B384" s="149"/>
      <c r="C384" s="152"/>
      <c r="D384" s="149"/>
    </row>
    <row r="385" spans="2:5">
      <c r="B385" s="149"/>
      <c r="C385" s="152"/>
      <c r="D385" s="149"/>
    </row>
    <row r="386" spans="2:5">
      <c r="B386" s="149"/>
      <c r="C386" s="152"/>
      <c r="D386" s="149"/>
    </row>
    <row r="387" spans="2:5">
      <c r="B387" s="149"/>
      <c r="C387" s="152"/>
      <c r="D387" s="149"/>
    </row>
    <row r="388" spans="2:5" ht="13.5">
      <c r="B388" s="149" t="s">
        <v>1132</v>
      </c>
      <c r="C388" s="152" t="s">
        <v>1133</v>
      </c>
      <c r="D388" s="204" t="s">
        <v>1134</v>
      </c>
      <c r="E388" s="148" t="s">
        <v>1135</v>
      </c>
    </row>
    <row r="389" spans="2:5" ht="13.5">
      <c r="B389" s="149" t="s">
        <v>1136</v>
      </c>
      <c r="C389" s="152" t="s">
        <v>1137</v>
      </c>
      <c r="D389" s="204" t="s">
        <v>1134</v>
      </c>
    </row>
    <row r="390" spans="2:5" ht="13.5">
      <c r="B390" s="149" t="s">
        <v>1138</v>
      </c>
      <c r="C390" s="152" t="s">
        <v>1115</v>
      </c>
      <c r="D390" s="204" t="s">
        <v>1134</v>
      </c>
    </row>
    <row r="391" spans="2:5" ht="13.5">
      <c r="B391" s="149" t="s">
        <v>1139</v>
      </c>
      <c r="C391" s="152" t="s">
        <v>1117</v>
      </c>
      <c r="D391" s="204" t="s">
        <v>1134</v>
      </c>
    </row>
    <row r="392" spans="2:5">
      <c r="B392" s="149" t="s">
        <v>1140</v>
      </c>
      <c r="C392" s="152" t="s">
        <v>1141</v>
      </c>
      <c r="D392" s="149" t="s">
        <v>1142</v>
      </c>
    </row>
    <row r="393" spans="2:5">
      <c r="B393" s="149" t="s">
        <v>1143</v>
      </c>
      <c r="C393" s="152" t="s">
        <v>1144</v>
      </c>
      <c r="D393" s="149" t="s">
        <v>1142</v>
      </c>
    </row>
    <row r="394" spans="2:5" ht="13.5">
      <c r="B394" s="149" t="s">
        <v>1145</v>
      </c>
      <c r="C394" s="152" t="s">
        <v>1146</v>
      </c>
      <c r="D394" s="149" t="s">
        <v>1142</v>
      </c>
      <c r="E394" s="195" t="s">
        <v>1147</v>
      </c>
    </row>
    <row r="395" spans="2:5">
      <c r="B395" s="149" t="s">
        <v>1148</v>
      </c>
      <c r="C395" s="152" t="s">
        <v>1149</v>
      </c>
      <c r="D395" s="149"/>
    </row>
    <row r="396" spans="2:5">
      <c r="B396" s="149" t="s">
        <v>1150</v>
      </c>
      <c r="C396" s="152" t="s">
        <v>1151</v>
      </c>
      <c r="D396" s="149"/>
    </row>
    <row r="397" spans="2:5">
      <c r="B397" s="149" t="s">
        <v>1152</v>
      </c>
      <c r="C397" s="152" t="s">
        <v>1153</v>
      </c>
      <c r="D397" s="149"/>
    </row>
    <row r="398" spans="2:5">
      <c r="B398" s="149" t="s">
        <v>1154</v>
      </c>
      <c r="C398" s="152" t="s">
        <v>1155</v>
      </c>
      <c r="D398" s="149"/>
    </row>
    <row r="399" spans="2:5" ht="13.5">
      <c r="B399" s="149" t="s">
        <v>1156</v>
      </c>
      <c r="C399" s="152" t="s">
        <v>1157</v>
      </c>
      <c r="D399" s="204" t="s">
        <v>1158</v>
      </c>
    </row>
    <row r="400" spans="2:5" ht="13.5">
      <c r="B400" s="149" t="s">
        <v>1159</v>
      </c>
      <c r="C400" s="152" t="s">
        <v>1160</v>
      </c>
      <c r="D400" s="149" t="s">
        <v>1161</v>
      </c>
    </row>
    <row r="401" spans="2:4">
      <c r="B401" s="149"/>
      <c r="C401" s="152"/>
      <c r="D401" s="149"/>
    </row>
    <row r="402" spans="2:4">
      <c r="B402" s="149"/>
      <c r="C402" s="152"/>
      <c r="D402" s="149"/>
    </row>
    <row r="403" spans="2:4">
      <c r="B403" s="149"/>
      <c r="C403" s="152"/>
      <c r="D403" s="149"/>
    </row>
    <row r="404" spans="2:4">
      <c r="B404" s="149"/>
      <c r="C404" s="152"/>
      <c r="D404" s="149"/>
    </row>
    <row r="405" spans="2:4">
      <c r="B405" s="149"/>
      <c r="C405" s="152"/>
      <c r="D405" s="149"/>
    </row>
    <row r="406" spans="2:4">
      <c r="B406" s="149"/>
      <c r="C406" s="152"/>
      <c r="D406" s="149"/>
    </row>
    <row r="407" spans="2:4">
      <c r="B407" s="149"/>
      <c r="C407" s="152"/>
      <c r="D407" s="149"/>
    </row>
    <row r="408" spans="2:4">
      <c r="B408" s="149"/>
      <c r="C408" s="152"/>
      <c r="D408" s="149"/>
    </row>
    <row r="409" spans="2:4">
      <c r="B409" s="149"/>
      <c r="C409" s="152"/>
      <c r="D409" s="149"/>
    </row>
    <row r="410" spans="2:4">
      <c r="B410" s="149"/>
      <c r="C410" s="152"/>
      <c r="D410" s="149"/>
    </row>
    <row r="411" spans="2:4">
      <c r="B411" s="149"/>
      <c r="C411" s="152"/>
      <c r="D411" s="149"/>
    </row>
    <row r="412" spans="2:4">
      <c r="B412" s="149"/>
      <c r="C412" s="152"/>
      <c r="D412" s="149"/>
    </row>
    <row r="413" spans="2:4">
      <c r="B413" s="149"/>
      <c r="C413" s="152"/>
      <c r="D413" s="149"/>
    </row>
    <row r="414" spans="2:4">
      <c r="B414" s="149"/>
      <c r="C414" s="152"/>
      <c r="D414" s="149"/>
    </row>
    <row r="415" spans="2:4">
      <c r="B415" s="149"/>
      <c r="C415" s="152"/>
      <c r="D415" s="149"/>
    </row>
    <row r="416" spans="2:4">
      <c r="B416" s="149"/>
      <c r="C416" s="152"/>
      <c r="D416" s="149"/>
    </row>
    <row r="417" spans="2:4">
      <c r="B417" s="149"/>
      <c r="C417" s="152"/>
      <c r="D417" s="149"/>
    </row>
    <row r="418" spans="2:4">
      <c r="B418" s="149"/>
      <c r="C418" s="152"/>
      <c r="D418" s="149"/>
    </row>
    <row r="419" spans="2:4">
      <c r="B419" s="149"/>
      <c r="C419" s="152"/>
      <c r="D419" s="149"/>
    </row>
    <row r="420" spans="2:4">
      <c r="B420" s="149"/>
      <c r="C420" s="152"/>
      <c r="D420" s="149"/>
    </row>
    <row r="421" spans="2:4">
      <c r="B421" s="149"/>
      <c r="C421" s="152"/>
      <c r="D421" s="149"/>
    </row>
    <row r="422" spans="2:4">
      <c r="B422" s="149"/>
      <c r="C422" s="152"/>
      <c r="D422" s="149"/>
    </row>
    <row r="423" spans="2:4">
      <c r="B423" s="149"/>
      <c r="C423" s="152"/>
      <c r="D423" s="149"/>
    </row>
    <row r="424" spans="2:4">
      <c r="B424" s="149"/>
      <c r="C424" s="152"/>
      <c r="D424" s="149"/>
    </row>
    <row r="425" spans="2:4">
      <c r="B425" s="149"/>
      <c r="C425" s="152"/>
      <c r="D425" s="149"/>
    </row>
    <row r="426" spans="2:4">
      <c r="B426" s="149"/>
      <c r="C426" s="152"/>
      <c r="D426" s="149"/>
    </row>
    <row r="427" spans="2:4">
      <c r="B427" s="149"/>
      <c r="C427" s="152"/>
      <c r="D427" s="149"/>
    </row>
    <row r="428" spans="2:4">
      <c r="B428" s="149"/>
      <c r="C428" s="152"/>
      <c r="D428" s="149"/>
    </row>
    <row r="429" spans="2:4">
      <c r="B429" s="149"/>
      <c r="C429" s="152"/>
      <c r="D429" s="149"/>
    </row>
    <row r="430" spans="2:4">
      <c r="B430" s="149"/>
      <c r="C430" s="152"/>
      <c r="D430" s="149"/>
    </row>
    <row r="431" spans="2:4">
      <c r="B431" s="149"/>
      <c r="C431" s="152"/>
      <c r="D431" s="149"/>
    </row>
    <row r="432" spans="2:4">
      <c r="B432" s="149"/>
      <c r="C432" s="152"/>
      <c r="D432" s="149"/>
    </row>
    <row r="433" spans="2:4">
      <c r="B433" s="149"/>
      <c r="C433" s="152"/>
      <c r="D433" s="149"/>
    </row>
    <row r="434" spans="2:4">
      <c r="B434" s="149"/>
      <c r="C434" s="152"/>
      <c r="D434" s="149"/>
    </row>
    <row r="435" spans="2:4">
      <c r="B435" s="149"/>
      <c r="C435" s="152"/>
      <c r="D435" s="149"/>
    </row>
    <row r="436" spans="2:4">
      <c r="B436" s="149"/>
      <c r="C436" s="152"/>
      <c r="D436" s="149"/>
    </row>
    <row r="437" spans="2:4">
      <c r="B437" s="149"/>
      <c r="C437" s="152"/>
      <c r="D437" s="149"/>
    </row>
    <row r="438" spans="2:4">
      <c r="B438" s="149"/>
      <c r="C438" s="152"/>
      <c r="D438" s="149"/>
    </row>
    <row r="439" spans="2:4">
      <c r="B439" s="149"/>
      <c r="C439" s="152"/>
      <c r="D439" s="149"/>
    </row>
    <row r="440" spans="2:4">
      <c r="B440" s="149"/>
      <c r="C440" s="152"/>
      <c r="D440" s="149"/>
    </row>
    <row r="441" spans="2:4">
      <c r="B441" s="149"/>
      <c r="C441" s="152"/>
      <c r="D441" s="149"/>
    </row>
    <row r="442" spans="2:4">
      <c r="B442" s="149"/>
      <c r="C442" s="152"/>
      <c r="D442" s="149"/>
    </row>
    <row r="443" spans="2:4">
      <c r="B443" s="149"/>
      <c r="C443" s="152"/>
      <c r="D443" s="149"/>
    </row>
    <row r="444" spans="2:4">
      <c r="B444" s="149"/>
      <c r="C444" s="152"/>
      <c r="D444" s="149"/>
    </row>
    <row r="445" spans="2:4">
      <c r="B445" s="149"/>
      <c r="C445" s="152"/>
      <c r="D445" s="149"/>
    </row>
    <row r="446" spans="2:4">
      <c r="B446" s="149"/>
      <c r="C446" s="152"/>
      <c r="D446" s="149"/>
    </row>
    <row r="447" spans="2:4">
      <c r="B447" s="149"/>
      <c r="C447" s="152"/>
      <c r="D447" s="149"/>
    </row>
    <row r="448" spans="2:4">
      <c r="B448" s="149"/>
      <c r="C448" s="152"/>
      <c r="D448" s="149"/>
    </row>
    <row r="449" spans="2:4">
      <c r="B449" s="149"/>
      <c r="C449" s="152"/>
      <c r="D449" s="149"/>
    </row>
    <row r="450" spans="2:4">
      <c r="B450" s="149"/>
      <c r="C450" s="152"/>
      <c r="D450" s="149"/>
    </row>
    <row r="451" spans="2:4">
      <c r="B451" s="149"/>
      <c r="C451" s="152"/>
      <c r="D451" s="149"/>
    </row>
    <row r="452" spans="2:4">
      <c r="B452" s="149"/>
      <c r="C452" s="152"/>
      <c r="D452" s="149"/>
    </row>
    <row r="453" spans="2:4">
      <c r="B453" s="149"/>
      <c r="C453" s="152"/>
      <c r="D453" s="149"/>
    </row>
    <row r="454" spans="2:4">
      <c r="B454" s="149"/>
      <c r="C454" s="152"/>
      <c r="D454" s="149"/>
    </row>
    <row r="455" spans="2:4">
      <c r="B455" s="149"/>
      <c r="C455" s="152"/>
      <c r="D455" s="149"/>
    </row>
    <row r="456" spans="2:4">
      <c r="B456" s="149"/>
      <c r="C456" s="152"/>
      <c r="D456" s="149"/>
    </row>
    <row r="457" spans="2:4">
      <c r="B457" s="149"/>
      <c r="C457" s="152"/>
      <c r="D457" s="149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48"/>
    <col min="4" max="5" width="0" style="48" hidden="1" customWidth="1"/>
    <col min="6" max="6" width="9.7109375" style="48" hidden="1" customWidth="1"/>
    <col min="7" max="7" width="0" style="48" hidden="1" customWidth="1"/>
    <col min="8" max="11" width="8.7109375" style="48"/>
    <col min="12" max="13" width="0" style="48" hidden="1" customWidth="1"/>
    <col min="14" max="14" width="9.7109375" style="48" hidden="1" customWidth="1"/>
    <col min="15" max="15" width="0" style="48" hidden="1" customWidth="1"/>
    <col min="16" max="19" width="8.7109375" style="48"/>
    <col min="20" max="21" width="0" style="48" hidden="1" customWidth="1"/>
    <col min="22" max="22" width="9.7109375" style="48" hidden="1" customWidth="1"/>
    <col min="23" max="23" width="0" style="48" hidden="1" customWidth="1"/>
    <col min="24" max="27" width="8.7109375" style="48"/>
    <col min="28" max="29" width="8.7109375" style="48" hidden="1" customWidth="1"/>
    <col min="30" max="30" width="9.7109375" style="48" hidden="1" customWidth="1"/>
    <col min="31" max="31" width="8.7109375" style="48" hidden="1" customWidth="1"/>
    <col min="32" max="35" width="8.7109375" style="48"/>
    <col min="36" max="37" width="8.7109375" style="48" hidden="1" customWidth="1"/>
    <col min="38" max="38" width="9.7109375" style="48" hidden="1" customWidth="1"/>
    <col min="39" max="39" width="8.7109375" style="48" hidden="1" customWidth="1"/>
    <col min="40" max="16384" width="8.7109375" style="48"/>
  </cols>
  <sheetData>
    <row r="1" spans="1:39" s="206" customFormat="1">
      <c r="A1" s="226" t="s">
        <v>304</v>
      </c>
      <c r="B1" s="226"/>
      <c r="C1" s="226"/>
      <c r="I1" s="226" t="s">
        <v>305</v>
      </c>
      <c r="J1" s="226"/>
      <c r="K1" s="226"/>
      <c r="Q1" s="226" t="s">
        <v>306</v>
      </c>
      <c r="R1" s="226"/>
      <c r="S1" s="226"/>
      <c r="Y1" s="226" t="s">
        <v>307</v>
      </c>
      <c r="Z1" s="226"/>
      <c r="AA1" s="226"/>
      <c r="AG1" s="226" t="s">
        <v>367</v>
      </c>
      <c r="AH1" s="226"/>
      <c r="AI1" s="226"/>
    </row>
    <row r="2" spans="1:39" ht="13.5" thickBot="1">
      <c r="A2" s="227"/>
      <c r="B2" s="227"/>
      <c r="C2" s="227"/>
      <c r="I2" s="227"/>
      <c r="J2" s="227"/>
      <c r="K2" s="227"/>
      <c r="Q2" s="227"/>
      <c r="R2" s="227"/>
      <c r="S2" s="227"/>
      <c r="Y2" s="227"/>
      <c r="Z2" s="227"/>
      <c r="AA2" s="227"/>
      <c r="AG2" s="227"/>
      <c r="AH2" s="227"/>
      <c r="AI2" s="227"/>
    </row>
    <row r="3" spans="1:39" ht="14.25" thickTop="1">
      <c r="A3" s="109" t="s">
        <v>763</v>
      </c>
      <c r="B3" s="110" t="s">
        <v>764</v>
      </c>
      <c r="C3" s="111" t="s">
        <v>301</v>
      </c>
      <c r="I3" s="109" t="s">
        <v>763</v>
      </c>
      <c r="J3" s="110" t="s">
        <v>764</v>
      </c>
      <c r="K3" s="111" t="s">
        <v>301</v>
      </c>
      <c r="Q3" s="109" t="s">
        <v>763</v>
      </c>
      <c r="R3" s="110" t="s">
        <v>764</v>
      </c>
      <c r="S3" s="111" t="s">
        <v>301</v>
      </c>
      <c r="Y3" s="109" t="s">
        <v>763</v>
      </c>
      <c r="Z3" s="110" t="s">
        <v>764</v>
      </c>
      <c r="AA3" s="111" t="s">
        <v>301</v>
      </c>
      <c r="AG3" s="109" t="s">
        <v>763</v>
      </c>
      <c r="AH3" s="110" t="s">
        <v>764</v>
      </c>
      <c r="AI3" s="111" t="s">
        <v>301</v>
      </c>
    </row>
    <row r="4" spans="1:39" ht="14.25" thickBot="1">
      <c r="A4" s="112" t="s">
        <v>765</v>
      </c>
      <c r="B4" s="113" t="s">
        <v>302</v>
      </c>
      <c r="C4" s="114" t="s">
        <v>303</v>
      </c>
      <c r="I4" s="112" t="s">
        <v>765</v>
      </c>
      <c r="J4" s="113" t="s">
        <v>302</v>
      </c>
      <c r="K4" s="114" t="s">
        <v>303</v>
      </c>
      <c r="Q4" s="112" t="s">
        <v>765</v>
      </c>
      <c r="R4" s="113" t="s">
        <v>302</v>
      </c>
      <c r="S4" s="114" t="s">
        <v>303</v>
      </c>
      <c r="Y4" s="112" t="s">
        <v>765</v>
      </c>
      <c r="Z4" s="113" t="s">
        <v>302</v>
      </c>
      <c r="AA4" s="114" t="s">
        <v>303</v>
      </c>
      <c r="AG4" s="112" t="s">
        <v>765</v>
      </c>
      <c r="AH4" s="113" t="s">
        <v>302</v>
      </c>
      <c r="AI4" s="114" t="s">
        <v>303</v>
      </c>
    </row>
    <row r="5" spans="1:39" ht="13.5" thickTop="1">
      <c r="A5" s="115">
        <v>60</v>
      </c>
      <c r="B5" s="116">
        <v>7.4626425597732222</v>
      </c>
      <c r="C5" s="117">
        <v>0.99601123277225601</v>
      </c>
      <c r="E5" s="48">
        <f>A205</f>
        <v>-40</v>
      </c>
      <c r="F5" s="61">
        <f t="shared" ref="F5:G5" si="0">B205</f>
        <v>933.13728156145191</v>
      </c>
      <c r="G5" s="62">
        <f t="shared" si="0"/>
        <v>4.8442589619656111</v>
      </c>
      <c r="I5" s="115">
        <v>60</v>
      </c>
      <c r="J5" s="116">
        <v>7.5789999999999997</v>
      </c>
      <c r="K5" s="117">
        <v>1.0084089518081907</v>
      </c>
      <c r="M5" s="48">
        <f>I205</f>
        <v>-40</v>
      </c>
      <c r="N5" s="61">
        <f t="shared" ref="N5" si="1">J205</f>
        <v>881.03</v>
      </c>
      <c r="O5" s="62">
        <f t="shared" ref="O5" si="2">K205</f>
        <v>4.8353511958991469</v>
      </c>
      <c r="Q5" s="115">
        <v>50</v>
      </c>
      <c r="R5" s="116">
        <v>4.1459999999999999</v>
      </c>
      <c r="S5" s="117">
        <v>0.6070989281321385</v>
      </c>
      <c r="U5" s="48">
        <f>Q145</f>
        <v>-20</v>
      </c>
      <c r="V5" s="61">
        <f>R145</f>
        <v>70.040000000000006</v>
      </c>
      <c r="W5" s="62">
        <f>S145</f>
        <v>3.500599760095962</v>
      </c>
      <c r="Y5" s="118">
        <v>85</v>
      </c>
      <c r="Z5" s="119">
        <v>0.3209209991701934</v>
      </c>
      <c r="AA5" s="120">
        <v>0.29600228376259158</v>
      </c>
      <c r="AC5" s="48">
        <f>Y255</f>
        <v>-40</v>
      </c>
      <c r="AD5" s="61">
        <f t="shared" ref="AD5:AE5" si="3">Z255</f>
        <v>87.715389505627513</v>
      </c>
      <c r="AE5" s="62">
        <f t="shared" si="3"/>
        <v>4.7252610786225935</v>
      </c>
      <c r="AG5" s="118">
        <v>80</v>
      </c>
      <c r="AH5" s="119">
        <v>1.6574088400433546</v>
      </c>
      <c r="AI5" s="120">
        <v>0.71088217921556174</v>
      </c>
      <c r="AK5" s="48">
        <f>AG244</f>
        <v>-39.5</v>
      </c>
      <c r="AL5" s="61">
        <f>AH244</f>
        <v>197.74516034608368</v>
      </c>
      <c r="AM5" s="62">
        <f>AI244</f>
        <v>4.7593205063516058</v>
      </c>
    </row>
    <row r="6" spans="1:39">
      <c r="A6" s="121">
        <v>59.5</v>
      </c>
      <c r="B6" s="122">
        <v>7.5985654903640008</v>
      </c>
      <c r="C6" s="123">
        <v>1.0104860905280295</v>
      </c>
      <c r="E6" s="48">
        <f>A204</f>
        <v>-39.5</v>
      </c>
      <c r="F6" s="61">
        <f t="shared" ref="F6:G6" si="4">B204</f>
        <v>904.82002138938697</v>
      </c>
      <c r="G6" s="62">
        <f t="shared" si="4"/>
        <v>4.8395413057402639</v>
      </c>
      <c r="I6" s="121">
        <v>59.5</v>
      </c>
      <c r="J6" s="122">
        <v>7.7169999999999996</v>
      </c>
      <c r="K6" s="123">
        <v>1.0230134952408729</v>
      </c>
      <c r="M6" s="48">
        <f>I204</f>
        <v>-39.5</v>
      </c>
      <c r="N6" s="61">
        <f t="shared" ref="N6" si="5">J204</f>
        <v>853.98</v>
      </c>
      <c r="O6" s="62">
        <f t="shared" ref="O6" si="6">K204</f>
        <v>4.8303129030068552</v>
      </c>
      <c r="Q6" s="121">
        <v>49.5</v>
      </c>
      <c r="R6" s="122">
        <v>4.2149999999999999</v>
      </c>
      <c r="S6" s="123">
        <v>0.6159579131959666</v>
      </c>
      <c r="U6" s="48">
        <f>Q144</f>
        <v>-19.5</v>
      </c>
      <c r="V6" s="61">
        <f>R144</f>
        <v>68.33</v>
      </c>
      <c r="W6" s="62">
        <f>S144</f>
        <v>3.4745245601545816</v>
      </c>
      <c r="Y6" s="124">
        <v>84.5</v>
      </c>
      <c r="Z6" s="125">
        <v>0.32601078140660411</v>
      </c>
      <c r="AA6" s="126">
        <v>0.3004147932434546</v>
      </c>
      <c r="AC6" s="48">
        <f>Y254</f>
        <v>-39.5</v>
      </c>
      <c r="AD6" s="61">
        <f t="shared" ref="AD6:AE6" si="7">Z254</f>
        <v>85.192237955333596</v>
      </c>
      <c r="AE6" s="62">
        <f t="shared" si="7"/>
        <v>4.7175836973648337</v>
      </c>
      <c r="AG6" s="124">
        <v>79.5</v>
      </c>
      <c r="AH6" s="125">
        <v>1.6808741168561849</v>
      </c>
      <c r="AI6" s="126">
        <v>0.71949842967256417</v>
      </c>
      <c r="AK6" s="48">
        <f>AG243</f>
        <v>-39</v>
      </c>
      <c r="AL6" s="61">
        <f>AH243</f>
        <v>192.28526531169578</v>
      </c>
      <c r="AM6" s="62">
        <f>AI243</f>
        <v>4.7528243101495482</v>
      </c>
    </row>
    <row r="7" spans="1:39">
      <c r="A7" s="121">
        <v>59</v>
      </c>
      <c r="B7" s="122">
        <v>7.7373289242327132</v>
      </c>
      <c r="C7" s="123">
        <v>1.0251558794433184</v>
      </c>
      <c r="E7" s="48">
        <f>A203</f>
        <v>-39</v>
      </c>
      <c r="F7" s="61">
        <f t="shared" ref="F7:G7" si="8">B203</f>
        <v>877.4117107269177</v>
      </c>
      <c r="G7" s="62">
        <f t="shared" si="8"/>
        <v>4.8346946615006363</v>
      </c>
      <c r="I7" s="121">
        <v>59</v>
      </c>
      <c r="J7" s="122">
        <v>7.8570000000000002</v>
      </c>
      <c r="K7" s="123">
        <v>1.0377208970599889</v>
      </c>
      <c r="M7" s="48">
        <f>I203</f>
        <v>-39</v>
      </c>
      <c r="N7" s="61">
        <f t="shared" ref="N7" si="9">J203</f>
        <v>827.84</v>
      </c>
      <c r="O7" s="62">
        <f t="shared" ref="O7" si="10">K203</f>
        <v>4.8251422176629672</v>
      </c>
      <c r="Q7" s="121">
        <v>49</v>
      </c>
      <c r="R7" s="122">
        <v>4.2850000000000001</v>
      </c>
      <c r="S7" s="123">
        <v>0.62490885226775561</v>
      </c>
      <c r="U7" s="48">
        <f>Q143</f>
        <v>-19</v>
      </c>
      <c r="V7" s="61">
        <f>R143</f>
        <v>66.67</v>
      </c>
      <c r="W7" s="62">
        <f>S143</f>
        <v>3.4483293679528293</v>
      </c>
      <c r="Y7" s="124">
        <v>84</v>
      </c>
      <c r="Z7" s="125">
        <v>0.33119521834913379</v>
      </c>
      <c r="AA7" s="126">
        <v>0.30490085978699538</v>
      </c>
      <c r="AC7" s="48">
        <f>Y253</f>
        <v>-39</v>
      </c>
      <c r="AD7" s="61">
        <f t="shared" ref="AD7:AE7" si="11">Z253</f>
        <v>82.743099985907321</v>
      </c>
      <c r="AE7" s="62">
        <f t="shared" si="11"/>
        <v>4.7097096982678099</v>
      </c>
      <c r="AG7" s="124">
        <v>79</v>
      </c>
      <c r="AH7" s="125">
        <v>1.7047340020511903</v>
      </c>
      <c r="AI7" s="126">
        <v>0.72822415347176839</v>
      </c>
      <c r="AK7" s="48">
        <f>AG242</f>
        <v>-38.5</v>
      </c>
      <c r="AL7" s="61">
        <f>AH242</f>
        <v>186.99271251222339</v>
      </c>
      <c r="AM7" s="62">
        <f>AI242</f>
        <v>4.7461835041390303</v>
      </c>
    </row>
    <row r="8" spans="1:39">
      <c r="A8" s="121">
        <v>58.5</v>
      </c>
      <c r="B8" s="122">
        <v>7.8789999273785547</v>
      </c>
      <c r="C8" s="123">
        <v>1.0400221682837638</v>
      </c>
      <c r="E8" s="48">
        <f>A202</f>
        <v>-38.5</v>
      </c>
      <c r="F8" s="61">
        <f t="shared" ref="F8:G8" si="12">B202</f>
        <v>850.88225589209651</v>
      </c>
      <c r="G8" s="62">
        <f t="shared" si="12"/>
        <v>4.8297161748954851</v>
      </c>
      <c r="I8" s="121">
        <v>58.5</v>
      </c>
      <c r="J8" s="122">
        <v>8</v>
      </c>
      <c r="K8" s="123">
        <v>1.0526315789473684</v>
      </c>
      <c r="M8" s="48">
        <f>I202</f>
        <v>-38.5</v>
      </c>
      <c r="N8" s="61">
        <f t="shared" ref="N8" si="13">J202</f>
        <v>802.57</v>
      </c>
      <c r="O8" s="62">
        <f t="shared" ref="O8" si="14">K202</f>
        <v>4.8198349688314499</v>
      </c>
      <c r="Q8" s="121">
        <v>48.5</v>
      </c>
      <c r="R8" s="122">
        <v>4.3559999999999999</v>
      </c>
      <c r="S8" s="123">
        <v>0.63395040167656302</v>
      </c>
      <c r="U8" s="48">
        <f>Q142</f>
        <v>-18.5</v>
      </c>
      <c r="V8" s="61">
        <f>R142</f>
        <v>65.05</v>
      </c>
      <c r="W8" s="62">
        <f>S142</f>
        <v>3.4218832193582327</v>
      </c>
      <c r="Y8" s="124">
        <v>83.5</v>
      </c>
      <c r="Z8" s="125">
        <v>0.33647630703610693</v>
      </c>
      <c r="AA8" s="126">
        <v>0.30946176165674238</v>
      </c>
      <c r="AC8" s="48">
        <f>Y252</f>
        <v>-38.5</v>
      </c>
      <c r="AD8" s="61">
        <f t="shared" ref="AD8:AE8" si="15">Z252</f>
        <v>80.365891017465884</v>
      </c>
      <c r="AE8" s="62">
        <f t="shared" si="15"/>
        <v>4.7016353577266417</v>
      </c>
      <c r="AG8" s="124">
        <v>78.5</v>
      </c>
      <c r="AH8" s="125">
        <v>1.7289960807724467</v>
      </c>
      <c r="AI8" s="126">
        <v>0.73706055866401932</v>
      </c>
      <c r="AK8" s="48">
        <f>AG241</f>
        <v>-38</v>
      </c>
      <c r="AL8" s="61">
        <f>AH241</f>
        <v>181.86190895851212</v>
      </c>
      <c r="AM8" s="62">
        <f>AI241</f>
        <v>4.7393959005650679</v>
      </c>
    </row>
    <row r="9" spans="1:39">
      <c r="A9" s="121">
        <v>58</v>
      </c>
      <c r="B9" s="122">
        <v>8.02364732014669</v>
      </c>
      <c r="C9" s="123">
        <v>1.0550864903345805</v>
      </c>
      <c r="E9" s="48">
        <f>A201</f>
        <v>-38</v>
      </c>
      <c r="F9" s="61">
        <f t="shared" ref="F9:G9" si="16">B201</f>
        <v>825.20256497681555</v>
      </c>
      <c r="G9" s="62">
        <f t="shared" si="16"/>
        <v>4.8246029582429202</v>
      </c>
      <c r="I9" s="121">
        <v>58</v>
      </c>
      <c r="J9" s="122">
        <v>8.1460000000000008</v>
      </c>
      <c r="K9" s="123">
        <v>1.0677397368007131</v>
      </c>
      <c r="M9" s="48">
        <f>I201</f>
        <v>-38</v>
      </c>
      <c r="N9" s="61">
        <f t="shared" ref="N9" si="17">J201</f>
        <v>778.14</v>
      </c>
      <c r="O9" s="62">
        <f t="shared" ref="O9" si="18">K201</f>
        <v>4.8143885960353403</v>
      </c>
      <c r="Q9" s="121">
        <v>48</v>
      </c>
      <c r="R9" s="122">
        <v>4.4290000000000003</v>
      </c>
      <c r="S9" s="123">
        <v>0.64320776089924192</v>
      </c>
      <c r="U9" s="48">
        <f>Q141</f>
        <v>-18</v>
      </c>
      <c r="V9" s="61">
        <f>R141</f>
        <v>63.48</v>
      </c>
      <c r="W9" s="62">
        <f>S141</f>
        <v>3.3953786906290118</v>
      </c>
      <c r="Y9" s="124">
        <v>83</v>
      </c>
      <c r="Z9" s="125">
        <v>0.34185609126724681</v>
      </c>
      <c r="AA9" s="126">
        <v>0.31409879784935535</v>
      </c>
      <c r="AC9" s="48">
        <f>Y251</f>
        <v>-38</v>
      </c>
      <c r="AD9" s="61">
        <f t="shared" ref="AD9:AE9" si="19">Z251</f>
        <v>78.058575905485839</v>
      </c>
      <c r="AE9" s="62">
        <f t="shared" si="19"/>
        <v>4.6933569421753676</v>
      </c>
      <c r="AG9" s="124">
        <v>78</v>
      </c>
      <c r="AH9" s="125">
        <v>1.7536681010014268</v>
      </c>
      <c r="AI9" s="126">
        <v>0.74600885695079822</v>
      </c>
      <c r="AK9" s="48">
        <f>AG240</f>
        <v>-37.5</v>
      </c>
      <c r="AL9" s="61">
        <f>AH240</f>
        <v>176.88746299449971</v>
      </c>
      <c r="AM9" s="62">
        <f>AI240</f>
        <v>4.7324593142908062</v>
      </c>
    </row>
    <row r="10" spans="1:39">
      <c r="A10" s="121">
        <v>57.5</v>
      </c>
      <c r="B10" s="122">
        <v>8.1713417271322779</v>
      </c>
      <c r="C10" s="123">
        <v>1.0703503410418593</v>
      </c>
      <c r="E10" s="48">
        <f>A200</f>
        <v>-37.5</v>
      </c>
      <c r="F10" s="61">
        <f t="shared" ref="F10:G10" si="20">B200</f>
        <v>800.34451542486693</v>
      </c>
      <c r="G10" s="62">
        <f t="shared" si="20"/>
        <v>4.8193520915553361</v>
      </c>
      <c r="I10" s="121">
        <v>57.5</v>
      </c>
      <c r="J10" s="122">
        <v>8.2949999999999999</v>
      </c>
      <c r="K10" s="123">
        <v>1.0830395613004309</v>
      </c>
      <c r="M10" s="48">
        <f>I200</f>
        <v>-37.5</v>
      </c>
      <c r="N10" s="61">
        <f t="shared" ref="N10" si="21">J200</f>
        <v>754.53</v>
      </c>
      <c r="O10" s="62">
        <f t="shared" ref="O10" si="22">K200</f>
        <v>4.8088027226492294</v>
      </c>
      <c r="Q10" s="121">
        <v>47.5</v>
      </c>
      <c r="R10" s="122">
        <v>4.5030000000000001</v>
      </c>
      <c r="S10" s="123">
        <v>0.6525519520041736</v>
      </c>
      <c r="U10" s="48">
        <f>Q140</f>
        <v>-17.5</v>
      </c>
      <c r="V10" s="61">
        <f>R140</f>
        <v>61.95</v>
      </c>
      <c r="W10" s="62">
        <f>S140</f>
        <v>3.3686786296900491</v>
      </c>
      <c r="Y10" s="124">
        <v>82.5</v>
      </c>
      <c r="Z10" s="125">
        <v>0.34733666279943415</v>
      </c>
      <c r="AA10" s="126">
        <v>0.31881328830971756</v>
      </c>
      <c r="AC10" s="48">
        <f>Y250</f>
        <v>-37.5</v>
      </c>
      <c r="AD10" s="61">
        <f t="shared" ref="AD10:AE10" si="23">Z250</f>
        <v>75.819168465991453</v>
      </c>
      <c r="AE10" s="62">
        <f t="shared" si="23"/>
        <v>4.6848707113109169</v>
      </c>
      <c r="AG10" s="124">
        <v>77.5</v>
      </c>
      <c r="AH10" s="125">
        <v>1.7787579774003373</v>
      </c>
      <c r="AI10" s="126">
        <v>0.75507026327105287</v>
      </c>
      <c r="AK10" s="48">
        <f>AG239</f>
        <v>-37</v>
      </c>
      <c r="AL10" s="61">
        <f>AH239</f>
        <v>172.0641765636237</v>
      </c>
      <c r="AM10" s="62">
        <f>AI239</f>
        <v>4.7253715643366716</v>
      </c>
    </row>
    <row r="11" spans="1:39">
      <c r="A11" s="121">
        <v>57</v>
      </c>
      <c r="B11" s="122">
        <v>8.3221556286063354</v>
      </c>
      <c r="C11" s="123">
        <v>1.0858151755944148</v>
      </c>
      <c r="E11" s="48">
        <f>A199</f>
        <v>-37</v>
      </c>
      <c r="F11" s="61">
        <f t="shared" ref="F11:G11" si="24">B199</f>
        <v>776.28092257066669</v>
      </c>
      <c r="G11" s="62">
        <f t="shared" si="24"/>
        <v>4.813960623647457</v>
      </c>
      <c r="I11" s="121">
        <v>57</v>
      </c>
      <c r="J11" s="122">
        <v>8.4469999999999992</v>
      </c>
      <c r="K11" s="123">
        <v>1.0985252425416807</v>
      </c>
      <c r="M11" s="48">
        <f>I199</f>
        <v>-37</v>
      </c>
      <c r="N11" s="61">
        <f t="shared" ref="N11" si="25">J199</f>
        <v>731.7</v>
      </c>
      <c r="O11" s="62">
        <f t="shared" ref="O11" si="26">K199</f>
        <v>4.8030720756203227</v>
      </c>
      <c r="Q11" s="121">
        <v>47</v>
      </c>
      <c r="R11" s="122">
        <v>4.5789999999999997</v>
      </c>
      <c r="S11" s="123">
        <v>0.66210705919777901</v>
      </c>
      <c r="U11" s="48">
        <f>Q139</f>
        <v>-17</v>
      </c>
      <c r="V11" s="61">
        <f>R139</f>
        <v>60.46</v>
      </c>
      <c r="W11" s="62">
        <f>S139</f>
        <v>3.3418085341587442</v>
      </c>
      <c r="Y11" s="124">
        <v>82</v>
      </c>
      <c r="Z11" s="125">
        <v>0.35292016257544911</v>
      </c>
      <c r="AA11" s="126">
        <v>0.32360657414133376</v>
      </c>
      <c r="AC11" s="48">
        <f>Y249</f>
        <v>-37</v>
      </c>
      <c r="AD11" s="61">
        <f t="shared" ref="AD11:AE11" si="27">Z249</f>
        <v>73.645730949050986</v>
      </c>
      <c r="AE11" s="62">
        <f t="shared" si="27"/>
        <v>4.676172921469246</v>
      </c>
      <c r="AG11" s="124">
        <v>77</v>
      </c>
      <c r="AH11" s="125">
        <v>1.8042737952538148</v>
      </c>
      <c r="AI11" s="126">
        <v>0.76424599536960303</v>
      </c>
      <c r="AK11" s="48">
        <f>AG238</f>
        <v>-36.5</v>
      </c>
      <c r="AL11" s="61">
        <f>AH238</f>
        <v>167.38703778992914</v>
      </c>
      <c r="AM11" s="62">
        <f>AI238</f>
        <v>4.7181304754679276</v>
      </c>
    </row>
    <row r="12" spans="1:39">
      <c r="A12" s="121">
        <v>56.5</v>
      </c>
      <c r="B12" s="122">
        <v>8.4761634135126265</v>
      </c>
      <c r="C12" s="123">
        <v>1.1014824064469799</v>
      </c>
      <c r="E12" s="48">
        <f>A198</f>
        <v>-36.5</v>
      </c>
      <c r="F12" s="61">
        <f t="shared" ref="F12:G12" si="28">B198</f>
        <v>752.98550911660493</v>
      </c>
      <c r="G12" s="62">
        <f t="shared" si="28"/>
        <v>4.808425573329913</v>
      </c>
      <c r="I12" s="121">
        <v>56.5</v>
      </c>
      <c r="J12" s="122">
        <v>8.6029999999999998</v>
      </c>
      <c r="K12" s="123">
        <v>1.1142916353651271</v>
      </c>
      <c r="M12" s="48">
        <f>I198</f>
        <v>-36.5</v>
      </c>
      <c r="N12" s="61">
        <f t="shared" ref="N12" si="29">J198</f>
        <v>709.63</v>
      </c>
      <c r="O12" s="62">
        <f t="shared" ref="O12" si="30">K198</f>
        <v>4.7971958952449203</v>
      </c>
      <c r="Q12" s="121">
        <v>46.5</v>
      </c>
      <c r="R12" s="122">
        <v>4.6559999999999997</v>
      </c>
      <c r="S12" s="123">
        <v>0.67174515235457055</v>
      </c>
      <c r="U12" s="48">
        <f>Q138</f>
        <v>-16.5</v>
      </c>
      <c r="V12" s="61">
        <f>R138</f>
        <v>59.01</v>
      </c>
      <c r="W12" s="62">
        <f>S138</f>
        <v>3.3147960903269302</v>
      </c>
      <c r="Y12" s="124">
        <v>81.5</v>
      </c>
      <c r="Z12" s="125">
        <v>0.35860878198664442</v>
      </c>
      <c r="AA12" s="126">
        <v>0.32848001781154373</v>
      </c>
      <c r="AC12" s="48">
        <f>Y248</f>
        <v>-36.5</v>
      </c>
      <c r="AD12" s="61">
        <f t="shared" ref="AD12:AE12" si="31">Z248</f>
        <v>71.536373465888744</v>
      </c>
      <c r="AE12" s="62">
        <f t="shared" si="31"/>
        <v>4.6672598291547533</v>
      </c>
      <c r="AG12" s="124">
        <v>76.5</v>
      </c>
      <c r="AH12" s="125">
        <v>1.830223814512058</v>
      </c>
      <c r="AI12" s="126">
        <v>0.77353727334682143</v>
      </c>
      <c r="AK12" s="48">
        <f>AG237</f>
        <v>-36</v>
      </c>
      <c r="AL12" s="61">
        <f>AH237</f>
        <v>162.8512138603358</v>
      </c>
      <c r="AM12" s="62">
        <f>AI237</f>
        <v>4.7107338798303138</v>
      </c>
    </row>
    <row r="13" spans="1:39">
      <c r="A13" s="121">
        <v>56</v>
      </c>
      <c r="B13" s="122">
        <v>8.633441434086718</v>
      </c>
      <c r="C13" s="123">
        <v>1.117353400785742</v>
      </c>
      <c r="E13" s="48">
        <f>A197</f>
        <v>-36</v>
      </c>
      <c r="F13" s="61">
        <f t="shared" ref="F13:G13" si="32">B197</f>
        <v>730.43287552697643</v>
      </c>
      <c r="G13" s="62">
        <f t="shared" si="32"/>
        <v>4.8027439306907258</v>
      </c>
      <c r="I13" s="121">
        <v>56</v>
      </c>
      <c r="J13" s="122">
        <v>8.7609999999999992</v>
      </c>
      <c r="K13" s="123">
        <v>1.1301308015789067</v>
      </c>
      <c r="M13" s="48">
        <f>I197</f>
        <v>-36</v>
      </c>
      <c r="N13" s="61">
        <f t="shared" ref="N13" si="33">J197</f>
        <v>688.28</v>
      </c>
      <c r="O13" s="62">
        <f t="shared" ref="O13" si="34">K197</f>
        <v>4.7911677897198857</v>
      </c>
      <c r="Q13" s="121">
        <v>46</v>
      </c>
      <c r="R13" s="122">
        <v>4.7350000000000003</v>
      </c>
      <c r="S13" s="123">
        <v>0.68158917518353246</v>
      </c>
      <c r="U13" s="48">
        <f>Q137</f>
        <v>-16</v>
      </c>
      <c r="V13" s="61">
        <f>R137</f>
        <v>57.6</v>
      </c>
      <c r="W13" s="62">
        <f>S137</f>
        <v>3.2876712328767126</v>
      </c>
      <c r="Y13" s="124">
        <v>81</v>
      </c>
      <c r="Z13" s="125">
        <v>0.36440476417058099</v>
      </c>
      <c r="AA13" s="126">
        <v>0.33343500335108545</v>
      </c>
      <c r="AC13" s="48">
        <f>Y247</f>
        <v>-36</v>
      </c>
      <c r="AD13" s="61">
        <f t="shared" ref="AD13:AE13" si="35">Z247</f>
        <v>69.489253374587761</v>
      </c>
      <c r="AE13" s="62">
        <f t="shared" si="35"/>
        <v>4.6581276947238122</v>
      </c>
      <c r="AG13" s="124">
        <v>76</v>
      </c>
      <c r="AH13" s="125">
        <v>1.8566164739379136</v>
      </c>
      <c r="AI13" s="126">
        <v>0.78294531918905841</v>
      </c>
      <c r="AK13" s="48">
        <f>AG236</f>
        <v>-35.5</v>
      </c>
      <c r="AL13" s="61">
        <f>AH236</f>
        <v>158.45204419524401</v>
      </c>
      <c r="AM13" s="62">
        <f>AI236</f>
        <v>4.7031796186334933</v>
      </c>
    </row>
    <row r="14" spans="1:39">
      <c r="A14" s="121">
        <v>55.5</v>
      </c>
      <c r="B14" s="122">
        <v>8.794068062149373</v>
      </c>
      <c r="C14" s="123">
        <v>1.1334294779373211</v>
      </c>
      <c r="E14" s="48">
        <f>A196</f>
        <v>-35.5</v>
      </c>
      <c r="F14" s="61">
        <f t="shared" ref="F14:G14" si="36">B196</f>
        <v>708.59847131654442</v>
      </c>
      <c r="G14" s="62">
        <f t="shared" si="36"/>
        <v>4.7969126584670203</v>
      </c>
      <c r="I14" s="121">
        <v>55.5</v>
      </c>
      <c r="J14" s="122">
        <v>8.923</v>
      </c>
      <c r="K14" s="123">
        <v>1.1462374431570024</v>
      </c>
      <c r="M14" s="48">
        <f>I196</f>
        <v>-35.5</v>
      </c>
      <c r="N14" s="61">
        <f t="shared" ref="N14" si="37">J196</f>
        <v>667.64</v>
      </c>
      <c r="O14" s="62">
        <f t="shared" ref="O14" si="38">K196</f>
        <v>4.7849893928100453</v>
      </c>
      <c r="Q14" s="121">
        <v>45.5</v>
      </c>
      <c r="R14" s="122">
        <v>4.8150000000000004</v>
      </c>
      <c r="S14" s="123">
        <v>0.69151227919000446</v>
      </c>
      <c r="U14" s="48">
        <f>Q136</f>
        <v>-15.5</v>
      </c>
      <c r="V14" s="61">
        <f>R136</f>
        <v>56.23</v>
      </c>
      <c r="W14" s="62">
        <f>S136</f>
        <v>3.260466195059724</v>
      </c>
      <c r="Y14" s="124">
        <v>80.5</v>
      </c>
      <c r="Z14" s="125">
        <v>0.37031040534461324</v>
      </c>
      <c r="AA14" s="126">
        <v>0.3384729365474507</v>
      </c>
      <c r="AC14" s="48">
        <f>Y246</f>
        <v>-35.5</v>
      </c>
      <c r="AD14" s="61">
        <f t="shared" ref="AD14:AE14" si="39">Z246</f>
        <v>67.502574629044673</v>
      </c>
      <c r="AE14" s="62">
        <f t="shared" si="39"/>
        <v>4.6487727862229464</v>
      </c>
      <c r="AG14" s="124">
        <v>75.5</v>
      </c>
      <c r="AH14" s="125">
        <v>1.8834603953611426</v>
      </c>
      <c r="AI14" s="126">
        <v>0.79247135627951226</v>
      </c>
      <c r="AK14" s="48">
        <f>AG235</f>
        <v>-35</v>
      </c>
      <c r="AL14" s="61">
        <f>AH235</f>
        <v>154.18503389513509</v>
      </c>
      <c r="AM14" s="62">
        <f>AI235</f>
        <v>4.69546554388182</v>
      </c>
    </row>
    <row r="15" spans="1:39">
      <c r="A15" s="121">
        <v>55</v>
      </c>
      <c r="B15" s="122">
        <v>8.9581237471290613</v>
      </c>
      <c r="C15" s="123">
        <v>1.1497119067225627</v>
      </c>
      <c r="E15" s="48">
        <f>A195</f>
        <v>-35</v>
      </c>
      <c r="F15" s="61">
        <f t="shared" ref="F15:G15" si="40">B195</f>
        <v>687.45856721197117</v>
      </c>
      <c r="G15" s="62">
        <f t="shared" si="40"/>
        <v>4.7909286935092332</v>
      </c>
      <c r="I15" s="121">
        <v>55</v>
      </c>
      <c r="J15" s="122">
        <v>9.0890000000000004</v>
      </c>
      <c r="K15" s="123">
        <v>1.1626032899281129</v>
      </c>
      <c r="M15" s="48">
        <f>I195</f>
        <v>-35</v>
      </c>
      <c r="N15" s="61">
        <f t="shared" ref="N15" si="41">J195</f>
        <v>647.66999999999996</v>
      </c>
      <c r="O15" s="62">
        <f t="shared" ref="O15" si="42">K195</f>
        <v>4.778653326840498</v>
      </c>
      <c r="Q15" s="121">
        <v>45</v>
      </c>
      <c r="R15" s="122">
        <v>4.8970000000000002</v>
      </c>
      <c r="S15" s="123">
        <v>0.70163624380319223</v>
      </c>
      <c r="U15" s="48">
        <f>Q135</f>
        <v>-15</v>
      </c>
      <c r="V15" s="61">
        <f>R135</f>
        <v>54.9</v>
      </c>
      <c r="W15" s="62">
        <f>S135</f>
        <v>3.2332155477031801</v>
      </c>
      <c r="Y15" s="124">
        <v>80</v>
      </c>
      <c r="Z15" s="125">
        <v>0.37632805617654069</v>
      </c>
      <c r="AA15" s="126">
        <v>0.34359524513153911</v>
      </c>
      <c r="AC15" s="48">
        <f>Y245</f>
        <v>-35</v>
      </c>
      <c r="AD15" s="61">
        <f t="shared" ref="AD15:AE15" si="43">Z245</f>
        <v>65.574587095502324</v>
      </c>
      <c r="AE15" s="62">
        <f t="shared" si="43"/>
        <v>4.6391913833816689</v>
      </c>
      <c r="AG15" s="124">
        <v>75</v>
      </c>
      <c r="AH15" s="125">
        <v>1.9107643880425134</v>
      </c>
      <c r="AI15" s="126">
        <v>0.80211660888900338</v>
      </c>
      <c r="AK15" s="48">
        <f>AG234</f>
        <v>-34.5</v>
      </c>
      <c r="AL15" s="61">
        <f>AH234</f>
        <v>150.04584745144885</v>
      </c>
      <c r="AM15" s="62">
        <f>AI234</f>
        <v>4.687589520151918</v>
      </c>
    </row>
    <row r="16" spans="1:39">
      <c r="A16" s="121">
        <v>54.5</v>
      </c>
      <c r="B16" s="122">
        <v>9.1256910758697227</v>
      </c>
      <c r="C16" s="123">
        <v>1.1662019027566619</v>
      </c>
      <c r="E16" s="48">
        <f>A194</f>
        <v>-34.5</v>
      </c>
      <c r="F16" s="61">
        <f t="shared" ref="F16:G16" si="44">B194</f>
        <v>666.99022816442118</v>
      </c>
      <c r="G16" s="62">
        <f t="shared" si="44"/>
        <v>4.7847889483400126</v>
      </c>
      <c r="I16" s="121">
        <v>54.5</v>
      </c>
      <c r="J16" s="122">
        <v>9.2579999999999991</v>
      </c>
      <c r="K16" s="123">
        <v>1.1791227265780222</v>
      </c>
      <c r="M16" s="48">
        <f>I194</f>
        <v>-34.5</v>
      </c>
      <c r="N16" s="61">
        <f t="shared" ref="N16" si="45">J194</f>
        <v>628.36</v>
      </c>
      <c r="O16" s="62">
        <f t="shared" ref="O16" si="46">K194</f>
        <v>4.7721611276505254</v>
      </c>
      <c r="Q16" s="121">
        <v>44.5</v>
      </c>
      <c r="R16" s="122">
        <v>4.9809999999999999</v>
      </c>
      <c r="S16" s="123">
        <v>0.71195792001372171</v>
      </c>
      <c r="U16" s="48">
        <f>Q134</f>
        <v>-14.5</v>
      </c>
      <c r="V16" s="61">
        <f>R134</f>
        <v>53.6</v>
      </c>
      <c r="W16" s="62">
        <f>S134</f>
        <v>3.2057416267942584</v>
      </c>
      <c r="Y16" s="124">
        <v>79.5</v>
      </c>
      <c r="Z16" s="125">
        <v>0.38246012319337452</v>
      </c>
      <c r="AA16" s="126">
        <v>0.34880337895700242</v>
      </c>
      <c r="AC16" s="48">
        <f>Y244</f>
        <v>-34.5</v>
      </c>
      <c r="AD16" s="61">
        <f t="shared" ref="AD16:AE16" si="47">Z244</f>
        <v>63.703585840722702</v>
      </c>
      <c r="AE16" s="62">
        <f t="shared" si="47"/>
        <v>4.6293797817597557</v>
      </c>
      <c r="AG16" s="124">
        <v>74.5</v>
      </c>
      <c r="AH16" s="125">
        <v>1.9385374531509092</v>
      </c>
      <c r="AI16" s="126">
        <v>0.81188230164628583</v>
      </c>
      <c r="AK16" s="48">
        <f>AG233</f>
        <v>-34</v>
      </c>
      <c r="AL16" s="61">
        <f>AH233</f>
        <v>146.03030271049741</v>
      </c>
      <c r="AM16" s="62">
        <f>AI233</f>
        <v>4.6795494264164104</v>
      </c>
    </row>
    <row r="17" spans="1:39">
      <c r="A17" s="121">
        <v>54</v>
      </c>
      <c r="B17" s="122">
        <v>9.2968548342817812</v>
      </c>
      <c r="C17" s="123">
        <v>1.182900625697326</v>
      </c>
      <c r="E17" s="48">
        <f>A193</f>
        <v>-34</v>
      </c>
      <c r="F17" s="61">
        <f t="shared" ref="F17:G17" si="48">B193</f>
        <v>647.17128719193647</v>
      </c>
      <c r="G17" s="62">
        <f t="shared" si="48"/>
        <v>4.7784903128099048</v>
      </c>
      <c r="I17" s="121">
        <v>54</v>
      </c>
      <c r="J17" s="122">
        <v>9.43</v>
      </c>
      <c r="K17" s="123">
        <v>1.19579000760842</v>
      </c>
      <c r="M17" s="48">
        <f>I193</f>
        <v>-34</v>
      </c>
      <c r="N17" s="61">
        <f t="shared" ref="N17" si="49">J193</f>
        <v>609.66999999999996</v>
      </c>
      <c r="O17" s="62">
        <f t="shared" ref="O17" si="50">K193</f>
        <v>4.7655040880453985</v>
      </c>
      <c r="Q17" s="121">
        <v>44</v>
      </c>
      <c r="R17" s="122">
        <v>5.0659999999999998</v>
      </c>
      <c r="S17" s="123">
        <v>0.72235213597216663</v>
      </c>
      <c r="U17" s="48">
        <f>Q133</f>
        <v>-14</v>
      </c>
      <c r="V17" s="61">
        <f>R133</f>
        <v>52.33</v>
      </c>
      <c r="W17" s="62">
        <f>S133</f>
        <v>3.1780638892262845</v>
      </c>
      <c r="Y17" s="124">
        <v>79</v>
      </c>
      <c r="Z17" s="125">
        <v>0.3887090702293845</v>
      </c>
      <c r="AA17" s="126">
        <v>0.35409881017171452</v>
      </c>
      <c r="AC17" s="48">
        <f>Y243</f>
        <v>-34</v>
      </c>
      <c r="AD17" s="61">
        <f t="shared" ref="AD17:AE17" si="51">Z243</f>
        <v>61.887910395555537</v>
      </c>
      <c r="AE17" s="62">
        <f t="shared" si="51"/>
        <v>4.6193342970481455</v>
      </c>
      <c r="AG17" s="124">
        <v>74</v>
      </c>
      <c r="AH17" s="125">
        <v>1.9667887883567232</v>
      </c>
      <c r="AI17" s="126">
        <v>0.82176965898752286</v>
      </c>
      <c r="AK17" s="48">
        <f>AG232</f>
        <v>-33.5</v>
      </c>
      <c r="AL17" s="61">
        <f>AH232</f>
        <v>142.13436507968302</v>
      </c>
      <c r="AM17" s="62">
        <f>AI232</f>
        <v>4.6713431579129958</v>
      </c>
    </row>
    <row r="18" spans="1:39">
      <c r="A18" s="121">
        <v>53.5</v>
      </c>
      <c r="B18" s="122">
        <v>9.471702070896864</v>
      </c>
      <c r="C18" s="123">
        <v>1.1998091764429517</v>
      </c>
      <c r="E18" s="48">
        <f>A192</f>
        <v>-33.5</v>
      </c>
      <c r="F18" s="61">
        <f t="shared" ref="F18:G18" si="52">B192</f>
        <v>627.98032003032233</v>
      </c>
      <c r="G18" s="62">
        <f t="shared" si="52"/>
        <v>4.7720296558518838</v>
      </c>
      <c r="I18" s="121">
        <v>53.5</v>
      </c>
      <c r="J18" s="122">
        <v>9.6069999999999993</v>
      </c>
      <c r="K18" s="123">
        <v>1.2127906683162066</v>
      </c>
      <c r="M18" s="48">
        <f>I192</f>
        <v>-33.5</v>
      </c>
      <c r="N18" s="61">
        <f t="shared" ref="N18" si="53">J192</f>
        <v>591.6</v>
      </c>
      <c r="O18" s="62">
        <f t="shared" ref="O18" si="54">K192</f>
        <v>4.7586872586872584</v>
      </c>
      <c r="Q18" s="121">
        <v>43.5</v>
      </c>
      <c r="R18" s="122">
        <v>5.1529999999999996</v>
      </c>
      <c r="S18" s="123">
        <v>0.73293886723750457</v>
      </c>
      <c r="U18" s="48">
        <f>Q132</f>
        <v>-13.5</v>
      </c>
      <c r="V18" s="61">
        <f>R132</f>
        <v>51.1</v>
      </c>
      <c r="W18" s="62">
        <f>S132</f>
        <v>3.1504315659679412</v>
      </c>
      <c r="Y18" s="124">
        <v>78.5</v>
      </c>
      <c r="Z18" s="125">
        <v>0.39507741991456585</v>
      </c>
      <c r="AA18" s="126">
        <v>0.3594830333807274</v>
      </c>
      <c r="AC18" s="48">
        <f>Y242</f>
        <v>-33.5</v>
      </c>
      <c r="AD18" s="61">
        <f t="shared" ref="AD18:AE18" si="55">Z242</f>
        <v>60.125943997420222</v>
      </c>
      <c r="AE18" s="62">
        <f t="shared" si="55"/>
        <v>4.6090512695223156</v>
      </c>
      <c r="AG18" s="124">
        <v>73.5</v>
      </c>
      <c r="AH18" s="125">
        <v>1.9955277925445651</v>
      </c>
      <c r="AI18" s="126">
        <v>0.83177990458444906</v>
      </c>
      <c r="AK18" s="48">
        <f>AG231</f>
        <v>-33</v>
      </c>
      <c r="AL18" s="61">
        <f>AH231</f>
        <v>138.35414196578668</v>
      </c>
      <c r="AM18" s="62">
        <f>AI231</f>
        <v>4.6629686280580493</v>
      </c>
    </row>
    <row r="19" spans="1:39">
      <c r="A19" s="121">
        <v>53</v>
      </c>
      <c r="B19" s="122">
        <v>9.6503221623881696</v>
      </c>
      <c r="C19" s="123">
        <v>1.2169285942829429</v>
      </c>
      <c r="E19" s="48">
        <f>A191</f>
        <v>-33</v>
      </c>
      <c r="F19" s="61">
        <f t="shared" ref="F19:G19" si="56">B191</f>
        <v>609.39662057156147</v>
      </c>
      <c r="G19" s="62">
        <f t="shared" si="56"/>
        <v>4.7654038273366011</v>
      </c>
      <c r="I19" s="121">
        <v>53</v>
      </c>
      <c r="J19" s="122">
        <v>9.7870000000000008</v>
      </c>
      <c r="K19" s="123">
        <v>1.2299243471485661</v>
      </c>
      <c r="M19" s="48">
        <f>I191</f>
        <v>-33</v>
      </c>
      <c r="N19" s="61">
        <f t="shared" ref="N19" si="57">J191</f>
        <v>574.11</v>
      </c>
      <c r="O19" s="62">
        <f t="shared" ref="O19" si="58">K191</f>
        <v>4.7517008491830959</v>
      </c>
      <c r="Q19" s="121">
        <v>43</v>
      </c>
      <c r="R19" s="122">
        <v>5.2409999999999997</v>
      </c>
      <c r="S19" s="123">
        <v>0.74359410913424695</v>
      </c>
      <c r="U19" s="48">
        <f>Q131</f>
        <v>-13</v>
      </c>
      <c r="V19" s="61">
        <f>R131</f>
        <v>49.91</v>
      </c>
      <c r="W19" s="62">
        <f>S131</f>
        <v>3.1228882492804404</v>
      </c>
      <c r="Y19" s="124">
        <v>78</v>
      </c>
      <c r="Z19" s="125">
        <v>0.4015677552047644</v>
      </c>
      <c r="AA19" s="126">
        <v>0.3649575658000947</v>
      </c>
      <c r="AC19" s="48">
        <f>Y241</f>
        <v>-33</v>
      </c>
      <c r="AD19" s="61">
        <f t="shared" ref="AD19:AE19" si="59">Z241</f>
        <v>58.416112814948335</v>
      </c>
      <c r="AE19" s="62">
        <f t="shared" si="59"/>
        <v>4.5985270686464519</v>
      </c>
      <c r="AG19" s="124">
        <v>73</v>
      </c>
      <c r="AH19" s="125">
        <v>2.0247640706487497</v>
      </c>
      <c r="AI19" s="126">
        <v>0.8419142607508604</v>
      </c>
      <c r="AK19" s="48">
        <f>AG230</f>
        <v>-32.5</v>
      </c>
      <c r="AL19" s="61">
        <f>AH230</f>
        <v>134.68587743552899</v>
      </c>
      <c r="AM19" s="62">
        <f>AI230</f>
        <v>4.6544237704037172</v>
      </c>
    </row>
    <row r="20" spans="1:39">
      <c r="A20" s="121">
        <v>52.5</v>
      </c>
      <c r="B20" s="122">
        <v>9.8328068811210638</v>
      </c>
      <c r="C20" s="123">
        <v>1.2342598540025767</v>
      </c>
      <c r="E20" s="48">
        <f>A190</f>
        <v>-32.5</v>
      </c>
      <c r="F20" s="61">
        <f t="shared" ref="F20:G20" si="60">B190</f>
        <v>591.4001770690362</v>
      </c>
      <c r="G20" s="62">
        <f t="shared" si="60"/>
        <v>4.7586096600301815</v>
      </c>
      <c r="I20" s="121">
        <v>52.5</v>
      </c>
      <c r="J20" s="122">
        <v>9.9700000000000006</v>
      </c>
      <c r="K20" s="123">
        <v>1.2471853890417814</v>
      </c>
      <c r="M20" s="48">
        <f>I190</f>
        <v>-32.5</v>
      </c>
      <c r="N20" s="61">
        <f t="shared" ref="N20" si="61">J190</f>
        <v>557.19000000000005</v>
      </c>
      <c r="O20" s="62">
        <f t="shared" ref="O20" si="62">K190</f>
        <v>4.74454605834568</v>
      </c>
      <c r="Q20" s="121">
        <v>42.5</v>
      </c>
      <c r="R20" s="122">
        <v>5.3319999999999999</v>
      </c>
      <c r="S20" s="123">
        <v>0.75455677572738589</v>
      </c>
      <c r="U20" s="48">
        <f>Q130</f>
        <v>-12.5</v>
      </c>
      <c r="V20" s="61">
        <f>R130</f>
        <v>48.74</v>
      </c>
      <c r="W20" s="62">
        <f>S130</f>
        <v>3.0949961899923797</v>
      </c>
      <c r="Y20" s="124">
        <v>77.5</v>
      </c>
      <c r="Z20" s="125">
        <v>0.40818272095465846</v>
      </c>
      <c r="AA20" s="126">
        <v>0.37052394740085326</v>
      </c>
      <c r="AC20" s="48">
        <f>Y240</f>
        <v>-32.5</v>
      </c>
      <c r="AD20" s="61">
        <f t="shared" ref="AD20:AE20" si="63">Z240</f>
        <v>56.756885157809897</v>
      </c>
      <c r="AE20" s="62">
        <f t="shared" si="63"/>
        <v>4.5877580978262298</v>
      </c>
      <c r="AG20" s="124">
        <v>72.5</v>
      </c>
      <c r="AH20" s="125">
        <v>2.0545074386150559</v>
      </c>
      <c r="AI20" s="126">
        <v>0.85217394782706213</v>
      </c>
      <c r="AK20" s="48">
        <f>AG229</f>
        <v>-32</v>
      </c>
      <c r="AL20" s="61">
        <f>AH229</f>
        <v>131.12594708901892</v>
      </c>
      <c r="AM20" s="62">
        <f>AI229</f>
        <v>4.6457065406373417</v>
      </c>
    </row>
    <row r="21" spans="1:39">
      <c r="A21" s="121">
        <v>52</v>
      </c>
      <c r="B21" s="122">
        <v>10.019250464800328</v>
      </c>
      <c r="C21" s="123">
        <v>1.2518038629450274</v>
      </c>
      <c r="E21" s="48">
        <f>A189</f>
        <v>-32</v>
      </c>
      <c r="F21" s="61">
        <f t="shared" ref="F21:G21" si="64">B189</f>
        <v>573.97164908910383</v>
      </c>
      <c r="G21" s="62">
        <f t="shared" si="64"/>
        <v>4.7516439716562413</v>
      </c>
      <c r="I21" s="121">
        <v>52</v>
      </c>
      <c r="J21" s="122">
        <v>10.157999999999999</v>
      </c>
      <c r="K21" s="123">
        <v>1.2647542208277305</v>
      </c>
      <c r="M21" s="48">
        <f>I189</f>
        <v>-32</v>
      </c>
      <c r="N21" s="61">
        <f t="shared" ref="N21" si="65">J189</f>
        <v>540.80999999999995</v>
      </c>
      <c r="O21" s="62">
        <f t="shared" ref="O21" si="66">K189</f>
        <v>4.7372155358175227</v>
      </c>
      <c r="Q21" s="121">
        <v>42</v>
      </c>
      <c r="R21" s="122">
        <v>5.4240000000000004</v>
      </c>
      <c r="S21" s="123">
        <v>0.76558265582655827</v>
      </c>
      <c r="U21" s="48">
        <f>Q129</f>
        <v>-12</v>
      </c>
      <c r="V21" s="61">
        <f>R129</f>
        <v>47.6</v>
      </c>
      <c r="W21" s="62">
        <f>S129</f>
        <v>3.0670103092783507</v>
      </c>
      <c r="Y21" s="124">
        <v>77</v>
      </c>
      <c r="Z21" s="125">
        <v>0.41492502553491517</v>
      </c>
      <c r="AA21" s="126">
        <v>0.37618374104249042</v>
      </c>
      <c r="AC21" s="48">
        <f>Y239</f>
        <v>-32</v>
      </c>
      <c r="AD21" s="61">
        <f t="shared" ref="AD21:AE21" si="67">Z239</f>
        <v>55.146770674519459</v>
      </c>
      <c r="AE21" s="62">
        <f t="shared" si="67"/>
        <v>4.5767407993075242</v>
      </c>
      <c r="AG21" s="124">
        <v>72</v>
      </c>
      <c r="AH21" s="125">
        <v>2.0847679284921687</v>
      </c>
      <c r="AI21" s="126">
        <v>0.86256018354184805</v>
      </c>
      <c r="AK21" s="48">
        <f>AG228</f>
        <v>-31.5</v>
      </c>
      <c r="AL21" s="61">
        <f>AH228</f>
        <v>127.67085313718384</v>
      </c>
      <c r="AM21" s="62">
        <f>AI228</f>
        <v>4.6368149186220498</v>
      </c>
    </row>
    <row r="22" spans="1:39">
      <c r="A22" s="121">
        <v>51.5</v>
      </c>
      <c r="B22" s="122">
        <v>10.209749688282766</v>
      </c>
      <c r="C22" s="123">
        <v>1.2695614580333878</v>
      </c>
      <c r="E22" s="48">
        <f>A188</f>
        <v>-31.5</v>
      </c>
      <c r="F22" s="61">
        <f t="shared" ref="F22:G22" si="68">B188</f>
        <v>557.09234518889582</v>
      </c>
      <c r="G22" s="62">
        <f t="shared" si="68"/>
        <v>4.7445035670636484</v>
      </c>
      <c r="I22" s="121">
        <v>51.5</v>
      </c>
      <c r="J22" s="122">
        <v>10.35</v>
      </c>
      <c r="K22" s="123">
        <v>1.2825278810408922</v>
      </c>
      <c r="M22" s="48">
        <f>I188</f>
        <v>-31.5</v>
      </c>
      <c r="N22" s="61">
        <f t="shared" ref="N22" si="69">J188</f>
        <v>524.97</v>
      </c>
      <c r="O22" s="62">
        <f t="shared" ref="O22" si="70">K188</f>
        <v>4.729715119736202</v>
      </c>
      <c r="Q22" s="121">
        <v>41.5</v>
      </c>
      <c r="R22" s="122">
        <v>5.5179999999999998</v>
      </c>
      <c r="S22" s="123">
        <v>0.77678923362801955</v>
      </c>
      <c r="U22" s="48">
        <f>Q128</f>
        <v>-11.5</v>
      </c>
      <c r="V22" s="61">
        <f>R128</f>
        <v>46.5</v>
      </c>
      <c r="W22" s="62">
        <f>S128</f>
        <v>3.0392156862745097</v>
      </c>
      <c r="Y22" s="124">
        <v>76.5</v>
      </c>
      <c r="Z22" s="125">
        <v>0.42179744249480772</v>
      </c>
      <c r="AA22" s="126">
        <v>0.38193853259513549</v>
      </c>
      <c r="AC22" s="48">
        <f>Y238</f>
        <v>-31.5</v>
      </c>
      <c r="AD22" s="61">
        <f t="shared" ref="AD22:AE22" si="71">Z238</f>
        <v>53.584319540802973</v>
      </c>
      <c r="AE22" s="62">
        <f t="shared" si="71"/>
        <v>4.5654716592177582</v>
      </c>
      <c r="AG22" s="124">
        <v>71.5</v>
      </c>
      <c r="AH22" s="125">
        <v>2.1155557936565361</v>
      </c>
      <c r="AI22" s="126">
        <v>0.87307418235166689</v>
      </c>
      <c r="AK22" s="48">
        <f>AG227</f>
        <v>-31</v>
      </c>
      <c r="AL22" s="61">
        <f>AH227</f>
        <v>124.31721967459063</v>
      </c>
      <c r="AM22" s="62">
        <f>AI227</f>
        <v>4.6277469104770441</v>
      </c>
    </row>
    <row r="23" spans="1:39">
      <c r="A23" s="121">
        <v>51</v>
      </c>
      <c r="B23" s="122">
        <v>10.404403937626901</v>
      </c>
      <c r="C23" s="123">
        <v>1.2875334027558469</v>
      </c>
      <c r="E23" s="48">
        <f>A187</f>
        <v>-31</v>
      </c>
      <c r="F23" s="61">
        <f t="shared" ref="F23:G23" si="72">B187</f>
        <v>540.74420130048816</v>
      </c>
      <c r="G23" s="62">
        <f t="shared" si="72"/>
        <v>4.7371852405014154</v>
      </c>
      <c r="I23" s="121">
        <v>51</v>
      </c>
      <c r="J23" s="122">
        <v>10.545999999999999</v>
      </c>
      <c r="K23" s="123">
        <v>1.3004981995757905</v>
      </c>
      <c r="M23" s="48">
        <f>I187</f>
        <v>-31</v>
      </c>
      <c r="N23" s="61">
        <f t="shared" ref="N23" si="73">J187</f>
        <v>509.63</v>
      </c>
      <c r="O23" s="62">
        <f t="shared" ref="O23" si="74">K187</f>
        <v>4.7220317625039385</v>
      </c>
      <c r="Q23" s="121">
        <v>41</v>
      </c>
      <c r="R23" s="122">
        <v>5.6139999999999999</v>
      </c>
      <c r="S23" s="123">
        <v>0.78817319031841415</v>
      </c>
      <c r="U23" s="48">
        <f>Q127</f>
        <v>-11</v>
      </c>
      <c r="V23" s="61">
        <f>R127</f>
        <v>45.42</v>
      </c>
      <c r="W23" s="62">
        <f>S127</f>
        <v>3.0111376292760546</v>
      </c>
      <c r="Y23" s="124">
        <v>76</v>
      </c>
      <c r="Z23" s="125">
        <v>0.42880281227169859</v>
      </c>
      <c r="AA23" s="126">
        <v>0.38778993104974763</v>
      </c>
      <c r="AC23" s="48">
        <f>Y237</f>
        <v>-31</v>
      </c>
      <c r="AD23" s="61">
        <f t="shared" ref="AD23:AE23" si="75">Z237</f>
        <v>52.068121640916388</v>
      </c>
      <c r="AE23" s="62">
        <f t="shared" si="75"/>
        <v>4.5539472127461131</v>
      </c>
      <c r="AG23" s="124">
        <v>71</v>
      </c>
      <c r="AH23" s="125">
        <v>2.1468815141744479</v>
      </c>
      <c r="AI23" s="126">
        <v>0.88371715475663748</v>
      </c>
      <c r="AK23" s="48">
        <f>AG226</f>
        <v>-30.5</v>
      </c>
      <c r="AL23" s="61">
        <f>AH226</f>
        <v>121.06178813949494</v>
      </c>
      <c r="AM23" s="62">
        <f>AI226</f>
        <v>4.6185005506961136</v>
      </c>
    </row>
    <row r="24" spans="1:39">
      <c r="A24" s="121">
        <v>50.5</v>
      </c>
      <c r="B24" s="122">
        <v>10.603315286452615</v>
      </c>
      <c r="C24" s="123">
        <v>1.305720384117308</v>
      </c>
      <c r="E24" s="48">
        <f>A186</f>
        <v>-30.5</v>
      </c>
      <c r="F24" s="61">
        <f t="shared" ref="F24:G24" si="76">B186</f>
        <v>524.90975980196527</v>
      </c>
      <c r="G24" s="62">
        <f t="shared" si="76"/>
        <v>4.7296857780019375</v>
      </c>
      <c r="I24" s="121">
        <v>50.5</v>
      </c>
      <c r="J24" s="122">
        <v>10.746</v>
      </c>
      <c r="K24" s="123">
        <v>1.3186570460904139</v>
      </c>
      <c r="M24" s="48">
        <f>I186</f>
        <v>-30.5</v>
      </c>
      <c r="N24" s="61">
        <f t="shared" ref="N24" si="77">J186</f>
        <v>494.78</v>
      </c>
      <c r="O24" s="62">
        <f t="shared" ref="O24" si="78">K186</f>
        <v>4.7141659362018364</v>
      </c>
      <c r="Q24" s="121">
        <v>40.5</v>
      </c>
      <c r="R24" s="122">
        <v>5.7110000000000003</v>
      </c>
      <c r="S24" s="123">
        <v>0.79961356444792919</v>
      </c>
      <c r="U24" s="48">
        <f>Q126</f>
        <v>-10.5</v>
      </c>
      <c r="V24" s="61">
        <f>R126</f>
        <v>44.37</v>
      </c>
      <c r="W24" s="62">
        <f>S126</f>
        <v>2.9830576845502215</v>
      </c>
      <c r="Y24" s="124">
        <v>75.5</v>
      </c>
      <c r="Z24" s="125">
        <v>0.43594404394874975</v>
      </c>
      <c r="AA24" s="126">
        <v>0.39373956861546777</v>
      </c>
      <c r="AC24" s="48">
        <f>Y236</f>
        <v>-30.5</v>
      </c>
      <c r="AD24" s="61">
        <f t="shared" ref="AD24:AE24" si="79">Z236</f>
        <v>50.596805744111663</v>
      </c>
      <c r="AE24" s="62">
        <f t="shared" si="79"/>
        <v>4.5421640494581519</v>
      </c>
      <c r="AG24" s="124">
        <v>70.5</v>
      </c>
      <c r="AH24" s="125">
        <v>2.1787558023050799</v>
      </c>
      <c r="AI24" s="126">
        <v>0.89449030659302065</v>
      </c>
      <c r="AK24" s="48">
        <f>AG225</f>
        <v>-30</v>
      </c>
      <c r="AL24" s="61">
        <f>AH225</f>
        <v>117.90141295330618</v>
      </c>
      <c r="AM24" s="62">
        <f>AI225</f>
        <v>4.6090739043027318</v>
      </c>
    </row>
    <row r="25" spans="1:39">
      <c r="A25" s="121">
        <v>50</v>
      </c>
      <c r="B25" s="122">
        <v>10.806588574687787</v>
      </c>
      <c r="C25" s="123">
        <v>1.3241230095611427</v>
      </c>
      <c r="E25" s="48">
        <f>A185</f>
        <v>-30</v>
      </c>
      <c r="F25" s="61">
        <f t="shared" ref="F25:G25" si="80">B185</f>
        <v>509.57214925617967</v>
      </c>
      <c r="G25" s="62">
        <f t="shared" si="80"/>
        <v>4.7220019598736132</v>
      </c>
      <c r="I25" s="121">
        <v>50</v>
      </c>
      <c r="J25" s="122">
        <v>10.95</v>
      </c>
      <c r="K25" s="123">
        <v>1.3369963369963369</v>
      </c>
      <c r="M25" s="48">
        <f>I185</f>
        <v>-30</v>
      </c>
      <c r="N25" s="61">
        <f t="shared" ref="N25" si="81">J185</f>
        <v>480.41</v>
      </c>
      <c r="O25" s="62">
        <f t="shared" ref="O25" si="82">K185</f>
        <v>4.7061186105287911</v>
      </c>
      <c r="Q25" s="121">
        <v>40</v>
      </c>
      <c r="R25" s="122">
        <v>5.8109999999999999</v>
      </c>
      <c r="S25" s="123">
        <v>0.81134288347155903</v>
      </c>
      <c r="U25" s="48">
        <f>Q125</f>
        <v>-10</v>
      </c>
      <c r="V25" s="61">
        <f>R125</f>
        <v>43.35</v>
      </c>
      <c r="W25" s="62">
        <f>S125</f>
        <v>2.9550102249488757</v>
      </c>
      <c r="Y25" s="124">
        <v>75</v>
      </c>
      <c r="Z25" s="125">
        <v>0.44322411706232878</v>
      </c>
      <c r="AA25" s="126">
        <v>0.39978910080332325</v>
      </c>
      <c r="AC25" s="48">
        <f>Y235</f>
        <v>-30</v>
      </c>
      <c r="AD25" s="61">
        <f t="shared" ref="AD25:AE25" si="83">Z235</f>
        <v>49.169038678272742</v>
      </c>
      <c r="AE25" s="62">
        <f t="shared" si="83"/>
        <v>4.530118818739842</v>
      </c>
      <c r="AG25" s="124">
        <v>70</v>
      </c>
      <c r="AH25" s="125">
        <v>2.2111896081486195</v>
      </c>
      <c r="AI25" s="126">
        <v>0.90539483830186207</v>
      </c>
      <c r="AK25" s="48">
        <f>AG224</f>
        <v>-29.5</v>
      </c>
      <c r="AL25" s="61">
        <f>AH224</f>
        <v>114.83305733198102</v>
      </c>
      <c r="AM25" s="62">
        <f>AI224</f>
        <v>4.5994650690399261</v>
      </c>
    </row>
    <row r="26" spans="1:39">
      <c r="A26" s="121">
        <v>49.5</v>
      </c>
      <c r="B26" s="122">
        <v>11.014331489780144</v>
      </c>
      <c r="C26" s="123">
        <v>1.3427418038649086</v>
      </c>
      <c r="E26" s="48">
        <f>A184</f>
        <v>-29.5</v>
      </c>
      <c r="F26" s="61">
        <f t="shared" ref="F26:G26" si="84">B184</f>
        <v>494.7150647984185</v>
      </c>
      <c r="G26" s="62">
        <f t="shared" si="84"/>
        <v>4.714130563303673</v>
      </c>
      <c r="I26" s="121">
        <v>49.5</v>
      </c>
      <c r="J26" s="122">
        <v>11.159000000000001</v>
      </c>
      <c r="K26" s="123">
        <v>1.3555965888384072</v>
      </c>
      <c r="M26" s="48">
        <f>I184</f>
        <v>-29.5</v>
      </c>
      <c r="N26" s="61">
        <f t="shared" ref="N26" si="85">J184</f>
        <v>466.49</v>
      </c>
      <c r="O26" s="62">
        <f t="shared" ref="O26" si="86">K184</f>
        <v>4.6978791113617593</v>
      </c>
      <c r="Q26" s="121">
        <v>39.5</v>
      </c>
      <c r="R26" s="122">
        <v>5.9130000000000003</v>
      </c>
      <c r="S26" s="123">
        <v>0.82323949544733122</v>
      </c>
      <c r="U26" s="48">
        <f>Q124</f>
        <v>-9.5</v>
      </c>
      <c r="V26" s="61">
        <f>R124</f>
        <v>42.36</v>
      </c>
      <c r="W26" s="62">
        <f>S124</f>
        <v>2.9270315091210617</v>
      </c>
      <c r="Y26" s="124">
        <v>74.5</v>
      </c>
      <c r="Z26" s="125">
        <v>0.45064608346061852</v>
      </c>
      <c r="AA26" s="126">
        <v>0.40594020649543716</v>
      </c>
      <c r="AC26" s="48">
        <f>Y234</f>
        <v>-29.5</v>
      </c>
      <c r="AD26" s="61">
        <f t="shared" ref="AD26:AE26" si="87">Z234</f>
        <v>47.783524502576405</v>
      </c>
      <c r="AE26" s="62">
        <f t="shared" si="87"/>
        <v>4.517808235365294</v>
      </c>
      <c r="AG26" s="124">
        <v>69.5</v>
      </c>
      <c r="AH26" s="125">
        <v>2.2441941254435318</v>
      </c>
      <c r="AI26" s="126">
        <v>0.91643194417347518</v>
      </c>
      <c r="AK26" s="48">
        <f>AG223</f>
        <v>-29</v>
      </c>
      <c r="AL26" s="61">
        <f>AH223</f>
        <v>111.85378926219936</v>
      </c>
      <c r="AM26" s="62">
        <f>AI223</f>
        <v>4.5896721775929974</v>
      </c>
    </row>
    <row r="27" spans="1:39">
      <c r="A27" s="121">
        <v>49</v>
      </c>
      <c r="B27" s="122">
        <v>11.226654650456096</v>
      </c>
      <c r="C27" s="123">
        <v>1.3615772060142035</v>
      </c>
      <c r="E27" s="48">
        <f>A183</f>
        <v>-29</v>
      </c>
      <c r="F27" s="61">
        <f t="shared" ref="F27:G27" si="88">B183</f>
        <v>480.32274915448545</v>
      </c>
      <c r="G27" s="62">
        <f t="shared" si="88"/>
        <v>4.7060683650718618</v>
      </c>
      <c r="I27" s="121">
        <v>49</v>
      </c>
      <c r="J27" s="122">
        <v>11.372</v>
      </c>
      <c r="K27" s="123">
        <v>1.3743594701730639</v>
      </c>
      <c r="M27" s="48">
        <f>I183</f>
        <v>-29</v>
      </c>
      <c r="N27" s="61">
        <f t="shared" ref="N27" si="89">J183</f>
        <v>456.02</v>
      </c>
      <c r="O27" s="62">
        <f t="shared" ref="O27" si="90">K183</f>
        <v>4.691370725484548</v>
      </c>
      <c r="Q27" s="121">
        <v>39</v>
      </c>
      <c r="R27" s="122">
        <v>6.0170000000000003</v>
      </c>
      <c r="S27" s="123">
        <v>0.83529999722353332</v>
      </c>
      <c r="U27" s="48">
        <f>Q123</f>
        <v>-9</v>
      </c>
      <c r="V27" s="61">
        <f>R123</f>
        <v>41.39</v>
      </c>
      <c r="W27" s="62">
        <f>S123</f>
        <v>2.8988653873091468</v>
      </c>
      <c r="Y27" s="124">
        <v>74</v>
      </c>
      <c r="Z27" s="125">
        <v>0.45821306921495975</v>
      </c>
      <c r="AA27" s="126">
        <v>0.41219458799883468</v>
      </c>
      <c r="AC27" s="48">
        <f>Y233</f>
        <v>-29</v>
      </c>
      <c r="AD27" s="61">
        <f t="shared" ref="AD27:AE27" si="91">Z233</f>
        <v>46.439003680879523</v>
      </c>
      <c r="AE27" s="62">
        <f t="shared" si="91"/>
        <v>4.5052290851819423</v>
      </c>
      <c r="AG27" s="124">
        <v>69</v>
      </c>
      <c r="AH27" s="125">
        <v>2.2777807975172486</v>
      </c>
      <c r="AI27" s="126">
        <v>0.92760281156748214</v>
      </c>
      <c r="AK27" s="48">
        <f>AG222</f>
        <v>-28.5</v>
      </c>
      <c r="AL27" s="61">
        <f>AH222</f>
        <v>108.96077763548658</v>
      </c>
      <c r="AM27" s="62">
        <f>AI222</f>
        <v>4.5796933998430358</v>
      </c>
    </row>
    <row r="28" spans="1:39">
      <c r="A28" s="121">
        <v>48.5</v>
      </c>
      <c r="B28" s="122">
        <v>11.443671693111078</v>
      </c>
      <c r="C28" s="123">
        <v>1.3806295660590913</v>
      </c>
      <c r="E28" s="48">
        <f>A182</f>
        <v>-28.5</v>
      </c>
      <c r="F28" s="61">
        <f t="shared" ref="F28:G28" si="92">B182</f>
        <v>466.37997427110605</v>
      </c>
      <c r="G28" s="62">
        <f t="shared" si="92"/>
        <v>4.6978121443753587</v>
      </c>
      <c r="I28" s="121">
        <v>48.5</v>
      </c>
      <c r="J28" s="122">
        <v>11.590999999999999</v>
      </c>
      <c r="K28" s="123">
        <v>1.3934505061191123</v>
      </c>
      <c r="M28" s="48">
        <f>I182</f>
        <v>-28.5</v>
      </c>
      <c r="N28" s="61">
        <f t="shared" ref="N28" si="93">J182</f>
        <v>439.97</v>
      </c>
      <c r="O28" s="62">
        <f t="shared" ref="O28" si="94">K182</f>
        <v>4.6808306913207227</v>
      </c>
      <c r="Q28" s="121">
        <v>38.5</v>
      </c>
      <c r="R28" s="122">
        <v>6.1230000000000002</v>
      </c>
      <c r="S28" s="123">
        <v>0.84752097001910154</v>
      </c>
      <c r="U28" s="48">
        <f>Q122</f>
        <v>-8.5</v>
      </c>
      <c r="V28" s="61">
        <f>R122</f>
        <v>40.450000000000003</v>
      </c>
      <c r="W28" s="62">
        <f>S122</f>
        <v>2.8708303761533003</v>
      </c>
      <c r="Y28" s="124">
        <v>73.5</v>
      </c>
      <c r="Z28" s="125">
        <v>0.46592827658549452</v>
      </c>
      <c r="AA28" s="126">
        <v>0.41855397108290215</v>
      </c>
      <c r="AC28" s="48">
        <f>Y232</f>
        <v>-28.5</v>
      </c>
      <c r="AD28" s="61">
        <f t="shared" ref="AD28:AE28" si="95">Z232</f>
        <v>45.134252257385633</v>
      </c>
      <c r="AE28" s="62">
        <f t="shared" si="95"/>
        <v>4.4923782309061666</v>
      </c>
      <c r="AG28" s="124">
        <v>68.5</v>
      </c>
      <c r="AH28" s="125">
        <v>2.3119613233945526</v>
      </c>
      <c r="AI28" s="126">
        <v>0.93890862010810705</v>
      </c>
      <c r="AK28" s="48">
        <f>AG221</f>
        <v>-28</v>
      </c>
      <c r="AL28" s="61">
        <f>AH221</f>
        <v>106.15128853374992</v>
      </c>
      <c r="AM28" s="62">
        <f>AI221</f>
        <v>4.5695269451490281</v>
      </c>
    </row>
    <row r="29" spans="1:39">
      <c r="A29" s="121">
        <v>48</v>
      </c>
      <c r="B29" s="122">
        <v>11.665499360918469</v>
      </c>
      <c r="C29" s="123">
        <v>1.3998991419577835</v>
      </c>
      <c r="E29" s="48">
        <f>A181</f>
        <v>-28</v>
      </c>
      <c r="F29" s="61">
        <f t="shared" ref="F29:G29" si="96">B181</f>
        <v>452.87202354092375</v>
      </c>
      <c r="G29" s="62">
        <f t="shared" si="96"/>
        <v>4.6893586857651375</v>
      </c>
      <c r="I29" s="121">
        <v>48</v>
      </c>
      <c r="J29" s="122">
        <v>11.813000000000001</v>
      </c>
      <c r="K29" s="123">
        <v>1.4125989524788942</v>
      </c>
      <c r="M29" s="48">
        <f>I181</f>
        <v>-28</v>
      </c>
      <c r="N29" s="61">
        <f t="shared" ref="N29" si="97">J181</f>
        <v>427.33</v>
      </c>
      <c r="O29" s="62">
        <f t="shared" ref="O29" si="98">K181</f>
        <v>4.6720092712046011</v>
      </c>
      <c r="Q29" s="121">
        <v>38</v>
      </c>
      <c r="R29" s="122">
        <v>6.2309999999999999</v>
      </c>
      <c r="S29" s="123">
        <v>0.85989898153514943</v>
      </c>
      <c r="U29" s="48">
        <f>Q121</f>
        <v>-8</v>
      </c>
      <c r="V29" s="61">
        <f>R121</f>
        <v>39.53</v>
      </c>
      <c r="W29" s="62">
        <f>S121</f>
        <v>2.8426578455343017</v>
      </c>
      <c r="Y29" s="124">
        <v>73</v>
      </c>
      <c r="Z29" s="125">
        <v>0.47379498604282666</v>
      </c>
      <c r="AA29" s="126">
        <v>0.42502010499959414</v>
      </c>
      <c r="AC29" s="48">
        <f>Y231</f>
        <v>-28</v>
      </c>
      <c r="AD29" s="61">
        <f t="shared" ref="AD29:AE29" si="99">Z231</f>
        <v>43.868081036003822</v>
      </c>
      <c r="AE29" s="62">
        <f t="shared" si="99"/>
        <v>4.4792526180217047</v>
      </c>
      <c r="AG29" s="124">
        <v>68</v>
      </c>
      <c r="AH29" s="125">
        <v>2.346747664068221</v>
      </c>
      <c r="AI29" s="126">
        <v>0.95035054085448678</v>
      </c>
      <c r="AK29" s="48">
        <f>AG220</f>
        <v>-27.5</v>
      </c>
      <c r="AL29" s="61">
        <f>AH220</f>
        <v>103.42268165995598</v>
      </c>
      <c r="AM29" s="62">
        <f>AI220</f>
        <v>4.5591710646561756</v>
      </c>
    </row>
    <row r="30" spans="1:39">
      <c r="A30" s="121">
        <v>47.5</v>
      </c>
      <c r="B30" s="122">
        <v>11.892257595747539</v>
      </c>
      <c r="C30" s="123">
        <v>1.4193860964125644</v>
      </c>
      <c r="E30" s="48">
        <f>A180</f>
        <v>-27.5</v>
      </c>
      <c r="F30" s="61">
        <f t="shared" ref="F30:G30" si="100">B180</f>
        <v>439.78467460469824</v>
      </c>
      <c r="G30" s="62">
        <f t="shared" si="100"/>
        <v>4.680704782193633</v>
      </c>
      <c r="I30" s="121">
        <v>47.5</v>
      </c>
      <c r="J30" s="122">
        <v>12.041</v>
      </c>
      <c r="K30" s="123">
        <v>1.4320544230632002</v>
      </c>
      <c r="M30" s="48">
        <f>I180</f>
        <v>-27.5</v>
      </c>
      <c r="N30" s="61">
        <f t="shared" ref="N30" si="101">J180</f>
        <v>415.1</v>
      </c>
      <c r="O30" s="62">
        <f t="shared" ref="O30" si="102">K180</f>
        <v>4.6629970793080204</v>
      </c>
      <c r="Q30" s="121">
        <v>37.5</v>
      </c>
      <c r="R30" s="122">
        <v>6.3419999999999996</v>
      </c>
      <c r="S30" s="123">
        <v>0.87254416377744759</v>
      </c>
      <c r="U30" s="48">
        <f>Q120</f>
        <v>-7.5</v>
      </c>
      <c r="V30" s="61">
        <f>R120</f>
        <v>38.630000000000003</v>
      </c>
      <c r="W30" s="62">
        <f>S120</f>
        <v>2.8143668949439022</v>
      </c>
      <c r="Y30" s="124">
        <v>72.5</v>
      </c>
      <c r="Z30" s="125">
        <v>0.48181655834729586</v>
      </c>
      <c r="AA30" s="126">
        <v>0.43159476248531137</v>
      </c>
      <c r="AC30" s="48">
        <f>Y230</f>
        <v>-27.5</v>
      </c>
      <c r="AD30" s="61">
        <f t="shared" ref="AD30:AE30" si="103">Z230</f>
        <v>42.639334764692592</v>
      </c>
      <c r="AE30" s="62">
        <f t="shared" si="103"/>
        <v>4.4658492807725612</v>
      </c>
      <c r="AG30" s="124">
        <v>67.5</v>
      </c>
      <c r="AH30" s="125">
        <v>2.3821520489366592</v>
      </c>
      <c r="AI30" s="126">
        <v>0.96192973544579874</v>
      </c>
      <c r="AK30" s="48">
        <f>AG219</f>
        <v>-27</v>
      </c>
      <c r="AL30" s="61">
        <f>AH219</f>
        <v>100.77240690798193</v>
      </c>
      <c r="AM30" s="62">
        <f>AI219</f>
        <v>4.5486240536279512</v>
      </c>
    </row>
    <row r="31" spans="1:39">
      <c r="A31" s="121">
        <v>47</v>
      </c>
      <c r="B31" s="122">
        <v>12.124069632983852</v>
      </c>
      <c r="C31" s="123">
        <v>1.4390904937032132</v>
      </c>
      <c r="E31" s="48">
        <f>A179</f>
        <v>-27</v>
      </c>
      <c r="F31" s="61">
        <f t="shared" ref="F31:G31" si="104">B179</f>
        <v>427.10418271373203</v>
      </c>
      <c r="G31" s="62">
        <f t="shared" si="104"/>
        <v>4.6718472381734042</v>
      </c>
      <c r="I31" s="121">
        <v>47</v>
      </c>
      <c r="J31" s="122">
        <v>12.273999999999999</v>
      </c>
      <c r="K31" s="123">
        <v>1.4517197331693239</v>
      </c>
      <c r="M31" s="48">
        <f>I179</f>
        <v>-27</v>
      </c>
      <c r="N31" s="61">
        <f t="shared" ref="N31" si="105">J179</f>
        <v>403.24</v>
      </c>
      <c r="O31" s="62">
        <f t="shared" ref="O31" si="106">K179</f>
        <v>4.6537715815714158</v>
      </c>
      <c r="Q31" s="121">
        <v>37</v>
      </c>
      <c r="R31" s="122">
        <v>6.4539999999999997</v>
      </c>
      <c r="S31" s="123">
        <v>0.8852252153398803</v>
      </c>
      <c r="U31" s="48">
        <f>Q119</f>
        <v>-7</v>
      </c>
      <c r="V31" s="61">
        <f>R119</f>
        <v>37.76</v>
      </c>
      <c r="W31" s="62">
        <f>S119</f>
        <v>2.7863046044864226</v>
      </c>
      <c r="Y31" s="124">
        <v>72</v>
      </c>
      <c r="Z31" s="125">
        <v>0.48999643668770321</v>
      </c>
      <c r="AA31" s="126">
        <v>0.43827973974348877</v>
      </c>
      <c r="AC31" s="48">
        <f>Y229</f>
        <v>-27</v>
      </c>
      <c r="AD31" s="61">
        <f t="shared" ref="AD31:AE31" si="107">Z229</f>
        <v>41.446891325949423</v>
      </c>
      <c r="AE31" s="62">
        <f t="shared" si="107"/>
        <v>4.4521653482413335</v>
      </c>
      <c r="AG31" s="124">
        <v>67</v>
      </c>
      <c r="AH31" s="125">
        <v>2.4181869824130908</v>
      </c>
      <c r="AI31" s="126">
        <v>0.97364735522092727</v>
      </c>
      <c r="AK31" s="48">
        <f>AG218</f>
        <v>-26.5</v>
      </c>
      <c r="AL31" s="61">
        <f>AH218</f>
        <v>98.19800106590624</v>
      </c>
      <c r="AM31" s="62">
        <f>AI218</f>
        <v>4.5378842537992572</v>
      </c>
    </row>
    <row r="32" spans="1:39">
      <c r="A32" s="121">
        <v>46.5</v>
      </c>
      <c r="B32" s="122">
        <v>12.361062099348965</v>
      </c>
      <c r="C32" s="123">
        <v>1.4590122965234786</v>
      </c>
      <c r="E32" s="48">
        <f>A178</f>
        <v>-26.5</v>
      </c>
      <c r="F32" s="61">
        <f t="shared" ref="F32:G32" si="108">B178</f>
        <v>414.81726463589382</v>
      </c>
      <c r="G32" s="62">
        <f t="shared" si="108"/>
        <v>4.6627828730461198</v>
      </c>
      <c r="I32" s="121">
        <v>46.5</v>
      </c>
      <c r="J32" s="122">
        <v>12.510999999999999</v>
      </c>
      <c r="K32" s="123">
        <v>1.4715014937310342</v>
      </c>
      <c r="M32" s="48">
        <f>I178</f>
        <v>-26.5</v>
      </c>
      <c r="N32" s="61">
        <f t="shared" ref="N32" si="109">J178</f>
        <v>391.76</v>
      </c>
      <c r="O32" s="62">
        <f t="shared" ref="O32" si="110">K178</f>
        <v>4.6443474962063735</v>
      </c>
      <c r="Q32" s="121">
        <v>36.5</v>
      </c>
      <c r="R32" s="122">
        <v>6.569</v>
      </c>
      <c r="S32" s="123">
        <v>0.89816511252700371</v>
      </c>
      <c r="U32" s="48">
        <f>Q118</f>
        <v>-6.5</v>
      </c>
      <c r="V32" s="61">
        <f>R118</f>
        <v>36.909999999999997</v>
      </c>
      <c r="W32" s="62">
        <f>S118</f>
        <v>2.7581826333881332</v>
      </c>
      <c r="Y32" s="124">
        <v>71.5</v>
      </c>
      <c r="Z32" s="125">
        <v>0.49833814888122957</v>
      </c>
      <c r="AA32" s="126">
        <v>0.44507685640676903</v>
      </c>
      <c r="AC32" s="48">
        <f>Y228</f>
        <v>-26.5</v>
      </c>
      <c r="AD32" s="61">
        <f t="shared" ref="AD32:AE32" si="111">Z228</f>
        <v>40.289660934501242</v>
      </c>
      <c r="AE32" s="62">
        <f t="shared" si="111"/>
        <v>4.4381980505032335</v>
      </c>
      <c r="AG32" s="124">
        <v>66.5</v>
      </c>
      <c r="AH32" s="125">
        <v>2.4548652507114452</v>
      </c>
      <c r="AI32" s="126">
        <v>0.9855045403125573</v>
      </c>
      <c r="AK32" s="48">
        <f>AG217</f>
        <v>-26</v>
      </c>
      <c r="AL32" s="61">
        <f>AH217</f>
        <v>95.69708464726375</v>
      </c>
      <c r="AM32" s="62">
        <f>AI217</f>
        <v>4.5269500557478777</v>
      </c>
    </row>
    <row r="33" spans="1:39">
      <c r="A33" s="121">
        <v>46</v>
      </c>
      <c r="B33" s="122">
        <v>12.603365113819367</v>
      </c>
      <c r="C33" s="123">
        <v>1.479151362826405</v>
      </c>
      <c r="E33" s="48">
        <f>A177</f>
        <v>-26</v>
      </c>
      <c r="F33" s="61">
        <f t="shared" ref="F33:G33" si="112">B177</f>
        <v>402.91108308899283</v>
      </c>
      <c r="G33" s="62">
        <f t="shared" si="112"/>
        <v>4.6535085243609604</v>
      </c>
      <c r="I33" s="121">
        <v>46</v>
      </c>
      <c r="J33" s="122">
        <v>12.754</v>
      </c>
      <c r="K33" s="123">
        <v>1.4915563456050895</v>
      </c>
      <c r="M33" s="48">
        <f>I177</f>
        <v>-26</v>
      </c>
      <c r="N33" s="61">
        <f t="shared" ref="N33" si="113">J177</f>
        <v>380.64</v>
      </c>
      <c r="O33" s="62">
        <f t="shared" ref="O33" si="114">K177</f>
        <v>4.6347165400350665</v>
      </c>
      <c r="Q33" s="121">
        <v>36</v>
      </c>
      <c r="R33" s="122">
        <v>6.6870000000000003</v>
      </c>
      <c r="S33" s="123">
        <v>0.91135824679041633</v>
      </c>
      <c r="U33" s="48">
        <f>Q117</f>
        <v>-6</v>
      </c>
      <c r="V33" s="61">
        <f>R117</f>
        <v>36.08</v>
      </c>
      <c r="W33" s="62">
        <f>S117</f>
        <v>2.73002421307506</v>
      </c>
      <c r="Y33" s="124">
        <v>71</v>
      </c>
      <c r="Z33" s="125">
        <v>0.5068453096364478</v>
      </c>
      <c r="AA33" s="126">
        <v>0.45198795547768739</v>
      </c>
      <c r="AC33" s="48">
        <f>Y227</f>
        <v>-26</v>
      </c>
      <c r="AD33" s="61">
        <f t="shared" ref="AD33:AE33" si="115">Z227</f>
        <v>39.166585343148071</v>
      </c>
      <c r="AE33" s="62">
        <f t="shared" si="115"/>
        <v>4.4239447248454393</v>
      </c>
      <c r="AG33" s="124">
        <v>66</v>
      </c>
      <c r="AH33" s="125">
        <v>2.4921999288137582</v>
      </c>
      <c r="AI33" s="126">
        <v>0.99750241871545764</v>
      </c>
      <c r="AK33" s="48">
        <f>AG216</f>
        <v>-25.5</v>
      </c>
      <c r="AL33" s="61">
        <f>AH216</f>
        <v>93.26735884502294</v>
      </c>
      <c r="AM33" s="62">
        <f>AI216</f>
        <v>4.5158199012813256</v>
      </c>
    </row>
    <row r="34" spans="1:39">
      <c r="A34" s="121">
        <v>45.5</v>
      </c>
      <c r="B34" s="122">
        <v>12.851112391748249</v>
      </c>
      <c r="C34" s="123">
        <v>1.4995074426846107</v>
      </c>
      <c r="E34" s="48">
        <f>A176</f>
        <v>-25.5</v>
      </c>
      <c r="F34" s="61">
        <f t="shared" ref="F34:G34" si="116">B176</f>
        <v>391.37323168564649</v>
      </c>
      <c r="G34" s="62">
        <f t="shared" si="116"/>
        <v>4.6440210513611762</v>
      </c>
      <c r="I34" s="121">
        <v>45.5</v>
      </c>
      <c r="J34" s="122">
        <v>13.003</v>
      </c>
      <c r="K34" s="123">
        <v>1.5118712647954793</v>
      </c>
      <c r="M34" s="48">
        <f>I176</f>
        <v>-25.5</v>
      </c>
      <c r="N34" s="61">
        <f t="shared" ref="N34" si="117">J176</f>
        <v>369.87</v>
      </c>
      <c r="O34" s="62">
        <f t="shared" ref="O34" si="118">K176</f>
        <v>4.6248780853777474</v>
      </c>
      <c r="Q34" s="121">
        <v>35.5</v>
      </c>
      <c r="R34" s="122">
        <v>6.8070000000000004</v>
      </c>
      <c r="S34" s="123">
        <v>0.92468823865025684</v>
      </c>
      <c r="U34" s="48">
        <f>Q116</f>
        <v>-5.5</v>
      </c>
      <c r="V34" s="61">
        <f>R116</f>
        <v>35.270000000000003</v>
      </c>
      <c r="W34" s="62">
        <f>S116</f>
        <v>2.7018538379040908</v>
      </c>
      <c r="Y34" s="124">
        <v>70.5</v>
      </c>
      <c r="Z34" s="125">
        <v>0.51552162288134307</v>
      </c>
      <c r="AA34" s="126">
        <v>0.45901490324671501</v>
      </c>
      <c r="AC34" s="48">
        <f>Y226</f>
        <v>-25.5</v>
      </c>
      <c r="AD34" s="61">
        <f t="shared" ref="AD34:AE34" si="119">Z226</f>
        <v>38.076637057603293</v>
      </c>
      <c r="AE34" s="62">
        <f t="shared" si="119"/>
        <v>4.4094028220405486</v>
      </c>
      <c r="AG34" s="124">
        <v>65.5</v>
      </c>
      <c r="AH34" s="125">
        <v>2.5302043876246967</v>
      </c>
      <c r="AI34" s="126">
        <v>1.009642105328953</v>
      </c>
      <c r="AK34" s="48">
        <f>AG215</f>
        <v>-25</v>
      </c>
      <c r="AL34" s="61">
        <f>AH215</f>
        <v>90.906602603266563</v>
      </c>
      <c r="AM34" s="62">
        <f>AI215</f>
        <v>4.5044922858359975</v>
      </c>
    </row>
    <row r="35" spans="1:39">
      <c r="A35" s="121">
        <v>45</v>
      </c>
      <c r="B35" s="122">
        <v>13.1044413522974</v>
      </c>
      <c r="C35" s="123">
        <v>1.5200801751718971</v>
      </c>
      <c r="E35" s="48">
        <f>A175</f>
        <v>-25</v>
      </c>
      <c r="F35" s="61">
        <f t="shared" ref="F35:G35" si="120">B175</f>
        <v>380.19172037412289</v>
      </c>
      <c r="G35" s="62">
        <f t="shared" si="120"/>
        <v>4.6343173385772154</v>
      </c>
      <c r="I35" s="121">
        <v>45</v>
      </c>
      <c r="J35" s="122">
        <v>13.257</v>
      </c>
      <c r="K35" s="123">
        <v>1.5323531451556973</v>
      </c>
      <c r="M35" s="48">
        <f>I175</f>
        <v>-25</v>
      </c>
      <c r="N35" s="61">
        <f t="shared" ref="N35" si="121">J175</f>
        <v>359.43</v>
      </c>
      <c r="O35" s="62">
        <f t="shared" ref="O35" si="122">K175</f>
        <v>4.6148216624297049</v>
      </c>
      <c r="Q35" s="121">
        <v>35</v>
      </c>
      <c r="R35" s="122">
        <v>6.9290000000000003</v>
      </c>
      <c r="S35" s="123">
        <v>0.93815158818272903</v>
      </c>
      <c r="U35" s="48">
        <f>Q115</f>
        <v>-5</v>
      </c>
      <c r="V35" s="61">
        <f>R115</f>
        <v>34.479999999999997</v>
      </c>
      <c r="W35" s="62">
        <f>S115</f>
        <v>2.6736972704714641</v>
      </c>
      <c r="Y35" s="124">
        <v>70</v>
      </c>
      <c r="Z35" s="125">
        <v>0.52437088415829236</v>
      </c>
      <c r="AA35" s="126">
        <v>0.46615958918645034</v>
      </c>
      <c r="AC35" s="48">
        <f>Y225</f>
        <v>-25</v>
      </c>
      <c r="AD35" s="61">
        <f t="shared" ref="AD35:AE35" si="123">Z225</f>
        <v>37.018818561091258</v>
      </c>
      <c r="AE35" s="62">
        <f t="shared" si="123"/>
        <v>4.3945699126623525</v>
      </c>
      <c r="AG35" s="124">
        <v>65</v>
      </c>
      <c r="AH35" s="125">
        <v>2.5688923013183036</v>
      </c>
      <c r="AI35" s="126">
        <v>1.0219247009733954</v>
      </c>
      <c r="AK35" s="48">
        <f>AG214</f>
        <v>-24.5</v>
      </c>
      <c r="AL35" s="61">
        <f>AH214</f>
        <v>88.612669801779248</v>
      </c>
      <c r="AM35" s="62">
        <f>AI214</f>
        <v>4.4929657608854452</v>
      </c>
    </row>
    <row r="36" spans="1:39">
      <c r="A36" s="121">
        <v>44.5</v>
      </c>
      <c r="B36" s="122">
        <v>13.363493229290125</v>
      </c>
      <c r="C36" s="123">
        <v>1.5408690852728251</v>
      </c>
      <c r="E36" s="48">
        <f>A174</f>
        <v>-24.5</v>
      </c>
      <c r="F36" s="61">
        <f t="shared" ref="F36:G36" si="124">B174</f>
        <v>369.3549613600718</v>
      </c>
      <c r="G36" s="62">
        <f t="shared" si="124"/>
        <v>4.62439429952454</v>
      </c>
      <c r="I36" s="121">
        <v>44.5</v>
      </c>
      <c r="J36" s="122">
        <v>13.516</v>
      </c>
      <c r="K36" s="123">
        <v>1.5529920029414468</v>
      </c>
      <c r="M36" s="48">
        <f>I174</f>
        <v>-24.5</v>
      </c>
      <c r="N36" s="61">
        <f t="shared" ref="N36" si="125">J174</f>
        <v>349.32</v>
      </c>
      <c r="O36" s="62">
        <f t="shared" ref="O36" si="126">K174</f>
        <v>4.6045555204049347</v>
      </c>
      <c r="Q36" s="121">
        <v>34.5</v>
      </c>
      <c r="R36" s="122">
        <v>7.0540000000000003</v>
      </c>
      <c r="S36" s="123">
        <v>0.9518540508447132</v>
      </c>
      <c r="U36" s="48">
        <f>Q114</f>
        <v>-4.5</v>
      </c>
      <c r="V36" s="61">
        <f>R114</f>
        <v>33.72</v>
      </c>
      <c r="W36" s="62">
        <f>S114</f>
        <v>2.6459510357815441</v>
      </c>
      <c r="Y36" s="124">
        <v>69.5</v>
      </c>
      <c r="Z36" s="125">
        <v>0.53339698308811667</v>
      </c>
      <c r="AA36" s="126">
        <v>0.47342392582079224</v>
      </c>
      <c r="AC36" s="48">
        <f>Y224</f>
        <v>-24.5</v>
      </c>
      <c r="AD36" s="61">
        <f t="shared" ref="AD36:AE36" si="127">Z224</f>
        <v>35.992161549378146</v>
      </c>
      <c r="AE36" s="62">
        <f t="shared" si="127"/>
        <v>4.3794436934314573</v>
      </c>
      <c r="AG36" s="124">
        <v>64.5</v>
      </c>
      <c r="AH36" s="125">
        <v>2.6082776548824351</v>
      </c>
      <c r="AI36" s="126">
        <v>1.0343512913805497</v>
      </c>
      <c r="AK36" s="48">
        <f>AG213</f>
        <v>-24</v>
      </c>
      <c r="AL36" s="61">
        <f>AH213</f>
        <v>86.383486548941931</v>
      </c>
      <c r="AM36" s="62">
        <f>AI213</f>
        <v>4.4812389363544058</v>
      </c>
    </row>
    <row r="37" spans="1:39">
      <c r="A37" s="121">
        <v>44</v>
      </c>
      <c r="B37" s="122">
        <v>13.628413185599875</v>
      </c>
      <c r="C37" s="123">
        <v>1.5618735808271511</v>
      </c>
      <c r="E37" s="48">
        <f>A173</f>
        <v>-24</v>
      </c>
      <c r="F37" s="61">
        <f t="shared" ref="F37:G37" si="128">B173</f>
        <v>358.85175549436093</v>
      </c>
      <c r="G37" s="62">
        <f t="shared" si="128"/>
        <v>4.6142488805038315</v>
      </c>
      <c r="I37" s="121">
        <v>44</v>
      </c>
      <c r="J37" s="122">
        <v>13.731999999999999</v>
      </c>
      <c r="K37" s="123">
        <v>1.5700173785786151</v>
      </c>
      <c r="M37" s="48">
        <f>I173</f>
        <v>-24</v>
      </c>
      <c r="N37" s="61">
        <f t="shared" ref="N37" si="129">J173</f>
        <v>339.52</v>
      </c>
      <c r="O37" s="62">
        <f t="shared" ref="O37" si="130">K173</f>
        <v>4.5940679800822686</v>
      </c>
      <c r="Q37" s="121">
        <v>34</v>
      </c>
      <c r="R37" s="122">
        <v>7.181</v>
      </c>
      <c r="S37" s="123">
        <v>0.96568139641214612</v>
      </c>
      <c r="U37" s="48">
        <f>Q113</f>
        <v>-4</v>
      </c>
      <c r="V37" s="61">
        <f>R113</f>
        <v>32.97</v>
      </c>
      <c r="W37" s="62">
        <f>S113</f>
        <v>2.6179132920438302</v>
      </c>
      <c r="Y37" s="124">
        <v>69</v>
      </c>
      <c r="Z37" s="125">
        <v>0.54260390590525565</v>
      </c>
      <c r="AA37" s="126">
        <v>0.48080984856778147</v>
      </c>
      <c r="AC37" s="48">
        <f>Y223</f>
        <v>-24</v>
      </c>
      <c r="AD37" s="61">
        <f t="shared" ref="AD37:AE37" si="131">Z223</f>
        <v>34.995726176822409</v>
      </c>
      <c r="AE37" s="62">
        <f t="shared" si="131"/>
        <v>4.3640219935774489</v>
      </c>
      <c r="AG37" s="124">
        <v>64</v>
      </c>
      <c r="AH37" s="125">
        <v>2.6483747518670855</v>
      </c>
      <c r="AI37" s="126">
        <v>1.0469229461580218</v>
      </c>
      <c r="AK37" s="48">
        <f>AG212</f>
        <v>-23.5</v>
      </c>
      <c r="AL37" s="61">
        <f>AH212</f>
        <v>84.217048578535781</v>
      </c>
      <c r="AM37" s="62">
        <f>AI212</f>
        <v>4.4693104830351178</v>
      </c>
    </row>
    <row r="38" spans="1:39">
      <c r="A38" s="121">
        <v>43.5</v>
      </c>
      <c r="B38" s="122">
        <v>13.899350431193739</v>
      </c>
      <c r="C38" s="123">
        <v>1.5830929495163124</v>
      </c>
      <c r="E38" s="48">
        <f>A172</f>
        <v>-23.5</v>
      </c>
      <c r="F38" s="61">
        <f t="shared" ref="F38:G38" si="132">B172</f>
        <v>348.67127911265652</v>
      </c>
      <c r="G38" s="62">
        <f t="shared" si="132"/>
        <v>4.6038780645009671</v>
      </c>
      <c r="I38" s="121">
        <v>43.5</v>
      </c>
      <c r="J38" s="122">
        <v>14.053000000000001</v>
      </c>
      <c r="K38" s="123">
        <v>1.5950105554672782</v>
      </c>
      <c r="M38" s="48">
        <f>I172</f>
        <v>-23.5</v>
      </c>
      <c r="N38" s="61">
        <f t="shared" ref="N38" si="133">J172</f>
        <v>330.02</v>
      </c>
      <c r="O38" s="62">
        <f t="shared" ref="O38" si="134">K172</f>
        <v>4.5833564801955449</v>
      </c>
      <c r="Q38" s="121">
        <v>33.5</v>
      </c>
      <c r="R38" s="122">
        <v>7.3120000000000003</v>
      </c>
      <c r="S38" s="123">
        <v>0.97984562607204129</v>
      </c>
      <c r="U38" s="48">
        <f>Q112</f>
        <v>-3.5</v>
      </c>
      <c r="V38" s="61">
        <f>R112</f>
        <v>32.24</v>
      </c>
      <c r="W38" s="62">
        <f>S112</f>
        <v>2.5899742930591261</v>
      </c>
      <c r="Y38" s="124">
        <v>68.5</v>
      </c>
      <c r="Z38" s="125">
        <v>0.55199573806627567</v>
      </c>
      <c r="AA38" s="126">
        <v>0.48831931555483682</v>
      </c>
      <c r="AC38" s="48">
        <f>Y222</f>
        <v>-23.5</v>
      </c>
      <c r="AD38" s="61">
        <f t="shared" ref="AD38:AE38" si="135">Z222</f>
        <v>34.028600313969768</v>
      </c>
      <c r="AE38" s="62">
        <f t="shared" si="135"/>
        <v>4.3483027812038566</v>
      </c>
      <c r="AG38" s="124">
        <v>63.5</v>
      </c>
      <c r="AH38" s="125">
        <v>2.6891982223419402</v>
      </c>
      <c r="AI38" s="126">
        <v>1.0596407177275606</v>
      </c>
      <c r="AK38" s="48">
        <f>AG211</f>
        <v>-23</v>
      </c>
      <c r="AL38" s="61">
        <f>AH211</f>
        <v>82.111418746246883</v>
      </c>
      <c r="AM38" s="62">
        <f>AI211</f>
        <v>4.4571791350023338</v>
      </c>
    </row>
    <row r="39" spans="1:39">
      <c r="A39" s="121">
        <v>43</v>
      </c>
      <c r="B39" s="122">
        <v>14.176458344953367</v>
      </c>
      <c r="C39" s="123">
        <v>1.6045263558993361</v>
      </c>
      <c r="E39" s="48">
        <f>A171</f>
        <v>-23</v>
      </c>
      <c r="F39" s="61">
        <f t="shared" ref="F39:G39" si="136">B171</f>
        <v>338.80307131272843</v>
      </c>
      <c r="G39" s="62">
        <f t="shared" si="136"/>
        <v>4.5932788751837519</v>
      </c>
      <c r="I39" s="121">
        <v>43</v>
      </c>
      <c r="J39" s="122">
        <v>14.33</v>
      </c>
      <c r="K39" s="123">
        <v>1.6162869388675842</v>
      </c>
      <c r="M39" s="48">
        <f>I171</f>
        <v>-23</v>
      </c>
      <c r="N39" s="61">
        <f t="shared" ref="N39" si="137">J171</f>
        <v>320.82</v>
      </c>
      <c r="O39" s="62">
        <f t="shared" ref="O39" si="138">K171</f>
        <v>4.5724303061399008</v>
      </c>
      <c r="Q39" s="121">
        <v>33</v>
      </c>
      <c r="R39" s="122">
        <v>7.4450000000000003</v>
      </c>
      <c r="S39" s="123">
        <v>0.99412471625050081</v>
      </c>
      <c r="U39" s="48">
        <f>Q111</f>
        <v>-3</v>
      </c>
      <c r="V39" s="61">
        <f>R111</f>
        <v>31.53</v>
      </c>
      <c r="W39" s="62">
        <f>S111</f>
        <v>2.5621647976596784</v>
      </c>
      <c r="Y39" s="124">
        <v>68</v>
      </c>
      <c r="Z39" s="125">
        <v>0.56157666693396469</v>
      </c>
      <c r="AA39" s="126">
        <v>0.49595430740504959</v>
      </c>
      <c r="AC39" s="48">
        <f>Y221</f>
        <v>-23</v>
      </c>
      <c r="AD39" s="61">
        <f t="shared" ref="AD39:AE39" si="139">Z221</f>
        <v>33.089898817140934</v>
      </c>
      <c r="AE39" s="62">
        <f t="shared" si="139"/>
        <v>4.3322841696413521</v>
      </c>
      <c r="AG39" s="124">
        <v>63</v>
      </c>
      <c r="AH39" s="125">
        <v>2.7307630310697291</v>
      </c>
      <c r="AI39" s="126">
        <v>1.0725056402374458</v>
      </c>
      <c r="AK39" s="48">
        <f>AG210</f>
        <v>-22.5</v>
      </c>
      <c r="AL39" s="61">
        <f>AH210</f>
        <v>80.064724621830223</v>
      </c>
      <c r="AM39" s="62">
        <f>AI210</f>
        <v>4.4448436920232277</v>
      </c>
    </row>
    <row r="40" spans="1:39">
      <c r="A40" s="121">
        <v>42.5</v>
      </c>
      <c r="B40" s="122">
        <v>14.459894600401057</v>
      </c>
      <c r="C40" s="123">
        <v>1.6261728385058543</v>
      </c>
      <c r="E40" s="48">
        <f>A170</f>
        <v>-22.5</v>
      </c>
      <c r="F40" s="61">
        <f t="shared" ref="F40:G40" si="140">B170</f>
        <v>329.23702165581977</v>
      </c>
      <c r="G40" s="62">
        <f t="shared" si="140"/>
        <v>4.5824483809919982</v>
      </c>
      <c r="I40" s="121">
        <v>42.5</v>
      </c>
      <c r="J40" s="122">
        <v>14.614000000000001</v>
      </c>
      <c r="K40" s="123">
        <v>1.6378266911731743</v>
      </c>
      <c r="M40" s="48">
        <f>I170</f>
        <v>-22.5</v>
      </c>
      <c r="N40" s="61">
        <f t="shared" ref="N40" si="141">J170</f>
        <v>311.89</v>
      </c>
      <c r="O40" s="62">
        <f t="shared" ref="O40" si="142">K170</f>
        <v>4.5612623943373594</v>
      </c>
      <c r="Q40" s="121">
        <v>32.5</v>
      </c>
      <c r="R40" s="122">
        <v>7.58</v>
      </c>
      <c r="S40" s="123">
        <v>1.0085151676423629</v>
      </c>
      <c r="U40" s="48">
        <f>Q110</f>
        <v>-2.5</v>
      </c>
      <c r="V40" s="61">
        <f>R110</f>
        <v>30.84</v>
      </c>
      <c r="W40" s="62">
        <f>S110</f>
        <v>2.5345167652859959</v>
      </c>
      <c r="Y40" s="124">
        <v>67.5</v>
      </c>
      <c r="Z40" s="125">
        <v>0.57135098453933164</v>
      </c>
      <c r="AA40" s="126">
        <v>0.50371682699315512</v>
      </c>
      <c r="AC40" s="48">
        <f>Y220</f>
        <v>-22.5</v>
      </c>
      <c r="AD40" s="61">
        <f t="shared" ref="AD40:AE40" si="143">Z220</f>
        <v>32.178762810397288</v>
      </c>
      <c r="AE40" s="62">
        <f t="shared" si="143"/>
        <v>4.3159644237740666</v>
      </c>
      <c r="AG40" s="124">
        <v>62.5</v>
      </c>
      <c r="AH40" s="125">
        <v>2.7730844859012644</v>
      </c>
      <c r="AI40" s="126">
        <v>1.085518728448932</v>
      </c>
      <c r="AK40" s="48">
        <f>AG209</f>
        <v>-22</v>
      </c>
      <c r="AL40" s="61">
        <f>AH209</f>
        <v>78.075156173089269</v>
      </c>
      <c r="AM40" s="62">
        <f>AI209</f>
        <v>4.4323030219584538</v>
      </c>
    </row>
    <row r="41" spans="1:39">
      <c r="A41" s="121">
        <v>42</v>
      </c>
      <c r="B41" s="122">
        <v>14.749821295462505</v>
      </c>
      <c r="C41" s="123">
        <v>1.6480313069940786</v>
      </c>
      <c r="E41" s="48">
        <f>A169</f>
        <v>-22</v>
      </c>
      <c r="F41" s="61">
        <f t="shared" ref="F41:G41" si="144">B169</f>
        <v>319.96335827879693</v>
      </c>
      <c r="G41" s="62">
        <f t="shared" si="144"/>
        <v>4.5713836993171633</v>
      </c>
      <c r="I41" s="121">
        <v>42</v>
      </c>
      <c r="J41" s="122">
        <v>14.903</v>
      </c>
      <c r="K41" s="123">
        <v>1.6594659599581321</v>
      </c>
      <c r="M41" s="48">
        <f>I169</f>
        <v>-22</v>
      </c>
      <c r="N41" s="61">
        <f t="shared" ref="N41" si="145">J169</f>
        <v>303.25</v>
      </c>
      <c r="O41" s="62">
        <f t="shared" ref="O41" si="146">K169</f>
        <v>4.5498874718679669</v>
      </c>
      <c r="Q41" s="121">
        <v>32</v>
      </c>
      <c r="R41" s="122">
        <v>7.7190000000000003</v>
      </c>
      <c r="S41" s="123">
        <v>1.0232243696810626</v>
      </c>
      <c r="U41" s="48">
        <f>Q109</f>
        <v>-2</v>
      </c>
      <c r="V41" s="61">
        <f>R109</f>
        <v>30.16</v>
      </c>
      <c r="W41" s="62">
        <f>S109</f>
        <v>2.5066489361702131</v>
      </c>
      <c r="Y41" s="124">
        <v>67</v>
      </c>
      <c r="Z41" s="125">
        <v>0.58132309042390307</v>
      </c>
      <c r="AA41" s="126">
        <v>0.5116088991697606</v>
      </c>
      <c r="AC41" s="48">
        <f>Y219</f>
        <v>-22</v>
      </c>
      <c r="AD41" s="61">
        <f t="shared" ref="AD41:AE41" si="147">Z219</f>
        <v>31.294358980216025</v>
      </c>
      <c r="AE41" s="62">
        <f t="shared" si="147"/>
        <v>4.2993419663233583</v>
      </c>
      <c r="AG41" s="124">
        <v>62</v>
      </c>
      <c r="AH41" s="125">
        <v>2.8161782463990161</v>
      </c>
      <c r="AI41" s="126">
        <v>1.0986809765970142</v>
      </c>
      <c r="AK41" s="48">
        <f>AG208</f>
        <v>-21.5</v>
      </c>
      <c r="AL41" s="61">
        <f>AH208</f>
        <v>76.140963537953226</v>
      </c>
      <c r="AM41" s="62">
        <f>AI208</f>
        <v>4.419556063150254</v>
      </c>
    </row>
    <row r="42" spans="1:39">
      <c r="A42" s="121">
        <v>41.5</v>
      </c>
      <c r="B42" s="122">
        <v>15.046405086402913</v>
      </c>
      <c r="C42" s="123">
        <v>1.6701005393818444</v>
      </c>
      <c r="E42" s="48">
        <f>A168</f>
        <v>-21.5</v>
      </c>
      <c r="F42" s="61">
        <f t="shared" ref="F42:G42" si="148">B168</f>
        <v>310.97263640412581</v>
      </c>
      <c r="G42" s="62">
        <f t="shared" si="148"/>
        <v>4.5600820007673057</v>
      </c>
      <c r="I42" s="121">
        <v>41.5</v>
      </c>
      <c r="J42" s="122">
        <v>15.2</v>
      </c>
      <c r="K42" s="123">
        <v>1.6814159292035398</v>
      </c>
      <c r="M42" s="48">
        <f>I168</f>
        <v>-21.5</v>
      </c>
      <c r="N42" s="61">
        <f t="shared" ref="N42" si="149">J168</f>
        <v>294.86</v>
      </c>
      <c r="O42" s="62">
        <f t="shared" ref="O42" si="150">K168</f>
        <v>4.5382626362125231</v>
      </c>
      <c r="Q42" s="121">
        <v>31.5</v>
      </c>
      <c r="R42" s="122">
        <v>7.86</v>
      </c>
      <c r="S42" s="123">
        <v>1.0380348652931854</v>
      </c>
      <c r="U42" s="48">
        <f>Q108</f>
        <v>-1.5</v>
      </c>
      <c r="V42" s="61">
        <f>R108</f>
        <v>29.5</v>
      </c>
      <c r="W42" s="62">
        <f>S108</f>
        <v>2.4789915966386555</v>
      </c>
      <c r="Y42" s="124">
        <v>66.5</v>
      </c>
      <c r="Z42" s="125">
        <v>0.59149749456481371</v>
      </c>
      <c r="AA42" s="126">
        <v>0.51963257045239297</v>
      </c>
      <c r="AC42" s="48">
        <f>Y218</f>
        <v>-21.5</v>
      </c>
      <c r="AD42" s="61">
        <f t="shared" ref="AD42:AE42" si="151">Z218</f>
        <v>30.435878883146444</v>
      </c>
      <c r="AE42" s="62">
        <f t="shared" si="151"/>
        <v>4.2824153840727472</v>
      </c>
      <c r="AG42" s="124">
        <v>61.5</v>
      </c>
      <c r="AH42" s="125">
        <v>2.8600603326955416</v>
      </c>
      <c r="AI42" s="126">
        <v>1.1119933572255865</v>
      </c>
      <c r="AK42" s="48">
        <f>AG207</f>
        <v>-21</v>
      </c>
      <c r="AL42" s="61">
        <f>AH207</f>
        <v>74.260454881128183</v>
      </c>
      <c r="AM42" s="62">
        <f>AI207</f>
        <v>4.4066018267936204</v>
      </c>
    </row>
    <row r="43" spans="1:39">
      <c r="A43" s="121">
        <v>41</v>
      </c>
      <c r="B43" s="122">
        <v>15.34981732607738</v>
      </c>
      <c r="C43" s="123">
        <v>1.6923791793589891</v>
      </c>
      <c r="E43" s="48">
        <f>A167</f>
        <v>-21</v>
      </c>
      <c r="F43" s="61">
        <f t="shared" ref="F43:G43" si="152">B167</f>
        <v>302.25572723508014</v>
      </c>
      <c r="G43" s="62">
        <f t="shared" si="152"/>
        <v>4.5485405135127408</v>
      </c>
      <c r="I43" s="121">
        <v>41</v>
      </c>
      <c r="J43" s="122">
        <v>15.503</v>
      </c>
      <c r="K43" s="123">
        <v>1.7035140540184164</v>
      </c>
      <c r="M43" s="48">
        <f>I167</f>
        <v>-21</v>
      </c>
      <c r="N43" s="61">
        <f t="shared" ref="N43" si="153">J167</f>
        <v>286.73</v>
      </c>
      <c r="O43" s="62">
        <f t="shared" ref="O43" si="154">K167</f>
        <v>4.5264105073722094</v>
      </c>
      <c r="Q43" s="121">
        <v>31</v>
      </c>
      <c r="R43" s="122">
        <v>8.0050000000000008</v>
      </c>
      <c r="S43" s="123">
        <v>1.0531509011972109</v>
      </c>
      <c r="U43" s="48">
        <f>Q107</f>
        <v>-1</v>
      </c>
      <c r="V43" s="61">
        <f>R107</f>
        <v>28.86</v>
      </c>
      <c r="W43" s="62">
        <f>S107</f>
        <v>2.4515800203873601</v>
      </c>
      <c r="Y43" s="124">
        <v>66</v>
      </c>
      <c r="Z43" s="125">
        <v>0.60187882038523421</v>
      </c>
      <c r="AA43" s="126">
        <v>0.52778990868186293</v>
      </c>
      <c r="AC43" s="48">
        <f>Y217</f>
        <v>-21</v>
      </c>
      <c r="AD43" s="61">
        <f t="shared" ref="AD43:AE43" si="155">Z217</f>
        <v>29.602538266668958</v>
      </c>
      <c r="AE43" s="62">
        <f t="shared" si="155"/>
        <v>4.265183434017211</v>
      </c>
      <c r="AG43" s="124">
        <v>61</v>
      </c>
      <c r="AH43" s="125">
        <v>2.9047471345939386</v>
      </c>
      <c r="AI43" s="126">
        <v>1.1254568199973256</v>
      </c>
      <c r="AK43" s="48">
        <f>AG206</f>
        <v>-20.5</v>
      </c>
      <c r="AL43" s="61">
        <f>AH206</f>
        <v>72.431994331922766</v>
      </c>
      <c r="AM43" s="62">
        <f>AI206</f>
        <v>4.3934393992862919</v>
      </c>
    </row>
    <row r="44" spans="1:39" ht="13.5" thickBot="1">
      <c r="A44" s="121">
        <v>40.5</v>
      </c>
      <c r="B44" s="122">
        <v>15.660234206642031</v>
      </c>
      <c r="C44" s="123">
        <v>1.7148657336895561</v>
      </c>
      <c r="E44" s="48">
        <f>A166</f>
        <v>-20.5</v>
      </c>
      <c r="F44" s="61">
        <f t="shared" ref="F44:G44" si="156">B166</f>
        <v>293.80380722393937</v>
      </c>
      <c r="G44" s="62">
        <f t="shared" si="156"/>
        <v>4.5367565277073423</v>
      </c>
      <c r="I44" s="121">
        <v>40.5</v>
      </c>
      <c r="J44" s="122">
        <v>15.813000000000001</v>
      </c>
      <c r="K44" s="123">
        <v>1.7258201820443977</v>
      </c>
      <c r="M44" s="48">
        <f>I166</f>
        <v>-20.5</v>
      </c>
      <c r="N44" s="61">
        <f t="shared" ref="N44" si="157">J166</f>
        <v>278.85000000000002</v>
      </c>
      <c r="O44" s="62">
        <f t="shared" ref="O44" si="158">K166</f>
        <v>4.5143273433705682</v>
      </c>
      <c r="Q44" s="127">
        <v>30.5</v>
      </c>
      <c r="R44" s="128">
        <v>8.1519999999999992</v>
      </c>
      <c r="S44" s="129">
        <v>1.0683581463619207</v>
      </c>
      <c r="U44" s="48">
        <f>Q106</f>
        <v>-0.5</v>
      </c>
      <c r="V44" s="61">
        <f>R106</f>
        <v>28.23</v>
      </c>
      <c r="W44" s="62">
        <f>S106</f>
        <v>2.4240082431736218</v>
      </c>
      <c r="Y44" s="124">
        <v>65.5</v>
      </c>
      <c r="Z44" s="125">
        <v>0.61247180785277322</v>
      </c>
      <c r="AA44" s="126">
        <v>0.53608300264241626</v>
      </c>
      <c r="AC44" s="48">
        <f>Y216</f>
        <v>-20.5</v>
      </c>
      <c r="AD44" s="61">
        <f t="shared" ref="AD44:AE44" si="159">Z216</f>
        <v>28.793576403436553</v>
      </c>
      <c r="AE44" s="62">
        <f t="shared" si="159"/>
        <v>4.2476450494196154</v>
      </c>
      <c r="AG44" s="124">
        <v>60.5</v>
      </c>
      <c r="AH44" s="125">
        <v>2.9502554209172978</v>
      </c>
      <c r="AI44" s="126">
        <v>1.1390722904785473</v>
      </c>
      <c r="AK44" s="48">
        <f>AG205</f>
        <v>-20</v>
      </c>
      <c r="AL44" s="61">
        <f>AH205</f>
        <v>70.653999999999058</v>
      </c>
      <c r="AM44" s="62">
        <f>AI205</f>
        <v>4.3800679445532698</v>
      </c>
    </row>
    <row r="45" spans="1:39" ht="13.5" thickTop="1">
      <c r="A45" s="121">
        <v>40</v>
      </c>
      <c r="B45" s="122">
        <v>15.977836906877176</v>
      </c>
      <c r="C45" s="123">
        <v>1.7375585697124518</v>
      </c>
      <c r="E45" s="48">
        <f>A165</f>
        <v>-20</v>
      </c>
      <c r="F45" s="61">
        <f t="shared" ref="F45:G45" si="160">B165</f>
        <v>285.60834770125172</v>
      </c>
      <c r="G45" s="62">
        <f t="shared" si="160"/>
        <v>4.5247273999799686</v>
      </c>
      <c r="I45" s="121">
        <v>40</v>
      </c>
      <c r="J45" s="122">
        <v>16.13</v>
      </c>
      <c r="K45" s="123">
        <v>1.7483199653154129</v>
      </c>
      <c r="M45" s="48">
        <f>I165</f>
        <v>-20</v>
      </c>
      <c r="N45" s="61">
        <f t="shared" ref="N45" si="161">J165</f>
        <v>271.20999999999998</v>
      </c>
      <c r="O45" s="62">
        <f t="shared" ref="O45" si="162">K165</f>
        <v>4.502008565452674</v>
      </c>
      <c r="Q45" s="115">
        <v>30</v>
      </c>
      <c r="R45" s="116">
        <v>8.3030000000000008</v>
      </c>
      <c r="S45" s="117">
        <v>1.0838576612797954</v>
      </c>
      <c r="U45" s="48">
        <f>Q105</f>
        <v>0</v>
      </c>
      <c r="V45" s="61">
        <f>R105</f>
        <v>27.62</v>
      </c>
      <c r="W45" s="62">
        <f>S105</f>
        <v>2.3967372440124954</v>
      </c>
      <c r="Y45" s="124">
        <v>65</v>
      </c>
      <c r="Z45" s="125">
        <v>0.62328131666858311</v>
      </c>
      <c r="AA45" s="126">
        <v>0.54451396164410781</v>
      </c>
      <c r="AC45" s="48">
        <f>Y215</f>
        <v>-20</v>
      </c>
      <c r="AD45" s="61">
        <f t="shared" ref="AD45:AE45" si="163">Z215</f>
        <v>28.008255439031274</v>
      </c>
      <c r="AE45" s="62">
        <f t="shared" si="163"/>
        <v>4.2297993457565841</v>
      </c>
      <c r="AG45" s="124">
        <v>60</v>
      </c>
      <c r="AH45" s="125">
        <v>2.9966023491143678</v>
      </c>
      <c r="AI45" s="126">
        <v>1.1528406688993476</v>
      </c>
      <c r="AK45" s="48">
        <f>AG204</f>
        <v>-19.5</v>
      </c>
      <c r="AL45" s="61">
        <f>AH204</f>
        <v>68.92494206594705</v>
      </c>
      <c r="AM45" s="62">
        <f>AI204</f>
        <v>4.366486706341556</v>
      </c>
    </row>
    <row r="46" spans="1:39">
      <c r="A46" s="121">
        <v>39.5</v>
      </c>
      <c r="B46" s="122">
        <v>16.302811744279129</v>
      </c>
      <c r="C46" s="123">
        <v>1.7604559129493251</v>
      </c>
      <c r="E46" s="48">
        <f>A164</f>
        <v>-19.5</v>
      </c>
      <c r="F46" s="61">
        <f t="shared" ref="F46:G46" si="164">B164</f>
        <v>277.66110485459154</v>
      </c>
      <c r="G46" s="62">
        <f t="shared" si="164"/>
        <v>4.5124505579901175</v>
      </c>
      <c r="I46" s="121">
        <v>39.5</v>
      </c>
      <c r="J46" s="122">
        <v>16.454000000000001</v>
      </c>
      <c r="K46" s="123">
        <v>1.7709992680931677</v>
      </c>
      <c r="M46" s="48">
        <f>I164</f>
        <v>-19.5</v>
      </c>
      <c r="N46" s="61">
        <f t="shared" ref="N46" si="165">J164</f>
        <v>263.79000000000002</v>
      </c>
      <c r="O46" s="62">
        <f t="shared" ref="O46" si="166">K164</f>
        <v>4.489431226386194</v>
      </c>
      <c r="Q46" s="121">
        <v>29.5</v>
      </c>
      <c r="R46" s="122">
        <v>8.4570000000000007</v>
      </c>
      <c r="S46" s="123">
        <v>1.0995397456899916</v>
      </c>
      <c r="U46" s="48">
        <f>Q104</f>
        <v>0.5</v>
      </c>
      <c r="V46" s="61">
        <f>R104</f>
        <v>27.02</v>
      </c>
      <c r="W46" s="62">
        <f>S104</f>
        <v>2.3693440897930551</v>
      </c>
      <c r="Y46" s="124">
        <v>64.5</v>
      </c>
      <c r="Z46" s="125">
        <v>0.63431232955000794</v>
      </c>
      <c r="AA46" s="126">
        <v>0.55308491506581814</v>
      </c>
      <c r="AC46" s="48">
        <f>Y214</f>
        <v>-19.5</v>
      </c>
      <c r="AD46" s="61">
        <f t="shared" ref="AD46:AE46" si="167">Z214</f>
        <v>27.245859753331654</v>
      </c>
      <c r="AE46" s="62">
        <f t="shared" si="167"/>
        <v>4.2116456265357591</v>
      </c>
      <c r="AG46" s="124">
        <v>59.5</v>
      </c>
      <c r="AH46" s="125">
        <v>3.0438054751294197</v>
      </c>
      <c r="AI46" s="126">
        <v>1.1667628288895573</v>
      </c>
      <c r="AK46" s="48">
        <f>AG203</f>
        <v>-19</v>
      </c>
      <c r="AL46" s="61">
        <f>AH203</f>
        <v>67.243340943685581</v>
      </c>
      <c r="AM46" s="62">
        <f>AI203</f>
        <v>4.352695010480546</v>
      </c>
    </row>
    <row r="47" spans="1:39">
      <c r="A47" s="121">
        <v>39</v>
      </c>
      <c r="B47" s="122">
        <v>16.635350332083178</v>
      </c>
      <c r="C47" s="123">
        <v>1.7835558448285902</v>
      </c>
      <c r="E47" s="48">
        <f>A163</f>
        <v>-19</v>
      </c>
      <c r="F47" s="61">
        <f t="shared" ref="F47:G47" si="168">B163</f>
        <v>269.95411004553921</v>
      </c>
      <c r="G47" s="62">
        <f t="shared" si="168"/>
        <v>4.4999235050413979</v>
      </c>
      <c r="I47" s="121">
        <v>39</v>
      </c>
      <c r="J47" s="122">
        <v>16.786000000000001</v>
      </c>
      <c r="K47" s="123">
        <v>1.793912708930022</v>
      </c>
      <c r="M47" s="48">
        <f>I163</f>
        <v>-19</v>
      </c>
      <c r="N47" s="61">
        <f t="shared" ref="N47" si="169">J163</f>
        <v>256.60000000000002</v>
      </c>
      <c r="O47" s="62">
        <f t="shared" ref="O47" si="170">K163</f>
        <v>4.4766224703419395</v>
      </c>
      <c r="Q47" s="121">
        <v>29</v>
      </c>
      <c r="R47" s="122">
        <v>8.6140000000000008</v>
      </c>
      <c r="S47" s="123">
        <v>1.115398560107733</v>
      </c>
      <c r="U47" s="48">
        <f>Q103</f>
        <v>1</v>
      </c>
      <c r="V47" s="61">
        <f>R103</f>
        <v>26.44</v>
      </c>
      <c r="W47" s="62">
        <f>S103</f>
        <v>2.3423104181431613</v>
      </c>
      <c r="Y47" s="124">
        <v>64</v>
      </c>
      <c r="Z47" s="125">
        <v>0.64556995560963581</v>
      </c>
      <c r="AA47" s="126">
        <v>0.56179801185723921</v>
      </c>
      <c r="AC47" s="48">
        <f>Y213</f>
        <v>-19</v>
      </c>
      <c r="AD47" s="61">
        <f t="shared" ref="AD47:AE47" si="171">Z213</f>
        <v>26.505695335547038</v>
      </c>
      <c r="AE47" s="62">
        <f t="shared" si="171"/>
        <v>4.1931833889659735</v>
      </c>
      <c r="AG47" s="124">
        <v>59</v>
      </c>
      <c r="AH47" s="125">
        <v>3.0918827635433628</v>
      </c>
      <c r="AI47" s="126">
        <v>1.180839616190748</v>
      </c>
      <c r="AK47" s="48">
        <f>AG202</f>
        <v>-18.5</v>
      </c>
      <c r="AL47" s="61">
        <f>AH202</f>
        <v>65.607765511848228</v>
      </c>
      <c r="AM47" s="62">
        <f>AI202</f>
        <v>4.3386922671036396</v>
      </c>
    </row>
    <row r="48" spans="1:39">
      <c r="A48" s="121">
        <v>38.5</v>
      </c>
      <c r="B48" s="122">
        <v>16.975649741385325</v>
      </c>
      <c r="C48" s="123">
        <v>1.8068563005345575</v>
      </c>
      <c r="E48" s="48">
        <f>A162</f>
        <v>-18.5</v>
      </c>
      <c r="F48" s="61">
        <f t="shared" ref="F48:G48" si="172">B162</f>
        <v>262.47966045396834</v>
      </c>
      <c r="G48" s="62">
        <f t="shared" si="172"/>
        <v>4.4871438247460373</v>
      </c>
      <c r="I48" s="121">
        <v>38.5</v>
      </c>
      <c r="J48" s="122">
        <v>17.125</v>
      </c>
      <c r="K48" s="123">
        <v>1.8169761273209548</v>
      </c>
      <c r="M48" s="48">
        <f>I162</f>
        <v>-18.5</v>
      </c>
      <c r="N48" s="61">
        <f t="shared" ref="N48" si="173">J162</f>
        <v>249.63</v>
      </c>
      <c r="O48" s="62">
        <f t="shared" ref="O48" si="174">K162</f>
        <v>4.4635768694346103</v>
      </c>
      <c r="Q48" s="121">
        <v>28.5</v>
      </c>
      <c r="R48" s="122">
        <v>8.7750000000000004</v>
      </c>
      <c r="S48" s="123">
        <v>1.1315280464216635</v>
      </c>
      <c r="U48" s="48">
        <f>Q102</f>
        <v>1.5</v>
      </c>
      <c r="V48" s="61">
        <f>R102</f>
        <v>25.87</v>
      </c>
      <c r="W48" s="62">
        <f>S102</f>
        <v>2.3151959906926791</v>
      </c>
      <c r="Y48" s="124">
        <v>63.5</v>
      </c>
      <c r="Z48" s="125">
        <v>0.65705943383378795</v>
      </c>
      <c r="AA48" s="126">
        <v>0.57065541999818614</v>
      </c>
      <c r="AC48" s="48">
        <f>Y212</f>
        <v>-18.5</v>
      </c>
      <c r="AD48" s="61">
        <f t="shared" ref="AD48:AE48" si="175">Z212</f>
        <v>25.78708917294901</v>
      </c>
      <c r="AE48" s="62">
        <f t="shared" si="175"/>
        <v>4.1744123294618198</v>
      </c>
      <c r="AG48" s="124">
        <v>58.5</v>
      </c>
      <c r="AH48" s="125">
        <v>3.1408525979949733</v>
      </c>
      <c r="AI48" s="126">
        <v>1.195071847345051</v>
      </c>
      <c r="AK48" s="48">
        <f>AG201</f>
        <v>-18</v>
      </c>
      <c r="AL48" s="61">
        <f>AH201</f>
        <v>64.016831411410308</v>
      </c>
      <c r="AM48" s="62">
        <f>AI201</f>
        <v>4.3244779728264335</v>
      </c>
    </row>
    <row r="49" spans="1:39">
      <c r="A49" s="121">
        <v>38</v>
      </c>
      <c r="B49" s="122">
        <v>17.323912668537233</v>
      </c>
      <c r="C49" s="123">
        <v>1.8303550669907773</v>
      </c>
      <c r="E49" s="48">
        <f>A161</f>
        <v>-18</v>
      </c>
      <c r="F49" s="61">
        <f t="shared" ref="F49:G49" si="176">B161</f>
        <v>255.23031003900456</v>
      </c>
      <c r="G49" s="62">
        <f t="shared" si="176"/>
        <v>4.4741091857331439</v>
      </c>
      <c r="I49" s="121">
        <v>38</v>
      </c>
      <c r="J49" s="122">
        <v>17.472000000000001</v>
      </c>
      <c r="K49" s="123">
        <v>1.8402426693629932</v>
      </c>
      <c r="M49" s="48">
        <f>I161</f>
        <v>-18</v>
      </c>
      <c r="N49" s="61">
        <f t="shared" ref="N49" si="177">J161</f>
        <v>242.87</v>
      </c>
      <c r="O49" s="62">
        <f t="shared" ref="O49" si="178">K161</f>
        <v>4.4502876827793454</v>
      </c>
      <c r="Q49" s="121">
        <v>28</v>
      </c>
      <c r="R49" s="122">
        <v>8.9390000000000001</v>
      </c>
      <c r="S49" s="123">
        <v>1.1478209507177894</v>
      </c>
      <c r="U49" s="48">
        <f>Q101</f>
        <v>2</v>
      </c>
      <c r="V49" s="61">
        <f>R101</f>
        <v>25.32</v>
      </c>
      <c r="W49" s="62">
        <f>S101</f>
        <v>2.2885032537960952</v>
      </c>
      <c r="Y49" s="124">
        <v>63</v>
      </c>
      <c r="Z49" s="125">
        <v>0.66878613666353703</v>
      </c>
      <c r="AA49" s="126">
        <v>0.57965932591352698</v>
      </c>
      <c r="AC49" s="48">
        <f>Y211</f>
        <v>-18</v>
      </c>
      <c r="AD49" s="61">
        <f t="shared" ref="AD49:AE49" si="179">Z211</f>
        <v>25.089388653292517</v>
      </c>
      <c r="AE49" s="62">
        <f t="shared" si="179"/>
        <v>4.1553323489636504</v>
      </c>
      <c r="AG49" s="124">
        <v>58</v>
      </c>
      <c r="AH49" s="125">
        <v>3.1907337918899499</v>
      </c>
      <c r="AI49" s="126">
        <v>1.2094603083612023</v>
      </c>
      <c r="AK49" s="48">
        <f>AG200</f>
        <v>-17.5</v>
      </c>
      <c r="AL49" s="61">
        <f>AH200</f>
        <v>62.469199406933704</v>
      </c>
      <c r="AM49" s="62">
        <f>AI200</f>
        <v>4.3100517128768487</v>
      </c>
    </row>
    <row r="50" spans="1:39">
      <c r="A50" s="121">
        <v>37.5</v>
      </c>
      <c r="B50" s="122">
        <v>17.680347607993887</v>
      </c>
      <c r="C50" s="123">
        <v>1.8540497809866718</v>
      </c>
      <c r="E50" s="48">
        <f>A160</f>
        <v>-17.5</v>
      </c>
      <c r="F50" s="61">
        <f t="shared" ref="F50:G50" si="180">B160</f>
        <v>248.19886080634797</v>
      </c>
      <c r="G50" s="62">
        <f t="shared" si="180"/>
        <v>4.4608173463930401</v>
      </c>
      <c r="I50" s="121">
        <v>37.5</v>
      </c>
      <c r="J50" s="122">
        <v>17.827000000000002</v>
      </c>
      <c r="K50" s="123">
        <v>1.8636962385263556</v>
      </c>
      <c r="M50" s="48">
        <f>I160</f>
        <v>-17.5</v>
      </c>
      <c r="N50" s="61">
        <f t="shared" ref="N50" si="181">J160</f>
        <v>236.31</v>
      </c>
      <c r="O50" s="62">
        <f t="shared" ref="O50" si="182">K160</f>
        <v>4.4367466486425595</v>
      </c>
      <c r="Q50" s="121">
        <v>27.5</v>
      </c>
      <c r="R50" s="122">
        <v>9.1069999999999993</v>
      </c>
      <c r="S50" s="123">
        <v>1.1643695502084026</v>
      </c>
      <c r="U50" s="48">
        <f>Q100</f>
        <v>2.5</v>
      </c>
      <c r="V50" s="61">
        <f>R100</f>
        <v>24.78</v>
      </c>
      <c r="W50" s="62">
        <f>S100</f>
        <v>2.261774370208105</v>
      </c>
      <c r="Y50" s="124">
        <v>62.5</v>
      </c>
      <c r="Z50" s="125">
        <v>0.68075557368145334</v>
      </c>
      <c r="AA50" s="126">
        <v>0.58881193384199493</v>
      </c>
      <c r="AC50" s="48">
        <f>Y210</f>
        <v>-17.5</v>
      </c>
      <c r="AD50" s="61">
        <f t="shared" ref="AD50:AE50" si="183">Z210</f>
        <v>24.411960980896815</v>
      </c>
      <c r="AE50" s="62">
        <f t="shared" si="183"/>
        <v>4.1359435580540982</v>
      </c>
      <c r="AG50" s="124">
        <v>57.5</v>
      </c>
      <c r="AH50" s="125">
        <v>3.241545599406535</v>
      </c>
      <c r="AI50" s="126">
        <v>1.2240057533585111</v>
      </c>
      <c r="AK50" s="48">
        <f>AG199</f>
        <v>-17</v>
      </c>
      <c r="AL50" s="61">
        <f>AH199</f>
        <v>60.963573808921069</v>
      </c>
      <c r="AM50" s="62">
        <f>AI199</f>
        <v>4.2954131631725359</v>
      </c>
    </row>
    <row r="51" spans="1:39">
      <c r="A51" s="121">
        <v>37</v>
      </c>
      <c r="B51" s="122">
        <v>18.045169030801258</v>
      </c>
      <c r="C51" s="123">
        <v>1.8779379274566281</v>
      </c>
      <c r="E51" s="48">
        <f>A159</f>
        <v>-17</v>
      </c>
      <c r="F51" s="61">
        <f t="shared" ref="F51:G51" si="184">B159</f>
        <v>241.37835437195281</v>
      </c>
      <c r="G51" s="62">
        <f t="shared" si="184"/>
        <v>4.4472661596495309</v>
      </c>
      <c r="I51" s="121">
        <v>37</v>
      </c>
      <c r="J51" s="122">
        <v>18.190000000000001</v>
      </c>
      <c r="K51" s="123">
        <v>1.8873210209587052</v>
      </c>
      <c r="M51" s="48">
        <f>I159</f>
        <v>-17</v>
      </c>
      <c r="N51" s="61">
        <f t="shared" ref="N51" si="185">J159</f>
        <v>229.94</v>
      </c>
      <c r="O51" s="62">
        <f t="shared" ref="O51" si="186">K159</f>
        <v>4.4229437562514429</v>
      </c>
      <c r="Q51" s="121">
        <v>27</v>
      </c>
      <c r="R51" s="122">
        <v>9.2780000000000005</v>
      </c>
      <c r="S51" s="123">
        <v>1.181068282499109</v>
      </c>
      <c r="U51" s="48">
        <f>Q99</f>
        <v>3</v>
      </c>
      <c r="V51" s="61">
        <f>R99</f>
        <v>24.25</v>
      </c>
      <c r="W51" s="62">
        <f>S99</f>
        <v>2.2350230414746544</v>
      </c>
      <c r="Y51" s="124">
        <v>62</v>
      </c>
      <c r="Z51" s="125">
        <v>0.69297339540738667</v>
      </c>
      <c r="AA51" s="126">
        <v>0.59811546515712399</v>
      </c>
      <c r="AC51" s="48">
        <f>Y209</f>
        <v>-17</v>
      </c>
      <c r="AD51" s="61">
        <f t="shared" ref="AD51:AE51" si="187">Z209</f>
        <v>23.75419260632837</v>
      </c>
      <c r="AE51" s="62">
        <f t="shared" si="187"/>
        <v>4.1162462818520433</v>
      </c>
      <c r="AG51" s="124">
        <v>57</v>
      </c>
      <c r="AH51" s="125">
        <v>3.2933077268066335</v>
      </c>
      <c r="AI51" s="126">
        <v>1.2387089031895013</v>
      </c>
      <c r="AK51" s="48">
        <f>AG198</f>
        <v>-16.5</v>
      </c>
      <c r="AL51" s="61">
        <f>AH198</f>
        <v>59.498700954864212</v>
      </c>
      <c r="AM51" s="62">
        <f>AI198</f>
        <v>4.2805620923407997</v>
      </c>
    </row>
    <row r="52" spans="1:39">
      <c r="A52" s="121">
        <v>36.5</v>
      </c>
      <c r="B52" s="122">
        <v>18.41859756891624</v>
      </c>
      <c r="C52" s="123">
        <v>1.9020168379206224</v>
      </c>
      <c r="E52" s="48">
        <f>A158</f>
        <v>-16.5</v>
      </c>
      <c r="F52" s="61">
        <f t="shared" ref="F52:G52" si="188">B158</f>
        <v>234.76206381233948</v>
      </c>
      <c r="G52" s="62">
        <f t="shared" si="188"/>
        <v>4.4334535777515374</v>
      </c>
      <c r="I52" s="121">
        <v>36.5</v>
      </c>
      <c r="J52" s="122">
        <v>18.561</v>
      </c>
      <c r="K52" s="123">
        <v>1.9111015012046706</v>
      </c>
      <c r="M52" s="48">
        <f>I158</f>
        <v>-16.5</v>
      </c>
      <c r="N52" s="61">
        <f t="shared" ref="N52" si="189">J158</f>
        <v>223.76</v>
      </c>
      <c r="O52" s="62">
        <f t="shared" ref="O52" si="190">K158</f>
        <v>4.4088902900378306</v>
      </c>
      <c r="Q52" s="121">
        <v>26.5</v>
      </c>
      <c r="R52" s="122">
        <v>9.4529999999999994</v>
      </c>
      <c r="S52" s="123">
        <v>1.1980077560641775</v>
      </c>
      <c r="U52" s="48">
        <f>Q98</f>
        <v>3.5</v>
      </c>
      <c r="V52" s="61">
        <f>R98</f>
        <v>23.74</v>
      </c>
      <c r="W52" s="62">
        <f>S98</f>
        <v>2.2087830294008186</v>
      </c>
      <c r="Y52" s="124">
        <v>61.5</v>
      </c>
      <c r="Z52" s="125">
        <v>0.70544539720668098</v>
      </c>
      <c r="AA52" s="126">
        <v>0.60757215763850747</v>
      </c>
      <c r="AC52" s="48">
        <f>Y208</f>
        <v>-16.5</v>
      </c>
      <c r="AD52" s="61">
        <f t="shared" ref="AD52:AE52" si="191">Z208</f>
        <v>23.115488669607398</v>
      </c>
      <c r="AE52" s="62">
        <f t="shared" si="191"/>
        <v>4.0962410646650405</v>
      </c>
      <c r="AG52" s="124">
        <v>56.5</v>
      </c>
      <c r="AH52" s="125">
        <v>3.3460403440612989</v>
      </c>
      <c r="AI52" s="126">
        <v>1.2535704440419346</v>
      </c>
      <c r="AK52" s="48">
        <f>AG197</f>
        <v>-16</v>
      </c>
      <c r="AL52" s="61">
        <f>AH197</f>
        <v>58.073367746683218</v>
      </c>
      <c r="AM52" s="62">
        <f>AI197</f>
        <v>4.2654983636763557</v>
      </c>
    </row>
    <row r="53" spans="1:39">
      <c r="A53" s="121">
        <v>36</v>
      </c>
      <c r="B53" s="122">
        <v>18.800860205559601</v>
      </c>
      <c r="C53" s="123">
        <v>1.9262836890954771</v>
      </c>
      <c r="E53" s="48">
        <f>A157</f>
        <v>-16</v>
      </c>
      <c r="F53" s="61">
        <f t="shared" ref="F53:G53" si="192">B157</f>
        <v>228.34348579212153</v>
      </c>
      <c r="G53" s="62">
        <f t="shared" si="192"/>
        <v>4.4193776570751275</v>
      </c>
      <c r="I53" s="121">
        <v>36</v>
      </c>
      <c r="J53" s="122">
        <v>18.940999999999999</v>
      </c>
      <c r="K53" s="123">
        <v>1.9350851024703213</v>
      </c>
      <c r="M53" s="48">
        <f>I157</f>
        <v>-16</v>
      </c>
      <c r="N53" s="61">
        <f t="shared" ref="N53" si="193">J157</f>
        <v>217.77</v>
      </c>
      <c r="O53" s="62">
        <f t="shared" ref="O53" si="194">K157</f>
        <v>4.3945998304879526</v>
      </c>
      <c r="Q53" s="121">
        <v>26</v>
      </c>
      <c r="R53" s="122">
        <v>9.6319999999999997</v>
      </c>
      <c r="S53" s="123">
        <v>1.2151796528058134</v>
      </c>
      <c r="U53" s="48">
        <f>Q97</f>
        <v>4</v>
      </c>
      <c r="V53" s="61">
        <f>R97</f>
        <v>23.24</v>
      </c>
      <c r="W53" s="62">
        <f>S97</f>
        <v>2.1825694966190832</v>
      </c>
      <c r="Y53" s="124">
        <v>61</v>
      </c>
      <c r="Z53" s="125">
        <v>0.71817752331438789</v>
      </c>
      <c r="AA53" s="126">
        <v>0.61718426469159227</v>
      </c>
      <c r="AC53" s="48">
        <f>Y207</f>
        <v>-16</v>
      </c>
      <c r="AD53" s="61">
        <f t="shared" ref="AD53:AE53" si="195">Z207</f>
        <v>22.495272456838237</v>
      </c>
      <c r="AE53" s="62">
        <f t="shared" si="195"/>
        <v>4.0759286743812897</v>
      </c>
      <c r="AG53" s="124">
        <v>56</v>
      </c>
      <c r="AH53" s="125">
        <v>3.3997640968001992</v>
      </c>
      <c r="AI53" s="126">
        <v>1.2685910260211397</v>
      </c>
      <c r="AK53" s="48">
        <f>AG196</f>
        <v>-15.5</v>
      </c>
      <c r="AL53" s="61">
        <f>AH196</f>
        <v>56.68640024233742</v>
      </c>
      <c r="AM53" s="62">
        <f>AI196</f>
        <v>4.2502219370321281</v>
      </c>
    </row>
    <row r="54" spans="1:39">
      <c r="A54" s="121">
        <v>35.5</v>
      </c>
      <c r="B54" s="122">
        <v>19.192190471808594</v>
      </c>
      <c r="C54" s="123">
        <v>1.9507355016857189</v>
      </c>
      <c r="E54" s="48">
        <f>A156</f>
        <v>-15.5</v>
      </c>
      <c r="F54" s="61">
        <f t="shared" ref="F54:G54" si="196">B156</f>
        <v>222.11633295959609</v>
      </c>
      <c r="G54" s="62">
        <f t="shared" si="196"/>
        <v>4.4050365629265329</v>
      </c>
      <c r="I54" s="121">
        <v>35.5</v>
      </c>
      <c r="J54" s="122">
        <v>19.329999999999998</v>
      </c>
      <c r="K54" s="123">
        <v>1.959254003648895</v>
      </c>
      <c r="M54" s="48">
        <f>I156</f>
        <v>-15.5</v>
      </c>
      <c r="N54" s="61">
        <f t="shared" ref="N54" si="197">J156</f>
        <v>211.95</v>
      </c>
      <c r="O54" s="62">
        <f t="shared" ref="O54" si="198">K156</f>
        <v>4.380037197768134</v>
      </c>
      <c r="Q54" s="121">
        <v>25.5</v>
      </c>
      <c r="R54" s="122">
        <v>9.8149999999999995</v>
      </c>
      <c r="S54" s="123">
        <v>1.2325756624387794</v>
      </c>
      <c r="U54" s="48">
        <f>Q96</f>
        <v>4.5</v>
      </c>
      <c r="V54" s="61">
        <f>R96</f>
        <v>22.75</v>
      </c>
      <c r="W54" s="62">
        <f>S96</f>
        <v>2.1563981042654028</v>
      </c>
      <c r="Y54" s="124">
        <v>60.5</v>
      </c>
      <c r="Z54" s="125">
        <v>0.7311758709790519</v>
      </c>
      <c r="AA54" s="126">
        <v>0.62695405451412656</v>
      </c>
      <c r="AC54" s="48">
        <f>Y206</f>
        <v>-15.5</v>
      </c>
      <c r="AD54" s="61">
        <f t="shared" ref="AD54:AE54" si="199">Z206</f>
        <v>21.892984870145256</v>
      </c>
      <c r="AE54" s="62">
        <f t="shared" si="199"/>
        <v>4.0553101065824153</v>
      </c>
      <c r="AG54" s="124">
        <v>55.5</v>
      </c>
      <c r="AH54" s="125">
        <v>3.4545001185947721</v>
      </c>
      <c r="AI54" s="126">
        <v>1.2837712617135753</v>
      </c>
      <c r="AK54" s="48">
        <f>AG195</f>
        <v>-15</v>
      </c>
      <c r="AL54" s="61">
        <f>AH195</f>
        <v>55.336662299491152</v>
      </c>
      <c r="AM54" s="62">
        <f>AI195</f>
        <v>4.234732870638398</v>
      </c>
    </row>
    <row r="55" spans="1:39">
      <c r="A55" s="121">
        <v>35</v>
      </c>
      <c r="B55" s="122">
        <v>19.592828649644026</v>
      </c>
      <c r="C55" s="123">
        <v>1.9753691393629209</v>
      </c>
      <c r="E55" s="48">
        <f>A155</f>
        <v>-15</v>
      </c>
      <c r="F55" s="61">
        <f t="shared" ref="F55:G55" si="200">B155</f>
        <v>216.07452660153459</v>
      </c>
      <c r="G55" s="62">
        <f t="shared" si="200"/>
        <v>4.3904285743363713</v>
      </c>
      <c r="I55" s="121">
        <v>35</v>
      </c>
      <c r="J55" s="122">
        <v>19.728000000000002</v>
      </c>
      <c r="K55" s="123">
        <v>1.9835907335907339</v>
      </c>
      <c r="M55" s="48">
        <f>I155</f>
        <v>-15</v>
      </c>
      <c r="N55" s="61">
        <f t="shared" ref="N55" si="201">J155</f>
        <v>206.31</v>
      </c>
      <c r="O55" s="62">
        <f t="shared" ref="O55" si="202">K155</f>
        <v>4.3652405738225211</v>
      </c>
      <c r="Q55" s="121">
        <v>25</v>
      </c>
      <c r="R55" s="122">
        <v>10</v>
      </c>
      <c r="S55" s="123">
        <v>1.25</v>
      </c>
      <c r="U55" s="48">
        <f>Q95</f>
        <v>5</v>
      </c>
      <c r="V55" s="61">
        <f>R95</f>
        <v>22.27</v>
      </c>
      <c r="W55" s="62">
        <f>S95</f>
        <v>2.1302850583508706</v>
      </c>
      <c r="Y55" s="124">
        <v>60</v>
      </c>
      <c r="Z55" s="125">
        <v>0.74444669472990876</v>
      </c>
      <c r="AA55" s="126">
        <v>0.63688380920746179</v>
      </c>
      <c r="AC55" s="48">
        <f>Y205</f>
        <v>-15</v>
      </c>
      <c r="AD55" s="61">
        <f t="shared" ref="AD55:AE55" si="203">Z205</f>
        <v>21.308083910779253</v>
      </c>
      <c r="AE55" s="62">
        <f t="shared" si="203"/>
        <v>4.034386588358597</v>
      </c>
      <c r="AG55" s="124">
        <v>55</v>
      </c>
      <c r="AH55" s="125">
        <v>3.5102700435846632</v>
      </c>
      <c r="AI55" s="126">
        <v>1.2991117247325159</v>
      </c>
      <c r="AK55" s="48">
        <f>AG194</f>
        <v>-14.5</v>
      </c>
      <c r="AL55" s="61">
        <f>AH194</f>
        <v>54.023054269195875</v>
      </c>
      <c r="AM55" s="62">
        <f>AI194</f>
        <v>4.2190313228455718</v>
      </c>
    </row>
    <row r="56" spans="1:39">
      <c r="A56" s="121">
        <v>34.5</v>
      </c>
      <c r="B56" s="122">
        <v>20.003021981673712</v>
      </c>
      <c r="C56" s="123">
        <v>2.000181307942237</v>
      </c>
      <c r="E56" s="48">
        <f>A154</f>
        <v>-14.5</v>
      </c>
      <c r="F56" s="61">
        <f t="shared" ref="F56:G56" si="204">B154</f>
        <v>210.21218954857383</v>
      </c>
      <c r="G56" s="62">
        <f t="shared" si="204"/>
        <v>4.3755520888349082</v>
      </c>
      <c r="I56" s="121">
        <v>34.5</v>
      </c>
      <c r="J56" s="122">
        <v>20.135000000000002</v>
      </c>
      <c r="K56" s="123">
        <v>2.0080781888899972</v>
      </c>
      <c r="M56" s="48">
        <f>I154</f>
        <v>-14.5</v>
      </c>
      <c r="N56" s="61">
        <f t="shared" ref="N56" si="205">J154</f>
        <v>200.83</v>
      </c>
      <c r="O56" s="62">
        <f t="shared" ref="O56" si="206">K154</f>
        <v>4.3501711216046441</v>
      </c>
      <c r="Q56" s="121">
        <v>24.5</v>
      </c>
      <c r="R56" s="122">
        <v>10.19</v>
      </c>
      <c r="S56" s="123">
        <v>1.2677282906195571</v>
      </c>
      <c r="U56" s="48">
        <f>Q94</f>
        <v>5.5</v>
      </c>
      <c r="V56" s="61">
        <f>R94</f>
        <v>21.8</v>
      </c>
      <c r="W56" s="62">
        <f>S94</f>
        <v>2.1042471042471043</v>
      </c>
      <c r="Y56" s="124">
        <v>59.5</v>
      </c>
      <c r="Z56" s="125">
        <v>0.75799641077130453</v>
      </c>
      <c r="AA56" s="126">
        <v>0.646975823830781</v>
      </c>
      <c r="AC56" s="48">
        <f>Y204</f>
        <v>-14.5</v>
      </c>
      <c r="AD56" s="61">
        <f t="shared" ref="AD56:AE56" si="207">Z204</f>
        <v>20.740044175246581</v>
      </c>
      <c r="AE56" s="62">
        <f t="shared" si="207"/>
        <v>4.0131595818080035</v>
      </c>
      <c r="AG56" s="124">
        <v>54.5</v>
      </c>
      <c r="AH56" s="125">
        <v>3.5670960194584782</v>
      </c>
      <c r="AI56" s="126">
        <v>1.3146129482471431</v>
      </c>
      <c r="AK56" s="48">
        <f>AG193</f>
        <v>-14</v>
      </c>
      <c r="AL56" s="61">
        <f>AH193</f>
        <v>52.744511737638213</v>
      </c>
      <c r="AM56" s="62">
        <f>AI193</f>
        <v>4.2031175537858747</v>
      </c>
    </row>
    <row r="57" spans="1:39">
      <c r="A57" s="121">
        <v>34</v>
      </c>
      <c r="B57" s="122">
        <v>20.423024887762569</v>
      </c>
      <c r="C57" s="123">
        <v>2.0251685547646647</v>
      </c>
      <c r="E57" s="48">
        <f>A153</f>
        <v>-14</v>
      </c>
      <c r="F57" s="61">
        <f t="shared" ref="F57:G57" si="208">B153</f>
        <v>204.52363932286843</v>
      </c>
      <c r="G57" s="62">
        <f t="shared" si="208"/>
        <v>4.3604056271977978</v>
      </c>
      <c r="I57" s="121">
        <v>34</v>
      </c>
      <c r="J57" s="122">
        <v>20.552</v>
      </c>
      <c r="K57" s="123">
        <v>2.0327583478398479</v>
      </c>
      <c r="M57" s="48">
        <f>I153</f>
        <v>-14</v>
      </c>
      <c r="N57" s="61">
        <f t="shared" ref="N57" si="209">J153</f>
        <v>195.51</v>
      </c>
      <c r="O57" s="62">
        <f t="shared" ref="O57" si="210">K153</f>
        <v>4.3348410270054547</v>
      </c>
      <c r="Q57" s="121">
        <v>24</v>
      </c>
      <c r="R57" s="122">
        <v>10.39</v>
      </c>
      <c r="S57" s="123">
        <v>1.2862094577865808</v>
      </c>
      <c r="U57" s="48">
        <f>Q93</f>
        <v>6</v>
      </c>
      <c r="V57" s="61">
        <f>R93</f>
        <v>21.35</v>
      </c>
      <c r="W57" s="62">
        <f>S93</f>
        <v>2.0788704965920157</v>
      </c>
      <c r="Y57" s="124">
        <v>59</v>
      </c>
      <c r="Z57" s="125">
        <v>0.77183160150840635</v>
      </c>
      <c r="AA57" s="126">
        <v>0.65723240539641126</v>
      </c>
      <c r="AC57" s="48">
        <f>Y203</f>
        <v>-14</v>
      </c>
      <c r="AD57" s="61">
        <f t="shared" ref="AD57:AE57" si="211">Z203</f>
        <v>20.188356364295206</v>
      </c>
      <c r="AE57" s="62">
        <f t="shared" si="211"/>
        <v>3.9916307872027774</v>
      </c>
      <c r="AG57" s="124">
        <v>54</v>
      </c>
      <c r="AH57" s="125">
        <v>3.6250007207987767</v>
      </c>
      <c r="AI57" s="126">
        <v>1.3302754234959988</v>
      </c>
      <c r="AK57" s="48">
        <f>AG192</f>
        <v>-13.5</v>
      </c>
      <c r="AL57" s="61">
        <f>AH192</f>
        <v>51.50000431408445</v>
      </c>
      <c r="AM57" s="62">
        <f>AI192</f>
        <v>4.1869919269493572</v>
      </c>
    </row>
    <row r="58" spans="1:39">
      <c r="A58" s="121">
        <v>33.5</v>
      </c>
      <c r="B58" s="122">
        <v>20.85309918880764</v>
      </c>
      <c r="C58" s="123">
        <v>2.0503272682933393</v>
      </c>
      <c r="E58" s="48">
        <f>A152</f>
        <v>-13.5</v>
      </c>
      <c r="F58" s="61">
        <f t="shared" ref="F58:G58" si="212">B152</f>
        <v>199.00338151993205</v>
      </c>
      <c r="G58" s="62">
        <f t="shared" si="212"/>
        <v>4.3449878381514457</v>
      </c>
      <c r="I58" s="121">
        <v>33.5</v>
      </c>
      <c r="J58" s="122">
        <v>20.978999999999999</v>
      </c>
      <c r="K58" s="123">
        <v>2.0576119578650034</v>
      </c>
      <c r="M58" s="48">
        <f>I152</f>
        <v>-13.5</v>
      </c>
      <c r="N58" s="61">
        <f t="shared" ref="N58" si="213">J152</f>
        <v>190.35</v>
      </c>
      <c r="O58" s="62">
        <f t="shared" ref="O58" si="214">K152</f>
        <v>4.3192648059904695</v>
      </c>
      <c r="Q58" s="121">
        <v>23.5</v>
      </c>
      <c r="R58" s="122">
        <v>10.59</v>
      </c>
      <c r="S58" s="123">
        <v>1.3045084996304508</v>
      </c>
      <c r="U58" s="48">
        <f>Q92</f>
        <v>6.5</v>
      </c>
      <c r="V58" s="61">
        <f>R92</f>
        <v>20.9</v>
      </c>
      <c r="W58" s="62">
        <f>S92</f>
        <v>2.0530451866404715</v>
      </c>
      <c r="Y58" s="124">
        <v>58.5</v>
      </c>
      <c r="Z58" s="125">
        <v>0.78595902020832908</v>
      </c>
      <c r="AA58" s="126">
        <v>0.66765587180431196</v>
      </c>
      <c r="AC58" s="48">
        <f>Y202</f>
        <v>-13.5</v>
      </c>
      <c r="AD58" s="61">
        <f t="shared" ref="AD58:AE58" si="215">Z202</f>
        <v>19.652526804586852</v>
      </c>
      <c r="AE58" s="62">
        <f t="shared" si="215"/>
        <v>3.96980214580458</v>
      </c>
      <c r="AG58" s="124">
        <v>53.5</v>
      </c>
      <c r="AH58" s="125">
        <v>3.6840073628029266</v>
      </c>
      <c r="AI58" s="126">
        <v>1.3460995982862154</v>
      </c>
      <c r="AK58" s="48">
        <f>AG191</f>
        <v>-13</v>
      </c>
      <c r="AL58" s="61">
        <f>AH191</f>
        <v>50.288534463226327</v>
      </c>
      <c r="AM58" s="62">
        <f>AI191</f>
        <v>4.1706549106696551</v>
      </c>
    </row>
    <row r="59" spans="1:39">
      <c r="A59" s="121">
        <v>33</v>
      </c>
      <c r="B59" s="122">
        <v>21.293514337904604</v>
      </c>
      <c r="C59" s="123">
        <v>2.0756536779318746</v>
      </c>
      <c r="E59" s="48">
        <f>A151</f>
        <v>-13</v>
      </c>
      <c r="F59" s="61">
        <f t="shared" ref="F59:G59" si="216">B151</f>
        <v>193.64610341683309</v>
      </c>
      <c r="G59" s="62">
        <f t="shared" si="216"/>
        <v>4.3292975030267842</v>
      </c>
      <c r="I59" s="121">
        <v>33</v>
      </c>
      <c r="J59" s="122">
        <v>21.414999999999999</v>
      </c>
      <c r="K59" s="123">
        <v>2.0825634542448701</v>
      </c>
      <c r="M59" s="48">
        <f>I151</f>
        <v>-13</v>
      </c>
      <c r="N59" s="61">
        <f t="shared" ref="N59" si="217">J151</f>
        <v>185.34</v>
      </c>
      <c r="O59" s="62">
        <f t="shared" ref="O59" si="218">K151</f>
        <v>4.3034271384786846</v>
      </c>
      <c r="Q59" s="121">
        <v>23</v>
      </c>
      <c r="R59" s="122">
        <v>10.79</v>
      </c>
      <c r="S59" s="123">
        <v>1.3226280951213532</v>
      </c>
      <c r="U59" s="48">
        <f>Q91</f>
        <v>7</v>
      </c>
      <c r="V59" s="61">
        <f>R91</f>
        <v>20.47</v>
      </c>
      <c r="W59" s="62">
        <f>S91</f>
        <v>2.0279373885476519</v>
      </c>
      <c r="Y59" s="124">
        <v>58</v>
      </c>
      <c r="Z59" s="125">
        <v>0.80038559580092428</v>
      </c>
      <c r="AA59" s="126">
        <v>0.67824855071381074</v>
      </c>
      <c r="AC59" s="48">
        <f>Y201</f>
        <v>-13</v>
      </c>
      <c r="AD59" s="61">
        <f t="shared" ref="AD59:AE59" si="219">Z201</f>
        <v>19.132076982868764</v>
      </c>
      <c r="AE59" s="62">
        <f t="shared" si="219"/>
        <v>3.9476758423131622</v>
      </c>
      <c r="AG59" s="124">
        <v>53</v>
      </c>
      <c r="AH59" s="125">
        <v>3.7441397153906268</v>
      </c>
      <c r="AI59" s="126">
        <v>1.3620858754796983</v>
      </c>
      <c r="AK59" s="48">
        <f>AG190</f>
        <v>-12.5</v>
      </c>
      <c r="AL59" s="61">
        <f>AH190</f>
        <v>49.109136380206586</v>
      </c>
      <c r="AM59" s="62">
        <f>AI190</f>
        <v>4.1541070795149855</v>
      </c>
    </row>
    <row r="60" spans="1:39">
      <c r="A60" s="121">
        <v>32.5</v>
      </c>
      <c r="B60" s="122">
        <v>21.7445476591618</v>
      </c>
      <c r="C60" s="123">
        <v>2.1011438540724927</v>
      </c>
      <c r="E60" s="48">
        <f>A150</f>
        <v>-12.5</v>
      </c>
      <c r="F60" s="61">
        <f t="shared" ref="F60:G60" si="220">B150</f>
        <v>188.44666779916517</v>
      </c>
      <c r="G60" s="62">
        <f t="shared" si="220"/>
        <v>4.3133335403499657</v>
      </c>
      <c r="I60" s="121">
        <v>32.5</v>
      </c>
      <c r="J60" s="122">
        <v>21.861999999999998</v>
      </c>
      <c r="K60" s="123">
        <v>2.1077089198256913</v>
      </c>
      <c r="M60" s="48">
        <f>I150</f>
        <v>-12.5</v>
      </c>
      <c r="N60" s="61">
        <f t="shared" ref="N60" si="221">J150</f>
        <v>180.48</v>
      </c>
      <c r="O60" s="62">
        <f t="shared" ref="O60" si="222">K150</f>
        <v>4.2873432155074118</v>
      </c>
      <c r="Q60" s="121">
        <v>22.5</v>
      </c>
      <c r="R60" s="122">
        <v>11</v>
      </c>
      <c r="S60" s="123">
        <v>1.3414634146341464</v>
      </c>
      <c r="U60" s="48">
        <f>Q90</f>
        <v>7.5</v>
      </c>
      <c r="V60" s="61">
        <f>R90</f>
        <v>20.04</v>
      </c>
      <c r="W60" s="62">
        <f>S90</f>
        <v>2.0023980815347722</v>
      </c>
      <c r="Y60" s="124">
        <v>57.5</v>
      </c>
      <c r="Z60" s="125">
        <v>0.81511843782370907</v>
      </c>
      <c r="AA60" s="126">
        <v>0.68901277835073038</v>
      </c>
      <c r="AC60" s="48">
        <f>Y200</f>
        <v>-12.5</v>
      </c>
      <c r="AD60" s="61">
        <f t="shared" ref="AD60:AE60" si="223">Z200</f>
        <v>18.626543092451442</v>
      </c>
      <c r="AE60" s="62">
        <f t="shared" si="223"/>
        <v>3.9252543069321892</v>
      </c>
      <c r="AG60" s="124">
        <v>52.5</v>
      </c>
      <c r="AH60" s="125">
        <v>3.8054221177102594</v>
      </c>
      <c r="AI60" s="126">
        <v>1.3782346114677944</v>
      </c>
      <c r="AK60" s="48">
        <f>AG189</f>
        <v>-12</v>
      </c>
      <c r="AL60" s="61">
        <f>AH189</f>
        <v>47.960874906672984</v>
      </c>
      <c r="AM60" s="62">
        <f>AI189</f>
        <v>4.1373491155799726</v>
      </c>
    </row>
    <row r="61" spans="1:39">
      <c r="A61" s="121">
        <v>32</v>
      </c>
      <c r="B61" s="122">
        <v>22.20648459442641</v>
      </c>
      <c r="C61" s="123">
        <v>2.1267937083813133</v>
      </c>
      <c r="E61" s="48">
        <f>A149</f>
        <v>-12</v>
      </c>
      <c r="F61" s="61">
        <f t="shared" ref="F61:G61" si="224">B149</f>
        <v>183.40010699944045</v>
      </c>
      <c r="G61" s="62">
        <f t="shared" si="224"/>
        <v>4.2970950103582037</v>
      </c>
      <c r="I61" s="121">
        <v>32</v>
      </c>
      <c r="J61" s="122">
        <v>22.318999999999999</v>
      </c>
      <c r="K61" s="123">
        <v>2.132972725013857</v>
      </c>
      <c r="M61" s="48">
        <f>I149</f>
        <v>-12</v>
      </c>
      <c r="N61" s="61">
        <f t="shared" ref="N61" si="225">J149</f>
        <v>175.75</v>
      </c>
      <c r="O61" s="62">
        <f t="shared" ref="O61" si="226">K149</f>
        <v>4.2709599027946537</v>
      </c>
      <c r="Q61" s="121">
        <v>22</v>
      </c>
      <c r="R61" s="122">
        <v>11.21</v>
      </c>
      <c r="S61" s="123">
        <v>1.3601067702014076</v>
      </c>
      <c r="U61" s="48">
        <f>Q89</f>
        <v>8</v>
      </c>
      <c r="V61" s="61">
        <f>R89</f>
        <v>19.63</v>
      </c>
      <c r="W61" s="62">
        <f>S89</f>
        <v>1.9776344952649607</v>
      </c>
      <c r="Y61" s="124">
        <v>57</v>
      </c>
      <c r="Z61" s="125">
        <v>0.83016484151547609</v>
      </c>
      <c r="AA61" s="126">
        <v>0.69995089824798562</v>
      </c>
      <c r="AC61" s="48">
        <f>Y199</f>
        <v>-12</v>
      </c>
      <c r="AD61" s="61">
        <f t="shared" ref="AD61:AE61" si="227">Z199</f>
        <v>18.135475591792563</v>
      </c>
      <c r="AE61" s="62">
        <f t="shared" si="227"/>
        <v>3.9025402170374619</v>
      </c>
      <c r="AG61" s="124">
        <v>52</v>
      </c>
      <c r="AH61" s="125">
        <v>3.8678794930558618</v>
      </c>
      <c r="AI61" s="126">
        <v>1.3945461146358555</v>
      </c>
      <c r="AK61" s="48">
        <f>AG188</f>
        <v>-11.5</v>
      </c>
      <c r="AL61" s="61">
        <f>AH188</f>
        <v>46.842844486280391</v>
      </c>
      <c r="AM61" s="62">
        <f>AI188</f>
        <v>4.1203818096740745</v>
      </c>
    </row>
    <row r="62" spans="1:39">
      <c r="A62" s="121">
        <v>31.5</v>
      </c>
      <c r="B62" s="122">
        <v>22.679618958197103</v>
      </c>
      <c r="C62" s="123">
        <v>2.1525989943277755</v>
      </c>
      <c r="E62" s="48">
        <f>A148</f>
        <v>-11.5</v>
      </c>
      <c r="F62" s="61">
        <f t="shared" ref="F62:G62" si="228">B148</f>
        <v>178.50161713979412</v>
      </c>
      <c r="G62" s="62">
        <f t="shared" si="228"/>
        <v>4.2805811194287786</v>
      </c>
      <c r="I62" s="121">
        <v>31.5</v>
      </c>
      <c r="J62" s="122">
        <v>22.786999999999999</v>
      </c>
      <c r="K62" s="123">
        <v>2.1583912705779831</v>
      </c>
      <c r="M62" s="48">
        <f>I148</f>
        <v>-11.5</v>
      </c>
      <c r="N62" s="61">
        <f t="shared" ref="N62" si="229">J148</f>
        <v>171.16</v>
      </c>
      <c r="O62" s="62">
        <f t="shared" ref="O62" si="230">K148</f>
        <v>4.254324915490157</v>
      </c>
      <c r="Q62" s="121">
        <v>21.5</v>
      </c>
      <c r="R62" s="122">
        <v>11.43</v>
      </c>
      <c r="S62" s="123">
        <v>1.3794351918899348</v>
      </c>
      <c r="U62" s="48">
        <f>Q88</f>
        <v>8.5</v>
      </c>
      <c r="V62" s="61">
        <f>R88</f>
        <v>19.23</v>
      </c>
      <c r="W62" s="62">
        <f>S88</f>
        <v>1.9530773918342474</v>
      </c>
      <c r="Y62" s="124">
        <v>56.5</v>
      </c>
      <c r="Z62" s="125">
        <v>0.84553229306330135</v>
      </c>
      <c r="AA62" s="126">
        <v>0.71106525991776248</v>
      </c>
      <c r="AC62" s="48">
        <f>Y198</f>
        <v>-11.5</v>
      </c>
      <c r="AD62" s="61">
        <f t="shared" ref="AD62:AE62" si="231">Z198</f>
        <v>17.658438774977114</v>
      </c>
      <c r="AE62" s="62">
        <f t="shared" si="231"/>
        <v>3.8795364984333971</v>
      </c>
      <c r="AG62" s="124">
        <v>51.5</v>
      </c>
      <c r="AH62" s="125">
        <v>3.9315373642075593</v>
      </c>
      <c r="AI62" s="126">
        <v>1.4110206438193726</v>
      </c>
      <c r="AK62" s="48">
        <f>AG187</f>
        <v>-11</v>
      </c>
      <c r="AL62" s="61">
        <f>AH187</f>
        <v>45.754168158116777</v>
      </c>
      <c r="AM62" s="62">
        <f>AI187</f>
        <v>4.1032060624023332</v>
      </c>
    </row>
    <row r="63" spans="1:39">
      <c r="A63" s="121">
        <v>31</v>
      </c>
      <c r="B63" s="122">
        <v>23.164253201007043</v>
      </c>
      <c r="C63" s="123">
        <v>2.178555307964738</v>
      </c>
      <c r="E63" s="48">
        <f>A147</f>
        <v>-11</v>
      </c>
      <c r="F63" s="61">
        <f t="shared" ref="F63:G63" si="232">B147</f>
        <v>173.74655257210964</v>
      </c>
      <c r="G63" s="62">
        <f t="shared" si="232"/>
        <v>4.263791224409001</v>
      </c>
      <c r="I63" s="121">
        <v>31</v>
      </c>
      <c r="J63" s="122">
        <v>23.266999999999999</v>
      </c>
      <c r="K63" s="123">
        <v>2.1839975970112828</v>
      </c>
      <c r="M63" s="48">
        <f>I147</f>
        <v>-11</v>
      </c>
      <c r="N63" s="61">
        <f t="shared" ref="N63" si="233">J147</f>
        <v>166.71</v>
      </c>
      <c r="O63" s="62">
        <f t="shared" ref="O63" si="234">K147</f>
        <v>4.2374561537288393</v>
      </c>
      <c r="Q63" s="121">
        <v>21</v>
      </c>
      <c r="R63" s="122">
        <v>11.65</v>
      </c>
      <c r="S63" s="123">
        <v>1.3985594237695078</v>
      </c>
      <c r="U63" s="48">
        <f>Q87</f>
        <v>9</v>
      </c>
      <c r="V63" s="61">
        <f>R87</f>
        <v>18.829999999999998</v>
      </c>
      <c r="W63" s="62">
        <f>S87</f>
        <v>1.9281179602703256</v>
      </c>
      <c r="Y63" s="124">
        <v>56</v>
      </c>
      <c r="Z63" s="125">
        <v>0.86122847500781741</v>
      </c>
      <c r="AA63" s="126">
        <v>0.72235821745339834</v>
      </c>
      <c r="AC63" s="48">
        <f>Y197</f>
        <v>-11</v>
      </c>
      <c r="AD63" s="61">
        <f t="shared" ref="AD63:AE63" si="235">Z197</f>
        <v>17.195010353882978</v>
      </c>
      <c r="AE63" s="62">
        <f t="shared" si="235"/>
        <v>3.8562463261848707</v>
      </c>
      <c r="AG63" s="124">
        <v>51</v>
      </c>
      <c r="AH63" s="125">
        <v>3.9964218692076612</v>
      </c>
      <c r="AI63" s="126">
        <v>1.427658406753175</v>
      </c>
      <c r="AK63" s="48">
        <f>AG186</f>
        <v>-10.5</v>
      </c>
      <c r="AL63" s="61">
        <f>AH186</f>
        <v>44.693996586600136</v>
      </c>
      <c r="AM63" s="62">
        <f>AI186</f>
        <v>4.0858228851345295</v>
      </c>
    </row>
    <row r="64" spans="1:39" ht="13.5" thickBot="1">
      <c r="A64" s="127">
        <v>30.5</v>
      </c>
      <c r="B64" s="128">
        <v>23.660698681572121</v>
      </c>
      <c r="C64" s="129">
        <v>2.2046580889653562</v>
      </c>
      <c r="E64" s="48">
        <f>A146</f>
        <v>-10.5</v>
      </c>
      <c r="F64" s="61">
        <f t="shared" ref="F64:G64" si="236">B146</f>
        <v>169.1304205088922</v>
      </c>
      <c r="G64" s="62">
        <f t="shared" si="236"/>
        <v>4.246724836834753</v>
      </c>
      <c r="I64" s="127">
        <v>30.5</v>
      </c>
      <c r="J64" s="128">
        <v>23.757000000000001</v>
      </c>
      <c r="K64" s="129">
        <v>2.2096657179530106</v>
      </c>
      <c r="M64" s="48">
        <f>I146</f>
        <v>-10.5</v>
      </c>
      <c r="N64" s="61">
        <f t="shared" ref="N64" si="237">J146</f>
        <v>162.38</v>
      </c>
      <c r="O64" s="62">
        <f t="shared" ref="O64" si="238">K146</f>
        <v>4.2202931697681674</v>
      </c>
      <c r="Q64" s="121">
        <v>20.5</v>
      </c>
      <c r="R64" s="122">
        <v>11.88</v>
      </c>
      <c r="S64" s="123">
        <v>1.4183381088825215</v>
      </c>
      <c r="U64" s="48">
        <f>Q86</f>
        <v>9.5</v>
      </c>
      <c r="V64" s="61">
        <f>R86</f>
        <v>18.45</v>
      </c>
      <c r="W64" s="62">
        <f>S86</f>
        <v>1.9040247678018574</v>
      </c>
      <c r="Y64" s="124">
        <v>55.5</v>
      </c>
      <c r="Z64" s="125">
        <v>0.8772612718118411</v>
      </c>
      <c r="AA64" s="126">
        <v>0.73383212805914688</v>
      </c>
      <c r="AC64" s="48">
        <f>Y196</f>
        <v>-10.5</v>
      </c>
      <c r="AD64" s="61">
        <f t="shared" ref="AD64:AE64" si="239">Z196</f>
        <v>16.744781051811092</v>
      </c>
      <c r="AE64" s="62">
        <f t="shared" si="239"/>
        <v>3.8326731250123536</v>
      </c>
      <c r="AG64" s="124">
        <v>50.5</v>
      </c>
      <c r="AH64" s="125">
        <v>4.0625597775867881</v>
      </c>
      <c r="AI64" s="126">
        <v>1.4444595585157205</v>
      </c>
      <c r="AK64" s="48">
        <f>AG185</f>
        <v>-10</v>
      </c>
      <c r="AL64" s="61">
        <f>AH185</f>
        <v>43.661507126443723</v>
      </c>
      <c r="AM64" s="62">
        <f>AI185</f>
        <v>4.068233400858758</v>
      </c>
    </row>
    <row r="65" spans="1:39" ht="13.5" thickTop="1">
      <c r="A65" s="115">
        <v>30</v>
      </c>
      <c r="B65" s="116">
        <v>24.169275948008831</v>
      </c>
      <c r="C65" s="117">
        <v>2.2309026219222754</v>
      </c>
      <c r="E65" s="48">
        <f>A145</f>
        <v>-10</v>
      </c>
      <c r="F65" s="61">
        <f t="shared" ref="F65:G65" si="240">B145</f>
        <v>164.64887583843239</v>
      </c>
      <c r="G65" s="62">
        <f t="shared" si="240"/>
        <v>4.2293816270251314</v>
      </c>
      <c r="I65" s="115">
        <v>30</v>
      </c>
      <c r="J65" s="116">
        <v>24.26</v>
      </c>
      <c r="K65" s="117">
        <v>2.2355326207150754</v>
      </c>
      <c r="M65" s="48">
        <f>I145</f>
        <v>-10</v>
      </c>
      <c r="N65" s="61">
        <f t="shared" ref="N65" si="241">J145</f>
        <v>158.18</v>
      </c>
      <c r="O65" s="62">
        <f t="shared" ref="O65" si="242">K145</f>
        <v>4.2028908491869492</v>
      </c>
      <c r="Q65" s="121">
        <v>20</v>
      </c>
      <c r="R65" s="122">
        <v>12.11</v>
      </c>
      <c r="S65" s="123">
        <v>1.4379007361671812</v>
      </c>
      <c r="U65" s="48">
        <f>Q85</f>
        <v>10</v>
      </c>
      <c r="V65" s="61">
        <f>R85</f>
        <v>18.07</v>
      </c>
      <c r="W65" s="62">
        <f>S85</f>
        <v>1.8795506552943622</v>
      </c>
      <c r="Y65" s="124">
        <v>55</v>
      </c>
      <c r="Z65" s="125">
        <v>0.89363877559746929</v>
      </c>
      <c r="AA65" s="126">
        <v>0.74548935050593534</v>
      </c>
      <c r="AC65" s="48">
        <f>Y195</f>
        <v>-10</v>
      </c>
      <c r="AD65" s="61">
        <f t="shared" ref="AD65:AE65" si="243">Z195</f>
        <v>16.307354208359989</v>
      </c>
      <c r="AE65" s="62">
        <f t="shared" si="243"/>
        <v>3.8088205692396229</v>
      </c>
      <c r="AG65" s="124">
        <v>50</v>
      </c>
      <c r="AH65" s="125">
        <v>4.1299785070527353</v>
      </c>
      <c r="AI65" s="126">
        <v>1.4614241999700592</v>
      </c>
      <c r="AK65" s="48">
        <f>AG184</f>
        <v>-9.5</v>
      </c>
      <c r="AL65" s="61">
        <f>AH184</f>
        <v>42.655902921350801</v>
      </c>
      <c r="AM65" s="62">
        <f>AI184</f>
        <v>4.0504388449157878</v>
      </c>
    </row>
    <row r="66" spans="1:39">
      <c r="A66" s="121">
        <v>29.5</v>
      </c>
      <c r="B66" s="122">
        <v>24.690315028437993</v>
      </c>
      <c r="C66" s="123">
        <v>2.2572840379141597</v>
      </c>
      <c r="E66" s="48">
        <f>A144</f>
        <v>-9.5</v>
      </c>
      <c r="F66" s="61">
        <f t="shared" ref="F66:G66" si="244">B144</f>
        <v>160.29771611801385</v>
      </c>
      <c r="G66" s="62">
        <f t="shared" si="244"/>
        <v>4.2117614280405924</v>
      </c>
      <c r="I66" s="121">
        <v>29.5</v>
      </c>
      <c r="J66" s="122">
        <v>24.774000000000001</v>
      </c>
      <c r="K66" s="123">
        <v>2.2614744221711032</v>
      </c>
      <c r="M66" s="48">
        <f>I144</f>
        <v>-9.5</v>
      </c>
      <c r="N66" s="61">
        <f t="shared" ref="N66" si="245">J144</f>
        <v>154.1</v>
      </c>
      <c r="O66" s="62">
        <f t="shared" ref="O66" si="246">K144</f>
        <v>4.1852254209668658</v>
      </c>
      <c r="Q66" s="121">
        <v>19.5</v>
      </c>
      <c r="R66" s="122">
        <v>12.35</v>
      </c>
      <c r="S66" s="123">
        <v>1.4580873671782761</v>
      </c>
      <c r="U66" s="48">
        <f>Q84</f>
        <v>10.5</v>
      </c>
      <c r="V66" s="61">
        <f>R84</f>
        <v>17.7</v>
      </c>
      <c r="W66" s="62">
        <f>S84</f>
        <v>1.8553459119496853</v>
      </c>
      <c r="Y66" s="124">
        <v>54.5</v>
      </c>
      <c r="Z66" s="125">
        <v>0.91036929205713346</v>
      </c>
      <c r="AA66" s="126">
        <v>0.75733224351140238</v>
      </c>
      <c r="AC66" s="48">
        <f>Y194</f>
        <v>-9.5</v>
      </c>
      <c r="AD66" s="61">
        <f t="shared" ref="AD66:AE66" si="247">Z194</f>
        <v>15.882345395320179</v>
      </c>
      <c r="AE66" s="62">
        <f t="shared" si="247"/>
        <v>3.7846925822845612</v>
      </c>
      <c r="AG66" s="124">
        <v>49.5</v>
      </c>
      <c r="AH66" s="125">
        <v>4.1987061406568316</v>
      </c>
      <c r="AI66" s="126">
        <v>1.4785523762035544</v>
      </c>
      <c r="AK66" s="48">
        <f>AG183</f>
        <v>-9</v>
      </c>
      <c r="AL66" s="61">
        <f>AH183</f>
        <v>41.676412035148751</v>
      </c>
      <c r="AM66" s="62">
        <f>AI183</f>
        <v>4.0324405656106412</v>
      </c>
    </row>
    <row r="67" spans="1:39">
      <c r="A67" s="121">
        <v>29</v>
      </c>
      <c r="B67" s="122">
        <v>25.224155731301323</v>
      </c>
      <c r="C67" s="123">
        <v>2.2837973163439553</v>
      </c>
      <c r="E67" s="48">
        <f>A143</f>
        <v>-9</v>
      </c>
      <c r="F67" s="61">
        <f t="shared" ref="F67:G67" si="248">B143</f>
        <v>156.07287673911196</v>
      </c>
      <c r="G67" s="62">
        <f t="shared" si="248"/>
        <v>4.1938642394919752</v>
      </c>
      <c r="I67" s="121">
        <v>29</v>
      </c>
      <c r="J67" s="122">
        <v>25.300999999999998</v>
      </c>
      <c r="K67" s="123">
        <v>2.2875716533154913</v>
      </c>
      <c r="M67" s="48">
        <f>I143</f>
        <v>-9</v>
      </c>
      <c r="N67" s="61">
        <f t="shared" ref="N67" si="249">J143</f>
        <v>150.13</v>
      </c>
      <c r="O67" s="62">
        <f t="shared" ref="O67" si="250">K143</f>
        <v>4.1672680841614387</v>
      </c>
      <c r="Q67" s="121">
        <v>19</v>
      </c>
      <c r="R67" s="122">
        <v>12.59</v>
      </c>
      <c r="S67" s="123">
        <v>1.4780464897863348</v>
      </c>
      <c r="U67" s="48">
        <f>Q83</f>
        <v>11</v>
      </c>
      <c r="V67" s="61">
        <f>R83</f>
        <v>17.34</v>
      </c>
      <c r="W67" s="62">
        <f>S83</f>
        <v>1.8314321926489225</v>
      </c>
      <c r="Y67" s="124">
        <v>54</v>
      </c>
      <c r="Z67" s="125">
        <v>0.92746134654404477</v>
      </c>
      <c r="AA67" s="126">
        <v>0.76936316404237226</v>
      </c>
      <c r="AC67" s="48">
        <f>Y193</f>
        <v>-9</v>
      </c>
      <c r="AD67" s="61">
        <f t="shared" ref="AD67:AE67" si="251">Z193</f>
        <v>15.469382043359182</v>
      </c>
      <c r="AE67" s="62">
        <f t="shared" si="251"/>
        <v>3.7602933356846924</v>
      </c>
      <c r="AG67" s="124">
        <v>49</v>
      </c>
      <c r="AH67" s="125">
        <v>4.2687714444524785</v>
      </c>
      <c r="AI67" s="126">
        <v>1.4958440749683897</v>
      </c>
      <c r="AK67" s="48">
        <f>AG182</f>
        <v>-8.5</v>
      </c>
      <c r="AL67" s="61">
        <f>AH182</f>
        <v>40.722286614126496</v>
      </c>
      <c r="AM67" s="62">
        <f>AI182</f>
        <v>4.0142400246980454</v>
      </c>
    </row>
    <row r="68" spans="1:39">
      <c r="A68" s="121">
        <v>28.5</v>
      </c>
      <c r="B68" s="122">
        <v>25.771147955729983</v>
      </c>
      <c r="C68" s="123">
        <v>2.3104372870526708</v>
      </c>
      <c r="E68" s="48">
        <f>A142</f>
        <v>-8.5</v>
      </c>
      <c r="F68" s="61">
        <f t="shared" ref="F68:G68" si="252">B142</f>
        <v>151.97042625873289</v>
      </c>
      <c r="G68" s="62">
        <f t="shared" si="252"/>
        <v>4.1756902311877653</v>
      </c>
      <c r="I68" s="121">
        <v>28.5</v>
      </c>
      <c r="J68" s="122">
        <v>25.84</v>
      </c>
      <c r="K68" s="123">
        <v>2.3137535816618908</v>
      </c>
      <c r="M68" s="48">
        <f>I142</f>
        <v>-8.5</v>
      </c>
      <c r="N68" s="61">
        <f t="shared" ref="N68" si="253">J142</f>
        <v>146.28</v>
      </c>
      <c r="O68" s="62">
        <f t="shared" ref="O68" si="254">K142</f>
        <v>4.1490810074880873</v>
      </c>
      <c r="Q68" s="121">
        <v>18.5</v>
      </c>
      <c r="R68" s="122">
        <v>12.84</v>
      </c>
      <c r="S68" s="123">
        <v>1.4985994397759104</v>
      </c>
      <c r="U68" s="48">
        <f>Q82</f>
        <v>11.5</v>
      </c>
      <c r="V68" s="61">
        <f>R82</f>
        <v>16.989999999999998</v>
      </c>
      <c r="W68" s="62">
        <f>S82</f>
        <v>1.8078314535007447</v>
      </c>
      <c r="Y68" s="124">
        <v>53.5</v>
      </c>
      <c r="Z68" s="125">
        <v>0.94492369034789458</v>
      </c>
      <c r="AA68" s="126">
        <v>0.78158446553815208</v>
      </c>
      <c r="AC68" s="48">
        <f>Y192</f>
        <v>-8.5</v>
      </c>
      <c r="AD68" s="61">
        <f t="shared" ref="AD68:AE68" si="255">Z192</f>
        <v>15.068103079271372</v>
      </c>
      <c r="AE68" s="62">
        <f t="shared" si="255"/>
        <v>3.7356272476508359</v>
      </c>
      <c r="AG68" s="124">
        <v>48.5</v>
      </c>
      <c r="AH68" s="125">
        <v>4.3402038856606833</v>
      </c>
      <c r="AI68" s="126">
        <v>1.5132992251249018</v>
      </c>
      <c r="AK68" s="48">
        <f>AG181</f>
        <v>-8</v>
      </c>
      <c r="AL68" s="61">
        <f>AH181</f>
        <v>39.792802079388814</v>
      </c>
      <c r="AM68" s="62">
        <f>AI181</f>
        <v>3.9958387977386605</v>
      </c>
    </row>
    <row r="69" spans="1:39">
      <c r="A69" s="121">
        <v>28</v>
      </c>
      <c r="B69" s="122">
        <v>26.331652012316315</v>
      </c>
      <c r="C69" s="123">
        <v>2.337198632711782</v>
      </c>
      <c r="E69" s="48">
        <f>A141</f>
        <v>-8</v>
      </c>
      <c r="F69" s="61">
        <f t="shared" ref="F69:G69" si="256">B141</f>
        <v>147.98656189123034</v>
      </c>
      <c r="G69" s="62">
        <f t="shared" si="256"/>
        <v>4.1572397466070123</v>
      </c>
      <c r="I69" s="121">
        <v>28</v>
      </c>
      <c r="J69" s="122">
        <v>26.393000000000001</v>
      </c>
      <c r="K69" s="123">
        <v>2.3400954019115847</v>
      </c>
      <c r="M69" s="48">
        <f>I141</f>
        <v>-8</v>
      </c>
      <c r="N69" s="61">
        <f t="shared" ref="N69" si="257">J141</f>
        <v>142.54</v>
      </c>
      <c r="O69" s="62">
        <f t="shared" ref="O69" si="258">K141</f>
        <v>4.1306363741741041</v>
      </c>
      <c r="Q69" s="121">
        <v>18</v>
      </c>
      <c r="R69" s="122">
        <v>13.1</v>
      </c>
      <c r="S69" s="123">
        <v>1.5197215777262181</v>
      </c>
      <c r="U69" s="48">
        <f>Q81</f>
        <v>12</v>
      </c>
      <c r="V69" s="61">
        <f>R81</f>
        <v>16.649999999999999</v>
      </c>
      <c r="W69" s="62">
        <f>S81</f>
        <v>1.784565916398714</v>
      </c>
      <c r="Y69" s="124">
        <v>53</v>
      </c>
      <c r="Z69" s="125">
        <v>0.96276530716164088</v>
      </c>
      <c r="AA69" s="126">
        <v>0.79399849605292694</v>
      </c>
      <c r="AC69" s="48">
        <f>Y191</f>
        <v>-8</v>
      </c>
      <c r="AD69" s="61">
        <f t="shared" ref="AD69:AE69" si="259">Z191</f>
        <v>14.678158573560321</v>
      </c>
      <c r="AE69" s="62">
        <f t="shared" si="259"/>
        <v>3.7106989811433357</v>
      </c>
      <c r="AG69" s="124">
        <v>48</v>
      </c>
      <c r="AH69" s="125">
        <v>4.4130336513584458</v>
      </c>
      <c r="AI69" s="126">
        <v>1.5309176950899965</v>
      </c>
      <c r="AK69" s="48">
        <f>AG180</f>
        <v>-7.5</v>
      </c>
      <c r="AL69" s="61">
        <f>AH180</f>
        <v>38.887256348088094</v>
      </c>
      <c r="AM69" s="62">
        <f>AI180</f>
        <v>3.9772385743231546</v>
      </c>
    </row>
    <row r="70" spans="1:39">
      <c r="A70" s="121">
        <v>27.5</v>
      </c>
      <c r="B70" s="122">
        <v>26.906038954652725</v>
      </c>
      <c r="C70" s="123">
        <v>2.3640758914966478</v>
      </c>
      <c r="E70" s="48">
        <f>A140</f>
        <v>-7.5</v>
      </c>
      <c r="F70" s="61">
        <f t="shared" ref="F70:G70" si="260">B140</f>
        <v>144.11760515512387</v>
      </c>
      <c r="G70" s="62">
        <f t="shared" si="260"/>
        <v>4.1385133061854207</v>
      </c>
      <c r="I70" s="121">
        <v>27.5</v>
      </c>
      <c r="J70" s="122">
        <v>26.957999999999998</v>
      </c>
      <c r="K70" s="123">
        <v>2.366480564626567</v>
      </c>
      <c r="M70" s="48">
        <f>I140</f>
        <v>-7.5</v>
      </c>
      <c r="N70" s="61">
        <f t="shared" ref="N70" si="261">J140</f>
        <v>138.9</v>
      </c>
      <c r="O70" s="62">
        <f t="shared" ref="O70" si="262">K140</f>
        <v>4.1119005328596803</v>
      </c>
      <c r="Q70" s="121">
        <v>17.5</v>
      </c>
      <c r="R70" s="122">
        <v>13.36</v>
      </c>
      <c r="S70" s="123">
        <v>1.5405904059040589</v>
      </c>
      <c r="U70" s="48">
        <f>Q80</f>
        <v>12.5</v>
      </c>
      <c r="V70" s="61">
        <f>R80</f>
        <v>16.309999999999999</v>
      </c>
      <c r="W70" s="62">
        <f>S80</f>
        <v>1.7609587562081623</v>
      </c>
      <c r="Y70" s="124">
        <v>52.5</v>
      </c>
      <c r="Z70" s="125">
        <v>0.9809954197455838</v>
      </c>
      <c r="AA70" s="126">
        <v>0.80660759631572509</v>
      </c>
      <c r="AC70" s="48">
        <f>Y190</f>
        <v>-7.5</v>
      </c>
      <c r="AD70" s="61">
        <f t="shared" ref="AD70:AE70" si="263">Z190</f>
        <v>14.299209398126585</v>
      </c>
      <c r="AE70" s="62">
        <f t="shared" si="263"/>
        <v>3.6855134414672284</v>
      </c>
      <c r="AG70" s="124">
        <v>47.5</v>
      </c>
      <c r="AH70" s="125">
        <v>4.4872916677061374</v>
      </c>
      <c r="AI70" s="126">
        <v>1.5486992912929454</v>
      </c>
      <c r="AK70" s="48">
        <f>AG179</f>
        <v>-7</v>
      </c>
      <c r="AL70" s="61">
        <f>AH179</f>
        <v>38.004969082440866</v>
      </c>
      <c r="AM70" s="62">
        <f>AI179</f>
        <v>3.9584411581615027</v>
      </c>
    </row>
    <row r="71" spans="1:39">
      <c r="A71" s="121">
        <v>27</v>
      </c>
      <c r="B71" s="122">
        <v>27.49469092201468</v>
      </c>
      <c r="C71" s="123">
        <v>2.391063460042619</v>
      </c>
      <c r="E71" s="48">
        <f>A139</f>
        <v>-7</v>
      </c>
      <c r="F71" s="61">
        <f t="shared" ref="F71:G71" si="264">B139</f>
        <v>140.35999766961885</v>
      </c>
      <c r="G71" s="62">
        <f t="shared" si="264"/>
        <v>4.1195116104022453</v>
      </c>
      <c r="I71" s="121">
        <v>27</v>
      </c>
      <c r="J71" s="122">
        <v>27.538</v>
      </c>
      <c r="K71" s="123">
        <v>2.3930272167958568</v>
      </c>
      <c r="M71" s="48">
        <f>I139</f>
        <v>-7</v>
      </c>
      <c r="N71" s="61">
        <f t="shared" ref="N71" si="265">J139</f>
        <v>135.37</v>
      </c>
      <c r="O71" s="62">
        <f t="shared" ref="O71" si="266">K139</f>
        <v>4.0929430972969705</v>
      </c>
      <c r="Q71" s="121">
        <v>17</v>
      </c>
      <c r="R71" s="122">
        <v>13.62</v>
      </c>
      <c r="S71" s="123">
        <v>1.5612104539202201</v>
      </c>
      <c r="U71" s="48">
        <f>Q79</f>
        <v>13</v>
      </c>
      <c r="V71" s="61">
        <f>R79</f>
        <v>15.99</v>
      </c>
      <c r="W71" s="62">
        <f>S79</f>
        <v>1.7384213959556425</v>
      </c>
      <c r="Y71" s="124">
        <v>52</v>
      </c>
      <c r="Z71" s="125">
        <v>0.9996234967950246</v>
      </c>
      <c r="AA71" s="126">
        <v>0.81941409770641171</v>
      </c>
      <c r="AC71" s="48">
        <f>Y189</f>
        <v>-7</v>
      </c>
      <c r="AD71" s="61">
        <f t="shared" ref="AD71:AE71" si="267">Z189</f>
        <v>13.930926893827747</v>
      </c>
      <c r="AE71" s="62">
        <f t="shared" si="267"/>
        <v>3.6600757733838836</v>
      </c>
      <c r="AG71" s="124">
        <v>47</v>
      </c>
      <c r="AH71" s="125">
        <v>4.5630096197306571</v>
      </c>
      <c r="AI71" s="126">
        <v>1.5666437566409608</v>
      </c>
      <c r="AK71" s="48">
        <f>AG178</f>
        <v>-6.5</v>
      </c>
      <c r="AL71" s="61">
        <f>AH178</f>
        <v>37.145280965478698</v>
      </c>
      <c r="AM71" s="62">
        <f>AI178</f>
        <v>3.9394484670350862</v>
      </c>
    </row>
    <row r="72" spans="1:39">
      <c r="A72" s="121">
        <v>26.5</v>
      </c>
      <c r="B72" s="122">
        <v>28.098001493578334</v>
      </c>
      <c r="C72" s="123">
        <v>2.4181555966846853</v>
      </c>
      <c r="E72" s="48">
        <f>A138</f>
        <v>-6.5</v>
      </c>
      <c r="F72" s="61">
        <f t="shared" ref="F72:G72" si="268">B138</f>
        <v>136.71029709570499</v>
      </c>
      <c r="G72" s="62">
        <f t="shared" si="268"/>
        <v>4.1002355426558443</v>
      </c>
      <c r="I72" s="121">
        <v>26.5</v>
      </c>
      <c r="J72" s="122">
        <v>28.131</v>
      </c>
      <c r="K72" s="123">
        <v>2.4196212003922177</v>
      </c>
      <c r="M72" s="48">
        <f>I138</f>
        <v>-6.5</v>
      </c>
      <c r="N72" s="61">
        <f t="shared" ref="N72" si="269">J138</f>
        <v>131.94</v>
      </c>
      <c r="O72" s="62">
        <f t="shared" ref="O72" si="270">K138</f>
        <v>4.0737310114857355</v>
      </c>
      <c r="Q72" s="121">
        <v>16.5</v>
      </c>
      <c r="R72" s="122">
        <v>13.9</v>
      </c>
      <c r="S72" s="123">
        <v>1.5831435079726652</v>
      </c>
      <c r="U72" s="48">
        <f>Q78</f>
        <v>13.5</v>
      </c>
      <c r="V72" s="61">
        <f>R78</f>
        <v>15.67</v>
      </c>
      <c r="W72" s="62">
        <f>S78</f>
        <v>1.7155682067002407</v>
      </c>
      <c r="Y72" s="124">
        <v>51.5</v>
      </c>
      <c r="Z72" s="125">
        <v>1.0186592600180535</v>
      </c>
      <c r="AA72" s="126">
        <v>0.83242032014628642</v>
      </c>
      <c r="AC72" s="48">
        <f>Y188</f>
        <v>-6.5</v>
      </c>
      <c r="AD72" s="61">
        <f t="shared" ref="AD72:AE72" si="271">Z188</f>
        <v>13.572992547685008</v>
      </c>
      <c r="AE72" s="62">
        <f t="shared" si="271"/>
        <v>3.6343913577386733</v>
      </c>
      <c r="AG72" s="124">
        <v>46.5</v>
      </c>
      <c r="AH72" s="125">
        <v>4.6402199716810317</v>
      </c>
      <c r="AI72" s="126">
        <v>1.5847507689968912</v>
      </c>
      <c r="AK72" s="48">
        <f>AG177</f>
        <v>-6</v>
      </c>
      <c r="AL72" s="61">
        <f>AH177</f>
        <v>36.307553002523342</v>
      </c>
      <c r="AM72" s="62">
        <f>AI177</f>
        <v>3.9202625326094114</v>
      </c>
    </row>
    <row r="73" spans="1:39">
      <c r="A73" s="121">
        <v>26</v>
      </c>
      <c r="B73" s="122">
        <v>28.716376054577818</v>
      </c>
      <c r="C73" s="123">
        <v>2.4453464249807824</v>
      </c>
      <c r="E73" s="48">
        <f>A137</f>
        <v>-6</v>
      </c>
      <c r="F73" s="61">
        <f t="shared" ref="F73:G73" si="272">B137</f>
        <v>133.16517321688002</v>
      </c>
      <c r="G73" s="62">
        <f t="shared" si="272"/>
        <v>4.0806861719159935</v>
      </c>
      <c r="I73" s="121">
        <v>26</v>
      </c>
      <c r="J73" s="122">
        <v>28.739000000000001</v>
      </c>
      <c r="K73" s="123">
        <v>2.4463303767513915</v>
      </c>
      <c r="M73" s="48">
        <f>I137</f>
        <v>-6</v>
      </c>
      <c r="N73" s="61">
        <f t="shared" ref="N73" si="273">J137</f>
        <v>128.6</v>
      </c>
      <c r="O73" s="62">
        <f t="shared" ref="O73" si="274">K137</f>
        <v>4.0542244640605301</v>
      </c>
      <c r="Q73" s="121">
        <v>16</v>
      </c>
      <c r="R73" s="122">
        <v>14.17</v>
      </c>
      <c r="S73" s="123">
        <v>1.6040298845370158</v>
      </c>
      <c r="U73" s="48">
        <f>Q77</f>
        <v>14</v>
      </c>
      <c r="V73" s="61">
        <f>R77</f>
        <v>15.35</v>
      </c>
      <c r="W73" s="62">
        <f>S77</f>
        <v>1.6923925027563396</v>
      </c>
      <c r="Y73" s="124">
        <v>51</v>
      </c>
      <c r="Z73" s="125">
        <v>1.0381126914302996</v>
      </c>
      <c r="AA73" s="126">
        <v>0.84562856990199642</v>
      </c>
      <c r="AC73" s="48">
        <f>Y187</f>
        <v>-6</v>
      </c>
      <c r="AD73" s="61">
        <f t="shared" ref="AD73:AE73" si="275">Z187</f>
        <v>13.225097679505108</v>
      </c>
      <c r="AE73" s="62">
        <f t="shared" si="275"/>
        <v>3.6084658076055263</v>
      </c>
      <c r="AG73" s="124">
        <v>46</v>
      </c>
      <c r="AH73" s="125">
        <v>4.7189559879752458</v>
      </c>
      <c r="AI73" s="126">
        <v>1.6030199396718183</v>
      </c>
      <c r="AK73" s="48">
        <f>AG176</f>
        <v>-5.5</v>
      </c>
      <c r="AL73" s="61">
        <f>AH176</f>
        <v>35.491165847421357</v>
      </c>
      <c r="AM73" s="62">
        <f>AI176</f>
        <v>3.9008855001056384</v>
      </c>
    </row>
    <row r="74" spans="1:39" ht="13.5" thickBot="1">
      <c r="A74" s="121">
        <v>25.5</v>
      </c>
      <c r="B74" s="122">
        <v>29.350232174821247</v>
      </c>
      <c r="C74" s="123">
        <v>2.4726299375179863</v>
      </c>
      <c r="E74" s="48">
        <f>A136</f>
        <v>-5.5</v>
      </c>
      <c r="F74" s="61">
        <f t="shared" ref="F74:G74" si="276">B136</f>
        <v>129.72140415470582</v>
      </c>
      <c r="G74" s="62">
        <f t="shared" si="276"/>
        <v>4.0608647551413313</v>
      </c>
      <c r="I74" s="121">
        <v>25.5</v>
      </c>
      <c r="J74" s="122">
        <v>29.361999999999998</v>
      </c>
      <c r="K74" s="123">
        <v>2.4731309591994881</v>
      </c>
      <c r="M74" s="48">
        <f>I136</f>
        <v>-5.5</v>
      </c>
      <c r="N74" s="61">
        <f t="shared" ref="N74" si="277">J136</f>
        <v>125.35</v>
      </c>
      <c r="O74" s="62">
        <f t="shared" ref="O74" si="278">K136</f>
        <v>4.0344383649822984</v>
      </c>
      <c r="Q74" s="121">
        <v>15.5</v>
      </c>
      <c r="R74" s="122">
        <v>14.46</v>
      </c>
      <c r="S74" s="123">
        <v>1.6261808367071526</v>
      </c>
      <c r="U74" s="48">
        <f>Q76</f>
        <v>14.5</v>
      </c>
      <c r="V74" s="61">
        <f>R76</f>
        <v>15.05</v>
      </c>
      <c r="W74" s="62">
        <f>S76</f>
        <v>1.6703662597114319</v>
      </c>
      <c r="Y74" s="130">
        <v>50.5</v>
      </c>
      <c r="Z74" s="131">
        <v>1.0579940408734809</v>
      </c>
      <c r="AA74" s="132">
        <v>0.8590411373014335</v>
      </c>
      <c r="AC74" s="48">
        <f>Y186</f>
        <v>-5.5</v>
      </c>
      <c r="AD74" s="61">
        <f t="shared" ref="AD74:AE74" si="279">Z186</f>
        <v>12.886943137693525</v>
      </c>
      <c r="AE74" s="62">
        <f t="shared" si="279"/>
        <v>3.5823049639512079</v>
      </c>
      <c r="AG74" s="130">
        <v>45.5</v>
      </c>
      <c r="AH74" s="131">
        <v>4.7992517547556401</v>
      </c>
      <c r="AI74" s="132">
        <v>1.6214508119349456</v>
      </c>
      <c r="AK74" s="48">
        <f>AG175</f>
        <v>-5</v>
      </c>
      <c r="AL74" s="61">
        <f>AH175</f>
        <v>34.695519152606039</v>
      </c>
      <c r="AM74" s="62">
        <f>AI175</f>
        <v>3.8813196278292996</v>
      </c>
    </row>
    <row r="75" spans="1:39" ht="13.5" thickTop="1">
      <c r="A75" s="133">
        <v>25</v>
      </c>
      <c r="B75" s="134">
        <v>30</v>
      </c>
      <c r="C75" s="135">
        <v>2.5</v>
      </c>
      <c r="E75" s="48">
        <f>A135</f>
        <v>-5</v>
      </c>
      <c r="F75" s="61">
        <f t="shared" ref="F75:G75" si="280">B135</f>
        <v>126.37587271456684</v>
      </c>
      <c r="G75" s="62">
        <f t="shared" si="280"/>
        <v>4.0407727394507003</v>
      </c>
      <c r="I75" s="133">
        <v>25</v>
      </c>
      <c r="J75" s="134">
        <v>30</v>
      </c>
      <c r="K75" s="135">
        <v>2.5</v>
      </c>
      <c r="M75" s="48">
        <f>I135</f>
        <v>-5</v>
      </c>
      <c r="N75" s="61">
        <f t="shared" ref="N75" si="281">J135</f>
        <v>122.2</v>
      </c>
      <c r="O75" s="62">
        <f t="shared" ref="O75" si="282">K135</f>
        <v>4.0144546649145862</v>
      </c>
      <c r="Q75" s="121">
        <v>15</v>
      </c>
      <c r="R75" s="122">
        <v>14.75</v>
      </c>
      <c r="S75" s="123">
        <v>1.6480446927374302</v>
      </c>
      <c r="U75" s="48">
        <f>Q75</f>
        <v>15</v>
      </c>
      <c r="V75" s="61">
        <f>R75</f>
        <v>14.75</v>
      </c>
      <c r="W75" s="62">
        <f>S75</f>
        <v>1.6480446927374302</v>
      </c>
      <c r="Y75" s="118">
        <v>50</v>
      </c>
      <c r="Z75" s="119">
        <v>1.0783138337651927</v>
      </c>
      <c r="AA75" s="120">
        <v>0.87266029436064274</v>
      </c>
      <c r="AC75" s="48">
        <f>Y185</f>
        <v>-5</v>
      </c>
      <c r="AD75" s="61">
        <f t="shared" ref="AD75:AE75" si="283">Z185</f>
        <v>12.558239004031464</v>
      </c>
      <c r="AE75" s="62">
        <f t="shared" si="283"/>
        <v>3.5559148908235851</v>
      </c>
      <c r="AG75" s="118">
        <v>45</v>
      </c>
      <c r="AH75" s="119">
        <v>4.8811422020726862</v>
      </c>
      <c r="AI75" s="120">
        <v>1.6400428595436807</v>
      </c>
      <c r="AK75" s="48">
        <f>AG174</f>
        <v>-4.5</v>
      </c>
      <c r="AL75" s="61">
        <f>AH174</f>
        <v>33.920030942094911</v>
      </c>
      <c r="AM75" s="62">
        <f>AI174</f>
        <v>3.8615672865549424</v>
      </c>
    </row>
    <row r="76" spans="1:39">
      <c r="A76" s="121">
        <v>24.5</v>
      </c>
      <c r="B76" s="122">
        <v>30.666122656241935</v>
      </c>
      <c r="C76" s="123">
        <v>2.52745035561348</v>
      </c>
      <c r="E76" s="48">
        <f>A134</f>
        <v>-4.5</v>
      </c>
      <c r="F76" s="61">
        <f t="shared" ref="F76:G76" si="284">B134</f>
        <v>123.12556285715372</v>
      </c>
      <c r="G76" s="62">
        <f t="shared" si="284"/>
        <v>4.0204117640375268</v>
      </c>
      <c r="I76" s="121">
        <v>24.5</v>
      </c>
      <c r="J76" s="122">
        <v>30.654</v>
      </c>
      <c r="K76" s="123">
        <v>2.5269561776634686</v>
      </c>
      <c r="M76" s="48">
        <f>I134</f>
        <v>-4.5</v>
      </c>
      <c r="N76" s="61">
        <f t="shared" ref="N76" si="285">J134</f>
        <v>119.14</v>
      </c>
      <c r="O76" s="62">
        <f t="shared" ref="O76" si="286">K134</f>
        <v>3.9942336060077785</v>
      </c>
      <c r="Q76" s="121">
        <v>14.5</v>
      </c>
      <c r="R76" s="122">
        <v>15.05</v>
      </c>
      <c r="S76" s="123">
        <v>1.6703662597114319</v>
      </c>
      <c r="U76" s="48">
        <f>Q74</f>
        <v>15.5</v>
      </c>
      <c r="V76" s="61">
        <f>R74</f>
        <v>14.46</v>
      </c>
      <c r="W76" s="62">
        <f>S74</f>
        <v>1.6261808367071526</v>
      </c>
      <c r="Y76" s="124">
        <v>49.5</v>
      </c>
      <c r="Z76" s="125">
        <v>1.0990828790872234</v>
      </c>
      <c r="AA76" s="126">
        <v>0.88648829232063486</v>
      </c>
      <c r="AC76" s="48">
        <f>Y184</f>
        <v>-4.5</v>
      </c>
      <c r="AD76" s="61">
        <f t="shared" ref="AD76:AE76" si="287">Z184</f>
        <v>12.23870430719608</v>
      </c>
      <c r="AE76" s="62">
        <f t="shared" si="287"/>
        <v>3.5293018700701446</v>
      </c>
      <c r="AG76" s="124">
        <v>44.5</v>
      </c>
      <c r="AH76" s="125">
        <v>4.9646631267163741</v>
      </c>
      <c r="AI76" s="126">
        <v>1.6587954852966165</v>
      </c>
      <c r="AK76" s="48">
        <f>AG173</f>
        <v>-4</v>
      </c>
      <c r="AL76" s="61">
        <f>AH173</f>
        <v>33.164137006564111</v>
      </c>
      <c r="AM76" s="62">
        <f>AI173</f>
        <v>3.8416309587656916</v>
      </c>
    </row>
    <row r="77" spans="1:39">
      <c r="A77" s="121">
        <v>24</v>
      </c>
      <c r="B77" s="122">
        <v>31.349056668374551</v>
      </c>
      <c r="C77" s="123">
        <v>2.5549746296698146</v>
      </c>
      <c r="E77" s="48">
        <f>A133</f>
        <v>-4</v>
      </c>
      <c r="F77" s="61">
        <f t="shared" ref="F77:G77" si="288">B133</f>
        <v>119.96755629134174</v>
      </c>
      <c r="G77" s="62">
        <f t="shared" si="288"/>
        <v>3.9997836618168581</v>
      </c>
      <c r="I77" s="121">
        <v>24</v>
      </c>
      <c r="J77" s="122">
        <v>31.323</v>
      </c>
      <c r="K77" s="123">
        <v>2.5539357174306541</v>
      </c>
      <c r="M77" s="48">
        <f>I133</f>
        <v>-4</v>
      </c>
      <c r="N77" s="61">
        <f t="shared" ref="N77" si="289">J133</f>
        <v>116.16</v>
      </c>
      <c r="O77" s="62">
        <f t="shared" ref="O77" si="290">K133</f>
        <v>3.9737274220032837</v>
      </c>
      <c r="Q77" s="121">
        <v>14</v>
      </c>
      <c r="R77" s="122">
        <v>15.35</v>
      </c>
      <c r="S77" s="123">
        <v>1.6923925027563396</v>
      </c>
      <c r="U77" s="48">
        <f>Q73</f>
        <v>16</v>
      </c>
      <c r="V77" s="61">
        <f>R73</f>
        <v>14.17</v>
      </c>
      <c r="W77" s="62">
        <f>S73</f>
        <v>1.6040298845370158</v>
      </c>
      <c r="Y77" s="124">
        <v>49</v>
      </c>
      <c r="Z77" s="125">
        <v>1.1203122776201806</v>
      </c>
      <c r="AA77" s="126">
        <v>0.90052735909329551</v>
      </c>
      <c r="AC77" s="48">
        <f>Y183</f>
        <v>-4</v>
      </c>
      <c r="AD77" s="61">
        <f t="shared" ref="AD77:AE77" si="291">Z183</f>
        <v>11.928066744801344</v>
      </c>
      <c r="AE77" s="62">
        <f t="shared" si="291"/>
        <v>3.5024723955944599</v>
      </c>
      <c r="AG77" s="124">
        <v>44</v>
      </c>
      <c r="AH77" s="125">
        <v>5.0498512157154156</v>
      </c>
      <c r="AI77" s="126">
        <v>1.6777080196122602</v>
      </c>
      <c r="AK77" s="48">
        <f>AG172</f>
        <v>-3.5</v>
      </c>
      <c r="AL77" s="61">
        <f>AH172</f>
        <v>32.427290319676125</v>
      </c>
      <c r="AM77" s="62">
        <f>AI172</f>
        <v>3.8215132377470749</v>
      </c>
    </row>
    <row r="78" spans="1:39">
      <c r="A78" s="121">
        <v>23.5</v>
      </c>
      <c r="B78" s="122">
        <v>32.049272392381852</v>
      </c>
      <c r="C78" s="123">
        <v>2.5825663345181082</v>
      </c>
      <c r="E78" s="48">
        <f>A132</f>
        <v>-3.5</v>
      </c>
      <c r="F78" s="61">
        <f t="shared" ref="F78:G78" si="292">B132</f>
        <v>116.89902918428605</v>
      </c>
      <c r="G78" s="62">
        <f t="shared" si="292"/>
        <v>3.9788904607951912</v>
      </c>
      <c r="I78" s="121">
        <v>23.5</v>
      </c>
      <c r="J78" s="122">
        <v>32.01</v>
      </c>
      <c r="K78" s="123">
        <v>2.5810353168843734</v>
      </c>
      <c r="M78" s="48">
        <f>I132</f>
        <v>-3.5</v>
      </c>
      <c r="N78" s="61">
        <f t="shared" ref="N78" si="293">J132</f>
        <v>113.26</v>
      </c>
      <c r="O78" s="62">
        <f t="shared" ref="O78" si="294">K132</f>
        <v>3.9529526734608411</v>
      </c>
      <c r="Q78" s="121">
        <v>13.5</v>
      </c>
      <c r="R78" s="122">
        <v>15.67</v>
      </c>
      <c r="S78" s="123">
        <v>1.7155682067002407</v>
      </c>
      <c r="U78" s="48">
        <f>Q72</f>
        <v>16.5</v>
      </c>
      <c r="V78" s="61">
        <f>R72</f>
        <v>13.9</v>
      </c>
      <c r="W78" s="62">
        <f>S72</f>
        <v>1.5831435079726652</v>
      </c>
      <c r="Y78" s="124">
        <v>48.5</v>
      </c>
      <c r="Z78" s="125">
        <v>1.1420134304324565</v>
      </c>
      <c r="AA78" s="126">
        <v>0.91477969661572489</v>
      </c>
      <c r="AC78" s="48">
        <f>Y182</f>
        <v>-3.5</v>
      </c>
      <c r="AD78" s="61">
        <f t="shared" ref="AD78:AE78" si="295">Z182</f>
        <v>11.626062413743327</v>
      </c>
      <c r="AE78" s="62">
        <f t="shared" si="295"/>
        <v>3.4754331671602885</v>
      </c>
      <c r="AG78" s="124">
        <v>43.5</v>
      </c>
      <c r="AH78" s="125">
        <v>5.1367440705257206</v>
      </c>
      <c r="AI78" s="126">
        <v>1.6967797191365588</v>
      </c>
      <c r="AK78" s="48">
        <f>AG171</f>
        <v>-3</v>
      </c>
      <c r="AL78" s="61">
        <f>AH171</f>
        <v>31.708960474871297</v>
      </c>
      <c r="AM78" s="62">
        <f>AI171</f>
        <v>3.8012168265348194</v>
      </c>
    </row>
    <row r="79" spans="1:39">
      <c r="A79" s="121">
        <v>23</v>
      </c>
      <c r="B79" s="122">
        <v>32.767254462555719</v>
      </c>
      <c r="C79" s="123">
        <v>2.6102188747241821</v>
      </c>
      <c r="E79" s="48">
        <f>A131</f>
        <v>-3</v>
      </c>
      <c r="F79" s="61">
        <f t="shared" ref="F79:G79" si="296">B131</f>
        <v>113.91724898468526</v>
      </c>
      <c r="G79" s="62">
        <f t="shared" si="296"/>
        <v>3.9577343851537763</v>
      </c>
      <c r="I79" s="121">
        <v>23</v>
      </c>
      <c r="J79" s="122">
        <v>32.713000000000001</v>
      </c>
      <c r="K79" s="123">
        <v>2.6081514199607736</v>
      </c>
      <c r="M79" s="48">
        <f>I131</f>
        <v>-3</v>
      </c>
      <c r="N79" s="61">
        <f t="shared" ref="N79" si="297">J131</f>
        <v>110.44</v>
      </c>
      <c r="O79" s="62">
        <f t="shared" ref="O79" si="298">K131</f>
        <v>3.9319282255767591</v>
      </c>
      <c r="Q79" s="121">
        <v>13</v>
      </c>
      <c r="R79" s="122">
        <v>15.99</v>
      </c>
      <c r="S79" s="123">
        <v>1.7384213959556425</v>
      </c>
      <c r="U79" s="48">
        <f>Q71</f>
        <v>17</v>
      </c>
      <c r="V79" s="61">
        <f>R71</f>
        <v>13.62</v>
      </c>
      <c r="W79" s="62">
        <f>S71</f>
        <v>1.5612104539202201</v>
      </c>
      <c r="Y79" s="124">
        <v>48</v>
      </c>
      <c r="Z79" s="125">
        <v>1.1641980476316767</v>
      </c>
      <c r="AA79" s="126">
        <v>0.92924747811240449</v>
      </c>
      <c r="AC79" s="48">
        <f>Y181</f>
        <v>-3</v>
      </c>
      <c r="AD79" s="61">
        <f t="shared" ref="AD79:AE79" si="299">Z181</f>
        <v>11.332435548633615</v>
      </c>
      <c r="AE79" s="62">
        <f t="shared" si="299"/>
        <v>3.4481910837544492</v>
      </c>
      <c r="AG79" s="124">
        <v>43</v>
      </c>
      <c r="AH79" s="125">
        <v>5.2253802319290701</v>
      </c>
      <c r="AI79" s="126">
        <v>1.7160097653820661</v>
      </c>
      <c r="AK79" s="48">
        <f>AG170</f>
        <v>-2.5</v>
      </c>
      <c r="AL79" s="61">
        <f>AH170</f>
        <v>31.008633141858059</v>
      </c>
      <c r="AM79" s="62">
        <f>AI170</f>
        <v>3.7807445367164818</v>
      </c>
    </row>
    <row r="80" spans="1:39">
      <c r="A80" s="121">
        <v>22.5</v>
      </c>
      <c r="B80" s="122">
        <v>33.503502253861235</v>
      </c>
      <c r="C80" s="123">
        <v>2.6379255525095155</v>
      </c>
      <c r="E80" s="48">
        <f>A130</f>
        <v>-2.5</v>
      </c>
      <c r="F80" s="61">
        <f t="shared" ref="F80:G80" si="300">B130</f>
        <v>111.01957135531316</v>
      </c>
      <c r="G80" s="62">
        <f t="shared" si="300"/>
        <v>3.9363178560367356</v>
      </c>
      <c r="I80" s="121">
        <v>22.5</v>
      </c>
      <c r="J80" s="122">
        <v>33.433</v>
      </c>
      <c r="K80" s="123">
        <v>2.6353002380464425</v>
      </c>
      <c r="M80" s="48">
        <f>I130</f>
        <v>-2.5</v>
      </c>
      <c r="N80" s="61">
        <f t="shared" ref="N80" si="301">J130</f>
        <v>107.7</v>
      </c>
      <c r="O80" s="62">
        <f t="shared" ref="O80" si="302">K130</f>
        <v>3.910675381263617</v>
      </c>
      <c r="Q80" s="121">
        <v>12.5</v>
      </c>
      <c r="R80" s="122">
        <v>16.309999999999999</v>
      </c>
      <c r="S80" s="123">
        <v>1.7609587562081623</v>
      </c>
      <c r="U80" s="48">
        <f>Q70</f>
        <v>17.5</v>
      </c>
      <c r="V80" s="61">
        <f>R70</f>
        <v>13.36</v>
      </c>
      <c r="W80" s="62">
        <f>S70</f>
        <v>1.5405904059040589</v>
      </c>
      <c r="Y80" s="124">
        <v>47.5</v>
      </c>
      <c r="Z80" s="125">
        <v>1.1868781573872624</v>
      </c>
      <c r="AA80" s="126">
        <v>0.94393284526490029</v>
      </c>
      <c r="AC80" s="48">
        <f>Y180</f>
        <v>-2.5</v>
      </c>
      <c r="AD80" s="61">
        <f t="shared" ref="AD80:AE80" si="303">Z180</f>
        <v>11.046938268109285</v>
      </c>
      <c r="AE80" s="62">
        <f t="shared" si="303"/>
        <v>3.420753236521421</v>
      </c>
      <c r="AG80" s="124">
        <v>42.5</v>
      </c>
      <c r="AH80" s="125">
        <v>5.3157992056652343</v>
      </c>
      <c r="AI80" s="126">
        <v>1.7353972634020132</v>
      </c>
      <c r="AK80" s="48">
        <f>AG169</f>
        <v>-2</v>
      </c>
      <c r="AL80" s="61">
        <f>AH169</f>
        <v>30.325809542077703</v>
      </c>
      <c r="AM80" s="62">
        <f>AI169</f>
        <v>3.7600992870873964</v>
      </c>
    </row>
    <row r="81" spans="1:39">
      <c r="A81" s="121">
        <v>22</v>
      </c>
      <c r="B81" s="122">
        <v>34.258530360053257</v>
      </c>
      <c r="C81" s="123">
        <v>2.6656795734430849</v>
      </c>
      <c r="E81" s="48">
        <f>A129</f>
        <v>-2</v>
      </c>
      <c r="F81" s="61">
        <f t="shared" ref="F81:G81" si="304">B129</f>
        <v>108.20343721103865</v>
      </c>
      <c r="G81" s="62">
        <f t="shared" si="304"/>
        <v>3.9146434920359621</v>
      </c>
      <c r="I81" s="121">
        <v>22</v>
      </c>
      <c r="J81" s="122">
        <v>34.171999999999997</v>
      </c>
      <c r="K81" s="123">
        <v>2.6625319453967462</v>
      </c>
      <c r="M81" s="48">
        <f>I129</f>
        <v>-2</v>
      </c>
      <c r="N81" s="61">
        <f t="shared" ref="N81" si="305">J129</f>
        <v>105.04</v>
      </c>
      <c r="O81" s="62">
        <f t="shared" ref="O81" si="306">K129</f>
        <v>3.8892180094786726</v>
      </c>
      <c r="Q81" s="121">
        <v>12</v>
      </c>
      <c r="R81" s="122">
        <v>16.649999999999999</v>
      </c>
      <c r="S81" s="123">
        <v>1.784565916398714</v>
      </c>
      <c r="U81" s="48">
        <f>Q69</f>
        <v>18</v>
      </c>
      <c r="V81" s="61">
        <f>R69</f>
        <v>13.1</v>
      </c>
      <c r="W81" s="62">
        <f>S69</f>
        <v>1.5197215777262181</v>
      </c>
      <c r="Y81" s="124">
        <v>47</v>
      </c>
      <c r="Z81" s="125">
        <v>1.2100661152327983</v>
      </c>
      <c r="AA81" s="126">
        <v>0.95883790528885382</v>
      </c>
      <c r="AC81" s="48">
        <f>Y179</f>
        <v>-2</v>
      </c>
      <c r="AD81" s="61">
        <f t="shared" ref="AD81:AE81" si="307">Z179</f>
        <v>10.769330328810433</v>
      </c>
      <c r="AE81" s="62">
        <f t="shared" si="307"/>
        <v>3.3931269012842158</v>
      </c>
      <c r="AG81" s="124">
        <v>42</v>
      </c>
      <c r="AH81" s="125">
        <v>5.4080414888198955</v>
      </c>
      <c r="AI81" s="126">
        <v>1.7549412405022342</v>
      </c>
      <c r="AK81" s="48">
        <f>AG168</f>
        <v>-1.5</v>
      </c>
      <c r="AL81" s="61">
        <f>AH168</f>
        <v>29.660005942435653</v>
      </c>
      <c r="AM81" s="62">
        <f>AI168</f>
        <v>3.7392841021614496</v>
      </c>
    </row>
    <row r="82" spans="1:39">
      <c r="A82" s="121">
        <v>21.5</v>
      </c>
      <c r="B82" s="122">
        <v>35.032869088102622</v>
      </c>
      <c r="C82" s="123">
        <v>2.6934740523782059</v>
      </c>
      <c r="E82" s="48">
        <f>A128</f>
        <v>-1.5</v>
      </c>
      <c r="F82" s="61">
        <f t="shared" ref="F82:G82" si="308">B128</f>
        <v>105.46636985869146</v>
      </c>
      <c r="G82" s="62">
        <f t="shared" si="308"/>
        <v>3.8927141093655284</v>
      </c>
      <c r="I82" s="121">
        <v>21.5</v>
      </c>
      <c r="J82" s="122">
        <v>34.929000000000002</v>
      </c>
      <c r="K82" s="123">
        <v>2.6897842258466942</v>
      </c>
      <c r="M82" s="48">
        <f>I128</f>
        <v>-1.5</v>
      </c>
      <c r="N82" s="61">
        <f t="shared" ref="N82" si="309">J128</f>
        <v>102.45</v>
      </c>
      <c r="O82" s="62">
        <f t="shared" ref="O82" si="310">K128</f>
        <v>3.867497168742922</v>
      </c>
      <c r="Q82" s="121">
        <v>11.5</v>
      </c>
      <c r="R82" s="122">
        <v>16.989999999999998</v>
      </c>
      <c r="S82" s="123">
        <v>1.8078314535007447</v>
      </c>
      <c r="U82" s="48">
        <f>Q68</f>
        <v>18.5</v>
      </c>
      <c r="V82" s="61">
        <f>R68</f>
        <v>12.84</v>
      </c>
      <c r="W82" s="62">
        <f>S68</f>
        <v>1.4985994397759104</v>
      </c>
      <c r="Y82" s="124">
        <v>46.5</v>
      </c>
      <c r="Z82" s="125">
        <v>1.2337746136574301</v>
      </c>
      <c r="AA82" s="126">
        <v>0.97396472791837208</v>
      </c>
      <c r="AC82" s="48">
        <f>Y178</f>
        <v>-1.5</v>
      </c>
      <c r="AD82" s="61">
        <f t="shared" ref="AD82:AE82" si="311">Z178</f>
        <v>10.499378886819938</v>
      </c>
      <c r="AE82" s="62">
        <f t="shared" si="311"/>
        <v>3.365319530667648</v>
      </c>
      <c r="AG82" s="124">
        <v>41.5</v>
      </c>
      <c r="AH82" s="125">
        <v>5.502148596992674</v>
      </c>
      <c r="AI82" s="126">
        <v>1.7746406449942231</v>
      </c>
      <c r="AK82" s="48">
        <f>AG167</f>
        <v>-1</v>
      </c>
      <c r="AL82" s="61">
        <f>AH167</f>
        <v>29.010753166627339</v>
      </c>
      <c r="AM82" s="62">
        <f>AI167</f>
        <v>3.7183021105377261</v>
      </c>
    </row>
    <row r="83" spans="1:39">
      <c r="A83" s="121">
        <v>21</v>
      </c>
      <c r="B83" s="122">
        <v>35.827064969508854</v>
      </c>
      <c r="C83" s="123">
        <v>2.7213020196255124</v>
      </c>
      <c r="E83" s="48">
        <f>A127</f>
        <v>-1</v>
      </c>
      <c r="F83" s="61">
        <f t="shared" ref="F83:G83" si="312">B127</f>
        <v>102.80597223524789</v>
      </c>
      <c r="G83" s="62">
        <f t="shared" si="312"/>
        <v>3.8705327217190559</v>
      </c>
      <c r="I83" s="121">
        <v>21</v>
      </c>
      <c r="J83" s="122">
        <v>35.704000000000001</v>
      </c>
      <c r="K83" s="123">
        <v>2.7170339705345183</v>
      </c>
      <c r="M83" s="48">
        <f>I127</f>
        <v>-1</v>
      </c>
      <c r="N83" s="61">
        <f t="shared" ref="N83" si="313">J127</f>
        <v>99.930999999999997</v>
      </c>
      <c r="O83" s="62">
        <f t="shared" ref="O83" si="314">K127</f>
        <v>3.845541094888826</v>
      </c>
      <c r="Q83" s="121">
        <v>11</v>
      </c>
      <c r="R83" s="122">
        <v>17.34</v>
      </c>
      <c r="S83" s="123">
        <v>1.8314321926489225</v>
      </c>
      <c r="U83" s="48">
        <f>Q67</f>
        <v>19</v>
      </c>
      <c r="V83" s="61">
        <f>R67</f>
        <v>12.59</v>
      </c>
      <c r="W83" s="62">
        <f>S67</f>
        <v>1.4780464897863348</v>
      </c>
      <c r="Y83" s="124">
        <v>46</v>
      </c>
      <c r="Z83" s="125">
        <v>1.2580166919956302</v>
      </c>
      <c r="AA83" s="126">
        <v>0.98931534229801521</v>
      </c>
      <c r="AC83" s="48">
        <f>Y177</f>
        <v>-1</v>
      </c>
      <c r="AD83" s="61">
        <f t="shared" ref="AD83:AE83" si="315">Z177</f>
        <v>10.236858266362573</v>
      </c>
      <c r="AE83" s="62">
        <f t="shared" si="315"/>
        <v>3.3373387458416013</v>
      </c>
      <c r="AG83" s="124">
        <v>41</v>
      </c>
      <c r="AH83" s="125">
        <v>5.5981630922701351</v>
      </c>
      <c r="AI83" s="126">
        <v>1.7944943449925763</v>
      </c>
      <c r="AK83" s="48">
        <f>AG166</f>
        <v>-0.5</v>
      </c>
      <c r="AL83" s="61">
        <f>AH166</f>
        <v>28.3775961234122</v>
      </c>
      <c r="AM83" s="62">
        <f>AI166</f>
        <v>3.6971565431244513</v>
      </c>
    </row>
    <row r="84" spans="1:39" ht="13.5" thickBot="1">
      <c r="A84" s="121">
        <v>20.5</v>
      </c>
      <c r="B84" s="122">
        <v>36.641681289098393</v>
      </c>
      <c r="C84" s="123">
        <v>2.7491564273523545</v>
      </c>
      <c r="E84" s="48">
        <f>A126</f>
        <v>-0.5</v>
      </c>
      <c r="F84" s="61">
        <f t="shared" ref="F84:G84" si="316">B126</f>
        <v>100.21992424093382</v>
      </c>
      <c r="G84" s="62">
        <f t="shared" si="316"/>
        <v>3.848102539804362</v>
      </c>
      <c r="I84" s="121">
        <v>20.5</v>
      </c>
      <c r="J84" s="122">
        <v>36.5</v>
      </c>
      <c r="K84" s="123">
        <v>2.744360902255639</v>
      </c>
      <c r="M84" s="48">
        <f>I126</f>
        <v>-0.5</v>
      </c>
      <c r="N84" s="61">
        <f t="shared" ref="N84" si="317">J126</f>
        <v>97.48</v>
      </c>
      <c r="O84" s="62">
        <f t="shared" ref="O84" si="318">K126</f>
        <v>3.8233448384060247</v>
      </c>
      <c r="Q84" s="127">
        <v>10.5</v>
      </c>
      <c r="R84" s="128">
        <v>17.7</v>
      </c>
      <c r="S84" s="129">
        <v>1.8553459119496853</v>
      </c>
      <c r="U84" s="48">
        <f>Q66</f>
        <v>19.5</v>
      </c>
      <c r="V84" s="61">
        <f>R66</f>
        <v>12.35</v>
      </c>
      <c r="W84" s="62">
        <f>S66</f>
        <v>1.4580873671782761</v>
      </c>
      <c r="Y84" s="124">
        <v>45.5</v>
      </c>
      <c r="Z84" s="125">
        <v>1.2828057466250939</v>
      </c>
      <c r="AA84" s="126">
        <v>1.0048917337828878</v>
      </c>
      <c r="AC84" s="48">
        <f>Y176</f>
        <v>-0.5</v>
      </c>
      <c r="AD84" s="61">
        <f t="shared" ref="AD84:AE84" si="319">Z176</f>
        <v>9.9815497355661105</v>
      </c>
      <c r="AE84" s="62">
        <f t="shared" si="319"/>
        <v>3.3091923279035083</v>
      </c>
      <c r="AG84" s="124">
        <v>40.5</v>
      </c>
      <c r="AH84" s="125">
        <v>5.6961286120289598</v>
      </c>
      <c r="AI84" s="126">
        <v>1.8145011272600198</v>
      </c>
      <c r="AK84" s="48">
        <f>AG165</f>
        <v>0</v>
      </c>
      <c r="AL84" s="61">
        <f>AH165</f>
        <v>27.760093351206816</v>
      </c>
      <c r="AM84" s="62">
        <f>AI165</f>
        <v>3.6758507312217219</v>
      </c>
    </row>
    <row r="85" spans="1:39" ht="13.5" thickTop="1">
      <c r="A85" s="121">
        <v>20</v>
      </c>
      <c r="B85" s="122">
        <v>37.477298631929038</v>
      </c>
      <c r="C85" s="123">
        <v>2.7770301561980029</v>
      </c>
      <c r="E85" s="48">
        <f>A125</f>
        <v>0</v>
      </c>
      <c r="F85" s="61">
        <f t="shared" ref="F85:G85" si="320">B125</f>
        <v>97.705980163957392</v>
      </c>
      <c r="G85" s="62">
        <f t="shared" si="320"/>
        <v>3.825426970550478</v>
      </c>
      <c r="I85" s="121">
        <v>20</v>
      </c>
      <c r="J85" s="122">
        <v>37.314999999999998</v>
      </c>
      <c r="K85" s="123">
        <v>2.7716705043452423</v>
      </c>
      <c r="M85" s="48">
        <f>I125</f>
        <v>0</v>
      </c>
      <c r="N85" s="61">
        <f t="shared" ref="N85" si="321">J125</f>
        <v>95.096000000000004</v>
      </c>
      <c r="O85" s="62">
        <f t="shared" ref="O85" si="322">K125</f>
        <v>3.8009208927543647</v>
      </c>
      <c r="Q85" s="115">
        <v>10</v>
      </c>
      <c r="R85" s="116">
        <v>18.07</v>
      </c>
      <c r="S85" s="117">
        <v>1.8795506552943622</v>
      </c>
      <c r="U85" s="48">
        <f>Q65</f>
        <v>20</v>
      </c>
      <c r="V85" s="61">
        <f>R65</f>
        <v>12.11</v>
      </c>
      <c r="W85" s="62">
        <f>S65</f>
        <v>1.4379007361671812</v>
      </c>
      <c r="Y85" s="124">
        <v>45</v>
      </c>
      <c r="Z85" s="125">
        <v>1.3081555414827568</v>
      </c>
      <c r="AA85" s="126">
        <v>1.0206958406475166</v>
      </c>
      <c r="AC85" s="48">
        <f>Y175</f>
        <v>0</v>
      </c>
      <c r="AD85" s="61">
        <f t="shared" ref="AD85:AE85" si="323">Z175</f>
        <v>9.7332412890882765</v>
      </c>
      <c r="AE85" s="62">
        <f t="shared" si="323"/>
        <v>3.2808882089204285</v>
      </c>
      <c r="AG85" s="124">
        <v>40</v>
      </c>
      <c r="AH85" s="125">
        <v>5.7960898985960059</v>
      </c>
      <c r="AI85" s="126">
        <v>1.8346596961033934</v>
      </c>
      <c r="AK85" s="48">
        <f>AG164</f>
        <v>0.5</v>
      </c>
      <c r="AL85" s="61">
        <f>AH164</f>
        <v>27.15781657840612</v>
      </c>
      <c r="AM85" s="62">
        <f>AI164</f>
        <v>3.6543881044652933</v>
      </c>
    </row>
    <row r="86" spans="1:39">
      <c r="A86" s="121">
        <v>19.5</v>
      </c>
      <c r="B86" s="122">
        <v>38.334515448942859</v>
      </c>
      <c r="C86" s="123">
        <v>2.8049160220931881</v>
      </c>
      <c r="E86" s="48">
        <f>A124</f>
        <v>0.5</v>
      </c>
      <c r="F86" s="61">
        <f t="shared" ref="F86:G86" si="324">B124</f>
        <v>95.261966193696352</v>
      </c>
      <c r="G86" s="62">
        <f t="shared" si="324"/>
        <v>3.8025096159831113</v>
      </c>
      <c r="I86" s="121">
        <v>19.5</v>
      </c>
      <c r="J86" s="122">
        <v>38.15</v>
      </c>
      <c r="K86" s="123">
        <v>2.7989728539985324</v>
      </c>
      <c r="M86" s="48">
        <f>I124</f>
        <v>0.5</v>
      </c>
      <c r="N86" s="61">
        <f t="shared" ref="N86" si="325">J124</f>
        <v>92.777000000000001</v>
      </c>
      <c r="O86" s="62">
        <f t="shared" ref="O86" si="326">K124</f>
        <v>3.7782728035381217</v>
      </c>
      <c r="Q86" s="121">
        <v>9.5</v>
      </c>
      <c r="R86" s="122">
        <v>18.45</v>
      </c>
      <c r="S86" s="123">
        <v>1.9040247678018574</v>
      </c>
      <c r="U86" s="48">
        <f>Q64</f>
        <v>20.5</v>
      </c>
      <c r="V86" s="61">
        <f>R64</f>
        <v>11.88</v>
      </c>
      <c r="W86" s="62">
        <f>S64</f>
        <v>1.4183381088825215</v>
      </c>
      <c r="Y86" s="124">
        <v>44.5</v>
      </c>
      <c r="Z86" s="125">
        <v>1.3340802189094694</v>
      </c>
      <c r="AA86" s="126">
        <v>1.0367295507045966</v>
      </c>
      <c r="AC86" s="48">
        <f>Y174</f>
        <v>0.5</v>
      </c>
      <c r="AD86" s="61">
        <f t="shared" ref="AD86:AE86" si="327">Z174</f>
        <v>9.4917274374193941</v>
      </c>
      <c r="AE86" s="62">
        <f t="shared" si="327"/>
        <v>3.2524344626526425</v>
      </c>
      <c r="AG86" s="124">
        <v>39.5</v>
      </c>
      <c r="AH86" s="125">
        <v>5.898092829792283</v>
      </c>
      <c r="AI86" s="126">
        <v>1.8549686723238692</v>
      </c>
      <c r="AK86" s="48">
        <f>AG163</f>
        <v>1</v>
      </c>
      <c r="AL86" s="61">
        <f>AH163</f>
        <v>26.570350298848521</v>
      </c>
      <c r="AM86" s="62">
        <f>AI163</f>
        <v>3.6327721886335236</v>
      </c>
    </row>
    <row r="87" spans="1:39">
      <c r="A87" s="121">
        <v>19</v>
      </c>
      <c r="B87" s="122">
        <v>39.213948642034843</v>
      </c>
      <c r="C87" s="123">
        <v>2.8328067832716837</v>
      </c>
      <c r="E87" s="48">
        <f>A123</f>
        <v>1</v>
      </c>
      <c r="F87" s="61">
        <f t="shared" ref="F87:G87" si="328">B123</f>
        <v>92.885778019272564</v>
      </c>
      <c r="G87" s="62">
        <f t="shared" si="328"/>
        <v>3.779354271765484</v>
      </c>
      <c r="I87" s="121">
        <v>19</v>
      </c>
      <c r="J87" s="122">
        <v>39.006999999999998</v>
      </c>
      <c r="K87" s="123">
        <v>2.8263074760531537</v>
      </c>
      <c r="M87" s="48">
        <f>I123</f>
        <v>1</v>
      </c>
      <c r="N87" s="61">
        <f t="shared" ref="N87" si="329">J123</f>
        <v>90.521000000000001</v>
      </c>
      <c r="O87" s="62">
        <f t="shared" ref="O87" si="330">K123</f>
        <v>3.7554036226051895</v>
      </c>
      <c r="Q87" s="121">
        <v>9</v>
      </c>
      <c r="R87" s="122">
        <v>18.829999999999998</v>
      </c>
      <c r="S87" s="123">
        <v>1.9281179602703256</v>
      </c>
      <c r="U87" s="48">
        <f>Q63</f>
        <v>21</v>
      </c>
      <c r="V87" s="61">
        <f>R63</f>
        <v>11.65</v>
      </c>
      <c r="W87" s="62">
        <f>S63</f>
        <v>1.3985594237695078</v>
      </c>
      <c r="Y87" s="124">
        <v>44</v>
      </c>
      <c r="Z87" s="125">
        <v>1.3605943108339218</v>
      </c>
      <c r="AA87" s="126">
        <v>1.0529946978347715</v>
      </c>
      <c r="AC87" s="48">
        <f>Y173</f>
        <v>1</v>
      </c>
      <c r="AD87" s="61">
        <f t="shared" ref="AD87:AE87" si="331">Z173</f>
        <v>9.256809002672977</v>
      </c>
      <c r="AE87" s="62">
        <f t="shared" si="331"/>
        <v>3.22383929498175</v>
      </c>
      <c r="AG87" s="124">
        <v>39</v>
      </c>
      <c r="AH87" s="125">
        <v>6.0021844503896906</v>
      </c>
      <c r="AI87" s="126">
        <v>1.8754265922248894</v>
      </c>
      <c r="AK87" s="48">
        <f>AG162</f>
        <v>1.5</v>
      </c>
      <c r="AL87" s="61">
        <f>AH162</f>
        <v>25.99729136187856</v>
      </c>
      <c r="AM87" s="62">
        <f>AI162</f>
        <v>3.6110066033204253</v>
      </c>
    </row>
    <row r="88" spans="1:39">
      <c r="A88" s="121">
        <v>18.5</v>
      </c>
      <c r="B88" s="122">
        <v>40.116234169226757</v>
      </c>
      <c r="C88" s="123">
        <v>2.8606951474608238</v>
      </c>
      <c r="E88" s="48">
        <f>A122</f>
        <v>1.5</v>
      </c>
      <c r="F88" s="61">
        <f t="shared" ref="F88:G88" si="332">B122</f>
        <v>90.575378510550905</v>
      </c>
      <c r="G88" s="62">
        <f t="shared" si="332"/>
        <v>3.7559649254024583</v>
      </c>
      <c r="I88" s="121">
        <v>18.5</v>
      </c>
      <c r="J88" s="122">
        <v>39.886000000000003</v>
      </c>
      <c r="K88" s="123">
        <v>2.8536473685716741</v>
      </c>
      <c r="M88" s="48">
        <f>I122</f>
        <v>1.5</v>
      </c>
      <c r="N88" s="61">
        <f t="shared" ref="N88" si="333">J122</f>
        <v>88.325999999999993</v>
      </c>
      <c r="O88" s="62">
        <f t="shared" ref="O88" si="334">K122</f>
        <v>3.7323158054865373</v>
      </c>
      <c r="Q88" s="121">
        <v>8.5</v>
      </c>
      <c r="R88" s="122">
        <v>19.23</v>
      </c>
      <c r="S88" s="123">
        <v>1.9530773918342474</v>
      </c>
      <c r="U88" s="48">
        <f>Q62</f>
        <v>21.5</v>
      </c>
      <c r="V88" s="61">
        <f>R62</f>
        <v>11.43</v>
      </c>
      <c r="W88" s="62">
        <f>S62</f>
        <v>1.3794351918899348</v>
      </c>
      <c r="Y88" s="124">
        <v>43.5</v>
      </c>
      <c r="Z88" s="125">
        <v>1.3877127503070403</v>
      </c>
      <c r="AA88" s="126">
        <v>1.069493058429078</v>
      </c>
      <c r="AC88" s="48">
        <f>Y172</f>
        <v>1.5</v>
      </c>
      <c r="AD88" s="61">
        <f t="shared" ref="AD88:AE88" si="335">Z172</f>
        <v>9.0282929206803164</v>
      </c>
      <c r="AE88" s="62">
        <f t="shared" si="335"/>
        <v>3.1951110340673696</v>
      </c>
      <c r="AG88" s="124">
        <v>38.5</v>
      </c>
      <c r="AH88" s="125">
        <v>6.1084130045087219</v>
      </c>
      <c r="AI88" s="126">
        <v>1.8960319066809952</v>
      </c>
      <c r="AK88" s="48">
        <f>AG161</f>
        <v>2</v>
      </c>
      <c r="AL88" s="61">
        <f>AH161</f>
        <v>25.438248576469181</v>
      </c>
      <c r="AM88" s="62">
        <f>AI161</f>
        <v>3.5890950594776361</v>
      </c>
    </row>
    <row r="89" spans="1:39">
      <c r="A89" s="121">
        <v>18</v>
      </c>
      <c r="B89" s="122">
        <v>41.042027670662968</v>
      </c>
      <c r="C89" s="123">
        <v>2.888573779237118</v>
      </c>
      <c r="E89" s="48">
        <f>A121</f>
        <v>2</v>
      </c>
      <c r="F89" s="61">
        <f t="shared" ref="F89:G89" si="336">B121</f>
        <v>88.328795478704762</v>
      </c>
      <c r="G89" s="62">
        <f t="shared" si="336"/>
        <v>3.732345754106869</v>
      </c>
      <c r="I89" s="121">
        <v>18</v>
      </c>
      <c r="J89" s="122">
        <v>40.786000000000001</v>
      </c>
      <c r="K89" s="123">
        <v>2.8809369084282204</v>
      </c>
      <c r="M89" s="48">
        <f>I121</f>
        <v>2</v>
      </c>
      <c r="N89" s="61">
        <f t="shared" ref="N89" si="337">J121</f>
        <v>86.19</v>
      </c>
      <c r="O89" s="62">
        <f t="shared" ref="O89" si="338">K121</f>
        <v>3.7090111025045185</v>
      </c>
      <c r="Q89" s="121">
        <v>8</v>
      </c>
      <c r="R89" s="122">
        <v>19.63</v>
      </c>
      <c r="S89" s="123">
        <v>1.9776344952649607</v>
      </c>
      <c r="U89" s="48">
        <f>Q61</f>
        <v>22</v>
      </c>
      <c r="V89" s="61">
        <f>R61</f>
        <v>11.21</v>
      </c>
      <c r="W89" s="62">
        <f>S61</f>
        <v>1.3601067702014076</v>
      </c>
      <c r="Y89" s="124">
        <v>43</v>
      </c>
      <c r="Z89" s="125">
        <v>1.4154508833982622</v>
      </c>
      <c r="AA89" s="126">
        <v>1.0862263477458722</v>
      </c>
      <c r="AC89" s="48">
        <f>Y171</f>
        <v>2</v>
      </c>
      <c r="AD89" s="61">
        <f t="shared" ref="AD89:AE89" si="339">Z171</f>
        <v>8.8059920492104897</v>
      </c>
      <c r="AE89" s="62">
        <f t="shared" si="339"/>
        <v>3.1662581202577518</v>
      </c>
      <c r="AG89" s="124">
        <v>38</v>
      </c>
      <c r="AH89" s="125">
        <v>6.2168279689885768</v>
      </c>
      <c r="AI89" s="126">
        <v>1.916782980271176</v>
      </c>
      <c r="AK89" s="48">
        <f>AG160</f>
        <v>2.5</v>
      </c>
      <c r="AL89" s="61">
        <f>AH160</f>
        <v>24.892842328897025</v>
      </c>
      <c r="AM89" s="62">
        <f>AI160</f>
        <v>3.5670413568288826</v>
      </c>
    </row>
    <row r="90" spans="1:39">
      <c r="A90" s="121">
        <v>17.5</v>
      </c>
      <c r="B90" s="122">
        <v>41.992005116168883</v>
      </c>
      <c r="C90" s="123">
        <v>2.9164353075323488</v>
      </c>
      <c r="E90" s="48">
        <f>A120</f>
        <v>2.5</v>
      </c>
      <c r="F90" s="61">
        <f t="shared" ref="F90:G90" si="340">B120</f>
        <v>86.144119513582979</v>
      </c>
      <c r="G90" s="62">
        <f t="shared" si="340"/>
        <v>3.7085011223279571</v>
      </c>
      <c r="I90" s="121">
        <v>17.5</v>
      </c>
      <c r="J90" s="122">
        <v>41.71</v>
      </c>
      <c r="K90" s="123">
        <v>2.9082415283781899</v>
      </c>
      <c r="M90" s="48">
        <f>I120</f>
        <v>2.5</v>
      </c>
      <c r="N90" s="61">
        <f t="shared" ref="N90" si="341">J120</f>
        <v>84.111999999999995</v>
      </c>
      <c r="O90" s="62">
        <f t="shared" ref="O90" si="342">K120</f>
        <v>3.6855019629837349</v>
      </c>
      <c r="Q90" s="121">
        <v>7.5</v>
      </c>
      <c r="R90" s="122">
        <v>20.04</v>
      </c>
      <c r="S90" s="123">
        <v>2.0023980815347722</v>
      </c>
      <c r="U90" s="48">
        <f>Q60</f>
        <v>22.5</v>
      </c>
      <c r="V90" s="61">
        <f>R60</f>
        <v>11</v>
      </c>
      <c r="W90" s="62">
        <f>S60</f>
        <v>1.3414634146341464</v>
      </c>
      <c r="Y90" s="124">
        <v>42.5</v>
      </c>
      <c r="Z90" s="125">
        <v>1.4438244814656378</v>
      </c>
      <c r="AA90" s="126">
        <v>1.1031962161844695</v>
      </c>
      <c r="AC90" s="48">
        <f>Y170</f>
        <v>2.5</v>
      </c>
      <c r="AD90" s="61">
        <f t="shared" ref="AD90:AE90" si="343">Z170</f>
        <v>8.5897249821388204</v>
      </c>
      <c r="AE90" s="62">
        <f t="shared" si="343"/>
        <v>3.1372890957802135</v>
      </c>
      <c r="AG90" s="124">
        <v>37.5</v>
      </c>
      <c r="AH90" s="125">
        <v>6.3274800877597537</v>
      </c>
      <c r="AI90" s="126">
        <v>1.9376780904798914</v>
      </c>
      <c r="AK90" s="48">
        <f>AG159</f>
        <v>3</v>
      </c>
      <c r="AL90" s="61">
        <f>AH159</f>
        <v>24.360704213472708</v>
      </c>
      <c r="AM90" s="62">
        <f>AI159</f>
        <v>3.5448493811603785</v>
      </c>
    </row>
    <row r="91" spans="1:39">
      <c r="A91" s="121">
        <v>17</v>
      </c>
      <c r="B91" s="122">
        <v>42.966863475141572</v>
      </c>
      <c r="C91" s="123">
        <v>2.9442723332749234</v>
      </c>
      <c r="E91" s="48">
        <f>A119</f>
        <v>3</v>
      </c>
      <c r="F91" s="61">
        <f t="shared" ref="F91:G91" si="344">B119</f>
        <v>84.019501895212557</v>
      </c>
      <c r="G91" s="62">
        <f t="shared" si="344"/>
        <v>3.6844355789428493</v>
      </c>
      <c r="I91" s="121">
        <v>17</v>
      </c>
      <c r="J91" s="122">
        <v>42.656999999999996</v>
      </c>
      <c r="K91" s="123">
        <v>2.9355051818819931</v>
      </c>
      <c r="M91" s="48">
        <f>I119</f>
        <v>3</v>
      </c>
      <c r="N91" s="61">
        <f t="shared" ref="N91" si="345">J119</f>
        <v>82.088999999999999</v>
      </c>
      <c r="O91" s="62">
        <f t="shared" ref="O91" si="346">K119</f>
        <v>3.661777694510612</v>
      </c>
      <c r="Q91" s="121">
        <v>7</v>
      </c>
      <c r="R91" s="122">
        <v>20.47</v>
      </c>
      <c r="S91" s="123">
        <v>2.0279373885476519</v>
      </c>
      <c r="U91" s="48">
        <f>Q59</f>
        <v>23</v>
      </c>
      <c r="V91" s="61">
        <f>R59</f>
        <v>10.79</v>
      </c>
      <c r="W91" s="62">
        <f>S59</f>
        <v>1.3226280951213532</v>
      </c>
      <c r="Y91" s="124">
        <v>42</v>
      </c>
      <c r="Z91" s="125">
        <v>1.4728497538119831</v>
      </c>
      <c r="AA91" s="126">
        <v>1.1204042454779912</v>
      </c>
      <c r="AC91" s="48">
        <f>Y169</f>
        <v>3</v>
      </c>
      <c r="AD91" s="61">
        <f t="shared" ref="AD91:AE91" si="347">Z169</f>
        <v>8.3793158693926664</v>
      </c>
      <c r="AE91" s="62">
        <f t="shared" si="347"/>
        <v>3.1082125942383647</v>
      </c>
      <c r="AG91" s="124">
        <v>37</v>
      </c>
      <c r="AH91" s="125">
        <v>6.4404214072524137</v>
      </c>
      <c r="AI91" s="126">
        <v>1.9587154269693265</v>
      </c>
      <c r="AK91" s="48">
        <f>AG158</f>
        <v>3.5</v>
      </c>
      <c r="AL91" s="61">
        <f>AH158</f>
        <v>23.841476675859351</v>
      </c>
      <c r="AM91" s="62">
        <f>AI158</f>
        <v>3.522523101491394</v>
      </c>
    </row>
    <row r="92" spans="1:39">
      <c r="A92" s="121">
        <v>16.5</v>
      </c>
      <c r="B92" s="122">
        <v>43.96732140956864</v>
      </c>
      <c r="C92" s="123">
        <v>2.9720774371505692</v>
      </c>
      <c r="E92" s="48">
        <f>A118</f>
        <v>3.5</v>
      </c>
      <c r="F92" s="61">
        <f t="shared" ref="F92:G92" si="348">B118</f>
        <v>81.953152576862749</v>
      </c>
      <c r="G92" s="62">
        <f t="shared" si="348"/>
        <v>3.6601538541130787</v>
      </c>
      <c r="I92" s="121">
        <v>16.5</v>
      </c>
      <c r="J92" s="122">
        <v>43.628</v>
      </c>
      <c r="K92" s="123">
        <v>2.9627315695115986</v>
      </c>
      <c r="M92" s="48">
        <f>I118</f>
        <v>3.5</v>
      </c>
      <c r="N92" s="61">
        <f t="shared" ref="N92" si="349">J118</f>
        <v>80.120999999999995</v>
      </c>
      <c r="O92" s="62">
        <f t="shared" ref="O92" si="350">K118</f>
        <v>3.6378619881766419</v>
      </c>
      <c r="Q92" s="121">
        <v>6.5</v>
      </c>
      <c r="R92" s="122">
        <v>20.9</v>
      </c>
      <c r="S92" s="123">
        <v>2.0530451866404715</v>
      </c>
      <c r="U92" s="48">
        <f>Q58</f>
        <v>23.5</v>
      </c>
      <c r="V92" s="61">
        <f>R58</f>
        <v>10.59</v>
      </c>
      <c r="W92" s="62">
        <f>S58</f>
        <v>1.3045084996304508</v>
      </c>
      <c r="Y92" s="124">
        <v>41.5</v>
      </c>
      <c r="Z92" s="125">
        <v>1.50254336073978</v>
      </c>
      <c r="AA92" s="126">
        <v>1.137851944808302</v>
      </c>
      <c r="AC92" s="48">
        <f>Y168</f>
        <v>3.5</v>
      </c>
      <c r="AD92" s="61">
        <f t="shared" ref="AD92:AE92" si="351">Z168</f>
        <v>8.1745942425064335</v>
      </c>
      <c r="AE92" s="62">
        <f t="shared" si="351"/>
        <v>3.0790373299436355</v>
      </c>
      <c r="AG92" s="124">
        <v>36.5</v>
      </c>
      <c r="AH92" s="125">
        <v>6.5557053128729974</v>
      </c>
      <c r="AI92" s="126">
        <v>1.9798930909260524</v>
      </c>
      <c r="AK92" s="48">
        <f>AG157</f>
        <v>4</v>
      </c>
      <c r="AL92" s="61">
        <f>AH157</f>
        <v>23.334812668518222</v>
      </c>
      <c r="AM92" s="62">
        <f>AI157</f>
        <v>3.5000665671290667</v>
      </c>
    </row>
    <row r="93" spans="1:39">
      <c r="A93" s="121">
        <v>16</v>
      </c>
      <c r="B93" s="122">
        <v>44.994119991000716</v>
      </c>
      <c r="C93" s="123">
        <v>2.9998431874658977</v>
      </c>
      <c r="E93" s="48">
        <f>A117</f>
        <v>4</v>
      </c>
      <c r="F93" s="61">
        <f t="shared" ref="F93:G93" si="352">B117</f>
        <v>79.943338237181905</v>
      </c>
      <c r="G93" s="62">
        <f t="shared" si="352"/>
        <v>3.6356608558091676</v>
      </c>
      <c r="I93" s="121">
        <v>16</v>
      </c>
      <c r="J93" s="122">
        <v>44.624000000000002</v>
      </c>
      <c r="K93" s="123">
        <v>2.9899228130360207</v>
      </c>
      <c r="M93" s="48">
        <f>I117</f>
        <v>4</v>
      </c>
      <c r="N93" s="61">
        <f t="shared" ref="N93" si="353">J117</f>
        <v>78.204999999999998</v>
      </c>
      <c r="O93" s="62">
        <f t="shared" ref="O93" si="354">K117</f>
        <v>3.613742433344115</v>
      </c>
      <c r="Q93" s="121">
        <v>6</v>
      </c>
      <c r="R93" s="122">
        <v>21.35</v>
      </c>
      <c r="S93" s="123">
        <v>2.0788704965920157</v>
      </c>
      <c r="U93" s="48">
        <f>Q57</f>
        <v>24</v>
      </c>
      <c r="V93" s="61">
        <f>R57</f>
        <v>10.39</v>
      </c>
      <c r="W93" s="62">
        <f>S57</f>
        <v>1.2862094577865808</v>
      </c>
      <c r="Y93" s="124">
        <v>41</v>
      </c>
      <c r="Z93" s="125">
        <v>1.5329224270179331</v>
      </c>
      <c r="AA93" s="126">
        <v>1.1555407468462684</v>
      </c>
      <c r="AC93" s="48">
        <f>Y167</f>
        <v>4</v>
      </c>
      <c r="AD93" s="61">
        <f t="shared" ref="AD93:AE93" si="355">Z167</f>
        <v>7.9753948456215937</v>
      </c>
      <c r="AE93" s="62">
        <f t="shared" si="355"/>
        <v>3.0497720871091789</v>
      </c>
      <c r="AG93" s="124">
        <v>36</v>
      </c>
      <c r="AH93" s="125">
        <v>6.6733865665848047</v>
      </c>
      <c r="AI93" s="126">
        <v>2.0012090944856289</v>
      </c>
      <c r="AK93" s="48">
        <f>AG156</f>
        <v>4.5</v>
      </c>
      <c r="AL93" s="61">
        <f>AH156</f>
        <v>22.84037531784843</v>
      </c>
      <c r="AM93" s="62">
        <f>AI156</f>
        <v>3.4774839046122148</v>
      </c>
    </row>
    <row r="94" spans="1:39">
      <c r="A94" s="121">
        <v>15.5</v>
      </c>
      <c r="B94" s="122">
        <v>46.048023442334326</v>
      </c>
      <c r="C94" s="123">
        <v>3.0275621480978798</v>
      </c>
      <c r="E94" s="48">
        <f>A116</f>
        <v>4.5</v>
      </c>
      <c r="F94" s="61">
        <f t="shared" ref="F94:G94" si="356">B116</f>
        <v>77.988380399009088</v>
      </c>
      <c r="G94" s="62">
        <f t="shared" si="356"/>
        <v>3.610961666007388</v>
      </c>
      <c r="I94" s="121">
        <v>15.5</v>
      </c>
      <c r="J94" s="122">
        <v>45.646000000000001</v>
      </c>
      <c r="K94" s="123">
        <v>3.0170795547682627</v>
      </c>
      <c r="M94" s="48">
        <f>I116</f>
        <v>4.5</v>
      </c>
      <c r="N94" s="61">
        <f t="shared" ref="N94" si="357">J116</f>
        <v>76.34</v>
      </c>
      <c r="O94" s="62">
        <f t="shared" ref="O94" si="358">K116</f>
        <v>3.5894301297724285</v>
      </c>
      <c r="Q94" s="121">
        <v>5.5</v>
      </c>
      <c r="R94" s="122">
        <v>21.8</v>
      </c>
      <c r="S94" s="123">
        <v>2.1042471042471043</v>
      </c>
      <c r="U94" s="48">
        <f>Q56</f>
        <v>24.5</v>
      </c>
      <c r="V94" s="61">
        <f>R56</f>
        <v>10.19</v>
      </c>
      <c r="W94" s="62">
        <f>S56</f>
        <v>1.2677282906195571</v>
      </c>
      <c r="Y94" s="124">
        <v>40.5</v>
      </c>
      <c r="Z94" s="125">
        <v>1.5640045557740483</v>
      </c>
      <c r="AA94" s="126">
        <v>1.1734720037210296</v>
      </c>
      <c r="AC94" s="48">
        <f>Y166</f>
        <v>4.5</v>
      </c>
      <c r="AD94" s="61">
        <f t="shared" ref="AD94:AE94" si="359">Z166</f>
        <v>7.7815574717720724</v>
      </c>
      <c r="AE94" s="62">
        <f t="shared" si="359"/>
        <v>3.0204257089347091</v>
      </c>
      <c r="AG94" s="124">
        <v>35.5</v>
      </c>
      <c r="AH94" s="125">
        <v>6.7935213456269823</v>
      </c>
      <c r="AI94" s="126">
        <v>2.0226613602381875</v>
      </c>
      <c r="AK94" s="48">
        <f>AG155</f>
        <v>5</v>
      </c>
      <c r="AL94" s="61">
        <f>AH155</f>
        <v>22.357837602595886</v>
      </c>
      <c r="AM94" s="62">
        <f>AI155</f>
        <v>3.4547793145488561</v>
      </c>
    </row>
    <row r="95" spans="1:39">
      <c r="A95" s="121">
        <v>15</v>
      </c>
      <c r="B95" s="122">
        <v>47.129819905290482</v>
      </c>
      <c r="C95" s="123">
        <v>3.0552268865117473</v>
      </c>
      <c r="E95" s="48">
        <f>A115</f>
        <v>5</v>
      </c>
      <c r="F95" s="61">
        <f t="shared" ref="F95:G95" si="360">B115</f>
        <v>76.086653612540559</v>
      </c>
      <c r="G95" s="62">
        <f t="shared" si="360"/>
        <v>3.5860615365638373</v>
      </c>
      <c r="I95" s="121">
        <v>15</v>
      </c>
      <c r="J95" s="122">
        <v>46.694000000000003</v>
      </c>
      <c r="K95" s="123">
        <v>3.0441755548022011</v>
      </c>
      <c r="M95" s="48">
        <f>I115</f>
        <v>5</v>
      </c>
      <c r="N95" s="61">
        <f t="shared" ref="N95" si="361">J115</f>
        <v>74.524000000000001</v>
      </c>
      <c r="O95" s="62">
        <f t="shared" ref="O95" si="362">K115</f>
        <v>3.5649228885232098</v>
      </c>
      <c r="Q95" s="121">
        <v>5</v>
      </c>
      <c r="R95" s="122">
        <v>22.27</v>
      </c>
      <c r="S95" s="123">
        <v>2.1302850583508706</v>
      </c>
      <c r="U95" s="48">
        <f>Q55</f>
        <v>25</v>
      </c>
      <c r="V95" s="61">
        <f>R55</f>
        <v>10</v>
      </c>
      <c r="W95" s="62">
        <f>S55</f>
        <v>1.25</v>
      </c>
      <c r="Y95" s="124">
        <v>40</v>
      </c>
      <c r="Z95" s="125">
        <v>1.5958078428260545</v>
      </c>
      <c r="AA95" s="126">
        <v>1.1916469829221703</v>
      </c>
      <c r="AC95" s="48">
        <f>Y165</f>
        <v>5</v>
      </c>
      <c r="AD95" s="61">
        <f t="shared" ref="AD95:AE95" si="363">Z165</f>
        <v>7.5929268042975124</v>
      </c>
      <c r="AE95" s="62">
        <f t="shared" si="363"/>
        <v>2.9910070866109204</v>
      </c>
      <c r="AG95" s="124">
        <v>35</v>
      </c>
      <c r="AH95" s="125">
        <v>6.9161672824100382</v>
      </c>
      <c r="AI95" s="126">
        <v>2.0442477208184404</v>
      </c>
      <c r="AK95" s="48">
        <f>AG154</f>
        <v>5.5</v>
      </c>
      <c r="AL95" s="61">
        <f>AH154</f>
        <v>21.886882043129383</v>
      </c>
      <c r="AM95" s="62">
        <f>AI154</f>
        <v>3.4319570683527081</v>
      </c>
    </row>
    <row r="96" spans="1:39">
      <c r="A96" s="121">
        <v>14.5</v>
      </c>
      <c r="B96" s="122">
        <v>48.240322234508703</v>
      </c>
      <c r="C96" s="123">
        <v>3.0828299818294846</v>
      </c>
      <c r="E96" s="48">
        <f>A114</f>
        <v>5.5</v>
      </c>
      <c r="F96" s="61">
        <f t="shared" ref="F96:G96" si="364">B114</f>
        <v>74.236583700616123</v>
      </c>
      <c r="G96" s="62">
        <f t="shared" si="364"/>
        <v>3.5609658847720524</v>
      </c>
      <c r="I96" s="121">
        <v>14.5</v>
      </c>
      <c r="J96" s="122">
        <v>47.768999999999998</v>
      </c>
      <c r="K96" s="123">
        <v>3.0712108938008718</v>
      </c>
      <c r="M96" s="48">
        <f>I114</f>
        <v>5.5</v>
      </c>
      <c r="N96" s="61">
        <f t="shared" ref="N96" si="365">J114</f>
        <v>72.757000000000005</v>
      </c>
      <c r="O96" s="62">
        <f t="shared" ref="O96" si="366">K114</f>
        <v>3.5402454334011311</v>
      </c>
      <c r="Q96" s="121">
        <v>4.5</v>
      </c>
      <c r="R96" s="122">
        <v>22.75</v>
      </c>
      <c r="S96" s="123">
        <v>2.1563981042654028</v>
      </c>
      <c r="U96" s="48">
        <f>Q54</f>
        <v>25.5</v>
      </c>
      <c r="V96" s="61">
        <f>R54</f>
        <v>9.8149999999999995</v>
      </c>
      <c r="W96" s="62">
        <f>S54</f>
        <v>1.2325756624387794</v>
      </c>
      <c r="Y96" s="124">
        <v>39.5</v>
      </c>
      <c r="Z96" s="125">
        <v>1.6283508914678788</v>
      </c>
      <c r="AA96" s="126">
        <v>1.2100668631393514</v>
      </c>
      <c r="AC96" s="48">
        <f>Y164</f>
        <v>5.5</v>
      </c>
      <c r="AD96" s="61">
        <f t="shared" ref="AD96:AE96" si="367">Z164</f>
        <v>7.4093522632335675</v>
      </c>
      <c r="AE96" s="62">
        <f t="shared" si="367"/>
        <v>2.9615251482726692</v>
      </c>
      <c r="AG96" s="124">
        <v>34.5</v>
      </c>
      <c r="AH96" s="125">
        <v>7.0413835056254479</v>
      </c>
      <c r="AI96" s="126">
        <v>2.0659659185831516</v>
      </c>
      <c r="AK96" s="48">
        <f>AG153</f>
        <v>6</v>
      </c>
      <c r="AL96" s="61">
        <f>AH153</f>
        <v>21.427200401191609</v>
      </c>
      <c r="AM96" s="62">
        <f>AI153</f>
        <v>3.4090215048838974</v>
      </c>
    </row>
    <row r="97" spans="1:39">
      <c r="A97" s="121">
        <v>14</v>
      </c>
      <c r="B97" s="122">
        <v>49.380368819209771</v>
      </c>
      <c r="C97" s="123">
        <v>3.1103640329307654</v>
      </c>
      <c r="E97" s="48">
        <f>A113</f>
        <v>6</v>
      </c>
      <c r="F97" s="61">
        <f t="shared" ref="F97:G97" si="368">B113</f>
        <v>72.43664606396419</v>
      </c>
      <c r="G97" s="62">
        <f t="shared" si="368"/>
        <v>3.535680288611402</v>
      </c>
      <c r="I97" s="121">
        <v>14</v>
      </c>
      <c r="J97" s="122">
        <v>48.872</v>
      </c>
      <c r="K97" s="123">
        <v>3.0981844000405721</v>
      </c>
      <c r="M97" s="48">
        <f>I113</f>
        <v>6</v>
      </c>
      <c r="N97" s="61">
        <f t="shared" ref="N97" si="369">J113</f>
        <v>71.036000000000001</v>
      </c>
      <c r="O97" s="62">
        <f t="shared" ref="O97" si="370">K113</f>
        <v>3.515380656399699</v>
      </c>
      <c r="Q97" s="121">
        <v>4</v>
      </c>
      <c r="R97" s="122">
        <v>23.24</v>
      </c>
      <c r="S97" s="123">
        <v>2.1825694966190832</v>
      </c>
      <c r="U97" s="48">
        <f>Q53</f>
        <v>26</v>
      </c>
      <c r="V97" s="61">
        <f>R53</f>
        <v>9.6319999999999997</v>
      </c>
      <c r="W97" s="62">
        <f>S53</f>
        <v>1.2151796528058134</v>
      </c>
      <c r="Y97" s="124">
        <v>39</v>
      </c>
      <c r="Z97" s="125">
        <v>1.661652827724021</v>
      </c>
      <c r="AA97" s="126">
        <v>1.2287327300441533</v>
      </c>
      <c r="AC97" s="48">
        <f>Y163</f>
        <v>6</v>
      </c>
      <c r="AD97" s="61">
        <f t="shared" ref="AD97:AE97" si="371">Z163</f>
        <v>7.2306878565290376</v>
      </c>
      <c r="AE97" s="62">
        <f t="shared" si="371"/>
        <v>2.9319888479296896</v>
      </c>
      <c r="AG97" s="124">
        <v>34</v>
      </c>
      <c r="AH97" s="125">
        <v>7.1692306826092933</v>
      </c>
      <c r="AI97" s="126">
        <v>2.0878136053792451</v>
      </c>
      <c r="AK97" s="48">
        <f>AG152</f>
        <v>6.5</v>
      </c>
      <c r="AL97" s="61">
        <f>AH152</f>
        <v>20.97849338975254</v>
      </c>
      <c r="AM97" s="62">
        <f>AI152</f>
        <v>3.3859770269996528</v>
      </c>
    </row>
    <row r="98" spans="1:39">
      <c r="A98" s="121">
        <v>13.5</v>
      </c>
      <c r="B98" s="122">
        <v>50.55082443341233</v>
      </c>
      <c r="C98" s="123">
        <v>3.1378216665678189</v>
      </c>
      <c r="E98" s="48">
        <f>A112</f>
        <v>6.5</v>
      </c>
      <c r="F98" s="61">
        <f t="shared" ref="F98:G98" si="372">B112</f>
        <v>70.685364044321958</v>
      </c>
      <c r="G98" s="62">
        <f t="shared" si="372"/>
        <v>3.5102104816945428</v>
      </c>
      <c r="I98" s="121">
        <v>13.5</v>
      </c>
      <c r="J98" s="122">
        <v>50.003999999999998</v>
      </c>
      <c r="K98" s="123">
        <v>3.1250937453127343</v>
      </c>
      <c r="M98" s="48">
        <f>I112</f>
        <v>6.5</v>
      </c>
      <c r="N98" s="61">
        <f t="shared" ref="N98" si="373">J112</f>
        <v>69.361000000000004</v>
      </c>
      <c r="O98" s="62">
        <f t="shared" ref="O98" si="374">K112</f>
        <v>3.4903533579573476</v>
      </c>
      <c r="Q98" s="121">
        <v>3.5</v>
      </c>
      <c r="R98" s="122">
        <v>23.74</v>
      </c>
      <c r="S98" s="123">
        <v>2.2087830294008186</v>
      </c>
      <c r="U98" s="48">
        <f>Q52</f>
        <v>26.5</v>
      </c>
      <c r="V98" s="61">
        <f>R52</f>
        <v>9.4529999999999994</v>
      </c>
      <c r="W98" s="62">
        <f>S52</f>
        <v>1.1980077560641775</v>
      </c>
      <c r="Y98" s="124">
        <v>38.5</v>
      </c>
      <c r="Z98" s="125">
        <v>1.6957333160885781</v>
      </c>
      <c r="AA98" s="126">
        <v>1.2476455720194386</v>
      </c>
      <c r="AC98" s="48">
        <f>Y162</f>
        <v>6.5</v>
      </c>
      <c r="AD98" s="61">
        <f t="shared" ref="AD98:AE98" si="375">Z162</f>
        <v>7.0567920359462031</v>
      </c>
      <c r="AE98" s="62">
        <f t="shared" si="375"/>
        <v>2.9024071544039334</v>
      </c>
      <c r="AG98" s="124">
        <v>33.5</v>
      </c>
      <c r="AH98" s="125">
        <v>7.2997710630009642</v>
      </c>
      <c r="AI98" s="126">
        <v>2.1097883424055799</v>
      </c>
      <c r="AK98" s="48">
        <f>AG151</f>
        <v>7</v>
      </c>
      <c r="AL98" s="61">
        <f>AH151</f>
        <v>20.540470392601037</v>
      </c>
      <c r="AM98" s="62">
        <f>AI151</f>
        <v>3.3628280980206062</v>
      </c>
    </row>
    <row r="99" spans="1:39">
      <c r="A99" s="121">
        <v>13</v>
      </c>
      <c r="B99" s="122">
        <v>51.752581115728198</v>
      </c>
      <c r="C99" s="123">
        <v>3.1651955454756666</v>
      </c>
      <c r="E99" s="48">
        <f>A111</f>
        <v>7</v>
      </c>
      <c r="F99" s="61">
        <f t="shared" ref="F99:G99" si="376">B111</f>
        <v>68.981307343416788</v>
      </c>
      <c r="G99" s="62">
        <f t="shared" si="376"/>
        <v>3.4845623479231969</v>
      </c>
      <c r="I99" s="121">
        <v>13</v>
      </c>
      <c r="J99" s="122">
        <v>51.164999999999999</v>
      </c>
      <c r="K99" s="123">
        <v>3.1519127702827574</v>
      </c>
      <c r="M99" s="48">
        <f>I111</f>
        <v>7</v>
      </c>
      <c r="N99" s="61">
        <f t="shared" ref="N99" si="377">J111</f>
        <v>67.73</v>
      </c>
      <c r="O99" s="62">
        <f t="shared" ref="O99" si="378">K111</f>
        <v>3.4651591118387395</v>
      </c>
      <c r="Q99" s="121">
        <v>3</v>
      </c>
      <c r="R99" s="122">
        <v>24.25</v>
      </c>
      <c r="S99" s="123">
        <v>2.2350230414746544</v>
      </c>
      <c r="U99" s="48">
        <f>Q51</f>
        <v>27</v>
      </c>
      <c r="V99" s="61">
        <f>R51</f>
        <v>9.2780000000000005</v>
      </c>
      <c r="W99" s="62">
        <f>S51</f>
        <v>1.181068282499109</v>
      </c>
      <c r="Y99" s="124">
        <v>38</v>
      </c>
      <c r="Z99" s="125">
        <v>1.7306125757647566</v>
      </c>
      <c r="AA99" s="126">
        <v>1.266806275841956</v>
      </c>
      <c r="AC99" s="48">
        <f>Y161</f>
        <v>7</v>
      </c>
      <c r="AD99" s="61">
        <f t="shared" ref="AD99:AE99" si="379">Z161</f>
        <v>6.8875275575019312</v>
      </c>
      <c r="AE99" s="62">
        <f t="shared" si="379"/>
        <v>2.8727890403019924</v>
      </c>
      <c r="AG99" s="124">
        <v>33</v>
      </c>
      <c r="AH99" s="125">
        <v>7.4330685237387613</v>
      </c>
      <c r="AI99" s="126">
        <v>2.131887600171217</v>
      </c>
      <c r="AK99" s="48">
        <f>AG150</f>
        <v>7.5</v>
      </c>
      <c r="AL99" s="61">
        <f>AH150</f>
        <v>20.112849193332284</v>
      </c>
      <c r="AM99" s="62">
        <f>AI150</f>
        <v>3.3395792381190148</v>
      </c>
    </row>
    <row r="100" spans="1:39">
      <c r="A100" s="121">
        <v>12.5</v>
      </c>
      <c r="B100" s="122">
        <v>52.986559079796415</v>
      </c>
      <c r="C100" s="123">
        <v>3.1924783764589364</v>
      </c>
      <c r="E100" s="48">
        <f>A110</f>
        <v>7.5</v>
      </c>
      <c r="F100" s="61">
        <f t="shared" ref="F100:G100" si="380">B110</f>
        <v>67.323090495868954</v>
      </c>
      <c r="G100" s="62">
        <f t="shared" si="380"/>
        <v>3.4587419158625359</v>
      </c>
      <c r="I100" s="121">
        <v>12.5</v>
      </c>
      <c r="J100" s="122">
        <v>52.356000000000002</v>
      </c>
      <c r="K100" s="123">
        <v>3.1786390791199191</v>
      </c>
      <c r="M100" s="48">
        <f>I110</f>
        <v>7.5</v>
      </c>
      <c r="N100" s="61">
        <f t="shared" ref="N100" si="381">J110</f>
        <v>66.141000000000005</v>
      </c>
      <c r="O100" s="62">
        <f t="shared" ref="O100" si="382">K110</f>
        <v>3.4397915561519019</v>
      </c>
      <c r="Q100" s="121">
        <v>2.5</v>
      </c>
      <c r="R100" s="122">
        <v>24.78</v>
      </c>
      <c r="S100" s="123">
        <v>2.261774370208105</v>
      </c>
      <c r="U100" s="48">
        <f>Q50</f>
        <v>27.5</v>
      </c>
      <c r="V100" s="61">
        <f>R50</f>
        <v>9.1069999999999993</v>
      </c>
      <c r="W100" s="62">
        <f>S50</f>
        <v>1.1643695502084026</v>
      </c>
      <c r="Y100" s="124">
        <v>37.5</v>
      </c>
      <c r="Z100" s="125">
        <v>1.7663113974213838</v>
      </c>
      <c r="AA100" s="126">
        <v>1.2862156223243202</v>
      </c>
      <c r="AC100" s="48">
        <f>Y160</f>
        <v>7.5</v>
      </c>
      <c r="AD100" s="61">
        <f t="shared" ref="AD100:AE100" si="383">Z160</f>
        <v>6.7227613463133711</v>
      </c>
      <c r="AE100" s="62">
        <f t="shared" si="383"/>
        <v>2.8431434710511576</v>
      </c>
      <c r="AG100" s="124">
        <v>32.5</v>
      </c>
      <c r="AH100" s="125">
        <v>7.5691886154369294</v>
      </c>
      <c r="AI100" s="126">
        <v>2.1541087585531313</v>
      </c>
      <c r="AK100" s="48">
        <f>AG149</f>
        <v>8</v>
      </c>
      <c r="AL100" s="61">
        <f>AH149</f>
        <v>19.695355713391638</v>
      </c>
      <c r="AM100" s="62">
        <f>AI149</f>
        <v>3.3162350206348385</v>
      </c>
    </row>
    <row r="101" spans="1:39">
      <c r="A101" s="121">
        <v>12</v>
      </c>
      <c r="B101" s="122">
        <v>54.25370765645323</v>
      </c>
      <c r="C101" s="123">
        <v>3.2196629184364318</v>
      </c>
      <c r="E101" s="48">
        <f>A109</f>
        <v>8</v>
      </c>
      <c r="F101" s="61">
        <f t="shared" ref="F101:G101" si="384">B109</f>
        <v>65.709371394139424</v>
      </c>
      <c r="G101" s="62">
        <f t="shared" si="384"/>
        <v>3.4327553528453647</v>
      </c>
      <c r="I101" s="121">
        <v>12</v>
      </c>
      <c r="J101" s="122">
        <v>53.579000000000001</v>
      </c>
      <c r="K101" s="123">
        <v>3.2052908027135998</v>
      </c>
      <c r="M101" s="48">
        <f>I109</f>
        <v>8</v>
      </c>
      <c r="N101" s="61">
        <f t="shared" ref="N101" si="385">J109</f>
        <v>64.596000000000004</v>
      </c>
      <c r="O101" s="62">
        <f t="shared" ref="O101" si="386">K109</f>
        <v>3.4143092731193709</v>
      </c>
      <c r="Q101" s="121">
        <v>2</v>
      </c>
      <c r="R101" s="122">
        <v>25.32</v>
      </c>
      <c r="S101" s="123">
        <v>2.2885032537960952</v>
      </c>
      <c r="U101" s="48">
        <f>Q49</f>
        <v>28</v>
      </c>
      <c r="V101" s="61">
        <f>R49</f>
        <v>8.9390000000000001</v>
      </c>
      <c r="W101" s="62">
        <f>S49</f>
        <v>1.1478209507177894</v>
      </c>
      <c r="Y101" s="124">
        <v>37</v>
      </c>
      <c r="Z101" s="125">
        <v>1.8028511604835842</v>
      </c>
      <c r="AA101" s="126">
        <v>1.3058742819230107</v>
      </c>
      <c r="AC101" s="48">
        <f>Y159</f>
        <v>8</v>
      </c>
      <c r="AD101" s="61">
        <f t="shared" ref="AD101:AE101" si="387">Z159</f>
        <v>6.5623643657131936</v>
      </c>
      <c r="AE101" s="62">
        <f t="shared" si="387"/>
        <v>2.8134793940267544</v>
      </c>
      <c r="AG101" s="124">
        <v>32</v>
      </c>
      <c r="AH101" s="125">
        <v>7.7081986101895188</v>
      </c>
      <c r="AI101" s="126">
        <v>2.1764491069560639</v>
      </c>
      <c r="AK101" s="48">
        <f>AG148</f>
        <v>8.5</v>
      </c>
      <c r="AL101" s="61">
        <f>AH148</f>
        <v>19.287723758857066</v>
      </c>
      <c r="AM101" s="62">
        <f>AI148</f>
        <v>3.2928000683262653</v>
      </c>
    </row>
    <row r="102" spans="1:39">
      <c r="A102" s="121">
        <v>11.5</v>
      </c>
      <c r="B102" s="122">
        <v>55.555006268779188</v>
      </c>
      <c r="C102" s="123">
        <v>3.246741990424725</v>
      </c>
      <c r="E102" s="48">
        <f>A108</f>
        <v>8.5</v>
      </c>
      <c r="F102" s="61">
        <f t="shared" ref="F102:G102" si="388">B108</f>
        <v>64.138849863712878</v>
      </c>
      <c r="G102" s="62">
        <f t="shared" si="388"/>
        <v>3.4066089588181856</v>
      </c>
      <c r="I102" s="121">
        <v>11.5</v>
      </c>
      <c r="J102" s="122">
        <v>54.832999999999998</v>
      </c>
      <c r="K102" s="123">
        <v>3.2318201643228459</v>
      </c>
      <c r="M102" s="48">
        <f>I108</f>
        <v>8.5</v>
      </c>
      <c r="N102" s="61">
        <f t="shared" ref="N102" si="389">J108</f>
        <v>63.088000000000001</v>
      </c>
      <c r="O102" s="62">
        <f t="shared" ref="O102" si="390">K108</f>
        <v>3.388621519422482</v>
      </c>
      <c r="Q102" s="121">
        <v>1.5</v>
      </c>
      <c r="R102" s="122">
        <v>25.87</v>
      </c>
      <c r="S102" s="123">
        <v>2.3151959906926791</v>
      </c>
      <c r="U102" s="48">
        <f>Q48</f>
        <v>28.5</v>
      </c>
      <c r="V102" s="61">
        <f>R48</f>
        <v>8.7750000000000004</v>
      </c>
      <c r="W102" s="62">
        <f>S48</f>
        <v>1.1315280464216635</v>
      </c>
      <c r="Y102" s="124">
        <v>36.5</v>
      </c>
      <c r="Z102" s="125">
        <v>1.8402538509753139</v>
      </c>
      <c r="AA102" s="126">
        <v>1.3257828103194691</v>
      </c>
      <c r="AC102" s="48">
        <f>Y158</f>
        <v>8.5</v>
      </c>
      <c r="AD102" s="61">
        <f t="shared" ref="AD102:AE102" si="391">Z158</f>
        <v>6.4062114905047114</v>
      </c>
      <c r="AE102" s="62">
        <f t="shared" si="391"/>
        <v>2.7838057277981196</v>
      </c>
      <c r="AG102" s="124">
        <v>31.5</v>
      </c>
      <c r="AH102" s="125">
        <v>7.8501675508471287</v>
      </c>
      <c r="AI102" s="126">
        <v>2.198905844576954</v>
      </c>
      <c r="AK102" s="48">
        <f>AG147</f>
        <v>9</v>
      </c>
      <c r="AL102" s="61">
        <f>AH147</f>
        <v>18.889694775649268</v>
      </c>
      <c r="AM102" s="62">
        <f>AI147</f>
        <v>3.2692790495611495</v>
      </c>
    </row>
    <row r="103" spans="1:39">
      <c r="A103" s="121">
        <v>11</v>
      </c>
      <c r="B103" s="122">
        <v>56.891465441201497</v>
      </c>
      <c r="C103" s="123">
        <v>3.2737084794420541</v>
      </c>
      <c r="E103" s="48">
        <f>A107</f>
        <v>9</v>
      </c>
      <c r="F103" s="61">
        <f t="shared" ref="F103:G103" si="392">B107</f>
        <v>62.61026628677228</v>
      </c>
      <c r="G103" s="62">
        <f t="shared" si="392"/>
        <v>3.3803091599421862</v>
      </c>
      <c r="I103" s="121">
        <v>11</v>
      </c>
      <c r="J103" s="122">
        <v>56.121000000000002</v>
      </c>
      <c r="K103" s="123">
        <v>3.258264534782457</v>
      </c>
      <c r="M103" s="48">
        <f>I107</f>
        <v>9</v>
      </c>
      <c r="N103" s="61">
        <f t="shared" ref="N103" si="393">J107</f>
        <v>61.62</v>
      </c>
      <c r="O103" s="62">
        <f t="shared" ref="O103" si="394">K107</f>
        <v>3.3628028814669282</v>
      </c>
      <c r="Q103" s="121">
        <v>1</v>
      </c>
      <c r="R103" s="122">
        <v>26.44</v>
      </c>
      <c r="S103" s="123">
        <v>2.3423104181431613</v>
      </c>
      <c r="U103" s="48">
        <f>Q47</f>
        <v>29</v>
      </c>
      <c r="V103" s="61">
        <f>R47</f>
        <v>8.6140000000000008</v>
      </c>
      <c r="W103" s="62">
        <f>S47</f>
        <v>1.115398560107733</v>
      </c>
      <c r="Y103" s="124">
        <v>36</v>
      </c>
      <c r="Z103" s="125">
        <v>1.8785420799320702</v>
      </c>
      <c r="AA103" s="126">
        <v>1.345941643981859</v>
      </c>
      <c r="AC103" s="48">
        <f>Y157</f>
        <v>9</v>
      </c>
      <c r="AD103" s="61">
        <f t="shared" ref="AD103:AE103" si="395">Z157</f>
        <v>6.2541813842300025</v>
      </c>
      <c r="AE103" s="62">
        <f t="shared" si="395"/>
        <v>2.7541313515197716</v>
      </c>
      <c r="AG103" s="124">
        <v>31</v>
      </c>
      <c r="AH103" s="125">
        <v>7.99516630181673</v>
      </c>
      <c r="AI103" s="126">
        <v>2.2214760807766374</v>
      </c>
      <c r="AK103" s="48">
        <f>AG146</f>
        <v>9.5</v>
      </c>
      <c r="AL103" s="61">
        <f>AH146</f>
        <v>18.501017612871323</v>
      </c>
      <c r="AM103" s="62">
        <f>AI146</f>
        <v>3.2456766744560186</v>
      </c>
    </row>
    <row r="104" spans="1:39">
      <c r="A104" s="121">
        <v>10.5</v>
      </c>
      <c r="B104" s="122">
        <v>58.264127843875933</v>
      </c>
      <c r="C104" s="123">
        <v>3.3005553483140484</v>
      </c>
      <c r="E104" s="48">
        <f>A106</f>
        <v>9.5</v>
      </c>
      <c r="F104" s="61">
        <f t="shared" ref="F104:G104" si="396">B106</f>
        <v>61.122400272676096</v>
      </c>
      <c r="G104" s="62">
        <f t="shared" si="396"/>
        <v>3.3538625019628805</v>
      </c>
      <c r="I104" s="121">
        <v>10.5</v>
      </c>
      <c r="J104" s="122">
        <v>57.442</v>
      </c>
      <c r="K104" s="123">
        <v>3.2845772054619058</v>
      </c>
      <c r="M104" s="48">
        <f>I106</f>
        <v>9.5</v>
      </c>
      <c r="N104" s="61">
        <f t="shared" ref="N104" si="397">J106</f>
        <v>60.191000000000003</v>
      </c>
      <c r="O104" s="62">
        <f t="shared" ref="O104" si="398">K106</f>
        <v>3.3368628798882374</v>
      </c>
      <c r="Q104" s="121">
        <v>0.5</v>
      </c>
      <c r="R104" s="122">
        <v>27.02</v>
      </c>
      <c r="S104" s="123">
        <v>2.3693440897930551</v>
      </c>
      <c r="U104" s="48">
        <f>Q46</f>
        <v>29.5</v>
      </c>
      <c r="V104" s="61">
        <f>R46</f>
        <v>8.4570000000000007</v>
      </c>
      <c r="W104" s="62">
        <f>S46</f>
        <v>1.0995397456899916</v>
      </c>
      <c r="Y104" s="124">
        <v>35.5</v>
      </c>
      <c r="Z104" s="125">
        <v>1.9177391024026176</v>
      </c>
      <c r="AA104" s="126">
        <v>1.3663510957154661</v>
      </c>
      <c r="AC104" s="48">
        <f>Y156</f>
        <v>9.5</v>
      </c>
      <c r="AD104" s="61">
        <f t="shared" ref="AD104:AE104" si="399">Z156</f>
        <v>6.106156380327489</v>
      </c>
      <c r="AE104" s="62">
        <f t="shared" si="399"/>
        <v>2.7244650944934623</v>
      </c>
      <c r="AG104" s="124">
        <v>30.5</v>
      </c>
      <c r="AH104" s="125">
        <v>8.1432676014333261</v>
      </c>
      <c r="AI104" s="126">
        <v>2.2441568355608679</v>
      </c>
      <c r="AK104" s="48">
        <f>AG145</f>
        <v>10</v>
      </c>
      <c r="AL104" s="61">
        <f>AH145</f>
        <v>18.121448293991815</v>
      </c>
      <c r="AM104" s="62">
        <f>AI145</f>
        <v>3.2219976909694741</v>
      </c>
    </row>
    <row r="105" spans="1:39">
      <c r="A105" s="121">
        <v>10</v>
      </c>
      <c r="B105" s="122">
        <v>59.674069373614898</v>
      </c>
      <c r="C105" s="123">
        <v>3.3272756433630186</v>
      </c>
      <c r="E105" s="48">
        <f>A105</f>
        <v>10</v>
      </c>
      <c r="F105" s="61">
        <f t="shared" ref="F105:G105" si="400">B105</f>
        <v>59.674069373614898</v>
      </c>
      <c r="G105" s="62">
        <f t="shared" si="400"/>
        <v>3.3272756433630186</v>
      </c>
      <c r="I105" s="121">
        <v>10</v>
      </c>
      <c r="J105" s="122">
        <v>58.798999999999999</v>
      </c>
      <c r="K105" s="123">
        <v>3.3107917881958127</v>
      </c>
      <c r="M105" s="48">
        <f>I105</f>
        <v>10</v>
      </c>
      <c r="N105" s="61">
        <f t="shared" ref="N105" si="401">J105</f>
        <v>58.798999999999999</v>
      </c>
      <c r="O105" s="62">
        <f t="shared" ref="O105" si="402">K105</f>
        <v>3.3107917881958127</v>
      </c>
      <c r="Q105" s="133">
        <v>0</v>
      </c>
      <c r="R105" s="134">
        <v>27.62</v>
      </c>
      <c r="S105" s="135">
        <v>2.3967372440124954</v>
      </c>
      <c r="U105" s="48">
        <f>Q45</f>
        <v>30</v>
      </c>
      <c r="V105" s="61">
        <f>R45</f>
        <v>8.3030000000000008</v>
      </c>
      <c r="W105" s="62">
        <f>S45</f>
        <v>1.0838576612797954</v>
      </c>
      <c r="Y105" s="124">
        <v>35</v>
      </c>
      <c r="Z105" s="125">
        <v>1.9578688370595239</v>
      </c>
      <c r="AA105" s="126">
        <v>1.3870113502103694</v>
      </c>
      <c r="AC105" s="48">
        <f>Y155</f>
        <v>10</v>
      </c>
      <c r="AD105" s="61">
        <f t="shared" ref="AD105:AE105" si="403">Z155</f>
        <v>5.9620223670590882</v>
      </c>
      <c r="AE105" s="62">
        <f t="shared" si="403"/>
        <v>2.6948157259259506</v>
      </c>
      <c r="AG105" s="124">
        <v>30</v>
      </c>
      <c r="AH105" s="125">
        <v>8.294546115956674</v>
      </c>
      <c r="AI105" s="126">
        <v>2.2669450401729545</v>
      </c>
      <c r="AK105" s="48">
        <f>AG144</f>
        <v>10.5</v>
      </c>
      <c r="AL105" s="61">
        <f>AH144</f>
        <v>17.750749795594508</v>
      </c>
      <c r="AM105" s="62">
        <f>AI144</f>
        <v>3.1982468809567948</v>
      </c>
    </row>
    <row r="106" spans="1:39">
      <c r="A106" s="121">
        <v>9.5</v>
      </c>
      <c r="B106" s="122">
        <v>61.122400272676096</v>
      </c>
      <c r="C106" s="123">
        <v>3.3538625019628805</v>
      </c>
      <c r="E106" s="48">
        <f>A104</f>
        <v>10.5</v>
      </c>
      <c r="F106" s="61">
        <f t="shared" ref="F106:G106" si="404">B104</f>
        <v>58.264127843875933</v>
      </c>
      <c r="G106" s="62">
        <f t="shared" si="404"/>
        <v>3.3005553483140484</v>
      </c>
      <c r="I106" s="121">
        <v>9.5</v>
      </c>
      <c r="J106" s="122">
        <v>60.191000000000003</v>
      </c>
      <c r="K106" s="123">
        <v>3.3368628798882374</v>
      </c>
      <c r="M106" s="48">
        <f>I104</f>
        <v>10.5</v>
      </c>
      <c r="N106" s="61">
        <f t="shared" ref="N106" si="405">J104</f>
        <v>57.442</v>
      </c>
      <c r="O106" s="62">
        <f t="shared" ref="O106" si="406">K104</f>
        <v>3.2845772054619058</v>
      </c>
      <c r="Q106" s="121">
        <v>-0.5</v>
      </c>
      <c r="R106" s="122">
        <v>28.23</v>
      </c>
      <c r="S106" s="123">
        <v>2.4240082431736218</v>
      </c>
      <c r="U106" s="48">
        <f>Q44</f>
        <v>30.5</v>
      </c>
      <c r="V106" s="61">
        <f>R44</f>
        <v>8.1519999999999992</v>
      </c>
      <c r="W106" s="62">
        <f>S44</f>
        <v>1.0683581463619207</v>
      </c>
      <c r="Y106" s="124">
        <v>34.5</v>
      </c>
      <c r="Z106" s="125">
        <v>1.9989558864383685</v>
      </c>
      <c r="AA106" s="126">
        <v>1.4079224595951594</v>
      </c>
      <c r="AC106" s="48">
        <f>Y154</f>
        <v>10.5</v>
      </c>
      <c r="AD106" s="61">
        <f t="shared" ref="AD106:AE106" si="407">Z154</f>
        <v>5.8216686760905363</v>
      </c>
      <c r="AE106" s="62">
        <f t="shared" si="407"/>
        <v>2.6651919449063666</v>
      </c>
      <c r="AG106" s="124">
        <v>29.5</v>
      </c>
      <c r="AH106" s="125">
        <v>8.4490784952466669</v>
      </c>
      <c r="AI106" s="126">
        <v>2.2898375377999338</v>
      </c>
      <c r="AK106" s="48">
        <f>AG143</f>
        <v>11</v>
      </c>
      <c r="AL106" s="61">
        <f>AH143</f>
        <v>17.388691833429068</v>
      </c>
      <c r="AM106" s="62">
        <f>AI143</f>
        <v>3.1744290561927144</v>
      </c>
    </row>
    <row r="107" spans="1:39">
      <c r="A107" s="121">
        <v>9</v>
      </c>
      <c r="B107" s="122">
        <v>62.61026628677228</v>
      </c>
      <c r="C107" s="123">
        <v>3.3803091599421862</v>
      </c>
      <c r="E107" s="48">
        <f>A103</f>
        <v>11</v>
      </c>
      <c r="F107" s="61">
        <f t="shared" ref="F107:G107" si="408">B103</f>
        <v>56.891465441201497</v>
      </c>
      <c r="G107" s="62">
        <f t="shared" si="408"/>
        <v>3.2737084794420541</v>
      </c>
      <c r="I107" s="121">
        <v>9</v>
      </c>
      <c r="J107" s="122">
        <v>61.62</v>
      </c>
      <c r="K107" s="123">
        <v>3.3628028814669282</v>
      </c>
      <c r="M107" s="48">
        <f>I103</f>
        <v>11</v>
      </c>
      <c r="N107" s="61">
        <f t="shared" ref="N107" si="409">J103</f>
        <v>56.121000000000002</v>
      </c>
      <c r="O107" s="62">
        <f t="shared" ref="O107" si="410">K103</f>
        <v>3.258264534782457</v>
      </c>
      <c r="Q107" s="121">
        <v>-1</v>
      </c>
      <c r="R107" s="122">
        <v>28.86</v>
      </c>
      <c r="S107" s="123">
        <v>2.4515800203873601</v>
      </c>
      <c r="U107" s="48">
        <f>Q43</f>
        <v>31</v>
      </c>
      <c r="V107" s="61">
        <f>R43</f>
        <v>8.0050000000000008</v>
      </c>
      <c r="W107" s="62">
        <f>S43</f>
        <v>1.0531509011972109</v>
      </c>
      <c r="Y107" s="124">
        <v>34</v>
      </c>
      <c r="Z107" s="125">
        <v>2.0410255578269285</v>
      </c>
      <c r="AA107" s="126">
        <v>1.4290843390063632</v>
      </c>
      <c r="AC107" s="48">
        <f>Y153</f>
        <v>11</v>
      </c>
      <c r="AD107" s="61">
        <f t="shared" ref="AD107:AE107" si="411">Z153</f>
        <v>5.6849879746112411</v>
      </c>
      <c r="AE107" s="62">
        <f t="shared" si="411"/>
        <v>2.6356023706258065</v>
      </c>
      <c r="AG107" s="124">
        <v>29</v>
      </c>
      <c r="AH107" s="125">
        <v>8.6069434301731906</v>
      </c>
      <c r="AI107" s="126">
        <v>2.3128310843940367</v>
      </c>
      <c r="AK107" s="48">
        <f>AG142</f>
        <v>11.5</v>
      </c>
      <c r="AL107" s="61">
        <f>AH142</f>
        <v>17.035050655506971</v>
      </c>
      <c r="AM107" s="62">
        <f>AI142</f>
        <v>3.1505490543693462</v>
      </c>
    </row>
    <row r="108" spans="1:39">
      <c r="A108" s="121">
        <v>8.5</v>
      </c>
      <c r="B108" s="122">
        <v>64.138849863712878</v>
      </c>
      <c r="C108" s="123">
        <v>3.4066089588181856</v>
      </c>
      <c r="E108" s="48">
        <f>A102</f>
        <v>11.5</v>
      </c>
      <c r="F108" s="61">
        <f t="shared" ref="F108:G108" si="412">B102</f>
        <v>55.555006268779188</v>
      </c>
      <c r="G108" s="62">
        <f t="shared" si="412"/>
        <v>3.246741990424725</v>
      </c>
      <c r="I108" s="121">
        <v>8.5</v>
      </c>
      <c r="J108" s="122">
        <v>63.088000000000001</v>
      </c>
      <c r="K108" s="123">
        <v>3.388621519422482</v>
      </c>
      <c r="M108" s="48">
        <f>I102</f>
        <v>11.5</v>
      </c>
      <c r="N108" s="61">
        <f t="shared" ref="N108" si="413">J102</f>
        <v>54.832999999999998</v>
      </c>
      <c r="O108" s="62">
        <f t="shared" ref="O108" si="414">K102</f>
        <v>3.2318201643228459</v>
      </c>
      <c r="Q108" s="121">
        <v>-1.5</v>
      </c>
      <c r="R108" s="122">
        <v>29.5</v>
      </c>
      <c r="S108" s="123">
        <v>2.4789915966386555</v>
      </c>
      <c r="U108" s="48">
        <f>Q42</f>
        <v>31.5</v>
      </c>
      <c r="V108" s="61">
        <f>R42</f>
        <v>7.86</v>
      </c>
      <c r="W108" s="62">
        <f>S42</f>
        <v>1.0380348652931854</v>
      </c>
      <c r="Y108" s="124">
        <v>33.5</v>
      </c>
      <c r="Z108" s="125">
        <v>2.0841038848256943</v>
      </c>
      <c r="AA108" s="126">
        <v>1.4504967621833467</v>
      </c>
      <c r="AC108" s="48">
        <f>Y152</f>
        <v>11.5</v>
      </c>
      <c r="AD108" s="61">
        <f t="shared" ref="AD108:AE108" si="415">Z152</f>
        <v>5.5518761608836522</v>
      </c>
      <c r="AE108" s="62">
        <f t="shared" si="415"/>
        <v>2.60605553286074</v>
      </c>
      <c r="AG108" s="124">
        <v>28.5</v>
      </c>
      <c r="AH108" s="125">
        <v>8.7682217118179935</v>
      </c>
      <c r="AI108" s="126">
        <v>2.3359223496109944</v>
      </c>
      <c r="AK108" s="48">
        <f>AG141</f>
        <v>12</v>
      </c>
      <c r="AL108" s="61">
        <f>AH141</f>
        <v>16.68960884199592</v>
      </c>
      <c r="AM108" s="62">
        <f>AI141</f>
        <v>3.1266117350762617</v>
      </c>
    </row>
    <row r="109" spans="1:39">
      <c r="A109" s="121">
        <v>8</v>
      </c>
      <c r="B109" s="122">
        <v>65.709371394139424</v>
      </c>
      <c r="C109" s="123">
        <v>3.4327553528453647</v>
      </c>
      <c r="E109" s="48">
        <f>A101</f>
        <v>12</v>
      </c>
      <c r="F109" s="61">
        <f t="shared" ref="F109:G109" si="416">B101</f>
        <v>54.25370765645323</v>
      </c>
      <c r="G109" s="62">
        <f t="shared" si="416"/>
        <v>3.2196629184364318</v>
      </c>
      <c r="I109" s="121">
        <v>8</v>
      </c>
      <c r="J109" s="122">
        <v>64.596000000000004</v>
      </c>
      <c r="K109" s="123">
        <v>3.4143092731193709</v>
      </c>
      <c r="M109" s="48">
        <f>I101</f>
        <v>12</v>
      </c>
      <c r="N109" s="61">
        <f t="shared" ref="N109" si="417">J101</f>
        <v>53.579000000000001</v>
      </c>
      <c r="O109" s="62">
        <f t="shared" ref="O109" si="418">K101</f>
        <v>3.2052908027135998</v>
      </c>
      <c r="Q109" s="121">
        <v>-2</v>
      </c>
      <c r="R109" s="122">
        <v>30.16</v>
      </c>
      <c r="S109" s="123">
        <v>2.5066489361702131</v>
      </c>
      <c r="U109" s="48">
        <f>Q41</f>
        <v>32</v>
      </c>
      <c r="V109" s="61">
        <f>R41</f>
        <v>7.7190000000000003</v>
      </c>
      <c r="W109" s="62">
        <f>S41</f>
        <v>1.0232243696810626</v>
      </c>
      <c r="Y109" s="124">
        <v>33</v>
      </c>
      <c r="Z109" s="125">
        <v>2.1282176496021501</v>
      </c>
      <c r="AA109" s="126">
        <v>1.4721593570991112</v>
      </c>
      <c r="AC109" s="48">
        <f>Y151</f>
        <v>12</v>
      </c>
      <c r="AD109" s="61">
        <f t="shared" ref="AD109:AE109" si="419">Z151</f>
        <v>5.4222322631151272</v>
      </c>
      <c r="AE109" s="62">
        <f t="shared" si="419"/>
        <v>2.5765598627405062</v>
      </c>
      <c r="AG109" s="124">
        <v>28</v>
      </c>
      <c r="AH109" s="125">
        <v>8.9329962925296442</v>
      </c>
      <c r="AI109" s="126">
        <v>2.3591079178667349</v>
      </c>
      <c r="AK109" s="48">
        <f>AG140</f>
        <v>12.5</v>
      </c>
      <c r="AL109" s="61">
        <f>AH140</f>
        <v>16.352155111675359</v>
      </c>
      <c r="AM109" s="62">
        <f>AI140</f>
        <v>3.1026219757697375</v>
      </c>
    </row>
    <row r="110" spans="1:39">
      <c r="A110" s="121">
        <v>7.5</v>
      </c>
      <c r="B110" s="122">
        <v>67.323090495868954</v>
      </c>
      <c r="C110" s="123">
        <v>3.4587419158625359</v>
      </c>
      <c r="E110" s="48">
        <f>A100</f>
        <v>12.5</v>
      </c>
      <c r="F110" s="61">
        <f t="shared" ref="F110:G110" si="420">B100</f>
        <v>52.986559079796415</v>
      </c>
      <c r="G110" s="62">
        <f t="shared" si="420"/>
        <v>3.1924783764589364</v>
      </c>
      <c r="I110" s="121">
        <v>7.5</v>
      </c>
      <c r="J110" s="122">
        <v>66.141000000000005</v>
      </c>
      <c r="K110" s="123">
        <v>3.4397915561519019</v>
      </c>
      <c r="M110" s="48">
        <f>I100</f>
        <v>12.5</v>
      </c>
      <c r="N110" s="61">
        <f t="shared" ref="N110" si="421">J100</f>
        <v>52.356000000000002</v>
      </c>
      <c r="O110" s="62">
        <f t="shared" ref="O110" si="422">K100</f>
        <v>3.1786390791199191</v>
      </c>
      <c r="Q110" s="121">
        <v>-2.5</v>
      </c>
      <c r="R110" s="122">
        <v>30.84</v>
      </c>
      <c r="S110" s="123">
        <v>2.5345167652859959</v>
      </c>
      <c r="U110" s="48">
        <f>Q40</f>
        <v>32.5</v>
      </c>
      <c r="V110" s="61">
        <f>R40</f>
        <v>7.58</v>
      </c>
      <c r="W110" s="62">
        <f>S40</f>
        <v>1.0085151676423629</v>
      </c>
      <c r="Y110" s="124">
        <v>32.5</v>
      </c>
      <c r="Z110" s="125">
        <v>2.173394405861925</v>
      </c>
      <c r="AA110" s="126">
        <v>1.4940716016378115</v>
      </c>
      <c r="AC110" s="48">
        <f>Y150</f>
        <v>12.5</v>
      </c>
      <c r="AD110" s="61">
        <f t="shared" ref="AD110:AE110" si="423">Z150</f>
        <v>5.2959583415484968</v>
      </c>
      <c r="AE110" s="62">
        <f t="shared" si="423"/>
        <v>2.547123683817905</v>
      </c>
      <c r="AG110" s="124">
        <v>27.5</v>
      </c>
      <c r="AH110" s="125">
        <v>9.1013523488916999</v>
      </c>
      <c r="AI110" s="126">
        <v>2.3823842895133494</v>
      </c>
      <c r="AK110" s="48">
        <f>AG139</f>
        <v>13</v>
      </c>
      <c r="AL110" s="61">
        <f>AH139</f>
        <v>16.022484134724145</v>
      </c>
      <c r="AM110" s="62">
        <f>AI139</f>
        <v>3.0785846677381392</v>
      </c>
    </row>
    <row r="111" spans="1:39">
      <c r="A111" s="121">
        <v>7</v>
      </c>
      <c r="B111" s="122">
        <v>68.981307343416788</v>
      </c>
      <c r="C111" s="123">
        <v>3.4845623479231969</v>
      </c>
      <c r="E111" s="48">
        <f>A99</f>
        <v>13</v>
      </c>
      <c r="F111" s="61">
        <f t="shared" ref="F111:G111" si="424">B99</f>
        <v>51.752581115728198</v>
      </c>
      <c r="G111" s="62">
        <f t="shared" si="424"/>
        <v>3.1651955454756666</v>
      </c>
      <c r="I111" s="121">
        <v>7</v>
      </c>
      <c r="J111" s="122">
        <v>67.73</v>
      </c>
      <c r="K111" s="123">
        <v>3.4651591118387395</v>
      </c>
      <c r="M111" s="48">
        <f>I99</f>
        <v>13</v>
      </c>
      <c r="N111" s="61">
        <f t="shared" ref="N111" si="425">J99</f>
        <v>51.164999999999999</v>
      </c>
      <c r="O111" s="62">
        <f t="shared" ref="O111" si="426">K99</f>
        <v>3.1519127702827574</v>
      </c>
      <c r="Q111" s="121">
        <v>-3</v>
      </c>
      <c r="R111" s="122">
        <v>31.53</v>
      </c>
      <c r="S111" s="123">
        <v>2.5621647976596784</v>
      </c>
      <c r="U111" s="48">
        <f>Q39</f>
        <v>33</v>
      </c>
      <c r="V111" s="61">
        <f>R39</f>
        <v>7.4450000000000003</v>
      </c>
      <c r="W111" s="62">
        <f>S39</f>
        <v>0.99412471625050081</v>
      </c>
      <c r="Y111" s="124">
        <v>32</v>
      </c>
      <c r="Z111" s="125">
        <v>2.2196625025607926</v>
      </c>
      <c r="AA111" s="126">
        <v>1.516232819330291</v>
      </c>
      <c r="AC111" s="48">
        <f>Y149</f>
        <v>13</v>
      </c>
      <c r="AD111" s="61">
        <f t="shared" ref="AD111:AE111" si="427">Z149</f>
        <v>5.1729593936698439</v>
      </c>
      <c r="AE111" s="62">
        <f t="shared" si="427"/>
        <v>2.5177552034603585</v>
      </c>
      <c r="AG111" s="124">
        <v>27</v>
      </c>
      <c r="AH111" s="125">
        <v>9.2733773466704932</v>
      </c>
      <c r="AI111" s="126">
        <v>2.4057478821355831</v>
      </c>
      <c r="AK111" s="48">
        <f>AG138</f>
        <v>13.5</v>
      </c>
      <c r="AL111" s="61">
        <f>AH138</f>
        <v>15.700396351620988</v>
      </c>
      <c r="AM111" s="62">
        <f>AI138</f>
        <v>3.0545047120704663</v>
      </c>
    </row>
    <row r="112" spans="1:39">
      <c r="A112" s="121">
        <v>6.5</v>
      </c>
      <c r="B112" s="122">
        <v>70.685364044321958</v>
      </c>
      <c r="C112" s="123">
        <v>3.5102104816945428</v>
      </c>
      <c r="E112" s="48">
        <f>A98</f>
        <v>13.5</v>
      </c>
      <c r="F112" s="61">
        <f t="shared" ref="F112:G112" si="428">B98</f>
        <v>50.55082443341233</v>
      </c>
      <c r="G112" s="62">
        <f t="shared" si="428"/>
        <v>3.1378216665678189</v>
      </c>
      <c r="I112" s="121">
        <v>6.5</v>
      </c>
      <c r="J112" s="122">
        <v>69.361000000000004</v>
      </c>
      <c r="K112" s="123">
        <v>3.4903533579573476</v>
      </c>
      <c r="M112" s="48">
        <f>I98</f>
        <v>13.5</v>
      </c>
      <c r="N112" s="61">
        <f t="shared" ref="N112" si="429">J98</f>
        <v>50.003999999999998</v>
      </c>
      <c r="O112" s="62">
        <f t="shared" ref="O112" si="430">K98</f>
        <v>3.1250937453127343</v>
      </c>
      <c r="Q112" s="121">
        <v>-3.5</v>
      </c>
      <c r="R112" s="122">
        <v>32.24</v>
      </c>
      <c r="S112" s="123">
        <v>2.5899742930591261</v>
      </c>
      <c r="U112" s="48">
        <f>Q38</f>
        <v>33.5</v>
      </c>
      <c r="V112" s="61">
        <f>R38</f>
        <v>7.3120000000000003</v>
      </c>
      <c r="W112" s="62">
        <f>S38</f>
        <v>0.97984562607204129</v>
      </c>
      <c r="Y112" s="124">
        <v>31.5</v>
      </c>
      <c r="Z112" s="125">
        <v>2.2670511083821014</v>
      </c>
      <c r="AA112" s="126">
        <v>1.5386421751592645</v>
      </c>
      <c r="AC112" s="48">
        <f>Y148</f>
        <v>13.5</v>
      </c>
      <c r="AD112" s="61">
        <f t="shared" ref="AD112:AE112" si="431">Z148</f>
        <v>5.053143262436623</v>
      </c>
      <c r="AE112" s="62">
        <f t="shared" si="431"/>
        <v>2.4884625045780822</v>
      </c>
      <c r="AG112" s="124">
        <v>26.5</v>
      </c>
      <c r="AH112" s="125">
        <v>9.449161107807047</v>
      </c>
      <c r="AI112" s="126">
        <v>2.4291950319682627</v>
      </c>
      <c r="AK112" s="48">
        <f>AG137</f>
        <v>14</v>
      </c>
      <c r="AL112" s="61">
        <f>AH137</f>
        <v>15.385697797944957</v>
      </c>
      <c r="AM112" s="62">
        <f>AI137</f>
        <v>3.0303870156349362</v>
      </c>
    </row>
    <row r="113" spans="1:39">
      <c r="A113" s="121">
        <v>6</v>
      </c>
      <c r="B113" s="122">
        <v>72.43664606396419</v>
      </c>
      <c r="C113" s="123">
        <v>3.535680288611402</v>
      </c>
      <c r="E113" s="48">
        <f>A97</f>
        <v>14</v>
      </c>
      <c r="F113" s="61">
        <f t="shared" ref="F113:G113" si="432">B97</f>
        <v>49.380368819209771</v>
      </c>
      <c r="G113" s="62">
        <f t="shared" si="432"/>
        <v>3.1103640329307654</v>
      </c>
      <c r="I113" s="121">
        <v>6</v>
      </c>
      <c r="J113" s="122">
        <v>71.036000000000001</v>
      </c>
      <c r="K113" s="123">
        <v>3.515380656399699</v>
      </c>
      <c r="M113" s="48">
        <f>I97</f>
        <v>14</v>
      </c>
      <c r="N113" s="61">
        <f t="shared" ref="N113" si="433">J97</f>
        <v>48.872</v>
      </c>
      <c r="O113" s="62">
        <f t="shared" ref="O113" si="434">K97</f>
        <v>3.0981844000405721</v>
      </c>
      <c r="Q113" s="121">
        <v>-4</v>
      </c>
      <c r="R113" s="122">
        <v>32.97</v>
      </c>
      <c r="S113" s="123">
        <v>2.6179132920438302</v>
      </c>
      <c r="U113" s="48">
        <f>Q37</f>
        <v>34</v>
      </c>
      <c r="V113" s="61">
        <f>R37</f>
        <v>7.181</v>
      </c>
      <c r="W113" s="62">
        <f>S37</f>
        <v>0.96568139641214612</v>
      </c>
      <c r="Y113" s="124">
        <v>31</v>
      </c>
      <c r="Z113" s="125">
        <v>2.3155902370050812</v>
      </c>
      <c r="AA113" s="126">
        <v>1.5612986714461949</v>
      </c>
      <c r="AC113" s="48">
        <f>Y147</f>
        <v>14</v>
      </c>
      <c r="AD113" s="61">
        <f t="shared" ref="AD113:AE113" si="435">Z147</f>
        <v>4.9364205474295701</v>
      </c>
      <c r="AE113" s="62">
        <f t="shared" si="435"/>
        <v>2.459253537703658</v>
      </c>
      <c r="AG113" s="124">
        <v>26</v>
      </c>
      <c r="AH113" s="125">
        <v>9.6287958795236346</v>
      </c>
      <c r="AI113" s="126">
        <v>2.452721995435339</v>
      </c>
      <c r="AK113" s="48">
        <f>AG136</f>
        <v>14.5</v>
      </c>
      <c r="AL113" s="61">
        <f>AH136</f>
        <v>15.078199934871115</v>
      </c>
      <c r="AM113" s="62">
        <f>AI136</f>
        <v>3.0062364870743679</v>
      </c>
    </row>
    <row r="114" spans="1:39">
      <c r="A114" s="121">
        <v>5.5</v>
      </c>
      <c r="B114" s="122">
        <v>74.236583700616123</v>
      </c>
      <c r="C114" s="123">
        <v>3.5609658847720524</v>
      </c>
      <c r="E114" s="48">
        <f>A96</f>
        <v>14.5</v>
      </c>
      <c r="F114" s="61">
        <f t="shared" ref="F114:G114" si="436">B96</f>
        <v>48.240322234508703</v>
      </c>
      <c r="G114" s="62">
        <f t="shared" si="436"/>
        <v>3.0828299818294846</v>
      </c>
      <c r="I114" s="121">
        <v>5.5</v>
      </c>
      <c r="J114" s="122">
        <v>72.757000000000005</v>
      </c>
      <c r="K114" s="123">
        <v>3.5402454334011311</v>
      </c>
      <c r="M114" s="48">
        <f>I96</f>
        <v>14.5</v>
      </c>
      <c r="N114" s="61">
        <f t="shared" ref="N114" si="437">J96</f>
        <v>47.768999999999998</v>
      </c>
      <c r="O114" s="62">
        <f t="shared" ref="O114" si="438">K96</f>
        <v>3.0712108938008718</v>
      </c>
      <c r="Q114" s="121">
        <v>-4.5</v>
      </c>
      <c r="R114" s="122">
        <v>33.72</v>
      </c>
      <c r="S114" s="123">
        <v>2.6459510357815441</v>
      </c>
      <c r="U114" s="48">
        <f>Q36</f>
        <v>34.5</v>
      </c>
      <c r="V114" s="61">
        <f>R36</f>
        <v>7.0540000000000003</v>
      </c>
      <c r="W114" s="62">
        <f>S36</f>
        <v>0.9518540508447132</v>
      </c>
      <c r="Y114" s="124">
        <v>30.5</v>
      </c>
      <c r="Z114" s="125">
        <v>2.3653107731907625</v>
      </c>
      <c r="AA114" s="126">
        <v>1.5842011438324897</v>
      </c>
      <c r="AC114" s="48">
        <f>Y146</f>
        <v>14.5</v>
      </c>
      <c r="AD114" s="61">
        <f t="shared" ref="AD114:AE114" si="439">Z146</f>
        <v>4.8227045188373232</v>
      </c>
      <c r="AE114" s="62">
        <f t="shared" si="439"/>
        <v>2.4301361134365491</v>
      </c>
      <c r="AG114" s="124">
        <v>25.5</v>
      </c>
      <c r="AH114" s="125">
        <v>9.8123764056150478</v>
      </c>
      <c r="AI114" s="126">
        <v>2.4763249508105729</v>
      </c>
      <c r="AK114" s="48">
        <f>AG135</f>
        <v>15</v>
      </c>
      <c r="AL114" s="61">
        <f>AH135</f>
        <v>14.777719485165806</v>
      </c>
      <c r="AM114" s="62">
        <f>AI135</f>
        <v>2.9820580328252353</v>
      </c>
    </row>
    <row r="115" spans="1:39">
      <c r="A115" s="121">
        <v>5</v>
      </c>
      <c r="B115" s="122">
        <v>76.086653612540559</v>
      </c>
      <c r="C115" s="123">
        <v>3.5860615365638373</v>
      </c>
      <c r="E115" s="48">
        <f>A95</f>
        <v>15</v>
      </c>
      <c r="F115" s="61">
        <f t="shared" ref="F115:G115" si="440">B95</f>
        <v>47.129819905290482</v>
      </c>
      <c r="G115" s="62">
        <f t="shared" si="440"/>
        <v>3.0552268865117473</v>
      </c>
      <c r="I115" s="121">
        <v>5</v>
      </c>
      <c r="J115" s="122">
        <v>74.524000000000001</v>
      </c>
      <c r="K115" s="123">
        <v>3.5649228885232098</v>
      </c>
      <c r="M115" s="48">
        <f>I95</f>
        <v>15</v>
      </c>
      <c r="N115" s="61">
        <f t="shared" ref="N115" si="441">J95</f>
        <v>46.694000000000003</v>
      </c>
      <c r="O115" s="62">
        <f t="shared" ref="O115" si="442">K95</f>
        <v>3.0441755548022011</v>
      </c>
      <c r="Q115" s="121">
        <v>-5</v>
      </c>
      <c r="R115" s="122">
        <v>34.479999999999997</v>
      </c>
      <c r="S115" s="123">
        <v>2.6736972704714641</v>
      </c>
      <c r="U115" s="48">
        <f>Q35</f>
        <v>35</v>
      </c>
      <c r="V115" s="61">
        <f>R35</f>
        <v>6.9290000000000003</v>
      </c>
      <c r="W115" s="62">
        <f>S35</f>
        <v>0.93815158818272903</v>
      </c>
      <c r="Y115" s="124">
        <v>30</v>
      </c>
      <c r="Z115" s="125">
        <v>2.4162444997123895</v>
      </c>
      <c r="AA115" s="126">
        <v>1.6073482573676572</v>
      </c>
      <c r="AC115" s="48">
        <f>Y145</f>
        <v>15</v>
      </c>
      <c r="AD115" s="61">
        <f t="shared" ref="AD115:AE115" si="443">Z145</f>
        <v>4.711911034183494</v>
      </c>
      <c r="AE115" s="62">
        <f t="shared" si="443"/>
        <v>2.4011178952641203</v>
      </c>
      <c r="AG115" s="124">
        <v>25</v>
      </c>
      <c r="AH115" s="125">
        <v>9.9999999999998224</v>
      </c>
      <c r="AI115" s="126">
        <v>2.4999999999999778</v>
      </c>
      <c r="AK115" s="48">
        <f>AG134</f>
        <v>15.5</v>
      </c>
      <c r="AL115" s="61">
        <f>AH134</f>
        <v>14.484078274491184</v>
      </c>
      <c r="AM115" s="62">
        <f>AI134</f>
        <v>2.957856553166935</v>
      </c>
    </row>
    <row r="116" spans="1:39">
      <c r="A116" s="121">
        <v>4.5</v>
      </c>
      <c r="B116" s="122">
        <v>77.988380399009088</v>
      </c>
      <c r="C116" s="123">
        <v>3.610961666007388</v>
      </c>
      <c r="E116" s="48">
        <f>A94</f>
        <v>15.5</v>
      </c>
      <c r="F116" s="61">
        <f t="shared" ref="F116:G116" si="444">B94</f>
        <v>46.048023442334326</v>
      </c>
      <c r="G116" s="62">
        <f t="shared" si="444"/>
        <v>3.0275621480978798</v>
      </c>
      <c r="I116" s="121">
        <v>4.5</v>
      </c>
      <c r="J116" s="122">
        <v>76.34</v>
      </c>
      <c r="K116" s="123">
        <v>3.5894301297724285</v>
      </c>
      <c r="M116" s="48">
        <f>I94</f>
        <v>15.5</v>
      </c>
      <c r="N116" s="61">
        <f t="shared" ref="N116" si="445">J94</f>
        <v>45.646000000000001</v>
      </c>
      <c r="O116" s="62">
        <f t="shared" ref="O116" si="446">K94</f>
        <v>3.0170795547682627</v>
      </c>
      <c r="Q116" s="121">
        <v>-5.5</v>
      </c>
      <c r="R116" s="122">
        <v>35.270000000000003</v>
      </c>
      <c r="S116" s="123">
        <v>2.7018538379040908</v>
      </c>
      <c r="U116" s="48">
        <f>Q34</f>
        <v>35.5</v>
      </c>
      <c r="V116" s="61">
        <f>R34</f>
        <v>6.8070000000000004</v>
      </c>
      <c r="W116" s="62">
        <f>S34</f>
        <v>0.92468823865025684</v>
      </c>
      <c r="Y116" s="124">
        <v>29.5</v>
      </c>
      <c r="Z116" s="125">
        <v>2.4684241251588359</v>
      </c>
      <c r="AA116" s="126">
        <v>1.6307385027177188</v>
      </c>
      <c r="AC116" s="48">
        <f>Y144</f>
        <v>15.5</v>
      </c>
      <c r="AD116" s="61">
        <f t="shared" ref="AD116:AE116" si="447">Z144</f>
        <v>4.6039584577094157</v>
      </c>
      <c r="AE116" s="62">
        <f t="shared" si="447"/>
        <v>2.3722063927694124</v>
      </c>
      <c r="AG116" s="124">
        <v>24.5</v>
      </c>
      <c r="AH116" s="125">
        <v>10.191766622606913</v>
      </c>
      <c r="AI116" s="126">
        <v>2.523743170445548</v>
      </c>
      <c r="AK116" s="48">
        <f>AG133</f>
        <v>16</v>
      </c>
      <c r="AL116" s="61">
        <f>AH133</f>
        <v>14.197103077835211</v>
      </c>
      <c r="AM116" s="62">
        <f>AI133</f>
        <v>2.9336369383076897</v>
      </c>
    </row>
    <row r="117" spans="1:39">
      <c r="A117" s="121">
        <v>4</v>
      </c>
      <c r="B117" s="122">
        <v>79.943338237181905</v>
      </c>
      <c r="C117" s="123">
        <v>3.6356608558091676</v>
      </c>
      <c r="E117" s="48">
        <f>A93</f>
        <v>16</v>
      </c>
      <c r="F117" s="61">
        <f t="shared" ref="F117:G117" si="448">B93</f>
        <v>44.994119991000716</v>
      </c>
      <c r="G117" s="62">
        <f t="shared" si="448"/>
        <v>2.9998431874658977</v>
      </c>
      <c r="I117" s="121">
        <v>4</v>
      </c>
      <c r="J117" s="122">
        <v>78.204999999999998</v>
      </c>
      <c r="K117" s="123">
        <v>3.613742433344115</v>
      </c>
      <c r="M117" s="48">
        <f>I93</f>
        <v>16</v>
      </c>
      <c r="N117" s="61">
        <f t="shared" ref="N117" si="449">J93</f>
        <v>44.624000000000002</v>
      </c>
      <c r="O117" s="62">
        <f t="shared" ref="O117" si="450">K93</f>
        <v>2.9899228130360207</v>
      </c>
      <c r="Q117" s="121">
        <v>-6</v>
      </c>
      <c r="R117" s="122">
        <v>36.08</v>
      </c>
      <c r="S117" s="123">
        <v>2.73002421307506</v>
      </c>
      <c r="U117" s="48">
        <f>Q33</f>
        <v>36</v>
      </c>
      <c r="V117" s="61">
        <f>R33</f>
        <v>6.6870000000000003</v>
      </c>
      <c r="W117" s="62">
        <f>S33</f>
        <v>0.91135824679041633</v>
      </c>
      <c r="Y117" s="124">
        <v>29</v>
      </c>
      <c r="Z117" s="125">
        <v>2.5218833126400115</v>
      </c>
      <c r="AA117" s="126">
        <v>1.6543701925072507</v>
      </c>
      <c r="AC117" s="48">
        <f>Y143</f>
        <v>16</v>
      </c>
      <c r="AD117" s="61">
        <f t="shared" ref="AD117:AE117" si="451">Z143</f>
        <v>4.4987675823285089</v>
      </c>
      <c r="AE117" s="62">
        <f t="shared" si="451"/>
        <v>2.3434089552344273</v>
      </c>
      <c r="AG117" s="124">
        <v>24</v>
      </c>
      <c r="AH117" s="125">
        <v>10.38777895767736</v>
      </c>
      <c r="AI117" s="126">
        <v>2.5475504171496981</v>
      </c>
      <c r="AK117" s="48">
        <f>AG132</f>
        <v>16.5</v>
      </c>
      <c r="AL117" s="61">
        <f>AH132</f>
        <v>13.916625470893658</v>
      </c>
      <c r="AM117" s="62">
        <f>AI132</f>
        <v>2.909404064513633</v>
      </c>
    </row>
    <row r="118" spans="1:39">
      <c r="A118" s="121">
        <v>3.5</v>
      </c>
      <c r="B118" s="122">
        <v>81.953152576862749</v>
      </c>
      <c r="C118" s="123">
        <v>3.6601538541130787</v>
      </c>
      <c r="E118" s="48">
        <f>A92</f>
        <v>16.5</v>
      </c>
      <c r="F118" s="61">
        <f t="shared" ref="F118:G118" si="452">B92</f>
        <v>43.96732140956864</v>
      </c>
      <c r="G118" s="62">
        <f t="shared" si="452"/>
        <v>2.9720774371505692</v>
      </c>
      <c r="I118" s="121">
        <v>3.5</v>
      </c>
      <c r="J118" s="122">
        <v>80.120999999999995</v>
      </c>
      <c r="K118" s="123">
        <v>3.6378619881766419</v>
      </c>
      <c r="M118" s="48">
        <f>I92</f>
        <v>16.5</v>
      </c>
      <c r="N118" s="61">
        <f t="shared" ref="N118" si="453">J92</f>
        <v>43.628</v>
      </c>
      <c r="O118" s="62">
        <f t="shared" ref="O118" si="454">K92</f>
        <v>2.9627315695115986</v>
      </c>
      <c r="Q118" s="121">
        <v>-6.5</v>
      </c>
      <c r="R118" s="122">
        <v>36.909999999999997</v>
      </c>
      <c r="S118" s="123">
        <v>2.7581826333881332</v>
      </c>
      <c r="U118" s="48">
        <f>Q32</f>
        <v>36.5</v>
      </c>
      <c r="V118" s="61">
        <f>R32</f>
        <v>6.569</v>
      </c>
      <c r="W118" s="62">
        <f>S32</f>
        <v>0.89816511252700371</v>
      </c>
      <c r="Y118" s="124">
        <v>28.5</v>
      </c>
      <c r="Z118" s="125">
        <v>2.5766567094244355</v>
      </c>
      <c r="AA118" s="126">
        <v>1.678241457808801</v>
      </c>
      <c r="AC118" s="48">
        <f>Y142</f>
        <v>16.5</v>
      </c>
      <c r="AD118" s="61">
        <f t="shared" ref="AD118:AE118" si="455">Z142</f>
        <v>4.3962615540700911</v>
      </c>
      <c r="AE118" s="62">
        <f t="shared" si="455"/>
        <v>2.3147327656460011</v>
      </c>
      <c r="AG118" s="124">
        <v>23.5</v>
      </c>
      <c r="AH118" s="125">
        <v>10.588142494564234</v>
      </c>
      <c r="AI118" s="126">
        <v>2.5714176248196652</v>
      </c>
      <c r="AK118" s="48">
        <f>AG131</f>
        <v>17</v>
      </c>
      <c r="AL118" s="61">
        <f>AH131</f>
        <v>13.642481686231045</v>
      </c>
      <c r="AM118" s="62">
        <f>AI131</f>
        <v>2.8851627902869819</v>
      </c>
    </row>
    <row r="119" spans="1:39">
      <c r="A119" s="121">
        <v>3</v>
      </c>
      <c r="B119" s="122">
        <v>84.019501895212557</v>
      </c>
      <c r="C119" s="123">
        <v>3.6844355789428493</v>
      </c>
      <c r="E119" s="48">
        <f>A91</f>
        <v>17</v>
      </c>
      <c r="F119" s="61">
        <f t="shared" ref="F119:G119" si="456">B91</f>
        <v>42.966863475141572</v>
      </c>
      <c r="G119" s="62">
        <f t="shared" si="456"/>
        <v>2.9442723332749234</v>
      </c>
      <c r="I119" s="121">
        <v>3</v>
      </c>
      <c r="J119" s="122">
        <v>82.088999999999999</v>
      </c>
      <c r="K119" s="123">
        <v>3.661777694510612</v>
      </c>
      <c r="M119" s="48">
        <f>I91</f>
        <v>17</v>
      </c>
      <c r="N119" s="61">
        <f t="shared" ref="N119" si="457">J91</f>
        <v>42.656999999999996</v>
      </c>
      <c r="O119" s="62">
        <f t="shared" ref="O119" si="458">K91</f>
        <v>2.9355051818819931</v>
      </c>
      <c r="Q119" s="121">
        <v>-7</v>
      </c>
      <c r="R119" s="122">
        <v>37.76</v>
      </c>
      <c r="S119" s="123">
        <v>2.7863046044864226</v>
      </c>
      <c r="U119" s="48">
        <f>Q31</f>
        <v>37</v>
      </c>
      <c r="V119" s="61">
        <f>R31</f>
        <v>6.4539999999999997</v>
      </c>
      <c r="W119" s="62">
        <f>S31</f>
        <v>0.8852252153398803</v>
      </c>
      <c r="Y119" s="124">
        <v>28</v>
      </c>
      <c r="Z119" s="125">
        <v>2.632779977540161</v>
      </c>
      <c r="AA119" s="126">
        <v>1.7023502447936341</v>
      </c>
      <c r="AC119" s="48">
        <f>Y141</f>
        <v>17</v>
      </c>
      <c r="AD119" s="61">
        <f t="shared" ref="AD119:AE119" si="459">Z141</f>
        <v>4.2963657989337882</v>
      </c>
      <c r="AE119" s="62">
        <f t="shared" si="459"/>
        <v>2.2861848351100273</v>
      </c>
      <c r="AG119" s="124">
        <v>23</v>
      </c>
      <c r="AH119" s="125">
        <v>10.792965611114267</v>
      </c>
      <c r="AI119" s="126">
        <v>2.595340610130477</v>
      </c>
      <c r="AK119" s="48">
        <f>AG130</f>
        <v>17.5</v>
      </c>
      <c r="AL119" s="61">
        <f>AH130</f>
        <v>13.374512474060026</v>
      </c>
      <c r="AM119" s="62">
        <f>AI130</f>
        <v>2.8609179525995363</v>
      </c>
    </row>
    <row r="120" spans="1:39">
      <c r="A120" s="121">
        <v>2.5</v>
      </c>
      <c r="B120" s="122">
        <v>86.144119513582979</v>
      </c>
      <c r="C120" s="123">
        <v>3.7085011223279571</v>
      </c>
      <c r="E120" s="48">
        <f>A90</f>
        <v>17.5</v>
      </c>
      <c r="F120" s="61">
        <f t="shared" ref="F120:G120" si="460">B90</f>
        <v>41.992005116168883</v>
      </c>
      <c r="G120" s="62">
        <f t="shared" si="460"/>
        <v>2.9164353075323488</v>
      </c>
      <c r="I120" s="121">
        <v>2.5</v>
      </c>
      <c r="J120" s="122">
        <v>84.111999999999995</v>
      </c>
      <c r="K120" s="123">
        <v>3.6855019629837349</v>
      </c>
      <c r="M120" s="48">
        <f>I90</f>
        <v>17.5</v>
      </c>
      <c r="N120" s="61">
        <f t="shared" ref="N120" si="461">J90</f>
        <v>41.71</v>
      </c>
      <c r="O120" s="62">
        <f t="shared" ref="O120" si="462">K90</f>
        <v>2.9082415283781899</v>
      </c>
      <c r="Q120" s="121">
        <v>-7.5</v>
      </c>
      <c r="R120" s="122">
        <v>38.630000000000003</v>
      </c>
      <c r="S120" s="123">
        <v>2.8143668949439022</v>
      </c>
      <c r="U120" s="48">
        <f>Q30</f>
        <v>37.5</v>
      </c>
      <c r="V120" s="61">
        <f>R30</f>
        <v>6.3419999999999996</v>
      </c>
      <c r="W120" s="62">
        <f>S30</f>
        <v>0.87254416377744759</v>
      </c>
      <c r="Y120" s="124">
        <v>27.5</v>
      </c>
      <c r="Z120" s="125">
        <v>2.6902898253712451</v>
      </c>
      <c r="AA120" s="126">
        <v>1.7266943115579398</v>
      </c>
      <c r="AC120" s="48">
        <f>Y140</f>
        <v>17.5</v>
      </c>
      <c r="AD120" s="61">
        <f t="shared" ref="AD120:AE120" si="463">Z140</f>
        <v>4.1990079520773769</v>
      </c>
      <c r="AE120" s="62">
        <f t="shared" si="463"/>
        <v>2.2577719976781654</v>
      </c>
      <c r="AG120" s="124">
        <v>22.5</v>
      </c>
      <c r="AH120" s="125">
        <v>11.002359659721172</v>
      </c>
      <c r="AI120" s="126">
        <v>2.6193151241052597</v>
      </c>
      <c r="AK120" s="48">
        <f>AG129</f>
        <v>18</v>
      </c>
      <c r="AL120" s="61">
        <f>AH129</f>
        <v>13.112562967479453</v>
      </c>
      <c r="AM120" s="62">
        <f>AI129</f>
        <v>2.8366743631871318</v>
      </c>
    </row>
    <row r="121" spans="1:39">
      <c r="A121" s="121">
        <v>2</v>
      </c>
      <c r="B121" s="122">
        <v>88.328795478704762</v>
      </c>
      <c r="C121" s="123">
        <v>3.732345754106869</v>
      </c>
      <c r="E121" s="48">
        <f>A89</f>
        <v>18</v>
      </c>
      <c r="F121" s="61">
        <f t="shared" ref="F121:G121" si="464">B89</f>
        <v>41.042027670662968</v>
      </c>
      <c r="G121" s="62">
        <f t="shared" si="464"/>
        <v>2.888573779237118</v>
      </c>
      <c r="I121" s="121">
        <v>2</v>
      </c>
      <c r="J121" s="122">
        <v>86.19</v>
      </c>
      <c r="K121" s="123">
        <v>3.7090111025045185</v>
      </c>
      <c r="M121" s="48">
        <f>I89</f>
        <v>18</v>
      </c>
      <c r="N121" s="61">
        <f t="shared" ref="N121" si="465">J89</f>
        <v>40.786000000000001</v>
      </c>
      <c r="O121" s="62">
        <f t="shared" ref="O121" si="466">K89</f>
        <v>2.8809369084282204</v>
      </c>
      <c r="Q121" s="121">
        <v>-8</v>
      </c>
      <c r="R121" s="122">
        <v>39.53</v>
      </c>
      <c r="S121" s="123">
        <v>2.8426578455343017</v>
      </c>
      <c r="U121" s="48">
        <f>Q29</f>
        <v>38</v>
      </c>
      <c r="V121" s="61">
        <f>R29</f>
        <v>6.2309999999999999</v>
      </c>
      <c r="W121" s="62">
        <f>S29</f>
        <v>0.85989898153514943</v>
      </c>
      <c r="Y121" s="124">
        <v>27</v>
      </c>
      <c r="Z121" s="125">
        <v>2.7492240402829928</v>
      </c>
      <c r="AA121" s="126">
        <v>1.751271225138755</v>
      </c>
      <c r="AC121" s="48">
        <f>Y139</f>
        <v>18</v>
      </c>
      <c r="AD121" s="61">
        <f t="shared" ref="AD121:AE121" si="467">Z139</f>
        <v>4.104117789263575</v>
      </c>
      <c r="AE121" s="62">
        <f t="shared" si="467"/>
        <v>2.229500905589751</v>
      </c>
      <c r="AG121" s="124">
        <v>22</v>
      </c>
      <c r="AH121" s="125">
        <v>11.216439056141096</v>
      </c>
      <c r="AI121" s="126">
        <v>2.6433368546109763</v>
      </c>
      <c r="AK121" s="48">
        <f>AG128</f>
        <v>18.5</v>
      </c>
      <c r="AL121" s="61">
        <f>AH128</f>
        <v>12.856482552020404</v>
      </c>
      <c r="AM121" s="62">
        <f>AI128</f>
        <v>2.812436804910726</v>
      </c>
    </row>
    <row r="122" spans="1:39">
      <c r="A122" s="121">
        <v>1.5</v>
      </c>
      <c r="B122" s="122">
        <v>90.575378510550905</v>
      </c>
      <c r="C122" s="123">
        <v>3.7559649254024583</v>
      </c>
      <c r="E122" s="48">
        <f>A88</f>
        <v>18.5</v>
      </c>
      <c r="F122" s="61">
        <f t="shared" ref="F122:G122" si="468">B88</f>
        <v>40.116234169226757</v>
      </c>
      <c r="G122" s="62">
        <f t="shared" si="468"/>
        <v>2.8606951474608238</v>
      </c>
      <c r="I122" s="121">
        <v>1.5</v>
      </c>
      <c r="J122" s="122">
        <v>88.325999999999993</v>
      </c>
      <c r="K122" s="123">
        <v>3.7323158054865373</v>
      </c>
      <c r="M122" s="48">
        <f>I88</f>
        <v>18.5</v>
      </c>
      <c r="N122" s="61">
        <f t="shared" ref="N122" si="469">J88</f>
        <v>39.886000000000003</v>
      </c>
      <c r="O122" s="62">
        <f t="shared" ref="O122" si="470">K88</f>
        <v>2.8536473685716741</v>
      </c>
      <c r="Q122" s="121">
        <v>-8.5</v>
      </c>
      <c r="R122" s="122">
        <v>40.450000000000003</v>
      </c>
      <c r="S122" s="123">
        <v>2.8708303761533003</v>
      </c>
      <c r="U122" s="48">
        <f>Q28</f>
        <v>38.5</v>
      </c>
      <c r="V122" s="61">
        <f>R28</f>
        <v>6.1230000000000002</v>
      </c>
      <c r="W122" s="62">
        <f>S28</f>
        <v>0.84752097001910154</v>
      </c>
      <c r="Y122" s="124">
        <v>26.5</v>
      </c>
      <c r="Z122" s="125">
        <v>2.8096215223104184</v>
      </c>
      <c r="AA122" s="126">
        <v>1.776078358733985</v>
      </c>
      <c r="AC122" s="48">
        <f>Y138</f>
        <v>18.5</v>
      </c>
      <c r="AD122" s="61">
        <f t="shared" ref="AD122:AE122" si="471">Z138</f>
        <v>4.0116271604937275</v>
      </c>
      <c r="AE122" s="62">
        <f t="shared" si="471"/>
        <v>2.2013780249302646</v>
      </c>
      <c r="AG122" s="124">
        <v>21.5</v>
      </c>
      <c r="AH122" s="125">
        <v>11.435321371165413</v>
      </c>
      <c r="AI122" s="126">
        <v>2.6674014289676329</v>
      </c>
      <c r="AK122" s="48">
        <f>AG127</f>
        <v>19</v>
      </c>
      <c r="AL122" s="61">
        <f>AH127</f>
        <v>12.606124739352826</v>
      </c>
      <c r="AM122" s="62">
        <f>AI127</f>
        <v>2.788210028189404</v>
      </c>
    </row>
    <row r="123" spans="1:39">
      <c r="A123" s="121">
        <v>1</v>
      </c>
      <c r="B123" s="122">
        <v>92.885778019272564</v>
      </c>
      <c r="C123" s="123">
        <v>3.779354271765484</v>
      </c>
      <c r="E123" s="48">
        <f>A87</f>
        <v>19</v>
      </c>
      <c r="F123" s="61">
        <f t="shared" ref="F123:G123" si="472">B87</f>
        <v>39.213948642034843</v>
      </c>
      <c r="G123" s="62">
        <f t="shared" si="472"/>
        <v>2.8328067832716837</v>
      </c>
      <c r="I123" s="121">
        <v>1</v>
      </c>
      <c r="J123" s="122">
        <v>90.521000000000001</v>
      </c>
      <c r="K123" s="123">
        <v>3.7554036226051895</v>
      </c>
      <c r="M123" s="48">
        <f>I87</f>
        <v>19</v>
      </c>
      <c r="N123" s="61">
        <f t="shared" ref="N123" si="473">J87</f>
        <v>39.006999999999998</v>
      </c>
      <c r="O123" s="62">
        <f t="shared" ref="O123" si="474">K87</f>
        <v>2.8263074760531537</v>
      </c>
      <c r="Q123" s="121">
        <v>-9</v>
      </c>
      <c r="R123" s="122">
        <v>41.39</v>
      </c>
      <c r="S123" s="123">
        <v>2.8988653873091468</v>
      </c>
      <c r="U123" s="48">
        <f>Q27</f>
        <v>39</v>
      </c>
      <c r="V123" s="61">
        <f>R27</f>
        <v>6.0170000000000003</v>
      </c>
      <c r="W123" s="62">
        <f>S27</f>
        <v>0.83529999722353332</v>
      </c>
      <c r="Y123" s="124">
        <v>26</v>
      </c>
      <c r="Z123" s="125">
        <v>2.8715223189454249</v>
      </c>
      <c r="AA123" s="126">
        <v>1.8011128891409205</v>
      </c>
      <c r="AC123" s="48">
        <f>Y137</f>
        <v>19</v>
      </c>
      <c r="AD123" s="61">
        <f t="shared" ref="AD123:AE123" si="475">Z137</f>
        <v>3.9214699257581582</v>
      </c>
      <c r="AE123" s="62">
        <f t="shared" si="475"/>
        <v>2.1734096317062215</v>
      </c>
      <c r="AG123" s="124">
        <v>21</v>
      </c>
      <c r="AH123" s="125">
        <v>11.659127425249041</v>
      </c>
      <c r="AI123" s="126">
        <v>2.6915044166685727</v>
      </c>
      <c r="AK123" s="48">
        <f>AG126</f>
        <v>19.5</v>
      </c>
      <c r="AL123" s="61">
        <f>AH126</f>
        <v>12.361347045012161</v>
      </c>
      <c r="AM123" s="62">
        <f>AI126</f>
        <v>2.763998747510481</v>
      </c>
    </row>
    <row r="124" spans="1:39" ht="13.5" thickBot="1">
      <c r="A124" s="127">
        <v>0.5</v>
      </c>
      <c r="B124" s="128">
        <v>95.261966193696352</v>
      </c>
      <c r="C124" s="129">
        <v>3.8025096159831113</v>
      </c>
      <c r="E124" s="48">
        <f>A86</f>
        <v>19.5</v>
      </c>
      <c r="F124" s="61">
        <f t="shared" ref="F124:G124" si="476">B86</f>
        <v>38.334515448942859</v>
      </c>
      <c r="G124" s="62">
        <f t="shared" si="476"/>
        <v>2.8049160220931881</v>
      </c>
      <c r="I124" s="127">
        <v>0.5</v>
      </c>
      <c r="J124" s="128">
        <v>92.777000000000001</v>
      </c>
      <c r="K124" s="129">
        <v>3.7782728035381217</v>
      </c>
      <c r="M124" s="48">
        <f>I86</f>
        <v>19.5</v>
      </c>
      <c r="N124" s="61">
        <f t="shared" ref="N124" si="477">J86</f>
        <v>38.15</v>
      </c>
      <c r="O124" s="62">
        <f t="shared" ref="O124" si="478">K86</f>
        <v>2.7989728539985324</v>
      </c>
      <c r="Q124" s="127">
        <v>-9.5</v>
      </c>
      <c r="R124" s="128">
        <v>42.36</v>
      </c>
      <c r="S124" s="129">
        <v>2.9270315091210617</v>
      </c>
      <c r="U124" s="48">
        <f>Q26</f>
        <v>39.5</v>
      </c>
      <c r="V124" s="61">
        <f>R26</f>
        <v>5.9130000000000003</v>
      </c>
      <c r="W124" s="62">
        <f>S26</f>
        <v>0.82323949544733122</v>
      </c>
      <c r="Y124" s="124">
        <v>25.5</v>
      </c>
      <c r="Z124" s="125">
        <v>2.9349676610595408</v>
      </c>
      <c r="AA124" s="126">
        <v>1.8263717944276818</v>
      </c>
      <c r="AC124" s="48">
        <f>Y136</f>
        <v>19.5</v>
      </c>
      <c r="AD124" s="61">
        <f t="shared" ref="AD124:AE124" si="479">Z136</f>
        <v>3.8335818928354639</v>
      </c>
      <c r="AE124" s="62">
        <f t="shared" si="479"/>
        <v>2.145601808335083</v>
      </c>
      <c r="AG124" s="124">
        <v>20.5</v>
      </c>
      <c r="AH124" s="125">
        <v>11.887981386196342</v>
      </c>
      <c r="AI124" s="126">
        <v>2.7156413322092594</v>
      </c>
      <c r="AK124" s="48">
        <f>AG125</f>
        <v>20</v>
      </c>
      <c r="AL124" s="61">
        <f>AH125</f>
        <v>12.122010870009888</v>
      </c>
      <c r="AM124" s="62">
        <f>AI125</f>
        <v>2.7398076380215768</v>
      </c>
    </row>
    <row r="125" spans="1:39" ht="13.5" thickTop="1">
      <c r="A125" s="115">
        <v>0</v>
      </c>
      <c r="B125" s="116">
        <v>97.705980163957392</v>
      </c>
      <c r="C125" s="117">
        <v>3.825426970550478</v>
      </c>
      <c r="E125" s="48">
        <f>A85</f>
        <v>20</v>
      </c>
      <c r="F125" s="61">
        <f t="shared" ref="F125:G125" si="480">B85</f>
        <v>37.477298631929038</v>
      </c>
      <c r="G125" s="62">
        <f t="shared" si="480"/>
        <v>2.7770301561980029</v>
      </c>
      <c r="I125" s="115">
        <v>0</v>
      </c>
      <c r="J125" s="116">
        <v>95.096000000000004</v>
      </c>
      <c r="K125" s="117">
        <v>3.8009208927543647</v>
      </c>
      <c r="M125" s="48">
        <f>I85</f>
        <v>20</v>
      </c>
      <c r="N125" s="61">
        <f t="shared" ref="N125" si="481">J85</f>
        <v>37.314999999999998</v>
      </c>
      <c r="O125" s="62">
        <f t="shared" ref="O125" si="482">K85</f>
        <v>2.7716705043452423</v>
      </c>
      <c r="Q125" s="115">
        <v>-10</v>
      </c>
      <c r="R125" s="116">
        <v>43.35</v>
      </c>
      <c r="S125" s="117">
        <v>2.9550102249488757</v>
      </c>
      <c r="U125" s="48">
        <f>Q25</f>
        <v>40</v>
      </c>
      <c r="V125" s="61">
        <f>R25</f>
        <v>5.8109999999999999</v>
      </c>
      <c r="W125" s="62">
        <f>S25</f>
        <v>0.81134288347155903</v>
      </c>
      <c r="Y125" s="136">
        <v>25</v>
      </c>
      <c r="Z125" s="137">
        <v>3</v>
      </c>
      <c r="AA125" s="138">
        <v>1.8518518518518519</v>
      </c>
      <c r="AC125" s="48">
        <f>Y135</f>
        <v>20</v>
      </c>
      <c r="AD125" s="61">
        <f t="shared" ref="AD125:AE125" si="483">Z135</f>
        <v>3.7479007570750889</v>
      </c>
      <c r="AE125" s="62">
        <f t="shared" si="483"/>
        <v>2.117960440547515</v>
      </c>
      <c r="AG125" s="139">
        <v>20</v>
      </c>
      <c r="AH125" s="140">
        <v>12.122010870009888</v>
      </c>
      <c r="AI125" s="141">
        <f>AH125*5/(10+AH125)</f>
        <v>2.7398076380215768</v>
      </c>
      <c r="AK125" s="48">
        <f>AG124</f>
        <v>20.5</v>
      </c>
      <c r="AL125" s="61">
        <f>AH124</f>
        <v>11.887981386196342</v>
      </c>
      <c r="AM125" s="62">
        <f>AI124</f>
        <v>2.7156413322092594</v>
      </c>
    </row>
    <row r="126" spans="1:39">
      <c r="A126" s="121">
        <v>-0.5</v>
      </c>
      <c r="B126" s="122">
        <v>100.21992424093382</v>
      </c>
      <c r="C126" s="123">
        <v>3.848102539804362</v>
      </c>
      <c r="E126" s="48">
        <f>A84</f>
        <v>20.5</v>
      </c>
      <c r="F126" s="61">
        <f t="shared" ref="F126:G126" si="484">B84</f>
        <v>36.641681289098393</v>
      </c>
      <c r="G126" s="62">
        <f t="shared" si="484"/>
        <v>2.7491564273523545</v>
      </c>
      <c r="I126" s="121">
        <v>-0.5</v>
      </c>
      <c r="J126" s="122">
        <v>97.48</v>
      </c>
      <c r="K126" s="123">
        <v>3.8233448384060247</v>
      </c>
      <c r="M126" s="48">
        <f>I84</f>
        <v>20.5</v>
      </c>
      <c r="N126" s="61">
        <f t="shared" ref="N126" si="485">J84</f>
        <v>36.5</v>
      </c>
      <c r="O126" s="62">
        <f t="shared" ref="O126" si="486">K84</f>
        <v>2.744360902255639</v>
      </c>
      <c r="Q126" s="121">
        <v>-10.5</v>
      </c>
      <c r="R126" s="122">
        <v>44.37</v>
      </c>
      <c r="S126" s="123">
        <v>2.9830576845502215</v>
      </c>
      <c r="U126" s="48">
        <f>Q24</f>
        <v>40.5</v>
      </c>
      <c r="V126" s="61">
        <f>R24</f>
        <v>5.7110000000000003</v>
      </c>
      <c r="W126" s="62">
        <f>S24</f>
        <v>0.79961356444792919</v>
      </c>
      <c r="Y126" s="124">
        <v>24.5</v>
      </c>
      <c r="Z126" s="125">
        <v>3.0666630458986517</v>
      </c>
      <c r="AA126" s="126">
        <v>1.8775496360406034</v>
      </c>
      <c r="AC126" s="48">
        <f>Y134</f>
        <v>20.5</v>
      </c>
      <c r="AD126" s="61">
        <f t="shared" ref="AD126:AE126" si="487">Z134</f>
        <v>3.6643660430990823</v>
      </c>
      <c r="AE126" s="62">
        <f t="shared" si="487"/>
        <v>2.0904912146979209</v>
      </c>
      <c r="AG126" s="142">
        <v>19.5</v>
      </c>
      <c r="AH126" s="143">
        <v>12.361347045012161</v>
      </c>
      <c r="AI126" s="144">
        <f t="shared" ref="AI126:AI184" si="488">AH126*5/(10+AH126)</f>
        <v>2.763998747510481</v>
      </c>
      <c r="AK126" s="48">
        <f>AG123</f>
        <v>21</v>
      </c>
      <c r="AL126" s="61">
        <f>AH123</f>
        <v>11.659127425249041</v>
      </c>
      <c r="AM126" s="62">
        <f>AI123</f>
        <v>2.6915044166685727</v>
      </c>
    </row>
    <row r="127" spans="1:39">
      <c r="A127" s="121">
        <v>-1</v>
      </c>
      <c r="B127" s="122">
        <v>102.80597223524789</v>
      </c>
      <c r="C127" s="123">
        <v>3.8705327217190559</v>
      </c>
      <c r="E127" s="48">
        <f>A83</f>
        <v>21</v>
      </c>
      <c r="F127" s="61">
        <f t="shared" ref="F127:G127" si="489">B83</f>
        <v>35.827064969508854</v>
      </c>
      <c r="G127" s="62">
        <f t="shared" si="489"/>
        <v>2.7213020196255124</v>
      </c>
      <c r="I127" s="121">
        <v>-1</v>
      </c>
      <c r="J127" s="122">
        <v>99.930999999999997</v>
      </c>
      <c r="K127" s="123">
        <v>3.845541094888826</v>
      </c>
      <c r="M127" s="48">
        <f>I83</f>
        <v>21</v>
      </c>
      <c r="N127" s="61">
        <f t="shared" ref="N127" si="490">J83</f>
        <v>35.704000000000001</v>
      </c>
      <c r="O127" s="62">
        <f t="shared" ref="O127" si="491">K83</f>
        <v>2.7170339705345183</v>
      </c>
      <c r="Q127" s="121">
        <v>-11</v>
      </c>
      <c r="R127" s="122">
        <v>45.42</v>
      </c>
      <c r="S127" s="123">
        <v>3.0111376292760546</v>
      </c>
      <c r="U127" s="48">
        <f>Q23</f>
        <v>41</v>
      </c>
      <c r="V127" s="61">
        <f>R23</f>
        <v>5.6139999999999999</v>
      </c>
      <c r="W127" s="62">
        <f>S23</f>
        <v>0.78817319031841415</v>
      </c>
      <c r="Y127" s="124">
        <v>24</v>
      </c>
      <c r="Z127" s="125">
        <v>3.1350018072338601</v>
      </c>
      <c r="AA127" s="126">
        <v>1.903461517446168</v>
      </c>
      <c r="AC127" s="48">
        <f>Y133</f>
        <v>21</v>
      </c>
      <c r="AD127" s="61">
        <f t="shared" ref="AD127:AE127" si="492">Z133</f>
        <v>3.5829190483620201</v>
      </c>
      <c r="AE127" s="62">
        <f t="shared" si="492"/>
        <v>2.063199615478343</v>
      </c>
      <c r="AG127" s="142">
        <v>19</v>
      </c>
      <c r="AH127" s="143">
        <v>12.606124739352826</v>
      </c>
      <c r="AI127" s="144">
        <f t="shared" si="488"/>
        <v>2.788210028189404</v>
      </c>
      <c r="AK127" s="48">
        <f>AG122</f>
        <v>21.5</v>
      </c>
      <c r="AL127" s="61">
        <f>AH122</f>
        <v>11.435321371165413</v>
      </c>
      <c r="AM127" s="62">
        <f>AI122</f>
        <v>2.6674014289676329</v>
      </c>
    </row>
    <row r="128" spans="1:39">
      <c r="A128" s="121">
        <v>-1.5</v>
      </c>
      <c r="B128" s="122">
        <v>105.46636985869146</v>
      </c>
      <c r="C128" s="123">
        <v>3.8927141093655284</v>
      </c>
      <c r="E128" s="48">
        <f>A82</f>
        <v>21.5</v>
      </c>
      <c r="F128" s="61">
        <f t="shared" ref="F128:G128" si="493">B82</f>
        <v>35.032869088102622</v>
      </c>
      <c r="G128" s="62">
        <f t="shared" si="493"/>
        <v>2.6934740523782059</v>
      </c>
      <c r="I128" s="121">
        <v>-1.5</v>
      </c>
      <c r="J128" s="122">
        <v>102.45</v>
      </c>
      <c r="K128" s="123">
        <v>3.867497168742922</v>
      </c>
      <c r="M128" s="48">
        <f>I82</f>
        <v>21.5</v>
      </c>
      <c r="N128" s="61">
        <f t="shared" ref="N128" si="494">J82</f>
        <v>34.929000000000002</v>
      </c>
      <c r="O128" s="62">
        <f t="shared" ref="O128" si="495">K82</f>
        <v>2.6897842258466942</v>
      </c>
      <c r="Q128" s="121">
        <v>-11.5</v>
      </c>
      <c r="R128" s="122">
        <v>46.5</v>
      </c>
      <c r="S128" s="123">
        <v>3.0392156862745097</v>
      </c>
      <c r="U128" s="48">
        <f>Q22</f>
        <v>41.5</v>
      </c>
      <c r="V128" s="61">
        <f>R22</f>
        <v>5.5179999999999998</v>
      </c>
      <c r="W128" s="62">
        <f>S22</f>
        <v>0.77678923362801955</v>
      </c>
      <c r="Y128" s="124">
        <v>23.5</v>
      </c>
      <c r="Z128" s="125">
        <v>3.2050626316877495</v>
      </c>
      <c r="AA128" s="126">
        <v>1.9295836610905963</v>
      </c>
      <c r="AC128" s="48">
        <f>Y132</f>
        <v>21.5</v>
      </c>
      <c r="AD128" s="61">
        <f t="shared" ref="AD128:AE128" si="496">Z132</f>
        <v>3.5035027885087184</v>
      </c>
      <c r="AE128" s="62">
        <f t="shared" si="496"/>
        <v>2.0360909240293248</v>
      </c>
      <c r="AG128" s="142">
        <v>18.5</v>
      </c>
      <c r="AH128" s="143">
        <v>12.856482552020404</v>
      </c>
      <c r="AI128" s="144">
        <f t="shared" si="488"/>
        <v>2.812436804910726</v>
      </c>
      <c r="AK128" s="48">
        <f>AG121</f>
        <v>22</v>
      </c>
      <c r="AL128" s="61">
        <f>AH121</f>
        <v>11.216439056141096</v>
      </c>
      <c r="AM128" s="62">
        <f>AI121</f>
        <v>2.6433368546109763</v>
      </c>
    </row>
    <row r="129" spans="1:39">
      <c r="A129" s="121">
        <v>-2</v>
      </c>
      <c r="B129" s="122">
        <v>108.20343721103865</v>
      </c>
      <c r="C129" s="123">
        <v>3.9146434920359621</v>
      </c>
      <c r="E129" s="48">
        <f>A81</f>
        <v>22</v>
      </c>
      <c r="F129" s="61">
        <f t="shared" ref="F129:G129" si="497">B81</f>
        <v>34.258530360053257</v>
      </c>
      <c r="G129" s="62">
        <f t="shared" si="497"/>
        <v>2.6656795734430849</v>
      </c>
      <c r="I129" s="121">
        <v>-2</v>
      </c>
      <c r="J129" s="122">
        <v>105.04</v>
      </c>
      <c r="K129" s="123">
        <v>3.8892180094786726</v>
      </c>
      <c r="M129" s="48">
        <f>I81</f>
        <v>22</v>
      </c>
      <c r="N129" s="61">
        <f t="shared" ref="N129" si="498">J81</f>
        <v>34.171999999999997</v>
      </c>
      <c r="O129" s="62">
        <f t="shared" ref="O129" si="499">K81</f>
        <v>2.6625319453967462</v>
      </c>
      <c r="Q129" s="121">
        <v>-12</v>
      </c>
      <c r="R129" s="122">
        <v>47.6</v>
      </c>
      <c r="S129" s="123">
        <v>3.0670103092783507</v>
      </c>
      <c r="U129" s="48">
        <f>Q21</f>
        <v>42</v>
      </c>
      <c r="V129" s="61">
        <f>R21</f>
        <v>5.4240000000000004</v>
      </c>
      <c r="W129" s="62">
        <f>S21</f>
        <v>0.76558265582655827</v>
      </c>
      <c r="Y129" s="124">
        <v>23</v>
      </c>
      <c r="Z129" s="125">
        <v>3.2768932483416817</v>
      </c>
      <c r="AA129" s="126">
        <v>1.955912025613068</v>
      </c>
      <c r="AC129" s="48">
        <f>Y131</f>
        <v>22</v>
      </c>
      <c r="AD129" s="61">
        <f t="shared" ref="AD129:AE129" si="500">Z131</f>
        <v>3.4260619444720266</v>
      </c>
      <c r="AE129" s="62">
        <f t="shared" si="500"/>
        <v>2.009170216440519</v>
      </c>
      <c r="AG129" s="142">
        <v>18</v>
      </c>
      <c r="AH129" s="143">
        <v>13.112562967479453</v>
      </c>
      <c r="AI129" s="144">
        <f t="shared" si="488"/>
        <v>2.8366743631871318</v>
      </c>
      <c r="AK129" s="48">
        <f>AG120</f>
        <v>22.5</v>
      </c>
      <c r="AL129" s="61">
        <f>AH120</f>
        <v>11.002359659721172</v>
      </c>
      <c r="AM129" s="62">
        <f>AI120</f>
        <v>2.6193151241052597</v>
      </c>
    </row>
    <row r="130" spans="1:39">
      <c r="A130" s="121">
        <v>-2.5</v>
      </c>
      <c r="B130" s="122">
        <v>111.01957135531316</v>
      </c>
      <c r="C130" s="123">
        <v>3.9363178560367356</v>
      </c>
      <c r="E130" s="48">
        <f>A80</f>
        <v>22.5</v>
      </c>
      <c r="F130" s="61">
        <f t="shared" ref="F130:G130" si="501">B80</f>
        <v>33.503502253861235</v>
      </c>
      <c r="G130" s="62">
        <f t="shared" si="501"/>
        <v>2.6379255525095155</v>
      </c>
      <c r="I130" s="121">
        <v>-2.5</v>
      </c>
      <c r="J130" s="122">
        <v>107.7</v>
      </c>
      <c r="K130" s="123">
        <v>3.910675381263617</v>
      </c>
      <c r="M130" s="48">
        <f>I80</f>
        <v>22.5</v>
      </c>
      <c r="N130" s="61">
        <f t="shared" ref="N130" si="502">J80</f>
        <v>33.433</v>
      </c>
      <c r="O130" s="62">
        <f t="shared" ref="O130" si="503">K80</f>
        <v>2.6353002380464425</v>
      </c>
      <c r="Q130" s="121">
        <v>-12.5</v>
      </c>
      <c r="R130" s="122">
        <v>48.74</v>
      </c>
      <c r="S130" s="123">
        <v>3.0949961899923797</v>
      </c>
      <c r="U130" s="48">
        <f>Q20</f>
        <v>42.5</v>
      </c>
      <c r="V130" s="61">
        <f>R20</f>
        <v>5.3319999999999999</v>
      </c>
      <c r="W130" s="62">
        <f>S20</f>
        <v>0.75455677572738589</v>
      </c>
      <c r="Y130" s="124">
        <v>22.5</v>
      </c>
      <c r="Z130" s="125">
        <v>3.350542811254809</v>
      </c>
      <c r="AA130" s="126">
        <v>1.9824423626328516</v>
      </c>
      <c r="AC130" s="48">
        <f>Y130</f>
        <v>22.5</v>
      </c>
      <c r="AD130" s="61">
        <f t="shared" ref="AD130:AE130" si="504">Z130</f>
        <v>3.350542811254809</v>
      </c>
      <c r="AE130" s="62">
        <f t="shared" si="504"/>
        <v>1.9824423626328516</v>
      </c>
      <c r="AG130" s="142">
        <v>17.5</v>
      </c>
      <c r="AH130" s="143">
        <v>13.374512474060026</v>
      </c>
      <c r="AI130" s="144">
        <f t="shared" si="488"/>
        <v>2.8609179525995363</v>
      </c>
      <c r="AK130" s="48">
        <f>AG119</f>
        <v>23</v>
      </c>
      <c r="AL130" s="61">
        <f>AH119</f>
        <v>10.792965611114267</v>
      </c>
      <c r="AM130" s="62">
        <f>AI119</f>
        <v>2.595340610130477</v>
      </c>
    </row>
    <row r="131" spans="1:39">
      <c r="A131" s="121">
        <v>-3</v>
      </c>
      <c r="B131" s="122">
        <v>113.91724898468526</v>
      </c>
      <c r="C131" s="123">
        <v>3.9577343851537763</v>
      </c>
      <c r="E131" s="48">
        <f>A79</f>
        <v>23</v>
      </c>
      <c r="F131" s="61">
        <f t="shared" ref="F131:G131" si="505">B79</f>
        <v>32.767254462555719</v>
      </c>
      <c r="G131" s="62">
        <f t="shared" si="505"/>
        <v>2.6102188747241821</v>
      </c>
      <c r="I131" s="121">
        <v>-3</v>
      </c>
      <c r="J131" s="122">
        <v>110.44</v>
      </c>
      <c r="K131" s="123">
        <v>3.9319282255767591</v>
      </c>
      <c r="M131" s="48">
        <f>I79</f>
        <v>23</v>
      </c>
      <c r="N131" s="61">
        <f t="shared" ref="N131" si="506">J79</f>
        <v>32.713000000000001</v>
      </c>
      <c r="O131" s="62">
        <f t="shared" ref="O131" si="507">K79</f>
        <v>2.6081514199607736</v>
      </c>
      <c r="Q131" s="121">
        <v>-13</v>
      </c>
      <c r="R131" s="122">
        <v>49.91</v>
      </c>
      <c r="S131" s="123">
        <v>3.1228882492804404</v>
      </c>
      <c r="U131" s="48">
        <f>Q19</f>
        <v>43</v>
      </c>
      <c r="V131" s="61">
        <f>R19</f>
        <v>5.2409999999999997</v>
      </c>
      <c r="W131" s="62">
        <f>S19</f>
        <v>0.74359410913424695</v>
      </c>
      <c r="Y131" s="124">
        <v>22</v>
      </c>
      <c r="Z131" s="125">
        <v>3.4260619444720266</v>
      </c>
      <c r="AA131" s="126">
        <v>2.009170216440519</v>
      </c>
      <c r="AC131" s="48">
        <f>Y129</f>
        <v>23</v>
      </c>
      <c r="AD131" s="61">
        <f t="shared" ref="AD131:AE131" si="508">Z129</f>
        <v>3.2768932483416817</v>
      </c>
      <c r="AE131" s="62">
        <f t="shared" si="508"/>
        <v>1.955912025613068</v>
      </c>
      <c r="AG131" s="142">
        <v>17</v>
      </c>
      <c r="AH131" s="143">
        <v>13.642481686231045</v>
      </c>
      <c r="AI131" s="144">
        <f t="shared" si="488"/>
        <v>2.8851627902869819</v>
      </c>
      <c r="AK131" s="48">
        <f>AG118</f>
        <v>23.5</v>
      </c>
      <c r="AL131" s="61">
        <f>AH118</f>
        <v>10.588142494564234</v>
      </c>
      <c r="AM131" s="62">
        <f>AI118</f>
        <v>2.5714176248196652</v>
      </c>
    </row>
    <row r="132" spans="1:39">
      <c r="A132" s="121">
        <v>-3.5</v>
      </c>
      <c r="B132" s="122">
        <v>116.89902918428605</v>
      </c>
      <c r="C132" s="123">
        <v>3.9788904607951912</v>
      </c>
      <c r="E132" s="48">
        <f>A78</f>
        <v>23.5</v>
      </c>
      <c r="F132" s="61">
        <f t="shared" ref="F132:G132" si="509">B78</f>
        <v>32.049272392381852</v>
      </c>
      <c r="G132" s="62">
        <f t="shared" si="509"/>
        <v>2.5825663345181082</v>
      </c>
      <c r="I132" s="121">
        <v>-3.5</v>
      </c>
      <c r="J132" s="122">
        <v>113.26</v>
      </c>
      <c r="K132" s="123">
        <v>3.9529526734608411</v>
      </c>
      <c r="M132" s="48">
        <f>I78</f>
        <v>23.5</v>
      </c>
      <c r="N132" s="61">
        <f t="shared" ref="N132" si="510">J78</f>
        <v>32.01</v>
      </c>
      <c r="O132" s="62">
        <f t="shared" ref="O132" si="511">K78</f>
        <v>2.5810353168843734</v>
      </c>
      <c r="Q132" s="121">
        <v>-13.5</v>
      </c>
      <c r="R132" s="122">
        <v>51.1</v>
      </c>
      <c r="S132" s="123">
        <v>3.1504315659679412</v>
      </c>
      <c r="U132" s="48">
        <f>Q18</f>
        <v>43.5</v>
      </c>
      <c r="V132" s="61">
        <f>R18</f>
        <v>5.1529999999999996</v>
      </c>
      <c r="W132" s="62">
        <f>S18</f>
        <v>0.73293886723750457</v>
      </c>
      <c r="Y132" s="124">
        <v>21.5</v>
      </c>
      <c r="Z132" s="125">
        <v>3.5035027885087184</v>
      </c>
      <c r="AA132" s="126">
        <v>2.0360909240293248</v>
      </c>
      <c r="AC132" s="48">
        <f>Y128</f>
        <v>23.5</v>
      </c>
      <c r="AD132" s="61">
        <f t="shared" ref="AD132:AE132" si="512">Z128</f>
        <v>3.2050626316877495</v>
      </c>
      <c r="AE132" s="62">
        <f t="shared" si="512"/>
        <v>1.9295836610905963</v>
      </c>
      <c r="AG132" s="142">
        <v>16.5</v>
      </c>
      <c r="AH132" s="143">
        <v>13.916625470893658</v>
      </c>
      <c r="AI132" s="144">
        <f t="shared" si="488"/>
        <v>2.909404064513633</v>
      </c>
      <c r="AK132" s="48">
        <f>AG117</f>
        <v>24</v>
      </c>
      <c r="AL132" s="61">
        <f>AH117</f>
        <v>10.38777895767736</v>
      </c>
      <c r="AM132" s="62">
        <f>AI117</f>
        <v>2.5475504171496981</v>
      </c>
    </row>
    <row r="133" spans="1:39">
      <c r="A133" s="121">
        <v>-4</v>
      </c>
      <c r="B133" s="122">
        <v>119.96755629134174</v>
      </c>
      <c r="C133" s="123">
        <v>3.9997836618168581</v>
      </c>
      <c r="E133" s="48">
        <f>A77</f>
        <v>24</v>
      </c>
      <c r="F133" s="61">
        <f t="shared" ref="F133:G133" si="513">B77</f>
        <v>31.349056668374551</v>
      </c>
      <c r="G133" s="62">
        <f t="shared" si="513"/>
        <v>2.5549746296698146</v>
      </c>
      <c r="I133" s="121">
        <v>-4</v>
      </c>
      <c r="J133" s="122">
        <v>116.16</v>
      </c>
      <c r="K133" s="123">
        <v>3.9737274220032837</v>
      </c>
      <c r="M133" s="48">
        <f>I77</f>
        <v>24</v>
      </c>
      <c r="N133" s="61">
        <f t="shared" ref="N133" si="514">J77</f>
        <v>31.323</v>
      </c>
      <c r="O133" s="62">
        <f t="shared" ref="O133" si="515">K77</f>
        <v>2.5539357174306541</v>
      </c>
      <c r="Q133" s="121">
        <v>-14</v>
      </c>
      <c r="R133" s="122">
        <v>52.33</v>
      </c>
      <c r="S133" s="123">
        <v>3.1780638892262845</v>
      </c>
      <c r="U133" s="48">
        <f>Q17</f>
        <v>44</v>
      </c>
      <c r="V133" s="61">
        <f>R17</f>
        <v>5.0659999999999998</v>
      </c>
      <c r="W133" s="62">
        <f>S17</f>
        <v>0.72235213597216663</v>
      </c>
      <c r="Y133" s="124">
        <v>21</v>
      </c>
      <c r="Z133" s="125">
        <v>3.5829190483620201</v>
      </c>
      <c r="AA133" s="126">
        <v>2.063199615478343</v>
      </c>
      <c r="AC133" s="48">
        <f>Y127</f>
        <v>24</v>
      </c>
      <c r="AD133" s="61">
        <f t="shared" ref="AD133:AE133" si="516">Z127</f>
        <v>3.1350018072338601</v>
      </c>
      <c r="AE133" s="62">
        <f t="shared" si="516"/>
        <v>1.903461517446168</v>
      </c>
      <c r="AG133" s="142">
        <v>16</v>
      </c>
      <c r="AH133" s="143">
        <v>14.197103077835211</v>
      </c>
      <c r="AI133" s="144">
        <f t="shared" si="488"/>
        <v>2.9336369383076897</v>
      </c>
      <c r="AK133" s="48">
        <f>AG116</f>
        <v>24.5</v>
      </c>
      <c r="AL133" s="61">
        <f>AH116</f>
        <v>10.191766622606913</v>
      </c>
      <c r="AM133" s="62">
        <f>AI116</f>
        <v>2.523743170445548</v>
      </c>
    </row>
    <row r="134" spans="1:39">
      <c r="A134" s="121">
        <v>-4.5</v>
      </c>
      <c r="B134" s="122">
        <v>123.12556285715372</v>
      </c>
      <c r="C134" s="123">
        <v>4.0204117640375268</v>
      </c>
      <c r="E134" s="48">
        <f>A76</f>
        <v>24.5</v>
      </c>
      <c r="F134" s="61">
        <f t="shared" ref="F134:G134" si="517">B76</f>
        <v>30.666122656241935</v>
      </c>
      <c r="G134" s="62">
        <f t="shared" si="517"/>
        <v>2.52745035561348</v>
      </c>
      <c r="I134" s="121">
        <v>-4.5</v>
      </c>
      <c r="J134" s="122">
        <v>119.14</v>
      </c>
      <c r="K134" s="123">
        <v>3.9942336060077785</v>
      </c>
      <c r="M134" s="48">
        <f>I76</f>
        <v>24.5</v>
      </c>
      <c r="N134" s="61">
        <f t="shared" ref="N134" si="518">J76</f>
        <v>30.654</v>
      </c>
      <c r="O134" s="62">
        <f t="shared" ref="O134" si="519">K76</f>
        <v>2.5269561776634686</v>
      </c>
      <c r="Q134" s="121">
        <v>-14.5</v>
      </c>
      <c r="R134" s="122">
        <v>53.6</v>
      </c>
      <c r="S134" s="123">
        <v>3.2057416267942584</v>
      </c>
      <c r="U134" s="48">
        <f>Q16</f>
        <v>44.5</v>
      </c>
      <c r="V134" s="61">
        <f>R16</f>
        <v>4.9809999999999999</v>
      </c>
      <c r="W134" s="62">
        <f>S16</f>
        <v>0.71195792001372171</v>
      </c>
      <c r="Y134" s="124">
        <v>20.5</v>
      </c>
      <c r="Z134" s="125">
        <v>3.6643660430990823</v>
      </c>
      <c r="AA134" s="126">
        <v>2.0904912146979209</v>
      </c>
      <c r="AC134" s="48">
        <f>Y126</f>
        <v>24.5</v>
      </c>
      <c r="AD134" s="61">
        <f t="shared" ref="AD134:AE134" si="520">Z126</f>
        <v>3.0666630458986517</v>
      </c>
      <c r="AE134" s="62">
        <f t="shared" si="520"/>
        <v>1.8775496360406034</v>
      </c>
      <c r="AG134" s="142">
        <v>15.5</v>
      </c>
      <c r="AH134" s="143">
        <v>14.484078274491184</v>
      </c>
      <c r="AI134" s="144">
        <f t="shared" si="488"/>
        <v>2.957856553166935</v>
      </c>
      <c r="AK134" s="48">
        <f>AG115</f>
        <v>25</v>
      </c>
      <c r="AL134" s="61">
        <f>AH115</f>
        <v>9.9999999999998224</v>
      </c>
      <c r="AM134" s="62">
        <f>AI115</f>
        <v>2.4999999999999778</v>
      </c>
    </row>
    <row r="135" spans="1:39">
      <c r="A135" s="121">
        <v>-5</v>
      </c>
      <c r="B135" s="122">
        <v>126.37587271456684</v>
      </c>
      <c r="C135" s="123">
        <v>4.0407727394507003</v>
      </c>
      <c r="E135" s="48">
        <f>A75</f>
        <v>25</v>
      </c>
      <c r="F135" s="61">
        <f t="shared" ref="F135:G135" si="521">B75</f>
        <v>30</v>
      </c>
      <c r="G135" s="62">
        <f t="shared" si="521"/>
        <v>2.5</v>
      </c>
      <c r="I135" s="121">
        <v>-5</v>
      </c>
      <c r="J135" s="122">
        <v>122.2</v>
      </c>
      <c r="K135" s="123">
        <v>4.0144546649145862</v>
      </c>
      <c r="M135" s="48">
        <f>I75</f>
        <v>25</v>
      </c>
      <c r="N135" s="61">
        <f t="shared" ref="N135" si="522">J75</f>
        <v>30</v>
      </c>
      <c r="O135" s="62">
        <f t="shared" ref="O135" si="523">K75</f>
        <v>2.5</v>
      </c>
      <c r="Q135" s="121">
        <v>-15</v>
      </c>
      <c r="R135" s="122">
        <v>54.9</v>
      </c>
      <c r="S135" s="123">
        <v>3.2332155477031801</v>
      </c>
      <c r="U135" s="48">
        <f>Q15</f>
        <v>45</v>
      </c>
      <c r="V135" s="61">
        <f>R15</f>
        <v>4.8970000000000002</v>
      </c>
      <c r="W135" s="62">
        <f>S15</f>
        <v>0.70163624380319223</v>
      </c>
      <c r="Y135" s="124">
        <v>20</v>
      </c>
      <c r="Z135" s="125">
        <v>3.7479007570750889</v>
      </c>
      <c r="AA135" s="126">
        <v>2.117960440547515</v>
      </c>
      <c r="AC135" s="48">
        <f>Y125</f>
        <v>25</v>
      </c>
      <c r="AD135" s="61">
        <f t="shared" ref="AD135:AE135" si="524">Z125</f>
        <v>3</v>
      </c>
      <c r="AE135" s="62">
        <f t="shared" si="524"/>
        <v>1.8518518518518519</v>
      </c>
      <c r="AG135" s="142">
        <v>15</v>
      </c>
      <c r="AH135" s="143">
        <v>14.777719485165806</v>
      </c>
      <c r="AI135" s="144">
        <f t="shared" si="488"/>
        <v>2.9820580328252353</v>
      </c>
      <c r="AK135" s="48">
        <f>AG114</f>
        <v>25.5</v>
      </c>
      <c r="AL135" s="61">
        <f>AH114</f>
        <v>9.8123764056150478</v>
      </c>
      <c r="AM135" s="62">
        <f>AI114</f>
        <v>2.4763249508105729</v>
      </c>
    </row>
    <row r="136" spans="1:39">
      <c r="A136" s="121">
        <v>-5.5</v>
      </c>
      <c r="B136" s="122">
        <v>129.72140415470582</v>
      </c>
      <c r="C136" s="123">
        <v>4.0608647551413313</v>
      </c>
      <c r="E136" s="48">
        <f>A74</f>
        <v>25.5</v>
      </c>
      <c r="F136" s="61">
        <f t="shared" ref="F136:G136" si="525">B74</f>
        <v>29.350232174821247</v>
      </c>
      <c r="G136" s="62">
        <f t="shared" si="525"/>
        <v>2.4726299375179863</v>
      </c>
      <c r="I136" s="121">
        <v>-5.5</v>
      </c>
      <c r="J136" s="122">
        <v>125.35</v>
      </c>
      <c r="K136" s="123">
        <v>4.0344383649822984</v>
      </c>
      <c r="M136" s="48">
        <f>I74</f>
        <v>25.5</v>
      </c>
      <c r="N136" s="61">
        <f t="shared" ref="N136" si="526">J74</f>
        <v>29.361999999999998</v>
      </c>
      <c r="O136" s="62">
        <f t="shared" ref="O136" si="527">K74</f>
        <v>2.4731309591994881</v>
      </c>
      <c r="Q136" s="121">
        <v>-15.5</v>
      </c>
      <c r="R136" s="122">
        <v>56.23</v>
      </c>
      <c r="S136" s="123">
        <v>3.260466195059724</v>
      </c>
      <c r="U136" s="48">
        <f>Q14</f>
        <v>45.5</v>
      </c>
      <c r="V136" s="61">
        <f>R14</f>
        <v>4.8150000000000004</v>
      </c>
      <c r="W136" s="62">
        <f>S14</f>
        <v>0.69151227919000446</v>
      </c>
      <c r="Y136" s="124">
        <v>19.5</v>
      </c>
      <c r="Z136" s="125">
        <v>3.8335818928354639</v>
      </c>
      <c r="AA136" s="126">
        <v>2.145601808335083</v>
      </c>
      <c r="AC136" s="48">
        <f>Y124</f>
        <v>25.5</v>
      </c>
      <c r="AD136" s="61">
        <f t="shared" ref="AD136:AE136" si="528">Z124</f>
        <v>2.9349676610595408</v>
      </c>
      <c r="AE136" s="62">
        <f t="shared" si="528"/>
        <v>1.8263717944276818</v>
      </c>
      <c r="AG136" s="142">
        <v>14.5</v>
      </c>
      <c r="AH136" s="143">
        <v>15.078199934871115</v>
      </c>
      <c r="AI136" s="144">
        <f t="shared" si="488"/>
        <v>3.0062364870743679</v>
      </c>
      <c r="AK136" s="48">
        <f>AG113</f>
        <v>26</v>
      </c>
      <c r="AL136" s="61">
        <f>AH113</f>
        <v>9.6287958795236346</v>
      </c>
      <c r="AM136" s="62">
        <f>AI113</f>
        <v>2.452721995435339</v>
      </c>
    </row>
    <row r="137" spans="1:39">
      <c r="A137" s="121">
        <v>-6</v>
      </c>
      <c r="B137" s="122">
        <v>133.16517321688002</v>
      </c>
      <c r="C137" s="123">
        <v>4.0806861719159935</v>
      </c>
      <c r="E137" s="48">
        <f>A73</f>
        <v>26</v>
      </c>
      <c r="F137" s="61">
        <f t="shared" ref="F137:G137" si="529">B73</f>
        <v>28.716376054577818</v>
      </c>
      <c r="G137" s="62">
        <f t="shared" si="529"/>
        <v>2.4453464249807824</v>
      </c>
      <c r="I137" s="121">
        <v>-6</v>
      </c>
      <c r="J137" s="122">
        <v>128.6</v>
      </c>
      <c r="K137" s="123">
        <v>4.0542244640605301</v>
      </c>
      <c r="M137" s="48">
        <f>I73</f>
        <v>26</v>
      </c>
      <c r="N137" s="61">
        <f t="shared" ref="N137" si="530">J73</f>
        <v>28.739000000000001</v>
      </c>
      <c r="O137" s="62">
        <f t="shared" ref="O137" si="531">K73</f>
        <v>2.4463303767513915</v>
      </c>
      <c r="Q137" s="121">
        <v>-16</v>
      </c>
      <c r="R137" s="122">
        <v>57.6</v>
      </c>
      <c r="S137" s="123">
        <v>3.2876712328767126</v>
      </c>
      <c r="U137" s="48">
        <f>Q13</f>
        <v>46</v>
      </c>
      <c r="V137" s="61">
        <f>R13</f>
        <v>4.7350000000000003</v>
      </c>
      <c r="W137" s="62">
        <f>S13</f>
        <v>0.68158917518353246</v>
      </c>
      <c r="Y137" s="124">
        <v>19</v>
      </c>
      <c r="Z137" s="125">
        <v>3.9214699257581582</v>
      </c>
      <c r="AA137" s="126">
        <v>2.1734096317062215</v>
      </c>
      <c r="AC137" s="48">
        <f>Y123</f>
        <v>26</v>
      </c>
      <c r="AD137" s="61">
        <f t="shared" ref="AD137:AE137" si="532">Z123</f>
        <v>2.8715223189454249</v>
      </c>
      <c r="AE137" s="62">
        <f t="shared" si="532"/>
        <v>1.8011128891409205</v>
      </c>
      <c r="AG137" s="142">
        <v>14</v>
      </c>
      <c r="AH137" s="143">
        <v>15.385697797944957</v>
      </c>
      <c r="AI137" s="144">
        <f t="shared" si="488"/>
        <v>3.0303870156349362</v>
      </c>
      <c r="AK137" s="48">
        <f>AG112</f>
        <v>26.5</v>
      </c>
      <c r="AL137" s="61">
        <f>AH112</f>
        <v>9.449161107807047</v>
      </c>
      <c r="AM137" s="62">
        <f>AI112</f>
        <v>2.4291950319682627</v>
      </c>
    </row>
    <row r="138" spans="1:39">
      <c r="A138" s="121">
        <v>-6.5</v>
      </c>
      <c r="B138" s="122">
        <v>136.71029709570499</v>
      </c>
      <c r="C138" s="123">
        <v>4.1002355426558443</v>
      </c>
      <c r="E138" s="48">
        <f>A72</f>
        <v>26.5</v>
      </c>
      <c r="F138" s="61">
        <f t="shared" ref="F138:G138" si="533">B72</f>
        <v>28.098001493578334</v>
      </c>
      <c r="G138" s="62">
        <f t="shared" si="533"/>
        <v>2.4181555966846853</v>
      </c>
      <c r="I138" s="121">
        <v>-6.5</v>
      </c>
      <c r="J138" s="122">
        <v>131.94</v>
      </c>
      <c r="K138" s="123">
        <v>4.0737310114857355</v>
      </c>
      <c r="M138" s="48">
        <f>I72</f>
        <v>26.5</v>
      </c>
      <c r="N138" s="61">
        <f t="shared" ref="N138" si="534">J72</f>
        <v>28.131</v>
      </c>
      <c r="O138" s="62">
        <f t="shared" ref="O138" si="535">K72</f>
        <v>2.4196212003922177</v>
      </c>
      <c r="Q138" s="121">
        <v>-16.5</v>
      </c>
      <c r="R138" s="122">
        <v>59.01</v>
      </c>
      <c r="S138" s="123">
        <v>3.3147960903269302</v>
      </c>
      <c r="U138" s="48">
        <f>Q12</f>
        <v>46.5</v>
      </c>
      <c r="V138" s="61">
        <f>R12</f>
        <v>4.6559999999999997</v>
      </c>
      <c r="W138" s="62">
        <f>S12</f>
        <v>0.67174515235457055</v>
      </c>
      <c r="Y138" s="124">
        <v>18.5</v>
      </c>
      <c r="Z138" s="125">
        <v>4.0116271604937275</v>
      </c>
      <c r="AA138" s="126">
        <v>2.2013780249302646</v>
      </c>
      <c r="AC138" s="48">
        <f>Y122</f>
        <v>26.5</v>
      </c>
      <c r="AD138" s="61">
        <f t="shared" ref="AD138:AE138" si="536">Z122</f>
        <v>2.8096215223104184</v>
      </c>
      <c r="AE138" s="62">
        <f t="shared" si="536"/>
        <v>1.776078358733985</v>
      </c>
      <c r="AG138" s="142">
        <v>13.5</v>
      </c>
      <c r="AH138" s="143">
        <v>15.700396351620988</v>
      </c>
      <c r="AI138" s="144">
        <f t="shared" si="488"/>
        <v>3.0545047120704663</v>
      </c>
      <c r="AK138" s="48">
        <f>AG111</f>
        <v>27</v>
      </c>
      <c r="AL138" s="61">
        <f>AH111</f>
        <v>9.2733773466704932</v>
      </c>
      <c r="AM138" s="62">
        <f>AI111</f>
        <v>2.4057478821355831</v>
      </c>
    </row>
    <row r="139" spans="1:39">
      <c r="A139" s="121">
        <v>-7</v>
      </c>
      <c r="B139" s="122">
        <v>140.35999766961885</v>
      </c>
      <c r="C139" s="123">
        <v>4.1195116104022453</v>
      </c>
      <c r="E139" s="48">
        <f>A71</f>
        <v>27</v>
      </c>
      <c r="F139" s="61">
        <f t="shared" ref="F139:G139" si="537">B71</f>
        <v>27.49469092201468</v>
      </c>
      <c r="G139" s="62">
        <f t="shared" si="537"/>
        <v>2.391063460042619</v>
      </c>
      <c r="I139" s="121">
        <v>-7</v>
      </c>
      <c r="J139" s="122">
        <v>135.37</v>
      </c>
      <c r="K139" s="123">
        <v>4.0929430972969705</v>
      </c>
      <c r="M139" s="48">
        <f>I71</f>
        <v>27</v>
      </c>
      <c r="N139" s="61">
        <f t="shared" ref="N139" si="538">J71</f>
        <v>27.538</v>
      </c>
      <c r="O139" s="62">
        <f t="shared" ref="O139" si="539">K71</f>
        <v>2.3930272167958568</v>
      </c>
      <c r="Q139" s="121">
        <v>-17</v>
      </c>
      <c r="R139" s="122">
        <v>60.46</v>
      </c>
      <c r="S139" s="123">
        <v>3.3418085341587442</v>
      </c>
      <c r="U139" s="48">
        <f>Q11</f>
        <v>47</v>
      </c>
      <c r="V139" s="61">
        <f>R11</f>
        <v>4.5789999999999997</v>
      </c>
      <c r="W139" s="62">
        <f>S11</f>
        <v>0.66210705919777901</v>
      </c>
      <c r="Y139" s="124">
        <v>18</v>
      </c>
      <c r="Z139" s="125">
        <v>4.104117789263575</v>
      </c>
      <c r="AA139" s="126">
        <v>2.229500905589751</v>
      </c>
      <c r="AC139" s="48">
        <f>Y121</f>
        <v>27</v>
      </c>
      <c r="AD139" s="61">
        <f t="shared" ref="AD139:AE139" si="540">Z121</f>
        <v>2.7492240402829928</v>
      </c>
      <c r="AE139" s="62">
        <f t="shared" si="540"/>
        <v>1.751271225138755</v>
      </c>
      <c r="AG139" s="142">
        <v>13</v>
      </c>
      <c r="AH139" s="143">
        <v>16.022484134724145</v>
      </c>
      <c r="AI139" s="144">
        <f t="shared" si="488"/>
        <v>3.0785846677381392</v>
      </c>
      <c r="AK139" s="48">
        <f>AG110</f>
        <v>27.5</v>
      </c>
      <c r="AL139" s="61">
        <f>AH110</f>
        <v>9.1013523488916999</v>
      </c>
      <c r="AM139" s="62">
        <f>AI110</f>
        <v>2.3823842895133494</v>
      </c>
    </row>
    <row r="140" spans="1:39">
      <c r="A140" s="121">
        <v>-7.5</v>
      </c>
      <c r="B140" s="122">
        <v>144.11760515512387</v>
      </c>
      <c r="C140" s="123">
        <v>4.1385133061854207</v>
      </c>
      <c r="E140" s="48">
        <f>A70</f>
        <v>27.5</v>
      </c>
      <c r="F140" s="61">
        <f t="shared" ref="F140:G140" si="541">B70</f>
        <v>26.906038954652725</v>
      </c>
      <c r="G140" s="62">
        <f t="shared" si="541"/>
        <v>2.3640758914966478</v>
      </c>
      <c r="I140" s="121">
        <v>-7.5</v>
      </c>
      <c r="J140" s="122">
        <v>138.9</v>
      </c>
      <c r="K140" s="123">
        <v>4.1119005328596803</v>
      </c>
      <c r="M140" s="48">
        <f>I70</f>
        <v>27.5</v>
      </c>
      <c r="N140" s="61">
        <f t="shared" ref="N140" si="542">J70</f>
        <v>26.957999999999998</v>
      </c>
      <c r="O140" s="62">
        <f t="shared" ref="O140" si="543">K70</f>
        <v>2.366480564626567</v>
      </c>
      <c r="Q140" s="121">
        <v>-17.5</v>
      </c>
      <c r="R140" s="122">
        <v>61.95</v>
      </c>
      <c r="S140" s="123">
        <v>3.3686786296900491</v>
      </c>
      <c r="U140" s="48">
        <f>Q10</f>
        <v>47.5</v>
      </c>
      <c r="V140" s="61">
        <f>R10</f>
        <v>4.5030000000000001</v>
      </c>
      <c r="W140" s="62">
        <f>S10</f>
        <v>0.6525519520041736</v>
      </c>
      <c r="Y140" s="124">
        <v>17.5</v>
      </c>
      <c r="Z140" s="125">
        <v>4.1990079520773769</v>
      </c>
      <c r="AA140" s="126">
        <v>2.2577719976781654</v>
      </c>
      <c r="AC140" s="48">
        <f>Y120</f>
        <v>27.5</v>
      </c>
      <c r="AD140" s="61">
        <f t="shared" ref="AD140:AE140" si="544">Z120</f>
        <v>2.6902898253712451</v>
      </c>
      <c r="AE140" s="62">
        <f t="shared" si="544"/>
        <v>1.7266943115579398</v>
      </c>
      <c r="AG140" s="142">
        <v>12.5</v>
      </c>
      <c r="AH140" s="143">
        <v>16.352155111675359</v>
      </c>
      <c r="AI140" s="144">
        <f t="shared" si="488"/>
        <v>3.1026219757697375</v>
      </c>
      <c r="AK140" s="48">
        <f>AG109</f>
        <v>28</v>
      </c>
      <c r="AL140" s="61">
        <f>AH109</f>
        <v>8.9329962925296442</v>
      </c>
      <c r="AM140" s="62">
        <f>AI109</f>
        <v>2.3591079178667349</v>
      </c>
    </row>
    <row r="141" spans="1:39">
      <c r="A141" s="121">
        <v>-8</v>
      </c>
      <c r="B141" s="122">
        <v>147.98656189123034</v>
      </c>
      <c r="C141" s="123">
        <v>4.1572397466070123</v>
      </c>
      <c r="E141" s="48">
        <f>A69</f>
        <v>28</v>
      </c>
      <c r="F141" s="61">
        <f t="shared" ref="F141:G141" si="545">B69</f>
        <v>26.331652012316315</v>
      </c>
      <c r="G141" s="62">
        <f t="shared" si="545"/>
        <v>2.337198632711782</v>
      </c>
      <c r="I141" s="121">
        <v>-8</v>
      </c>
      <c r="J141" s="122">
        <v>142.54</v>
      </c>
      <c r="K141" s="123">
        <v>4.1306363741741041</v>
      </c>
      <c r="M141" s="48">
        <f>I69</f>
        <v>28</v>
      </c>
      <c r="N141" s="61">
        <f t="shared" ref="N141" si="546">J69</f>
        <v>26.393000000000001</v>
      </c>
      <c r="O141" s="62">
        <f t="shared" ref="O141" si="547">K69</f>
        <v>2.3400954019115847</v>
      </c>
      <c r="Q141" s="121">
        <v>-18</v>
      </c>
      <c r="R141" s="122">
        <v>63.48</v>
      </c>
      <c r="S141" s="123">
        <v>3.3953786906290118</v>
      </c>
      <c r="U141" s="48">
        <f>Q9</f>
        <v>48</v>
      </c>
      <c r="V141" s="61">
        <f>R9</f>
        <v>4.4290000000000003</v>
      </c>
      <c r="W141" s="62">
        <f>S9</f>
        <v>0.64320776089924192</v>
      </c>
      <c r="Y141" s="124">
        <v>17</v>
      </c>
      <c r="Z141" s="125">
        <v>4.2963657989337882</v>
      </c>
      <c r="AA141" s="126">
        <v>2.2861848351100273</v>
      </c>
      <c r="AC141" s="48">
        <f>Y119</f>
        <v>28</v>
      </c>
      <c r="AD141" s="61">
        <f t="shared" ref="AD141:AE141" si="548">Z119</f>
        <v>2.632779977540161</v>
      </c>
      <c r="AE141" s="62">
        <f t="shared" si="548"/>
        <v>1.7023502447936341</v>
      </c>
      <c r="AG141" s="142">
        <v>12</v>
      </c>
      <c r="AH141" s="143">
        <v>16.68960884199592</v>
      </c>
      <c r="AI141" s="144">
        <f t="shared" si="488"/>
        <v>3.1266117350762617</v>
      </c>
      <c r="AK141" s="48">
        <f>AG108</f>
        <v>28.5</v>
      </c>
      <c r="AL141" s="61">
        <f>AH108</f>
        <v>8.7682217118179935</v>
      </c>
      <c r="AM141" s="62">
        <f>AI108</f>
        <v>2.3359223496109944</v>
      </c>
    </row>
    <row r="142" spans="1:39">
      <c r="A142" s="121">
        <v>-8.5</v>
      </c>
      <c r="B142" s="122">
        <v>151.97042625873289</v>
      </c>
      <c r="C142" s="123">
        <v>4.1756902311877653</v>
      </c>
      <c r="E142" s="48">
        <f>A68</f>
        <v>28.5</v>
      </c>
      <c r="F142" s="61">
        <f t="shared" ref="F142:G142" si="549">B68</f>
        <v>25.771147955729983</v>
      </c>
      <c r="G142" s="62">
        <f t="shared" si="549"/>
        <v>2.3104372870526708</v>
      </c>
      <c r="I142" s="121">
        <v>-8.5</v>
      </c>
      <c r="J142" s="122">
        <v>146.28</v>
      </c>
      <c r="K142" s="123">
        <v>4.1490810074880873</v>
      </c>
      <c r="M142" s="48">
        <f>I68</f>
        <v>28.5</v>
      </c>
      <c r="N142" s="61">
        <f t="shared" ref="N142" si="550">J68</f>
        <v>25.84</v>
      </c>
      <c r="O142" s="62">
        <f t="shared" ref="O142" si="551">K68</f>
        <v>2.3137535816618908</v>
      </c>
      <c r="Q142" s="121">
        <v>-18.5</v>
      </c>
      <c r="R142" s="122">
        <v>65.05</v>
      </c>
      <c r="S142" s="123">
        <v>3.4218832193582327</v>
      </c>
      <c r="U142" s="48">
        <f>Q8</f>
        <v>48.5</v>
      </c>
      <c r="V142" s="61">
        <f>R8</f>
        <v>4.3559999999999999</v>
      </c>
      <c r="W142" s="62">
        <f>S8</f>
        <v>0.63395040167656302</v>
      </c>
      <c r="Y142" s="124">
        <v>16.5</v>
      </c>
      <c r="Z142" s="125">
        <v>4.3962615540700911</v>
      </c>
      <c r="AA142" s="126">
        <v>2.3147327656460011</v>
      </c>
      <c r="AC142" s="48">
        <f>Y118</f>
        <v>28.5</v>
      </c>
      <c r="AD142" s="61">
        <f t="shared" ref="AD142:AE142" si="552">Z118</f>
        <v>2.5766567094244355</v>
      </c>
      <c r="AE142" s="62">
        <f t="shared" si="552"/>
        <v>1.678241457808801</v>
      </c>
      <c r="AG142" s="142">
        <v>11.5</v>
      </c>
      <c r="AH142" s="143">
        <v>17.035050655506971</v>
      </c>
      <c r="AI142" s="144">
        <f t="shared" si="488"/>
        <v>3.1505490543693462</v>
      </c>
      <c r="AK142" s="48">
        <f>AG107</f>
        <v>29</v>
      </c>
      <c r="AL142" s="61">
        <f>AH107</f>
        <v>8.6069434301731906</v>
      </c>
      <c r="AM142" s="62">
        <f>AI107</f>
        <v>2.3128310843940367</v>
      </c>
    </row>
    <row r="143" spans="1:39">
      <c r="A143" s="121">
        <v>-9</v>
      </c>
      <c r="B143" s="122">
        <v>156.07287673911196</v>
      </c>
      <c r="C143" s="123">
        <v>4.1938642394919752</v>
      </c>
      <c r="E143" s="48">
        <f>A67</f>
        <v>29</v>
      </c>
      <c r="F143" s="61">
        <f t="shared" ref="F143:G143" si="553">B67</f>
        <v>25.224155731301323</v>
      </c>
      <c r="G143" s="62">
        <f t="shared" si="553"/>
        <v>2.2837973163439553</v>
      </c>
      <c r="I143" s="121">
        <v>-9</v>
      </c>
      <c r="J143" s="122">
        <v>150.13</v>
      </c>
      <c r="K143" s="123">
        <v>4.1672680841614387</v>
      </c>
      <c r="M143" s="48">
        <f>I67</f>
        <v>29</v>
      </c>
      <c r="N143" s="61">
        <f t="shared" ref="N143" si="554">J67</f>
        <v>25.300999999999998</v>
      </c>
      <c r="O143" s="62">
        <f t="shared" ref="O143" si="555">K67</f>
        <v>2.2875716533154913</v>
      </c>
      <c r="Q143" s="121">
        <v>-19</v>
      </c>
      <c r="R143" s="122">
        <v>66.67</v>
      </c>
      <c r="S143" s="123">
        <v>3.4483293679528293</v>
      </c>
      <c r="U143" s="48">
        <f>Q7</f>
        <v>49</v>
      </c>
      <c r="V143" s="61">
        <f>R7</f>
        <v>4.2850000000000001</v>
      </c>
      <c r="W143" s="62">
        <f>S7</f>
        <v>0.62490885226775561</v>
      </c>
      <c r="Y143" s="124">
        <v>16</v>
      </c>
      <c r="Z143" s="125">
        <v>4.4987675823285089</v>
      </c>
      <c r="AA143" s="126">
        <v>2.3434089552344273</v>
      </c>
      <c r="AC143" s="48">
        <f>Y117</f>
        <v>29</v>
      </c>
      <c r="AD143" s="61">
        <f t="shared" ref="AD143:AE143" si="556">Z117</f>
        <v>2.5218833126400115</v>
      </c>
      <c r="AE143" s="62">
        <f t="shared" si="556"/>
        <v>1.6543701925072507</v>
      </c>
      <c r="AG143" s="142">
        <v>11</v>
      </c>
      <c r="AH143" s="143">
        <v>17.388691833429068</v>
      </c>
      <c r="AI143" s="144">
        <f t="shared" si="488"/>
        <v>3.1744290561927144</v>
      </c>
      <c r="AK143" s="48">
        <f>AG106</f>
        <v>29.5</v>
      </c>
      <c r="AL143" s="61">
        <f>AH106</f>
        <v>8.4490784952466669</v>
      </c>
      <c r="AM143" s="62">
        <f>AI106</f>
        <v>2.2898375377999338</v>
      </c>
    </row>
    <row r="144" spans="1:39" ht="13.5" thickBot="1">
      <c r="A144" s="121">
        <v>-9.5</v>
      </c>
      <c r="B144" s="122">
        <v>160.29771611801385</v>
      </c>
      <c r="C144" s="123">
        <v>4.2117614280405924</v>
      </c>
      <c r="E144" s="48">
        <f>A66</f>
        <v>29.5</v>
      </c>
      <c r="F144" s="61">
        <f t="shared" ref="F144:G144" si="557">B66</f>
        <v>24.690315028437993</v>
      </c>
      <c r="G144" s="62">
        <f t="shared" si="557"/>
        <v>2.2572840379141597</v>
      </c>
      <c r="I144" s="121">
        <v>-9.5</v>
      </c>
      <c r="J144" s="122">
        <v>154.1</v>
      </c>
      <c r="K144" s="123">
        <v>4.1852254209668658</v>
      </c>
      <c r="M144" s="48">
        <f>I66</f>
        <v>29.5</v>
      </c>
      <c r="N144" s="61">
        <f t="shared" ref="N144" si="558">J66</f>
        <v>24.774000000000001</v>
      </c>
      <c r="O144" s="62">
        <f t="shared" ref="O144" si="559">K66</f>
        <v>2.2614744221711032</v>
      </c>
      <c r="Q144" s="121">
        <v>-19.5</v>
      </c>
      <c r="R144" s="122">
        <v>68.33</v>
      </c>
      <c r="S144" s="123">
        <v>3.4745245601545816</v>
      </c>
      <c r="U144" s="48">
        <f>Q6</f>
        <v>49.5</v>
      </c>
      <c r="V144" s="61">
        <f>R6</f>
        <v>4.2149999999999999</v>
      </c>
      <c r="W144" s="62">
        <f>S6</f>
        <v>0.6159579131959666</v>
      </c>
      <c r="Y144" s="130">
        <v>15.5</v>
      </c>
      <c r="Z144" s="131">
        <v>4.6039584577094157</v>
      </c>
      <c r="AA144" s="132">
        <v>2.3722063927694124</v>
      </c>
      <c r="AC144" s="48">
        <f>Y116</f>
        <v>29.5</v>
      </c>
      <c r="AD144" s="61">
        <f t="shared" ref="AD144:AE144" si="560">Z116</f>
        <v>2.4684241251588359</v>
      </c>
      <c r="AE144" s="62">
        <f t="shared" si="560"/>
        <v>1.6307385027177188</v>
      </c>
      <c r="AG144" s="142">
        <v>10.5</v>
      </c>
      <c r="AH144" s="143">
        <v>17.750749795594508</v>
      </c>
      <c r="AI144" s="144">
        <f t="shared" si="488"/>
        <v>3.1982468809567948</v>
      </c>
      <c r="AK144" s="48">
        <f>AG105</f>
        <v>30</v>
      </c>
      <c r="AL144" s="61">
        <f>AH105</f>
        <v>8.294546115956674</v>
      </c>
      <c r="AM144" s="62">
        <f>AI105</f>
        <v>2.2669450401729545</v>
      </c>
    </row>
    <row r="145" spans="1:39" ht="13.5" thickTop="1">
      <c r="A145" s="121">
        <v>-10</v>
      </c>
      <c r="B145" s="122">
        <v>164.64887583843239</v>
      </c>
      <c r="C145" s="123">
        <v>4.2293816270251314</v>
      </c>
      <c r="E145" s="48">
        <f>A65</f>
        <v>30</v>
      </c>
      <c r="F145" s="61">
        <f t="shared" ref="F145:G145" si="561">B65</f>
        <v>24.169275948008831</v>
      </c>
      <c r="G145" s="62">
        <f t="shared" si="561"/>
        <v>2.2309026219222754</v>
      </c>
      <c r="I145" s="121">
        <v>-10</v>
      </c>
      <c r="J145" s="122">
        <v>158.18</v>
      </c>
      <c r="K145" s="123">
        <v>4.2028908491869492</v>
      </c>
      <c r="M145" s="48">
        <f>I65</f>
        <v>30</v>
      </c>
      <c r="N145" s="61">
        <f t="shared" ref="N145" si="562">J65</f>
        <v>24.26</v>
      </c>
      <c r="O145" s="62">
        <f t="shared" ref="O145" si="563">K65</f>
        <v>2.2355326207150754</v>
      </c>
      <c r="Q145" s="121">
        <v>-20</v>
      </c>
      <c r="R145" s="122">
        <v>70.040000000000006</v>
      </c>
      <c r="S145" s="123">
        <v>3.500599760095962</v>
      </c>
      <c r="U145" s="48">
        <f>Q5</f>
        <v>50</v>
      </c>
      <c r="V145" s="61">
        <f>R5</f>
        <v>4.1459999999999999</v>
      </c>
      <c r="W145" s="62">
        <f>S5</f>
        <v>0.6070989281321385</v>
      </c>
      <c r="Y145" s="118">
        <v>15</v>
      </c>
      <c r="Z145" s="119">
        <v>4.711911034183494</v>
      </c>
      <c r="AA145" s="120">
        <v>2.4011178952641203</v>
      </c>
      <c r="AC145" s="48">
        <f>Y115</f>
        <v>30</v>
      </c>
      <c r="AD145" s="61">
        <f t="shared" ref="AD145:AE145" si="564">Z115</f>
        <v>2.4162444997123895</v>
      </c>
      <c r="AE145" s="62">
        <f t="shared" si="564"/>
        <v>1.6073482573676572</v>
      </c>
      <c r="AG145" s="142">
        <v>10</v>
      </c>
      <c r="AH145" s="143">
        <v>18.121448293991815</v>
      </c>
      <c r="AI145" s="144">
        <f t="shared" si="488"/>
        <v>3.2219976909694741</v>
      </c>
      <c r="AK145" s="48">
        <f>AG104</f>
        <v>30.5</v>
      </c>
      <c r="AL145" s="61">
        <f>AH104</f>
        <v>8.1432676014333261</v>
      </c>
      <c r="AM145" s="62">
        <f>AI104</f>
        <v>2.2441568355608679</v>
      </c>
    </row>
    <row r="146" spans="1:39">
      <c r="A146" s="121">
        <v>-10.5</v>
      </c>
      <c r="B146" s="122">
        <v>169.1304205088922</v>
      </c>
      <c r="C146" s="123">
        <v>4.246724836834753</v>
      </c>
      <c r="E146" s="48">
        <f>A64</f>
        <v>30.5</v>
      </c>
      <c r="F146" s="61">
        <f t="shared" ref="F146:G146" si="565">B64</f>
        <v>23.660698681572121</v>
      </c>
      <c r="G146" s="62">
        <f t="shared" si="565"/>
        <v>2.2046580889653562</v>
      </c>
      <c r="I146" s="121">
        <v>-10.5</v>
      </c>
      <c r="J146" s="122">
        <v>162.38</v>
      </c>
      <c r="K146" s="123">
        <v>4.2202931697681674</v>
      </c>
      <c r="M146" s="48">
        <f>I64</f>
        <v>30.5</v>
      </c>
      <c r="N146" s="61">
        <f t="shared" ref="N146" si="566">J64</f>
        <v>23.757000000000001</v>
      </c>
      <c r="O146" s="62">
        <f t="shared" ref="O146" si="567">K64</f>
        <v>2.2096657179530106</v>
      </c>
      <c r="Y146" s="124">
        <v>14.5</v>
      </c>
      <c r="Z146" s="125">
        <v>4.8227045188373232</v>
      </c>
      <c r="AA146" s="126">
        <v>2.4301361134365491</v>
      </c>
      <c r="AC146" s="48">
        <f>Y114</f>
        <v>30.5</v>
      </c>
      <c r="AD146" s="61">
        <f t="shared" ref="AD146:AE146" si="568">Z114</f>
        <v>2.3653107731907625</v>
      </c>
      <c r="AE146" s="62">
        <f t="shared" si="568"/>
        <v>1.5842011438324897</v>
      </c>
      <c r="AG146" s="142">
        <v>9.5</v>
      </c>
      <c r="AH146" s="143">
        <v>18.501017612871323</v>
      </c>
      <c r="AI146" s="144">
        <f t="shared" si="488"/>
        <v>3.2456766744560186</v>
      </c>
      <c r="AK146" s="48">
        <f>AG103</f>
        <v>31</v>
      </c>
      <c r="AL146" s="61">
        <f>AH103</f>
        <v>7.99516630181673</v>
      </c>
      <c r="AM146" s="62">
        <f>AI103</f>
        <v>2.2214760807766374</v>
      </c>
    </row>
    <row r="147" spans="1:39">
      <c r="A147" s="121">
        <v>-11</v>
      </c>
      <c r="B147" s="122">
        <v>173.74655257210964</v>
      </c>
      <c r="C147" s="123">
        <v>4.263791224409001</v>
      </c>
      <c r="E147" s="48">
        <f>A63</f>
        <v>31</v>
      </c>
      <c r="F147" s="61">
        <f t="shared" ref="F147:G147" si="569">B63</f>
        <v>23.164253201007043</v>
      </c>
      <c r="G147" s="62">
        <f t="shared" si="569"/>
        <v>2.178555307964738</v>
      </c>
      <c r="I147" s="121">
        <v>-11</v>
      </c>
      <c r="J147" s="122">
        <v>166.71</v>
      </c>
      <c r="K147" s="123">
        <v>4.2374561537288393</v>
      </c>
      <c r="M147" s="48">
        <f>I63</f>
        <v>31</v>
      </c>
      <c r="N147" s="61">
        <f t="shared" ref="N147" si="570">J63</f>
        <v>23.266999999999999</v>
      </c>
      <c r="O147" s="62">
        <f t="shared" ref="O147" si="571">K63</f>
        <v>2.1839975970112828</v>
      </c>
      <c r="Y147" s="124">
        <v>14</v>
      </c>
      <c r="Z147" s="125">
        <v>4.9364205474295701</v>
      </c>
      <c r="AA147" s="126">
        <v>2.459253537703658</v>
      </c>
      <c r="AC147" s="48">
        <f>Y113</f>
        <v>31</v>
      </c>
      <c r="AD147" s="61">
        <f t="shared" ref="AD147:AE147" si="572">Z113</f>
        <v>2.3155902370050812</v>
      </c>
      <c r="AE147" s="62">
        <f t="shared" si="572"/>
        <v>1.5612986714461949</v>
      </c>
      <c r="AG147" s="142">
        <v>9</v>
      </c>
      <c r="AH147" s="143">
        <v>18.889694775649268</v>
      </c>
      <c r="AI147" s="144">
        <f t="shared" si="488"/>
        <v>3.2692790495611495</v>
      </c>
      <c r="AK147" s="48">
        <f>AG102</f>
        <v>31.5</v>
      </c>
      <c r="AL147" s="61">
        <f>AH102</f>
        <v>7.8501675508471287</v>
      </c>
      <c r="AM147" s="62">
        <f>AI102</f>
        <v>2.198905844576954</v>
      </c>
    </row>
    <row r="148" spans="1:39">
      <c r="A148" s="121">
        <v>-11.5</v>
      </c>
      <c r="B148" s="122">
        <v>178.50161713979412</v>
      </c>
      <c r="C148" s="123">
        <v>4.2805811194287786</v>
      </c>
      <c r="E148" s="48">
        <f>A62</f>
        <v>31.5</v>
      </c>
      <c r="F148" s="61">
        <f t="shared" ref="F148:G148" si="573">B62</f>
        <v>22.679618958197103</v>
      </c>
      <c r="G148" s="62">
        <f t="shared" si="573"/>
        <v>2.1525989943277755</v>
      </c>
      <c r="I148" s="121">
        <v>-11.5</v>
      </c>
      <c r="J148" s="122">
        <v>171.16</v>
      </c>
      <c r="K148" s="123">
        <v>4.254324915490157</v>
      </c>
      <c r="M148" s="48">
        <f>I62</f>
        <v>31.5</v>
      </c>
      <c r="N148" s="61">
        <f t="shared" ref="N148" si="574">J62</f>
        <v>22.786999999999999</v>
      </c>
      <c r="O148" s="62">
        <f t="shared" ref="O148" si="575">K62</f>
        <v>2.1583912705779831</v>
      </c>
      <c r="Y148" s="124">
        <v>13.5</v>
      </c>
      <c r="Z148" s="125">
        <v>5.053143262436623</v>
      </c>
      <c r="AA148" s="126">
        <v>2.4884625045780822</v>
      </c>
      <c r="AC148" s="48">
        <f>Y112</f>
        <v>31.5</v>
      </c>
      <c r="AD148" s="61">
        <f t="shared" ref="AD148:AE148" si="576">Z112</f>
        <v>2.2670511083821014</v>
      </c>
      <c r="AE148" s="62">
        <f t="shared" si="576"/>
        <v>1.5386421751592645</v>
      </c>
      <c r="AG148" s="142">
        <v>8.5</v>
      </c>
      <c r="AH148" s="143">
        <v>19.287723758857066</v>
      </c>
      <c r="AI148" s="144">
        <f t="shared" si="488"/>
        <v>3.2928000683262653</v>
      </c>
      <c r="AK148" s="48">
        <f>AG101</f>
        <v>32</v>
      </c>
      <c r="AL148" s="61">
        <f>AH101</f>
        <v>7.7081986101895188</v>
      </c>
      <c r="AM148" s="62">
        <f>AI101</f>
        <v>2.1764491069560639</v>
      </c>
    </row>
    <row r="149" spans="1:39">
      <c r="A149" s="121">
        <v>-12</v>
      </c>
      <c r="B149" s="122">
        <v>183.40010699944045</v>
      </c>
      <c r="C149" s="123">
        <v>4.2970950103582037</v>
      </c>
      <c r="E149" s="48">
        <f>A61</f>
        <v>32</v>
      </c>
      <c r="F149" s="61">
        <f t="shared" ref="F149:G149" si="577">B61</f>
        <v>22.20648459442641</v>
      </c>
      <c r="G149" s="62">
        <f t="shared" si="577"/>
        <v>2.1267937083813133</v>
      </c>
      <c r="I149" s="121">
        <v>-12</v>
      </c>
      <c r="J149" s="122">
        <v>175.75</v>
      </c>
      <c r="K149" s="123">
        <v>4.2709599027946537</v>
      </c>
      <c r="M149" s="48">
        <f>I61</f>
        <v>32</v>
      </c>
      <c r="N149" s="61">
        <f t="shared" ref="N149" si="578">J61</f>
        <v>22.318999999999999</v>
      </c>
      <c r="O149" s="62">
        <f t="shared" ref="O149" si="579">K61</f>
        <v>2.132972725013857</v>
      </c>
      <c r="Y149" s="124">
        <v>13</v>
      </c>
      <c r="Z149" s="125">
        <v>5.1729593936698439</v>
      </c>
      <c r="AA149" s="126">
        <v>2.5177552034603585</v>
      </c>
      <c r="AC149" s="48">
        <f>Y111</f>
        <v>32</v>
      </c>
      <c r="AD149" s="61">
        <f t="shared" ref="AD149:AE149" si="580">Z111</f>
        <v>2.2196625025607926</v>
      </c>
      <c r="AE149" s="62">
        <f t="shared" si="580"/>
        <v>1.516232819330291</v>
      </c>
      <c r="AG149" s="142">
        <v>8</v>
      </c>
      <c r="AH149" s="143">
        <v>19.695355713391638</v>
      </c>
      <c r="AI149" s="144">
        <f t="shared" si="488"/>
        <v>3.3162350206348385</v>
      </c>
      <c r="AK149" s="48">
        <f>AG100</f>
        <v>32.5</v>
      </c>
      <c r="AL149" s="61">
        <f>AH100</f>
        <v>7.5691886154369294</v>
      </c>
      <c r="AM149" s="62">
        <f>AI100</f>
        <v>2.1541087585531313</v>
      </c>
    </row>
    <row r="150" spans="1:39">
      <c r="A150" s="121">
        <v>-12.5</v>
      </c>
      <c r="B150" s="122">
        <v>188.44666779916517</v>
      </c>
      <c r="C150" s="123">
        <v>4.3133335403499657</v>
      </c>
      <c r="E150" s="48">
        <f>A60</f>
        <v>32.5</v>
      </c>
      <c r="F150" s="61">
        <f t="shared" ref="F150:G150" si="581">B60</f>
        <v>21.7445476591618</v>
      </c>
      <c r="G150" s="62">
        <f t="shared" si="581"/>
        <v>2.1011438540724927</v>
      </c>
      <c r="I150" s="121">
        <v>-12.5</v>
      </c>
      <c r="J150" s="122">
        <v>180.48</v>
      </c>
      <c r="K150" s="123">
        <v>4.2873432155074118</v>
      </c>
      <c r="M150" s="48">
        <f>I60</f>
        <v>32.5</v>
      </c>
      <c r="N150" s="61">
        <f t="shared" ref="N150" si="582">J60</f>
        <v>21.861999999999998</v>
      </c>
      <c r="O150" s="62">
        <f t="shared" ref="O150" si="583">K60</f>
        <v>2.1077089198256913</v>
      </c>
      <c r="Y150" s="124">
        <v>12.5</v>
      </c>
      <c r="Z150" s="125">
        <v>5.2959583415484968</v>
      </c>
      <c r="AA150" s="126">
        <v>2.547123683817905</v>
      </c>
      <c r="AC150" s="48">
        <f>Y110</f>
        <v>32.5</v>
      </c>
      <c r="AD150" s="61">
        <f t="shared" ref="AD150:AE150" si="584">Z110</f>
        <v>2.173394405861925</v>
      </c>
      <c r="AE150" s="62">
        <f t="shared" si="584"/>
        <v>1.4940716016378115</v>
      </c>
      <c r="AG150" s="142">
        <v>7.5</v>
      </c>
      <c r="AH150" s="143">
        <v>20.112849193332284</v>
      </c>
      <c r="AI150" s="144">
        <f t="shared" si="488"/>
        <v>3.3395792381190148</v>
      </c>
      <c r="AK150" s="48">
        <f>AG99</f>
        <v>33</v>
      </c>
      <c r="AL150" s="61">
        <f>AH99</f>
        <v>7.4330685237387613</v>
      </c>
      <c r="AM150" s="62">
        <f>AI99</f>
        <v>2.131887600171217</v>
      </c>
    </row>
    <row r="151" spans="1:39">
      <c r="A151" s="121">
        <v>-13</v>
      </c>
      <c r="B151" s="122">
        <v>193.64610341683309</v>
      </c>
      <c r="C151" s="123">
        <v>4.3292975030267842</v>
      </c>
      <c r="E151" s="48">
        <f>A59</f>
        <v>33</v>
      </c>
      <c r="F151" s="61">
        <f t="shared" ref="F151:G151" si="585">B59</f>
        <v>21.293514337904604</v>
      </c>
      <c r="G151" s="62">
        <f t="shared" si="585"/>
        <v>2.0756536779318746</v>
      </c>
      <c r="I151" s="121">
        <v>-13</v>
      </c>
      <c r="J151" s="122">
        <v>185.34</v>
      </c>
      <c r="K151" s="123">
        <v>4.3034271384786846</v>
      </c>
      <c r="M151" s="48">
        <f>I59</f>
        <v>33</v>
      </c>
      <c r="N151" s="61">
        <f t="shared" ref="N151" si="586">J59</f>
        <v>21.414999999999999</v>
      </c>
      <c r="O151" s="62">
        <f t="shared" ref="O151" si="587">K59</f>
        <v>2.0825634542448701</v>
      </c>
      <c r="Y151" s="124">
        <v>12</v>
      </c>
      <c r="Z151" s="125">
        <v>5.4222322631151272</v>
      </c>
      <c r="AA151" s="126">
        <v>2.5765598627405062</v>
      </c>
      <c r="AC151" s="48">
        <f>Y109</f>
        <v>33</v>
      </c>
      <c r="AD151" s="61">
        <f t="shared" ref="AD151:AE151" si="588">Z109</f>
        <v>2.1282176496021501</v>
      </c>
      <c r="AE151" s="62">
        <f t="shared" si="588"/>
        <v>1.4721593570991112</v>
      </c>
      <c r="AG151" s="142">
        <v>7</v>
      </c>
      <c r="AH151" s="143">
        <v>20.540470392601037</v>
      </c>
      <c r="AI151" s="144">
        <f t="shared" si="488"/>
        <v>3.3628280980206062</v>
      </c>
      <c r="AK151" s="48">
        <f>AG98</f>
        <v>33.5</v>
      </c>
      <c r="AL151" s="61">
        <f>AH98</f>
        <v>7.2997710630009642</v>
      </c>
      <c r="AM151" s="62">
        <f>AI98</f>
        <v>2.1097883424055799</v>
      </c>
    </row>
    <row r="152" spans="1:39">
      <c r="A152" s="121">
        <v>-13.5</v>
      </c>
      <c r="B152" s="122">
        <v>199.00338151993205</v>
      </c>
      <c r="C152" s="123">
        <v>4.3449878381514457</v>
      </c>
      <c r="E152" s="48">
        <f>A58</f>
        <v>33.5</v>
      </c>
      <c r="F152" s="61">
        <f t="shared" ref="F152:G152" si="589">B58</f>
        <v>20.85309918880764</v>
      </c>
      <c r="G152" s="62">
        <f t="shared" si="589"/>
        <v>2.0503272682933393</v>
      </c>
      <c r="I152" s="121">
        <v>-13.5</v>
      </c>
      <c r="J152" s="122">
        <v>190.35</v>
      </c>
      <c r="K152" s="123">
        <v>4.3192648059904695</v>
      </c>
      <c r="M152" s="48">
        <f>I58</f>
        <v>33.5</v>
      </c>
      <c r="N152" s="61">
        <f t="shared" ref="N152" si="590">J58</f>
        <v>20.978999999999999</v>
      </c>
      <c r="O152" s="62">
        <f t="shared" ref="O152" si="591">K58</f>
        <v>2.0576119578650034</v>
      </c>
      <c r="Y152" s="124">
        <v>11.5</v>
      </c>
      <c r="Z152" s="125">
        <v>5.5518761608836522</v>
      </c>
      <c r="AA152" s="126">
        <v>2.60605553286074</v>
      </c>
      <c r="AC152" s="48">
        <f>Y108</f>
        <v>33.5</v>
      </c>
      <c r="AD152" s="61">
        <f t="shared" ref="AD152:AE152" si="592">Z108</f>
        <v>2.0841038848256943</v>
      </c>
      <c r="AE152" s="62">
        <f t="shared" si="592"/>
        <v>1.4504967621833467</v>
      </c>
      <c r="AG152" s="142">
        <v>6.5</v>
      </c>
      <c r="AH152" s="143">
        <v>20.97849338975254</v>
      </c>
      <c r="AI152" s="144">
        <f t="shared" si="488"/>
        <v>3.3859770269996528</v>
      </c>
      <c r="AK152" s="48">
        <f>AG97</f>
        <v>34</v>
      </c>
      <c r="AL152" s="61">
        <f>AH97</f>
        <v>7.1692306826092933</v>
      </c>
      <c r="AM152" s="62">
        <f>AI97</f>
        <v>2.0878136053792451</v>
      </c>
    </row>
    <row r="153" spans="1:39">
      <c r="A153" s="121">
        <v>-14</v>
      </c>
      <c r="B153" s="122">
        <v>204.52363932286843</v>
      </c>
      <c r="C153" s="123">
        <v>4.3604056271977978</v>
      </c>
      <c r="E153" s="48">
        <f>A57</f>
        <v>34</v>
      </c>
      <c r="F153" s="61">
        <f t="shared" ref="F153:G153" si="593">B57</f>
        <v>20.423024887762569</v>
      </c>
      <c r="G153" s="62">
        <f t="shared" si="593"/>
        <v>2.0251685547646647</v>
      </c>
      <c r="I153" s="121">
        <v>-14</v>
      </c>
      <c r="J153" s="122">
        <v>195.51</v>
      </c>
      <c r="K153" s="123">
        <v>4.3348410270054547</v>
      </c>
      <c r="M153" s="48">
        <f>I57</f>
        <v>34</v>
      </c>
      <c r="N153" s="61">
        <f t="shared" ref="N153" si="594">J57</f>
        <v>20.552</v>
      </c>
      <c r="O153" s="62">
        <f t="shared" ref="O153" si="595">K57</f>
        <v>2.0327583478398479</v>
      </c>
      <c r="Y153" s="124">
        <v>11</v>
      </c>
      <c r="Z153" s="125">
        <v>5.6849879746112411</v>
      </c>
      <c r="AA153" s="126">
        <v>2.6356023706258065</v>
      </c>
      <c r="AC153" s="48">
        <f>Y107</f>
        <v>34</v>
      </c>
      <c r="AD153" s="61">
        <f t="shared" ref="AD153:AE153" si="596">Z107</f>
        <v>2.0410255578269285</v>
      </c>
      <c r="AE153" s="62">
        <f t="shared" si="596"/>
        <v>1.4290843390063632</v>
      </c>
      <c r="AG153" s="142">
        <v>6</v>
      </c>
      <c r="AH153" s="143">
        <v>21.427200401191609</v>
      </c>
      <c r="AI153" s="144">
        <f t="shared" si="488"/>
        <v>3.4090215048838974</v>
      </c>
      <c r="AK153" s="48">
        <f>AG96</f>
        <v>34.5</v>
      </c>
      <c r="AL153" s="61">
        <f>AH96</f>
        <v>7.0413835056254479</v>
      </c>
      <c r="AM153" s="62">
        <f>AI96</f>
        <v>2.0659659185831516</v>
      </c>
    </row>
    <row r="154" spans="1:39">
      <c r="A154" s="121">
        <v>-14.5</v>
      </c>
      <c r="B154" s="122">
        <v>210.21218954857383</v>
      </c>
      <c r="C154" s="123">
        <v>4.3755520888349082</v>
      </c>
      <c r="E154" s="48">
        <f>A56</f>
        <v>34.5</v>
      </c>
      <c r="F154" s="61">
        <f t="shared" ref="F154:G154" si="597">B56</f>
        <v>20.003021981673712</v>
      </c>
      <c r="G154" s="62">
        <f t="shared" si="597"/>
        <v>2.000181307942237</v>
      </c>
      <c r="I154" s="121">
        <v>-14.5</v>
      </c>
      <c r="J154" s="122">
        <v>200.83</v>
      </c>
      <c r="K154" s="123">
        <v>4.3501711216046441</v>
      </c>
      <c r="M154" s="48">
        <f>I56</f>
        <v>34.5</v>
      </c>
      <c r="N154" s="61">
        <f t="shared" ref="N154" si="598">J56</f>
        <v>20.135000000000002</v>
      </c>
      <c r="O154" s="62">
        <f t="shared" ref="O154" si="599">K56</f>
        <v>2.0080781888899972</v>
      </c>
      <c r="Y154" s="124">
        <v>10.5</v>
      </c>
      <c r="Z154" s="125">
        <v>5.8216686760905363</v>
      </c>
      <c r="AA154" s="126">
        <v>2.6651919449063666</v>
      </c>
      <c r="AC154" s="48">
        <f>Y106</f>
        <v>34.5</v>
      </c>
      <c r="AD154" s="61">
        <f t="shared" ref="AD154:AE154" si="600">Z106</f>
        <v>1.9989558864383685</v>
      </c>
      <c r="AE154" s="62">
        <f t="shared" si="600"/>
        <v>1.4079224595951594</v>
      </c>
      <c r="AG154" s="142">
        <v>5.5</v>
      </c>
      <c r="AH154" s="143">
        <v>21.886882043129383</v>
      </c>
      <c r="AI154" s="144">
        <f t="shared" si="488"/>
        <v>3.4319570683527081</v>
      </c>
      <c r="AK154" s="48">
        <f>AG95</f>
        <v>35</v>
      </c>
      <c r="AL154" s="61">
        <f>AH95</f>
        <v>6.9161672824100382</v>
      </c>
      <c r="AM154" s="62">
        <f>AI95</f>
        <v>2.0442477208184404</v>
      </c>
    </row>
    <row r="155" spans="1:39">
      <c r="A155" s="121">
        <v>-15</v>
      </c>
      <c r="B155" s="122">
        <v>216.07452660153459</v>
      </c>
      <c r="C155" s="123">
        <v>4.3904285743363713</v>
      </c>
      <c r="E155" s="48">
        <f>A55</f>
        <v>35</v>
      </c>
      <c r="F155" s="61">
        <f t="shared" ref="F155:G155" si="601">B55</f>
        <v>19.592828649644026</v>
      </c>
      <c r="G155" s="62">
        <f t="shared" si="601"/>
        <v>1.9753691393629209</v>
      </c>
      <c r="I155" s="121">
        <v>-15</v>
      </c>
      <c r="J155" s="122">
        <v>206.31</v>
      </c>
      <c r="K155" s="123">
        <v>4.3652405738225211</v>
      </c>
      <c r="M155" s="48">
        <f>I55</f>
        <v>35</v>
      </c>
      <c r="N155" s="61">
        <f t="shared" ref="N155" si="602">J55</f>
        <v>19.728000000000002</v>
      </c>
      <c r="O155" s="62">
        <f t="shared" ref="O155" si="603">K55</f>
        <v>1.9835907335907339</v>
      </c>
      <c r="Y155" s="124">
        <v>10</v>
      </c>
      <c r="Z155" s="125">
        <v>5.9620223670590882</v>
      </c>
      <c r="AA155" s="126">
        <v>2.6948157259259506</v>
      </c>
      <c r="AC155" s="48">
        <f>Y105</f>
        <v>35</v>
      </c>
      <c r="AD155" s="61">
        <f t="shared" ref="AD155:AE155" si="604">Z105</f>
        <v>1.9578688370595239</v>
      </c>
      <c r="AE155" s="62">
        <f t="shared" si="604"/>
        <v>1.3870113502103694</v>
      </c>
      <c r="AG155" s="142">
        <v>5</v>
      </c>
      <c r="AH155" s="143">
        <v>22.357837602595886</v>
      </c>
      <c r="AI155" s="144">
        <f t="shared" si="488"/>
        <v>3.4547793145488561</v>
      </c>
      <c r="AK155" s="48">
        <f>AG94</f>
        <v>35.5</v>
      </c>
      <c r="AL155" s="61">
        <f>AH94</f>
        <v>6.7935213456269823</v>
      </c>
      <c r="AM155" s="62">
        <f>AI94</f>
        <v>2.0226613602381875</v>
      </c>
    </row>
    <row r="156" spans="1:39">
      <c r="A156" s="121">
        <v>-15.5</v>
      </c>
      <c r="B156" s="122">
        <v>222.11633295959609</v>
      </c>
      <c r="C156" s="123">
        <v>4.4050365629265329</v>
      </c>
      <c r="E156" s="48">
        <f>A54</f>
        <v>35.5</v>
      </c>
      <c r="F156" s="61">
        <f t="shared" ref="F156:G156" si="605">B54</f>
        <v>19.192190471808594</v>
      </c>
      <c r="G156" s="62">
        <f t="shared" si="605"/>
        <v>1.9507355016857189</v>
      </c>
      <c r="I156" s="121">
        <v>-15.5</v>
      </c>
      <c r="J156" s="122">
        <v>211.95</v>
      </c>
      <c r="K156" s="123">
        <v>4.380037197768134</v>
      </c>
      <c r="M156" s="48">
        <f>I54</f>
        <v>35.5</v>
      </c>
      <c r="N156" s="61">
        <f t="shared" ref="N156" si="606">J54</f>
        <v>19.329999999999998</v>
      </c>
      <c r="O156" s="62">
        <f t="shared" ref="O156" si="607">K54</f>
        <v>1.959254003648895</v>
      </c>
      <c r="Y156" s="124">
        <v>9.5</v>
      </c>
      <c r="Z156" s="125">
        <v>6.106156380327489</v>
      </c>
      <c r="AA156" s="126">
        <v>2.7244650944934623</v>
      </c>
      <c r="AC156" s="48">
        <f>Y104</f>
        <v>35.5</v>
      </c>
      <c r="AD156" s="61">
        <f t="shared" ref="AD156:AE156" si="608">Z104</f>
        <v>1.9177391024026176</v>
      </c>
      <c r="AE156" s="62">
        <f t="shared" si="608"/>
        <v>1.3663510957154661</v>
      </c>
      <c r="AG156" s="142">
        <v>4.5</v>
      </c>
      <c r="AH156" s="143">
        <v>22.84037531784843</v>
      </c>
      <c r="AI156" s="144">
        <f t="shared" si="488"/>
        <v>3.4774839046122148</v>
      </c>
      <c r="AK156" s="48">
        <f>AG93</f>
        <v>36</v>
      </c>
      <c r="AL156" s="61">
        <f>AH93</f>
        <v>6.6733865665848047</v>
      </c>
      <c r="AM156" s="62">
        <f>AI93</f>
        <v>2.0012090944856289</v>
      </c>
    </row>
    <row r="157" spans="1:39">
      <c r="A157" s="121">
        <v>-16</v>
      </c>
      <c r="B157" s="122">
        <v>228.34348579212153</v>
      </c>
      <c r="C157" s="123">
        <v>4.4193776570751275</v>
      </c>
      <c r="E157" s="48">
        <f>A53</f>
        <v>36</v>
      </c>
      <c r="F157" s="61">
        <f t="shared" ref="F157:G157" si="609">B53</f>
        <v>18.800860205559601</v>
      </c>
      <c r="G157" s="62">
        <f t="shared" si="609"/>
        <v>1.9262836890954771</v>
      </c>
      <c r="I157" s="121">
        <v>-16</v>
      </c>
      <c r="J157" s="122">
        <v>217.77</v>
      </c>
      <c r="K157" s="123">
        <v>4.3945998304879526</v>
      </c>
      <c r="M157" s="48">
        <f>I53</f>
        <v>36</v>
      </c>
      <c r="N157" s="61">
        <f t="shared" ref="N157" si="610">J53</f>
        <v>18.940999999999999</v>
      </c>
      <c r="O157" s="62">
        <f t="shared" ref="O157" si="611">K53</f>
        <v>1.9350851024703213</v>
      </c>
      <c r="Y157" s="124">
        <v>9</v>
      </c>
      <c r="Z157" s="125">
        <v>6.2541813842300025</v>
      </c>
      <c r="AA157" s="126">
        <v>2.7541313515197716</v>
      </c>
      <c r="AC157" s="48">
        <f>Y103</f>
        <v>36</v>
      </c>
      <c r="AD157" s="61">
        <f t="shared" ref="AD157:AE157" si="612">Z103</f>
        <v>1.8785420799320702</v>
      </c>
      <c r="AE157" s="62">
        <f t="shared" si="612"/>
        <v>1.345941643981859</v>
      </c>
      <c r="AG157" s="142">
        <v>4</v>
      </c>
      <c r="AH157" s="143">
        <v>23.334812668518222</v>
      </c>
      <c r="AI157" s="144">
        <f t="shared" si="488"/>
        <v>3.5000665671290667</v>
      </c>
      <c r="AK157" s="48">
        <f>AG92</f>
        <v>36.5</v>
      </c>
      <c r="AL157" s="61">
        <f>AH92</f>
        <v>6.5557053128729974</v>
      </c>
      <c r="AM157" s="62">
        <f>AI92</f>
        <v>1.9798930909260524</v>
      </c>
    </row>
    <row r="158" spans="1:39">
      <c r="A158" s="121">
        <v>-16.5</v>
      </c>
      <c r="B158" s="122">
        <v>234.76206381233948</v>
      </c>
      <c r="C158" s="123">
        <v>4.4334535777515374</v>
      </c>
      <c r="E158" s="48">
        <f>A52</f>
        <v>36.5</v>
      </c>
      <c r="F158" s="61">
        <f t="shared" ref="F158:G158" si="613">B52</f>
        <v>18.41859756891624</v>
      </c>
      <c r="G158" s="62">
        <f t="shared" si="613"/>
        <v>1.9020168379206224</v>
      </c>
      <c r="I158" s="121">
        <v>-16.5</v>
      </c>
      <c r="J158" s="122">
        <v>223.76</v>
      </c>
      <c r="K158" s="123">
        <v>4.4088902900378306</v>
      </c>
      <c r="M158" s="48">
        <f>I52</f>
        <v>36.5</v>
      </c>
      <c r="N158" s="61">
        <f t="shared" ref="N158" si="614">J52</f>
        <v>18.561</v>
      </c>
      <c r="O158" s="62">
        <f t="shared" ref="O158" si="615">K52</f>
        <v>1.9111015012046706</v>
      </c>
      <c r="Y158" s="124">
        <v>8.5</v>
      </c>
      <c r="Z158" s="125">
        <v>6.4062114905047114</v>
      </c>
      <c r="AA158" s="126">
        <v>2.7838057277981196</v>
      </c>
      <c r="AC158" s="48">
        <f>Y102</f>
        <v>36.5</v>
      </c>
      <c r="AD158" s="61">
        <f t="shared" ref="AD158:AE158" si="616">Z102</f>
        <v>1.8402538509753139</v>
      </c>
      <c r="AE158" s="62">
        <f t="shared" si="616"/>
        <v>1.3257828103194691</v>
      </c>
      <c r="AG158" s="142">
        <v>3.5</v>
      </c>
      <c r="AH158" s="143">
        <v>23.841476675859351</v>
      </c>
      <c r="AI158" s="144">
        <f t="shared" si="488"/>
        <v>3.522523101491394</v>
      </c>
      <c r="AK158" s="48">
        <f>AG91</f>
        <v>37</v>
      </c>
      <c r="AL158" s="61">
        <f>AH91</f>
        <v>6.4404214072524137</v>
      </c>
      <c r="AM158" s="62">
        <f>AI91</f>
        <v>1.9587154269693265</v>
      </c>
    </row>
    <row r="159" spans="1:39">
      <c r="A159" s="121">
        <v>-17</v>
      </c>
      <c r="B159" s="122">
        <v>241.37835437195281</v>
      </c>
      <c r="C159" s="123">
        <v>4.4472661596495309</v>
      </c>
      <c r="E159" s="48">
        <f>A51</f>
        <v>37</v>
      </c>
      <c r="F159" s="61">
        <f t="shared" ref="F159:G159" si="617">B51</f>
        <v>18.045169030801258</v>
      </c>
      <c r="G159" s="62">
        <f t="shared" si="617"/>
        <v>1.8779379274566281</v>
      </c>
      <c r="I159" s="121">
        <v>-17</v>
      </c>
      <c r="J159" s="122">
        <v>229.94</v>
      </c>
      <c r="K159" s="123">
        <v>4.4229437562514429</v>
      </c>
      <c r="M159" s="48">
        <f>I51</f>
        <v>37</v>
      </c>
      <c r="N159" s="61">
        <f t="shared" ref="N159" si="618">J51</f>
        <v>18.190000000000001</v>
      </c>
      <c r="O159" s="62">
        <f t="shared" ref="O159" si="619">K51</f>
        <v>1.8873210209587052</v>
      </c>
      <c r="Y159" s="124">
        <v>8</v>
      </c>
      <c r="Z159" s="125">
        <v>6.5623643657131936</v>
      </c>
      <c r="AA159" s="126">
        <v>2.8134793940267544</v>
      </c>
      <c r="AC159" s="48">
        <f>Y101</f>
        <v>37</v>
      </c>
      <c r="AD159" s="61">
        <f t="shared" ref="AD159:AE159" si="620">Z101</f>
        <v>1.8028511604835842</v>
      </c>
      <c r="AE159" s="62">
        <f t="shared" si="620"/>
        <v>1.3058742819230107</v>
      </c>
      <c r="AG159" s="142">
        <v>3</v>
      </c>
      <c r="AH159" s="143">
        <v>24.360704213472708</v>
      </c>
      <c r="AI159" s="144">
        <f t="shared" si="488"/>
        <v>3.5448493811603785</v>
      </c>
      <c r="AK159" s="48">
        <f>AG90</f>
        <v>37.5</v>
      </c>
      <c r="AL159" s="61">
        <f>AH90</f>
        <v>6.3274800877597537</v>
      </c>
      <c r="AM159" s="62">
        <f>AI90</f>
        <v>1.9376780904798914</v>
      </c>
    </row>
    <row r="160" spans="1:39">
      <c r="A160" s="121">
        <v>-17.5</v>
      </c>
      <c r="B160" s="122">
        <v>248.19886080634797</v>
      </c>
      <c r="C160" s="123">
        <v>4.4608173463930401</v>
      </c>
      <c r="E160" s="48">
        <f>A50</f>
        <v>37.5</v>
      </c>
      <c r="F160" s="61">
        <f t="shared" ref="F160:G160" si="621">B50</f>
        <v>17.680347607993887</v>
      </c>
      <c r="G160" s="62">
        <f t="shared" si="621"/>
        <v>1.8540497809866718</v>
      </c>
      <c r="I160" s="121">
        <v>-17.5</v>
      </c>
      <c r="J160" s="122">
        <v>236.31</v>
      </c>
      <c r="K160" s="123">
        <v>4.4367466486425595</v>
      </c>
      <c r="M160" s="48">
        <f>I50</f>
        <v>37.5</v>
      </c>
      <c r="N160" s="61">
        <f t="shared" ref="N160" si="622">J50</f>
        <v>17.827000000000002</v>
      </c>
      <c r="O160" s="62">
        <f t="shared" ref="O160" si="623">K50</f>
        <v>1.8636962385263556</v>
      </c>
      <c r="Y160" s="124">
        <v>7.5</v>
      </c>
      <c r="Z160" s="125">
        <v>6.7227613463133711</v>
      </c>
      <c r="AA160" s="126">
        <v>2.8431434710511576</v>
      </c>
      <c r="AC160" s="48">
        <f>Y100</f>
        <v>37.5</v>
      </c>
      <c r="AD160" s="61">
        <f t="shared" ref="AD160:AE160" si="624">Z100</f>
        <v>1.7663113974213838</v>
      </c>
      <c r="AE160" s="62">
        <f t="shared" si="624"/>
        <v>1.2862156223243202</v>
      </c>
      <c r="AG160" s="142">
        <v>2.5</v>
      </c>
      <c r="AH160" s="143">
        <v>24.892842328897025</v>
      </c>
      <c r="AI160" s="144">
        <f t="shared" si="488"/>
        <v>3.5670413568288826</v>
      </c>
      <c r="AK160" s="48">
        <f>AG89</f>
        <v>38</v>
      </c>
      <c r="AL160" s="61">
        <f>AH89</f>
        <v>6.2168279689885768</v>
      </c>
      <c r="AM160" s="62">
        <f>AI89</f>
        <v>1.916782980271176</v>
      </c>
    </row>
    <row r="161" spans="1:39">
      <c r="A161" s="121">
        <v>-18</v>
      </c>
      <c r="B161" s="122">
        <v>255.23031003900456</v>
      </c>
      <c r="C161" s="123">
        <v>4.4741091857331439</v>
      </c>
      <c r="E161" s="48">
        <f>A49</f>
        <v>38</v>
      </c>
      <c r="F161" s="61">
        <f t="shared" ref="F161:G161" si="625">B49</f>
        <v>17.323912668537233</v>
      </c>
      <c r="G161" s="62">
        <f t="shared" si="625"/>
        <v>1.8303550669907773</v>
      </c>
      <c r="I161" s="121">
        <v>-18</v>
      </c>
      <c r="J161" s="122">
        <v>242.87</v>
      </c>
      <c r="K161" s="123">
        <v>4.4502876827793454</v>
      </c>
      <c r="M161" s="48">
        <f>I49</f>
        <v>38</v>
      </c>
      <c r="N161" s="61">
        <f t="shared" ref="N161" si="626">J49</f>
        <v>17.472000000000001</v>
      </c>
      <c r="O161" s="62">
        <f t="shared" ref="O161" si="627">K49</f>
        <v>1.8402426693629932</v>
      </c>
      <c r="Y161" s="124">
        <v>7</v>
      </c>
      <c r="Z161" s="125">
        <v>6.8875275575019312</v>
      </c>
      <c r="AA161" s="126">
        <v>2.8727890403019924</v>
      </c>
      <c r="AC161" s="48">
        <f>Y99</f>
        <v>38</v>
      </c>
      <c r="AD161" s="61">
        <f t="shared" ref="AD161:AE161" si="628">Z99</f>
        <v>1.7306125757647566</v>
      </c>
      <c r="AE161" s="62">
        <f t="shared" si="628"/>
        <v>1.266806275841956</v>
      </c>
      <c r="AG161" s="142">
        <v>2</v>
      </c>
      <c r="AH161" s="143">
        <v>25.438248576469181</v>
      </c>
      <c r="AI161" s="144">
        <f t="shared" si="488"/>
        <v>3.5890950594776361</v>
      </c>
      <c r="AK161" s="48">
        <f>AG88</f>
        <v>38.5</v>
      </c>
      <c r="AL161" s="61">
        <f>AH88</f>
        <v>6.1084130045087219</v>
      </c>
      <c r="AM161" s="62">
        <f>AI88</f>
        <v>1.8960319066809952</v>
      </c>
    </row>
    <row r="162" spans="1:39">
      <c r="A162" s="121">
        <v>-18.5</v>
      </c>
      <c r="B162" s="122">
        <v>262.47966045396834</v>
      </c>
      <c r="C162" s="123">
        <v>4.4871438247460373</v>
      </c>
      <c r="E162" s="48">
        <f>A48</f>
        <v>38.5</v>
      </c>
      <c r="F162" s="61">
        <f t="shared" ref="F162:G162" si="629">B48</f>
        <v>16.975649741385325</v>
      </c>
      <c r="G162" s="62">
        <f t="shared" si="629"/>
        <v>1.8068563005345575</v>
      </c>
      <c r="I162" s="121">
        <v>-18.5</v>
      </c>
      <c r="J162" s="122">
        <v>249.63</v>
      </c>
      <c r="K162" s="123">
        <v>4.4635768694346103</v>
      </c>
      <c r="M162" s="48">
        <f>I48</f>
        <v>38.5</v>
      </c>
      <c r="N162" s="61">
        <f t="shared" ref="N162" si="630">J48</f>
        <v>17.125</v>
      </c>
      <c r="O162" s="62">
        <f t="shared" ref="O162" si="631">K48</f>
        <v>1.8169761273209548</v>
      </c>
      <c r="Y162" s="124">
        <v>6.5</v>
      </c>
      <c r="Z162" s="125">
        <v>7.0567920359462031</v>
      </c>
      <c r="AA162" s="126">
        <v>2.9024071544039334</v>
      </c>
      <c r="AC162" s="48">
        <f>Y98</f>
        <v>38.5</v>
      </c>
      <c r="AD162" s="61">
        <f t="shared" ref="AD162:AE162" si="632">Z98</f>
        <v>1.6957333160885781</v>
      </c>
      <c r="AE162" s="62">
        <f t="shared" si="632"/>
        <v>1.2476455720194386</v>
      </c>
      <c r="AG162" s="142">
        <v>1.5</v>
      </c>
      <c r="AH162" s="143">
        <v>25.99729136187856</v>
      </c>
      <c r="AI162" s="144">
        <f t="shared" si="488"/>
        <v>3.6110066033204253</v>
      </c>
      <c r="AK162" s="48">
        <f>AG87</f>
        <v>39</v>
      </c>
      <c r="AL162" s="61">
        <f>AH87</f>
        <v>6.0021844503896906</v>
      </c>
      <c r="AM162" s="62">
        <f>AI87</f>
        <v>1.8754265922248894</v>
      </c>
    </row>
    <row r="163" spans="1:39">
      <c r="A163" s="121">
        <v>-19</v>
      </c>
      <c r="B163" s="122">
        <v>269.95411004553921</v>
      </c>
      <c r="C163" s="123">
        <v>4.4999235050413979</v>
      </c>
      <c r="E163" s="48">
        <f>A47</f>
        <v>39</v>
      </c>
      <c r="F163" s="61">
        <f t="shared" ref="F163:G163" si="633">B47</f>
        <v>16.635350332083178</v>
      </c>
      <c r="G163" s="62">
        <f t="shared" si="633"/>
        <v>1.7835558448285902</v>
      </c>
      <c r="I163" s="121">
        <v>-19</v>
      </c>
      <c r="J163" s="122">
        <v>256.60000000000002</v>
      </c>
      <c r="K163" s="123">
        <v>4.4766224703419395</v>
      </c>
      <c r="M163" s="48">
        <f>I47</f>
        <v>39</v>
      </c>
      <c r="N163" s="61">
        <f t="shared" ref="N163" si="634">J47</f>
        <v>16.786000000000001</v>
      </c>
      <c r="O163" s="62">
        <f t="shared" ref="O163" si="635">K47</f>
        <v>1.793912708930022</v>
      </c>
      <c r="Y163" s="124">
        <v>6</v>
      </c>
      <c r="Z163" s="125">
        <v>7.2306878565290376</v>
      </c>
      <c r="AA163" s="126">
        <v>2.9319888479296896</v>
      </c>
      <c r="AC163" s="48">
        <f>Y97</f>
        <v>39</v>
      </c>
      <c r="AD163" s="61">
        <f t="shared" ref="AD163:AE163" si="636">Z97</f>
        <v>1.661652827724021</v>
      </c>
      <c r="AE163" s="62">
        <f t="shared" si="636"/>
        <v>1.2287327300441533</v>
      </c>
      <c r="AG163" s="142">
        <v>1</v>
      </c>
      <c r="AH163" s="143">
        <v>26.570350298848521</v>
      </c>
      <c r="AI163" s="144">
        <f t="shared" si="488"/>
        <v>3.6327721886335236</v>
      </c>
      <c r="AK163" s="48">
        <f>AG86</f>
        <v>39.5</v>
      </c>
      <c r="AL163" s="61">
        <f>AH86</f>
        <v>5.898092829792283</v>
      </c>
      <c r="AM163" s="62">
        <f>AI86</f>
        <v>1.8549686723238692</v>
      </c>
    </row>
    <row r="164" spans="1:39">
      <c r="A164" s="121">
        <v>-19.5</v>
      </c>
      <c r="B164" s="122">
        <v>277.66110485459154</v>
      </c>
      <c r="C164" s="123">
        <v>4.5124505579901175</v>
      </c>
      <c r="E164" s="48">
        <f>A46</f>
        <v>39.5</v>
      </c>
      <c r="F164" s="61">
        <f t="shared" ref="F164:G164" si="637">B46</f>
        <v>16.302811744279129</v>
      </c>
      <c r="G164" s="62">
        <f t="shared" si="637"/>
        <v>1.7604559129493251</v>
      </c>
      <c r="I164" s="121">
        <v>-19.5</v>
      </c>
      <c r="J164" s="122">
        <v>263.79000000000002</v>
      </c>
      <c r="K164" s="123">
        <v>4.489431226386194</v>
      </c>
      <c r="M164" s="48">
        <f>I46</f>
        <v>39.5</v>
      </c>
      <c r="N164" s="61">
        <f t="shared" ref="N164" si="638">J46</f>
        <v>16.454000000000001</v>
      </c>
      <c r="O164" s="62">
        <f t="shared" ref="O164" si="639">K46</f>
        <v>1.7709992680931677</v>
      </c>
      <c r="Y164" s="124">
        <v>5.5</v>
      </c>
      <c r="Z164" s="125">
        <v>7.4093522632335675</v>
      </c>
      <c r="AA164" s="126">
        <v>2.9615251482726692</v>
      </c>
      <c r="AC164" s="48">
        <f>Y96</f>
        <v>39.5</v>
      </c>
      <c r="AD164" s="61">
        <f t="shared" ref="AD164:AE164" si="640">Z96</f>
        <v>1.6283508914678788</v>
      </c>
      <c r="AE164" s="62">
        <f t="shared" si="640"/>
        <v>1.2100668631393514</v>
      </c>
      <c r="AG164" s="142">
        <v>0.5</v>
      </c>
      <c r="AH164" s="143">
        <v>27.15781657840612</v>
      </c>
      <c r="AI164" s="144">
        <f t="shared" si="488"/>
        <v>3.6543881044652933</v>
      </c>
      <c r="AK164" s="48">
        <f>AG85</f>
        <v>40</v>
      </c>
      <c r="AL164" s="61">
        <f>AH85</f>
        <v>5.7960898985960059</v>
      </c>
      <c r="AM164" s="62">
        <f>AI85</f>
        <v>1.8346596961033934</v>
      </c>
    </row>
    <row r="165" spans="1:39">
      <c r="A165" s="121">
        <v>-20</v>
      </c>
      <c r="B165" s="122">
        <v>285.60834770125172</v>
      </c>
      <c r="C165" s="123">
        <v>4.5247273999799686</v>
      </c>
      <c r="E165" s="48">
        <f>A45</f>
        <v>40</v>
      </c>
      <c r="F165" s="61">
        <f t="shared" ref="F165:G165" si="641">B45</f>
        <v>15.977836906877176</v>
      </c>
      <c r="G165" s="62">
        <f t="shared" si="641"/>
        <v>1.7375585697124518</v>
      </c>
      <c r="I165" s="121">
        <v>-20</v>
      </c>
      <c r="J165" s="122">
        <v>271.20999999999998</v>
      </c>
      <c r="K165" s="123">
        <v>4.502008565452674</v>
      </c>
      <c r="M165" s="48">
        <f>I45</f>
        <v>40</v>
      </c>
      <c r="N165" s="61">
        <f t="shared" ref="N165" si="642">J45</f>
        <v>16.13</v>
      </c>
      <c r="O165" s="62">
        <f t="shared" ref="O165" si="643">K45</f>
        <v>1.7483199653154129</v>
      </c>
      <c r="Y165" s="124">
        <v>5</v>
      </c>
      <c r="Z165" s="125">
        <v>7.5929268042975124</v>
      </c>
      <c r="AA165" s="126">
        <v>2.9910070866109204</v>
      </c>
      <c r="AC165" s="48">
        <f>Y95</f>
        <v>40</v>
      </c>
      <c r="AD165" s="61">
        <f t="shared" ref="AD165:AE165" si="644">Z95</f>
        <v>1.5958078428260545</v>
      </c>
      <c r="AE165" s="62">
        <f t="shared" si="644"/>
        <v>1.1916469829221703</v>
      </c>
      <c r="AG165" s="142">
        <v>0</v>
      </c>
      <c r="AH165" s="143">
        <v>27.760093351206816</v>
      </c>
      <c r="AI165" s="144">
        <f t="shared" si="488"/>
        <v>3.6758507312217219</v>
      </c>
      <c r="AK165" s="48">
        <f>AG84</f>
        <v>40.5</v>
      </c>
      <c r="AL165" s="61">
        <f>AH84</f>
        <v>5.6961286120289598</v>
      </c>
      <c r="AM165" s="62">
        <f>AI84</f>
        <v>1.8145011272600198</v>
      </c>
    </row>
    <row r="166" spans="1:39">
      <c r="A166" s="121">
        <v>-20.5</v>
      </c>
      <c r="B166" s="122">
        <v>293.80380722393937</v>
      </c>
      <c r="C166" s="123">
        <v>4.5367565277073423</v>
      </c>
      <c r="E166" s="48">
        <f>A44</f>
        <v>40.5</v>
      </c>
      <c r="F166" s="61">
        <f t="shared" ref="F166:G166" si="645">B44</f>
        <v>15.660234206642031</v>
      </c>
      <c r="G166" s="62">
        <f t="shared" si="645"/>
        <v>1.7148657336895561</v>
      </c>
      <c r="I166" s="121">
        <v>-20.5</v>
      </c>
      <c r="J166" s="122">
        <v>278.85000000000002</v>
      </c>
      <c r="K166" s="123">
        <v>4.5143273433705682</v>
      </c>
      <c r="M166" s="48">
        <f>I44</f>
        <v>40.5</v>
      </c>
      <c r="N166" s="61">
        <f t="shared" ref="N166" si="646">J44</f>
        <v>15.813000000000001</v>
      </c>
      <c r="O166" s="62">
        <f t="shared" ref="O166" si="647">K44</f>
        <v>1.7258201820443977</v>
      </c>
      <c r="Y166" s="124">
        <v>4.5</v>
      </c>
      <c r="Z166" s="125">
        <v>7.7815574717720724</v>
      </c>
      <c r="AA166" s="126">
        <v>3.0204257089347091</v>
      </c>
      <c r="AC166" s="48">
        <f>Y94</f>
        <v>40.5</v>
      </c>
      <c r="AD166" s="61">
        <f t="shared" ref="AD166:AE166" si="648">Z94</f>
        <v>1.5640045557740483</v>
      </c>
      <c r="AE166" s="62">
        <f t="shared" si="648"/>
        <v>1.1734720037210296</v>
      </c>
      <c r="AG166" s="142">
        <v>-0.5</v>
      </c>
      <c r="AH166" s="143">
        <v>28.3775961234122</v>
      </c>
      <c r="AI166" s="144">
        <f t="shared" si="488"/>
        <v>3.6971565431244513</v>
      </c>
      <c r="AK166" s="48">
        <f>AG83</f>
        <v>41</v>
      </c>
      <c r="AL166" s="61">
        <f>AH83</f>
        <v>5.5981630922701351</v>
      </c>
      <c r="AM166" s="62">
        <f>AI83</f>
        <v>1.7944943449925763</v>
      </c>
    </row>
    <row r="167" spans="1:39">
      <c r="A167" s="121">
        <v>-21</v>
      </c>
      <c r="B167" s="122">
        <v>302.25572723508014</v>
      </c>
      <c r="C167" s="123">
        <v>4.5485405135127408</v>
      </c>
      <c r="E167" s="48">
        <f>A43</f>
        <v>41</v>
      </c>
      <c r="F167" s="61">
        <f t="shared" ref="F167:G167" si="649">B43</f>
        <v>15.34981732607738</v>
      </c>
      <c r="G167" s="62">
        <f t="shared" si="649"/>
        <v>1.6923791793589891</v>
      </c>
      <c r="I167" s="121">
        <v>-21</v>
      </c>
      <c r="J167" s="122">
        <v>286.73</v>
      </c>
      <c r="K167" s="123">
        <v>4.5264105073722094</v>
      </c>
      <c r="M167" s="48">
        <f>I43</f>
        <v>41</v>
      </c>
      <c r="N167" s="61">
        <f t="shared" ref="N167" si="650">J43</f>
        <v>15.503</v>
      </c>
      <c r="O167" s="62">
        <f t="shared" ref="O167" si="651">K43</f>
        <v>1.7035140540184164</v>
      </c>
      <c r="Y167" s="124">
        <v>4</v>
      </c>
      <c r="Z167" s="125">
        <v>7.9753948456215937</v>
      </c>
      <c r="AA167" s="126">
        <v>3.0497720871091789</v>
      </c>
      <c r="AC167" s="48">
        <f>Y93</f>
        <v>41</v>
      </c>
      <c r="AD167" s="61">
        <f t="shared" ref="AD167:AE167" si="652">Z93</f>
        <v>1.5329224270179331</v>
      </c>
      <c r="AE167" s="62">
        <f t="shared" si="652"/>
        <v>1.1555407468462684</v>
      </c>
      <c r="AG167" s="142">
        <v>-1</v>
      </c>
      <c r="AH167" s="143">
        <v>29.010753166627339</v>
      </c>
      <c r="AI167" s="144">
        <f t="shared" si="488"/>
        <v>3.7183021105377261</v>
      </c>
      <c r="AK167" s="48">
        <f>AG82</f>
        <v>41.5</v>
      </c>
      <c r="AL167" s="61">
        <f>AH82</f>
        <v>5.502148596992674</v>
      </c>
      <c r="AM167" s="62">
        <f>AI82</f>
        <v>1.7746406449942231</v>
      </c>
    </row>
    <row r="168" spans="1:39">
      <c r="A168" s="121">
        <v>-21.5</v>
      </c>
      <c r="B168" s="122">
        <v>310.97263640412581</v>
      </c>
      <c r="C168" s="123">
        <v>4.5600820007673057</v>
      </c>
      <c r="E168" s="48">
        <f>A42</f>
        <v>41.5</v>
      </c>
      <c r="F168" s="61">
        <f t="shared" ref="F168:G168" si="653">B42</f>
        <v>15.046405086402913</v>
      </c>
      <c r="G168" s="62">
        <f t="shared" si="653"/>
        <v>1.6701005393818444</v>
      </c>
      <c r="I168" s="121">
        <v>-21.5</v>
      </c>
      <c r="J168" s="122">
        <v>294.86</v>
      </c>
      <c r="K168" s="123">
        <v>4.5382626362125231</v>
      </c>
      <c r="M168" s="48">
        <f>I42</f>
        <v>41.5</v>
      </c>
      <c r="N168" s="61">
        <f t="shared" ref="N168" si="654">J42</f>
        <v>15.2</v>
      </c>
      <c r="O168" s="62">
        <f t="shared" ref="O168" si="655">K42</f>
        <v>1.6814159292035398</v>
      </c>
      <c r="Y168" s="124">
        <v>3.5</v>
      </c>
      <c r="Z168" s="125">
        <v>8.1745942425064335</v>
      </c>
      <c r="AA168" s="126">
        <v>3.0790373299436355</v>
      </c>
      <c r="AC168" s="48">
        <f>Y92</f>
        <v>41.5</v>
      </c>
      <c r="AD168" s="61">
        <f t="shared" ref="AD168:AE168" si="656">Z92</f>
        <v>1.50254336073978</v>
      </c>
      <c r="AE168" s="62">
        <f t="shared" si="656"/>
        <v>1.137851944808302</v>
      </c>
      <c r="AG168" s="142">
        <v>-1.5</v>
      </c>
      <c r="AH168" s="143">
        <v>29.660005942435653</v>
      </c>
      <c r="AI168" s="144">
        <f t="shared" si="488"/>
        <v>3.7392841021614496</v>
      </c>
      <c r="AK168" s="48">
        <f>AG81</f>
        <v>42</v>
      </c>
      <c r="AL168" s="61">
        <f>AH81</f>
        <v>5.4080414888198955</v>
      </c>
      <c r="AM168" s="62">
        <f>AI81</f>
        <v>1.7549412405022342</v>
      </c>
    </row>
    <row r="169" spans="1:39">
      <c r="A169" s="121">
        <v>-22</v>
      </c>
      <c r="B169" s="122">
        <v>319.96335827879693</v>
      </c>
      <c r="C169" s="123">
        <v>4.5713836993171633</v>
      </c>
      <c r="E169" s="48">
        <f>A41</f>
        <v>42</v>
      </c>
      <c r="F169" s="61">
        <f t="shared" ref="F169:G169" si="657">B41</f>
        <v>14.749821295462505</v>
      </c>
      <c r="G169" s="62">
        <f t="shared" si="657"/>
        <v>1.6480313069940786</v>
      </c>
      <c r="I169" s="121">
        <v>-22</v>
      </c>
      <c r="J169" s="122">
        <v>303.25</v>
      </c>
      <c r="K169" s="123">
        <v>4.5498874718679669</v>
      </c>
      <c r="M169" s="48">
        <f>I41</f>
        <v>42</v>
      </c>
      <c r="N169" s="61">
        <f t="shared" ref="N169" si="658">J41</f>
        <v>14.903</v>
      </c>
      <c r="O169" s="62">
        <f t="shared" ref="O169" si="659">K41</f>
        <v>1.6594659599581321</v>
      </c>
      <c r="Y169" s="124">
        <v>3</v>
      </c>
      <c r="Z169" s="125">
        <v>8.3793158693926664</v>
      </c>
      <c r="AA169" s="126">
        <v>3.1082125942383647</v>
      </c>
      <c r="AC169" s="48">
        <f>Y91</f>
        <v>42</v>
      </c>
      <c r="AD169" s="61">
        <f t="shared" ref="AD169:AE169" si="660">Z91</f>
        <v>1.4728497538119831</v>
      </c>
      <c r="AE169" s="62">
        <f t="shared" si="660"/>
        <v>1.1204042454779912</v>
      </c>
      <c r="AG169" s="142">
        <v>-2</v>
      </c>
      <c r="AH169" s="143">
        <v>30.325809542077703</v>
      </c>
      <c r="AI169" s="144">
        <f t="shared" si="488"/>
        <v>3.7600992870873964</v>
      </c>
      <c r="AK169" s="48">
        <f>AG80</f>
        <v>42.5</v>
      </c>
      <c r="AL169" s="61">
        <f>AH80</f>
        <v>5.3157992056652343</v>
      </c>
      <c r="AM169" s="62">
        <f>AI80</f>
        <v>1.7353972634020132</v>
      </c>
    </row>
    <row r="170" spans="1:39">
      <c r="A170" s="121">
        <v>-22.5</v>
      </c>
      <c r="B170" s="122">
        <v>329.23702165581977</v>
      </c>
      <c r="C170" s="123">
        <v>4.5824483809919982</v>
      </c>
      <c r="E170" s="48">
        <f>A40</f>
        <v>42.5</v>
      </c>
      <c r="F170" s="61">
        <f t="shared" ref="F170:G170" si="661">B40</f>
        <v>14.459894600401057</v>
      </c>
      <c r="G170" s="62">
        <f t="shared" si="661"/>
        <v>1.6261728385058543</v>
      </c>
      <c r="I170" s="121">
        <v>-22.5</v>
      </c>
      <c r="J170" s="122">
        <v>311.89</v>
      </c>
      <c r="K170" s="123">
        <v>4.5612623943373594</v>
      </c>
      <c r="M170" s="48">
        <f>I40</f>
        <v>42.5</v>
      </c>
      <c r="N170" s="61">
        <f t="shared" ref="N170" si="662">J40</f>
        <v>14.614000000000001</v>
      </c>
      <c r="O170" s="62">
        <f t="shared" ref="O170" si="663">K40</f>
        <v>1.6378266911731743</v>
      </c>
      <c r="Y170" s="124">
        <v>2.5</v>
      </c>
      <c r="Z170" s="125">
        <v>8.5897249821388204</v>
      </c>
      <c r="AA170" s="126">
        <v>3.1372890957802135</v>
      </c>
      <c r="AC170" s="48">
        <f>Y90</f>
        <v>42.5</v>
      </c>
      <c r="AD170" s="61">
        <f t="shared" ref="AD170:AE170" si="664">Z90</f>
        <v>1.4438244814656378</v>
      </c>
      <c r="AE170" s="62">
        <f t="shared" si="664"/>
        <v>1.1031962161844695</v>
      </c>
      <c r="AG170" s="142">
        <v>-2.5</v>
      </c>
      <c r="AH170" s="143">
        <v>31.008633141858059</v>
      </c>
      <c r="AI170" s="144">
        <f t="shared" si="488"/>
        <v>3.7807445367164818</v>
      </c>
      <c r="AK170" s="48">
        <f>AG79</f>
        <v>43</v>
      </c>
      <c r="AL170" s="61">
        <f>AH79</f>
        <v>5.2253802319290701</v>
      </c>
      <c r="AM170" s="62">
        <f>AI79</f>
        <v>1.7160097653820661</v>
      </c>
    </row>
    <row r="171" spans="1:39">
      <c r="A171" s="121">
        <v>-23</v>
      </c>
      <c r="B171" s="122">
        <v>338.80307131272843</v>
      </c>
      <c r="C171" s="123">
        <v>4.5932788751837519</v>
      </c>
      <c r="E171" s="48">
        <f>A39</f>
        <v>43</v>
      </c>
      <c r="F171" s="61">
        <f t="shared" ref="F171:G171" si="665">B39</f>
        <v>14.176458344953367</v>
      </c>
      <c r="G171" s="62">
        <f t="shared" si="665"/>
        <v>1.6045263558993361</v>
      </c>
      <c r="I171" s="121">
        <v>-23</v>
      </c>
      <c r="J171" s="122">
        <v>320.82</v>
      </c>
      <c r="K171" s="123">
        <v>4.5724303061399008</v>
      </c>
      <c r="M171" s="48">
        <f>I39</f>
        <v>43</v>
      </c>
      <c r="N171" s="61">
        <f t="shared" ref="N171" si="666">J39</f>
        <v>14.33</v>
      </c>
      <c r="O171" s="62">
        <f t="shared" ref="O171" si="667">K39</f>
        <v>1.6162869388675842</v>
      </c>
      <c r="Y171" s="124">
        <v>2</v>
      </c>
      <c r="Z171" s="125">
        <v>8.8059920492104897</v>
      </c>
      <c r="AA171" s="126">
        <v>3.1662581202577518</v>
      </c>
      <c r="AC171" s="48">
        <f>Y89</f>
        <v>43</v>
      </c>
      <c r="AD171" s="61">
        <f t="shared" ref="AD171:AE171" si="668">Z89</f>
        <v>1.4154508833982622</v>
      </c>
      <c r="AE171" s="62">
        <f t="shared" si="668"/>
        <v>1.0862263477458722</v>
      </c>
      <c r="AG171" s="142">
        <v>-3</v>
      </c>
      <c r="AH171" s="143">
        <v>31.708960474871297</v>
      </c>
      <c r="AI171" s="144">
        <f t="shared" si="488"/>
        <v>3.8012168265348194</v>
      </c>
      <c r="AK171" s="48">
        <f>AG78</f>
        <v>43.5</v>
      </c>
      <c r="AL171" s="61">
        <f>AH78</f>
        <v>5.1367440705257206</v>
      </c>
      <c r="AM171" s="62">
        <f>AI78</f>
        <v>1.6967797191365588</v>
      </c>
    </row>
    <row r="172" spans="1:39">
      <c r="A172" s="121">
        <v>-23.5</v>
      </c>
      <c r="B172" s="122">
        <v>348.67127911265652</v>
      </c>
      <c r="C172" s="123">
        <v>4.6038780645009671</v>
      </c>
      <c r="E172" s="48">
        <f>A38</f>
        <v>43.5</v>
      </c>
      <c r="F172" s="61">
        <f t="shared" ref="F172:G172" si="669">B38</f>
        <v>13.899350431193739</v>
      </c>
      <c r="G172" s="62">
        <f t="shared" si="669"/>
        <v>1.5830929495163124</v>
      </c>
      <c r="I172" s="121">
        <v>-23.5</v>
      </c>
      <c r="J172" s="122">
        <v>330.02</v>
      </c>
      <c r="K172" s="123">
        <v>4.5833564801955449</v>
      </c>
      <c r="M172" s="48">
        <f>I38</f>
        <v>43.5</v>
      </c>
      <c r="N172" s="61">
        <f t="shared" ref="N172" si="670">J38</f>
        <v>14.053000000000001</v>
      </c>
      <c r="O172" s="62">
        <f t="shared" ref="O172" si="671">K38</f>
        <v>1.5950105554672782</v>
      </c>
      <c r="Y172" s="124">
        <v>1.5</v>
      </c>
      <c r="Z172" s="125">
        <v>9.0282929206803164</v>
      </c>
      <c r="AA172" s="126">
        <v>3.1951110340673696</v>
      </c>
      <c r="AC172" s="48">
        <f>Y88</f>
        <v>43.5</v>
      </c>
      <c r="AD172" s="61">
        <f t="shared" ref="AD172:AE172" si="672">Z88</f>
        <v>1.3877127503070403</v>
      </c>
      <c r="AE172" s="62">
        <f t="shared" si="672"/>
        <v>1.069493058429078</v>
      </c>
      <c r="AG172" s="142">
        <v>-3.5</v>
      </c>
      <c r="AH172" s="143">
        <v>32.427290319676125</v>
      </c>
      <c r="AI172" s="144">
        <f t="shared" si="488"/>
        <v>3.8215132377470749</v>
      </c>
      <c r="AK172" s="48">
        <f>AG77</f>
        <v>44</v>
      </c>
      <c r="AL172" s="61">
        <f>AH77</f>
        <v>5.0498512157154156</v>
      </c>
      <c r="AM172" s="62">
        <f>AI77</f>
        <v>1.6777080196122602</v>
      </c>
    </row>
    <row r="173" spans="1:39">
      <c r="A173" s="121">
        <v>-24</v>
      </c>
      <c r="B173" s="122">
        <v>358.85175549436093</v>
      </c>
      <c r="C173" s="123">
        <v>4.6142488805038315</v>
      </c>
      <c r="E173" s="48">
        <f>A37</f>
        <v>44</v>
      </c>
      <c r="F173" s="61">
        <f t="shared" ref="F173:G173" si="673">B37</f>
        <v>13.628413185599875</v>
      </c>
      <c r="G173" s="62">
        <f t="shared" si="673"/>
        <v>1.5618735808271511</v>
      </c>
      <c r="I173" s="121">
        <v>-24</v>
      </c>
      <c r="J173" s="122">
        <v>339.52</v>
      </c>
      <c r="K173" s="123">
        <v>4.5940679800822686</v>
      </c>
      <c r="M173" s="48">
        <f>I37</f>
        <v>44</v>
      </c>
      <c r="N173" s="61">
        <f t="shared" ref="N173" si="674">J37</f>
        <v>13.731999999999999</v>
      </c>
      <c r="O173" s="62">
        <f t="shared" ref="O173" si="675">K37</f>
        <v>1.5700173785786151</v>
      </c>
      <c r="Y173" s="124">
        <v>1</v>
      </c>
      <c r="Z173" s="125">
        <v>9.256809002672977</v>
      </c>
      <c r="AA173" s="126">
        <v>3.22383929498175</v>
      </c>
      <c r="AC173" s="48">
        <f>Y87</f>
        <v>44</v>
      </c>
      <c r="AD173" s="61">
        <f t="shared" ref="AD173:AE173" si="676">Z87</f>
        <v>1.3605943108339218</v>
      </c>
      <c r="AE173" s="62">
        <f t="shared" si="676"/>
        <v>1.0529946978347715</v>
      </c>
      <c r="AG173" s="142">
        <v>-4</v>
      </c>
      <c r="AH173" s="143">
        <v>33.164137006564111</v>
      </c>
      <c r="AI173" s="144">
        <f t="shared" si="488"/>
        <v>3.8416309587656916</v>
      </c>
      <c r="AK173" s="48">
        <f>AG76</f>
        <v>44.5</v>
      </c>
      <c r="AL173" s="61">
        <f>AH76</f>
        <v>4.9646631267163741</v>
      </c>
      <c r="AM173" s="62">
        <f>AI76</f>
        <v>1.6587954852966165</v>
      </c>
    </row>
    <row r="174" spans="1:39">
      <c r="A174" s="121">
        <v>-24.5</v>
      </c>
      <c r="B174" s="122">
        <v>369.3549613600718</v>
      </c>
      <c r="C174" s="123">
        <v>4.62439429952454</v>
      </c>
      <c r="E174" s="48">
        <f>A36</f>
        <v>44.5</v>
      </c>
      <c r="F174" s="61">
        <f t="shared" ref="F174:G174" si="677">B36</f>
        <v>13.363493229290125</v>
      </c>
      <c r="G174" s="62">
        <f t="shared" si="677"/>
        <v>1.5408690852728251</v>
      </c>
      <c r="I174" s="121">
        <v>-24.5</v>
      </c>
      <c r="J174" s="122">
        <v>349.32</v>
      </c>
      <c r="K174" s="123">
        <v>4.6045555204049347</v>
      </c>
      <c r="M174" s="48">
        <f>I36</f>
        <v>44.5</v>
      </c>
      <c r="N174" s="61">
        <f t="shared" ref="N174" si="678">J36</f>
        <v>13.516</v>
      </c>
      <c r="O174" s="62">
        <f t="shared" ref="O174" si="679">K36</f>
        <v>1.5529920029414468</v>
      </c>
      <c r="Y174" s="124">
        <v>0.5</v>
      </c>
      <c r="Z174" s="125">
        <v>9.4917274374193941</v>
      </c>
      <c r="AA174" s="126">
        <v>3.2524344626526425</v>
      </c>
      <c r="AC174" s="48">
        <f>Y86</f>
        <v>44.5</v>
      </c>
      <c r="AD174" s="61">
        <f t="shared" ref="AD174:AE174" si="680">Z86</f>
        <v>1.3340802189094694</v>
      </c>
      <c r="AE174" s="62">
        <f t="shared" si="680"/>
        <v>1.0367295507045966</v>
      </c>
      <c r="AG174" s="142">
        <v>-4.5</v>
      </c>
      <c r="AH174" s="143">
        <v>33.920030942094911</v>
      </c>
      <c r="AI174" s="144">
        <f t="shared" si="488"/>
        <v>3.8615672865549424</v>
      </c>
      <c r="AK174" s="48">
        <f>AG75</f>
        <v>45</v>
      </c>
      <c r="AL174" s="61">
        <f>AH75</f>
        <v>4.8811422020726862</v>
      </c>
      <c r="AM174" s="62">
        <f>AI75</f>
        <v>1.6400428595436807</v>
      </c>
    </row>
    <row r="175" spans="1:39">
      <c r="A175" s="121">
        <v>-25</v>
      </c>
      <c r="B175" s="122">
        <v>380.19172037412289</v>
      </c>
      <c r="C175" s="123">
        <v>4.6343173385772154</v>
      </c>
      <c r="E175" s="48">
        <f>A35</f>
        <v>45</v>
      </c>
      <c r="F175" s="61">
        <f t="shared" ref="F175:G175" si="681">B35</f>
        <v>13.1044413522974</v>
      </c>
      <c r="G175" s="62">
        <f t="shared" si="681"/>
        <v>1.5200801751718971</v>
      </c>
      <c r="I175" s="121">
        <v>-25</v>
      </c>
      <c r="J175" s="122">
        <v>359.43</v>
      </c>
      <c r="K175" s="123">
        <v>4.6148216624297049</v>
      </c>
      <c r="M175" s="48">
        <f>I35</f>
        <v>45</v>
      </c>
      <c r="N175" s="61">
        <f t="shared" ref="N175" si="682">J35</f>
        <v>13.257</v>
      </c>
      <c r="O175" s="62">
        <f t="shared" ref="O175" si="683">K35</f>
        <v>1.5323531451556973</v>
      </c>
      <c r="Y175" s="124">
        <v>0</v>
      </c>
      <c r="Z175" s="125">
        <v>9.7332412890882765</v>
      </c>
      <c r="AA175" s="126">
        <v>3.2808882089204285</v>
      </c>
      <c r="AC175" s="48">
        <f>Y85</f>
        <v>45</v>
      </c>
      <c r="AD175" s="61">
        <f t="shared" ref="AD175:AE175" si="684">Z85</f>
        <v>1.3081555414827568</v>
      </c>
      <c r="AE175" s="62">
        <f t="shared" si="684"/>
        <v>1.0206958406475166</v>
      </c>
      <c r="AG175" s="142">
        <v>-5</v>
      </c>
      <c r="AH175" s="143">
        <v>34.695519152606039</v>
      </c>
      <c r="AI175" s="144">
        <f t="shared" si="488"/>
        <v>3.8813196278292996</v>
      </c>
      <c r="AK175" s="48">
        <f>AG74</f>
        <v>45.5</v>
      </c>
      <c r="AL175" s="61">
        <f>AH74</f>
        <v>4.7992517547556401</v>
      </c>
      <c r="AM175" s="62">
        <f>AI74</f>
        <v>1.6214508119349456</v>
      </c>
    </row>
    <row r="176" spans="1:39">
      <c r="A176" s="121">
        <v>-25.5</v>
      </c>
      <c r="B176" s="122">
        <v>391.37323168564649</v>
      </c>
      <c r="C176" s="123">
        <v>4.6440210513611762</v>
      </c>
      <c r="E176" s="48">
        <f>A34</f>
        <v>45.5</v>
      </c>
      <c r="F176" s="61">
        <f t="shared" ref="F176:G176" si="685">B34</f>
        <v>12.851112391748249</v>
      </c>
      <c r="G176" s="62">
        <f t="shared" si="685"/>
        <v>1.4995074426846107</v>
      </c>
      <c r="I176" s="121">
        <v>-25.5</v>
      </c>
      <c r="J176" s="122">
        <v>369.87</v>
      </c>
      <c r="K176" s="123">
        <v>4.6248780853777474</v>
      </c>
      <c r="M176" s="48">
        <f>I34</f>
        <v>45.5</v>
      </c>
      <c r="N176" s="61">
        <f t="shared" ref="N176" si="686">J34</f>
        <v>13.003</v>
      </c>
      <c r="O176" s="62">
        <f t="shared" ref="O176" si="687">K34</f>
        <v>1.5118712647954793</v>
      </c>
      <c r="Y176" s="124">
        <v>-0.5</v>
      </c>
      <c r="Z176" s="125">
        <v>9.9815497355661105</v>
      </c>
      <c r="AA176" s="126">
        <v>3.3091923279035083</v>
      </c>
      <c r="AC176" s="48">
        <f>Y84</f>
        <v>45.5</v>
      </c>
      <c r="AD176" s="61">
        <f t="shared" ref="AD176:AE176" si="688">Z84</f>
        <v>1.2828057466250939</v>
      </c>
      <c r="AE176" s="62">
        <f t="shared" si="688"/>
        <v>1.0048917337828878</v>
      </c>
      <c r="AG176" s="142">
        <v>-5.5</v>
      </c>
      <c r="AH176" s="143">
        <v>35.491165847421357</v>
      </c>
      <c r="AI176" s="144">
        <f t="shared" si="488"/>
        <v>3.9008855001056384</v>
      </c>
      <c r="AK176" s="48">
        <f>AG73</f>
        <v>46</v>
      </c>
      <c r="AL176" s="61">
        <f>AH73</f>
        <v>4.7189559879752458</v>
      </c>
      <c r="AM176" s="62">
        <f>AI73</f>
        <v>1.6030199396718183</v>
      </c>
    </row>
    <row r="177" spans="1:39">
      <c r="A177" s="121">
        <v>-26</v>
      </c>
      <c r="B177" s="122">
        <v>402.91108308899283</v>
      </c>
      <c r="C177" s="123">
        <v>4.6535085243609604</v>
      </c>
      <c r="E177" s="48">
        <f>A33</f>
        <v>46</v>
      </c>
      <c r="F177" s="61">
        <f t="shared" ref="F177:G177" si="689">B33</f>
        <v>12.603365113819367</v>
      </c>
      <c r="G177" s="62">
        <f t="shared" si="689"/>
        <v>1.479151362826405</v>
      </c>
      <c r="I177" s="121">
        <v>-26</v>
      </c>
      <c r="J177" s="122">
        <v>380.64</v>
      </c>
      <c r="K177" s="123">
        <v>4.6347165400350665</v>
      </c>
      <c r="M177" s="48">
        <f>I33</f>
        <v>46</v>
      </c>
      <c r="N177" s="61">
        <f t="shared" ref="N177" si="690">J33</f>
        <v>12.754</v>
      </c>
      <c r="O177" s="62">
        <f t="shared" ref="O177" si="691">K33</f>
        <v>1.4915563456050895</v>
      </c>
      <c r="Y177" s="124">
        <v>-1</v>
      </c>
      <c r="Z177" s="125">
        <v>10.236858266362573</v>
      </c>
      <c r="AA177" s="126">
        <v>3.3373387458416013</v>
      </c>
      <c r="AC177" s="48">
        <f>Y83</f>
        <v>46</v>
      </c>
      <c r="AD177" s="61">
        <f t="shared" ref="AD177:AE177" si="692">Z83</f>
        <v>1.2580166919956302</v>
      </c>
      <c r="AE177" s="62">
        <f t="shared" si="692"/>
        <v>0.98931534229801521</v>
      </c>
      <c r="AG177" s="142">
        <v>-6</v>
      </c>
      <c r="AH177" s="143">
        <v>36.307553002523342</v>
      </c>
      <c r="AI177" s="144">
        <f t="shared" si="488"/>
        <v>3.9202625326094114</v>
      </c>
      <c r="AK177" s="48">
        <f>AG72</f>
        <v>46.5</v>
      </c>
      <c r="AL177" s="61">
        <f>AH72</f>
        <v>4.6402199716810317</v>
      </c>
      <c r="AM177" s="62">
        <f>AI72</f>
        <v>1.5847507689968912</v>
      </c>
    </row>
    <row r="178" spans="1:39">
      <c r="A178" s="121">
        <v>-26.5</v>
      </c>
      <c r="B178" s="122">
        <v>414.81726463589382</v>
      </c>
      <c r="C178" s="123">
        <v>4.6627828730461198</v>
      </c>
      <c r="E178" s="48">
        <f>A32</f>
        <v>46.5</v>
      </c>
      <c r="F178" s="61">
        <f t="shared" ref="F178:G178" si="693">B32</f>
        <v>12.361062099348965</v>
      </c>
      <c r="G178" s="62">
        <f t="shared" si="693"/>
        <v>1.4590122965234786</v>
      </c>
      <c r="I178" s="121">
        <v>-26.5</v>
      </c>
      <c r="J178" s="122">
        <v>391.76</v>
      </c>
      <c r="K178" s="123">
        <v>4.6443474962063735</v>
      </c>
      <c r="M178" s="48">
        <f>I32</f>
        <v>46.5</v>
      </c>
      <c r="N178" s="61">
        <f t="shared" ref="N178" si="694">J32</f>
        <v>12.510999999999999</v>
      </c>
      <c r="O178" s="62">
        <f t="shared" ref="O178" si="695">K32</f>
        <v>1.4715014937310342</v>
      </c>
      <c r="Y178" s="124">
        <v>-1.5</v>
      </c>
      <c r="Z178" s="125">
        <v>10.499378886819938</v>
      </c>
      <c r="AA178" s="126">
        <v>3.365319530667648</v>
      </c>
      <c r="AC178" s="48">
        <f>Y82</f>
        <v>46.5</v>
      </c>
      <c r="AD178" s="61">
        <f t="shared" ref="AD178:AE178" si="696">Z82</f>
        <v>1.2337746136574301</v>
      </c>
      <c r="AE178" s="62">
        <f t="shared" si="696"/>
        <v>0.97396472791837208</v>
      </c>
      <c r="AG178" s="142">
        <v>-6.5</v>
      </c>
      <c r="AH178" s="143">
        <v>37.145280965478698</v>
      </c>
      <c r="AI178" s="144">
        <f t="shared" si="488"/>
        <v>3.9394484670350862</v>
      </c>
      <c r="AK178" s="48">
        <f>AG71</f>
        <v>47</v>
      </c>
      <c r="AL178" s="61">
        <f>AH71</f>
        <v>4.5630096197306571</v>
      </c>
      <c r="AM178" s="62">
        <f>AI71</f>
        <v>1.5666437566409608</v>
      </c>
    </row>
    <row r="179" spans="1:39">
      <c r="A179" s="121">
        <v>-27</v>
      </c>
      <c r="B179" s="122">
        <v>427.10418271373203</v>
      </c>
      <c r="C179" s="123">
        <v>4.6718472381734042</v>
      </c>
      <c r="E179" s="48">
        <f>A31</f>
        <v>47</v>
      </c>
      <c r="F179" s="61">
        <f t="shared" ref="F179:G179" si="697">B31</f>
        <v>12.124069632983852</v>
      </c>
      <c r="G179" s="62">
        <f t="shared" si="697"/>
        <v>1.4390904937032132</v>
      </c>
      <c r="I179" s="121">
        <v>-27</v>
      </c>
      <c r="J179" s="122">
        <v>403.24</v>
      </c>
      <c r="K179" s="123">
        <v>4.6537715815714158</v>
      </c>
      <c r="M179" s="48">
        <f>I31</f>
        <v>47</v>
      </c>
      <c r="N179" s="61">
        <f t="shared" ref="N179" si="698">J31</f>
        <v>12.273999999999999</v>
      </c>
      <c r="O179" s="62">
        <f t="shared" ref="O179" si="699">K31</f>
        <v>1.4517197331693239</v>
      </c>
      <c r="Y179" s="124">
        <v>-2</v>
      </c>
      <c r="Z179" s="125">
        <v>10.769330328810433</v>
      </c>
      <c r="AA179" s="126">
        <v>3.3931269012842158</v>
      </c>
      <c r="AC179" s="48">
        <f>Y81</f>
        <v>47</v>
      </c>
      <c r="AD179" s="61">
        <f t="shared" ref="AD179:AE179" si="700">Z81</f>
        <v>1.2100661152327983</v>
      </c>
      <c r="AE179" s="62">
        <f t="shared" si="700"/>
        <v>0.95883790528885382</v>
      </c>
      <c r="AG179" s="142">
        <v>-7</v>
      </c>
      <c r="AH179" s="143">
        <v>38.004969082440866</v>
      </c>
      <c r="AI179" s="144">
        <f t="shared" si="488"/>
        <v>3.9584411581615027</v>
      </c>
      <c r="AK179" s="48">
        <f>AG70</f>
        <v>47.5</v>
      </c>
      <c r="AL179" s="61">
        <f>AH70</f>
        <v>4.4872916677061374</v>
      </c>
      <c r="AM179" s="62">
        <f>AI70</f>
        <v>1.5486992912929454</v>
      </c>
    </row>
    <row r="180" spans="1:39">
      <c r="A180" s="121">
        <v>-27.5</v>
      </c>
      <c r="B180" s="122">
        <v>439.78467460469824</v>
      </c>
      <c r="C180" s="123">
        <v>4.680704782193633</v>
      </c>
      <c r="E180" s="48">
        <f>A30</f>
        <v>47.5</v>
      </c>
      <c r="F180" s="61">
        <f t="shared" ref="F180:G180" si="701">B30</f>
        <v>11.892257595747539</v>
      </c>
      <c r="G180" s="62">
        <f t="shared" si="701"/>
        <v>1.4193860964125644</v>
      </c>
      <c r="I180" s="121">
        <v>-27.5</v>
      </c>
      <c r="J180" s="122">
        <v>415.1</v>
      </c>
      <c r="K180" s="123">
        <v>4.6629970793080204</v>
      </c>
      <c r="M180" s="48">
        <f>I30</f>
        <v>47.5</v>
      </c>
      <c r="N180" s="61">
        <f t="shared" ref="N180" si="702">J30</f>
        <v>12.041</v>
      </c>
      <c r="O180" s="62">
        <f t="shared" ref="O180" si="703">K30</f>
        <v>1.4320544230632002</v>
      </c>
      <c r="Y180" s="124">
        <v>-2.5</v>
      </c>
      <c r="Z180" s="125">
        <v>11.046938268109285</v>
      </c>
      <c r="AA180" s="126">
        <v>3.420753236521421</v>
      </c>
      <c r="AC180" s="48">
        <f>Y80</f>
        <v>47.5</v>
      </c>
      <c r="AD180" s="61">
        <f t="shared" ref="AD180:AE180" si="704">Z80</f>
        <v>1.1868781573872624</v>
      </c>
      <c r="AE180" s="62">
        <f t="shared" si="704"/>
        <v>0.94393284526490029</v>
      </c>
      <c r="AG180" s="142">
        <v>-7.5</v>
      </c>
      <c r="AH180" s="143">
        <v>38.887256348088094</v>
      </c>
      <c r="AI180" s="144">
        <f t="shared" si="488"/>
        <v>3.9772385743231546</v>
      </c>
      <c r="AK180" s="48">
        <f>AG69</f>
        <v>48</v>
      </c>
      <c r="AL180" s="61">
        <f>AH69</f>
        <v>4.4130336513584458</v>
      </c>
      <c r="AM180" s="62">
        <f>AI69</f>
        <v>1.5309176950899965</v>
      </c>
    </row>
    <row r="181" spans="1:39">
      <c r="A181" s="121">
        <v>-28</v>
      </c>
      <c r="B181" s="122">
        <v>452.87202354092375</v>
      </c>
      <c r="C181" s="123">
        <v>4.6893586857651375</v>
      </c>
      <c r="E181" s="48">
        <f>A29</f>
        <v>48</v>
      </c>
      <c r="F181" s="61">
        <f t="shared" ref="F181:G181" si="705">B29</f>
        <v>11.665499360918469</v>
      </c>
      <c r="G181" s="62">
        <f t="shared" si="705"/>
        <v>1.3998991419577835</v>
      </c>
      <c r="I181" s="121">
        <v>-28</v>
      </c>
      <c r="J181" s="122">
        <v>427.33</v>
      </c>
      <c r="K181" s="123">
        <v>4.6720092712046011</v>
      </c>
      <c r="M181" s="48">
        <f>I29</f>
        <v>48</v>
      </c>
      <c r="N181" s="61">
        <f t="shared" ref="N181" si="706">J29</f>
        <v>11.813000000000001</v>
      </c>
      <c r="O181" s="62">
        <f t="shared" ref="O181" si="707">K29</f>
        <v>1.4125989524788942</v>
      </c>
      <c r="Y181" s="124">
        <v>-3</v>
      </c>
      <c r="Z181" s="125">
        <v>11.332435548633615</v>
      </c>
      <c r="AA181" s="126">
        <v>3.4481910837544492</v>
      </c>
      <c r="AC181" s="48">
        <f>Y79</f>
        <v>48</v>
      </c>
      <c r="AD181" s="61">
        <f t="shared" ref="AD181:AE181" si="708">Z79</f>
        <v>1.1641980476316767</v>
      </c>
      <c r="AE181" s="62">
        <f t="shared" si="708"/>
        <v>0.92924747811240449</v>
      </c>
      <c r="AG181" s="142">
        <v>-8</v>
      </c>
      <c r="AH181" s="143">
        <v>39.792802079388814</v>
      </c>
      <c r="AI181" s="144">
        <f t="shared" si="488"/>
        <v>3.9958387977386605</v>
      </c>
      <c r="AK181" s="48">
        <f>AG68</f>
        <v>48.5</v>
      </c>
      <c r="AL181" s="61">
        <f>AH68</f>
        <v>4.3402038856606833</v>
      </c>
      <c r="AM181" s="62">
        <f>AI68</f>
        <v>1.5132992251249018</v>
      </c>
    </row>
    <row r="182" spans="1:39">
      <c r="A182" s="121">
        <v>-28.5</v>
      </c>
      <c r="B182" s="122">
        <v>466.37997427110605</v>
      </c>
      <c r="C182" s="123">
        <v>4.6978121443753587</v>
      </c>
      <c r="E182" s="48">
        <f>A28</f>
        <v>48.5</v>
      </c>
      <c r="F182" s="61">
        <f t="shared" ref="F182:G182" si="709">B28</f>
        <v>11.443671693111078</v>
      </c>
      <c r="G182" s="62">
        <f t="shared" si="709"/>
        <v>1.3806295660590913</v>
      </c>
      <c r="I182" s="121">
        <v>-28.5</v>
      </c>
      <c r="J182" s="122">
        <v>439.97</v>
      </c>
      <c r="K182" s="123">
        <v>4.6808306913207227</v>
      </c>
      <c r="M182" s="48">
        <f>I28</f>
        <v>48.5</v>
      </c>
      <c r="N182" s="61">
        <f t="shared" ref="N182" si="710">J28</f>
        <v>11.590999999999999</v>
      </c>
      <c r="O182" s="62">
        <f t="shared" ref="O182" si="711">K28</f>
        <v>1.3934505061191123</v>
      </c>
      <c r="Y182" s="124">
        <v>-3.5</v>
      </c>
      <c r="Z182" s="125">
        <v>11.626062413743327</v>
      </c>
      <c r="AA182" s="126">
        <v>3.4754331671602885</v>
      </c>
      <c r="AC182" s="48">
        <f>Y78</f>
        <v>48.5</v>
      </c>
      <c r="AD182" s="61">
        <f t="shared" ref="AD182:AE182" si="712">Z78</f>
        <v>1.1420134304324565</v>
      </c>
      <c r="AE182" s="62">
        <f t="shared" si="712"/>
        <v>0.91477969661572489</v>
      </c>
      <c r="AG182" s="142">
        <v>-8.5</v>
      </c>
      <c r="AH182" s="143">
        <v>40.722286614126496</v>
      </c>
      <c r="AI182" s="144">
        <f t="shared" si="488"/>
        <v>4.0142400246980454</v>
      </c>
      <c r="AK182" s="48">
        <f>AG67</f>
        <v>49</v>
      </c>
      <c r="AL182" s="61">
        <f>AH67</f>
        <v>4.2687714444524785</v>
      </c>
      <c r="AM182" s="62">
        <f>AI67</f>
        <v>1.4958440749683897</v>
      </c>
    </row>
    <row r="183" spans="1:39">
      <c r="A183" s="121">
        <v>-29</v>
      </c>
      <c r="B183" s="122">
        <v>480.32274915448545</v>
      </c>
      <c r="C183" s="123">
        <v>4.7060683650718618</v>
      </c>
      <c r="E183" s="48">
        <f>A27</f>
        <v>49</v>
      </c>
      <c r="F183" s="61">
        <f t="shared" ref="F183:G183" si="713">B27</f>
        <v>11.226654650456096</v>
      </c>
      <c r="G183" s="62">
        <f t="shared" si="713"/>
        <v>1.3615772060142035</v>
      </c>
      <c r="I183" s="121">
        <v>-29</v>
      </c>
      <c r="J183" s="122">
        <v>456.02</v>
      </c>
      <c r="K183" s="123">
        <v>4.691370725484548</v>
      </c>
      <c r="M183" s="48">
        <f>I27</f>
        <v>49</v>
      </c>
      <c r="N183" s="61">
        <f t="shared" ref="N183" si="714">J27</f>
        <v>11.372</v>
      </c>
      <c r="O183" s="62">
        <f t="shared" ref="O183" si="715">K27</f>
        <v>1.3743594701730639</v>
      </c>
      <c r="Y183" s="124">
        <v>-4</v>
      </c>
      <c r="Z183" s="125">
        <v>11.928066744801344</v>
      </c>
      <c r="AA183" s="126">
        <v>3.5024723955944599</v>
      </c>
      <c r="AC183" s="48">
        <f>Y77</f>
        <v>49</v>
      </c>
      <c r="AD183" s="61">
        <f t="shared" ref="AD183:AE183" si="716">Z77</f>
        <v>1.1203122776201806</v>
      </c>
      <c r="AE183" s="62">
        <f t="shared" si="716"/>
        <v>0.90052735909329551</v>
      </c>
      <c r="AG183" s="142">
        <v>-9</v>
      </c>
      <c r="AH183" s="143">
        <v>41.676412035148751</v>
      </c>
      <c r="AI183" s="144">
        <f t="shared" si="488"/>
        <v>4.0324405656106412</v>
      </c>
      <c r="AK183" s="48">
        <f>AG66</f>
        <v>49.5</v>
      </c>
      <c r="AL183" s="61">
        <f>AH66</f>
        <v>4.1987061406568316</v>
      </c>
      <c r="AM183" s="62">
        <f>AI66</f>
        <v>1.4785523762035544</v>
      </c>
    </row>
    <row r="184" spans="1:39" ht="13.5" thickBot="1">
      <c r="A184" s="127">
        <v>-29.5</v>
      </c>
      <c r="B184" s="128">
        <v>494.7150647984185</v>
      </c>
      <c r="C184" s="129">
        <v>4.714130563303673</v>
      </c>
      <c r="E184" s="48">
        <f>A26</f>
        <v>49.5</v>
      </c>
      <c r="F184" s="61">
        <f t="shared" ref="F184:G184" si="717">B26</f>
        <v>11.014331489780144</v>
      </c>
      <c r="G184" s="62">
        <f t="shared" si="717"/>
        <v>1.3427418038649086</v>
      </c>
      <c r="I184" s="127">
        <v>-29.5</v>
      </c>
      <c r="J184" s="128">
        <v>466.49</v>
      </c>
      <c r="K184" s="129">
        <v>4.6978791113617593</v>
      </c>
      <c r="M184" s="48">
        <f>I26</f>
        <v>49.5</v>
      </c>
      <c r="N184" s="61">
        <f t="shared" ref="N184" si="718">J26</f>
        <v>11.159000000000001</v>
      </c>
      <c r="O184" s="62">
        <f t="shared" ref="O184" si="719">K26</f>
        <v>1.3555965888384072</v>
      </c>
      <c r="Y184" s="124">
        <v>-4.5</v>
      </c>
      <c r="Z184" s="125">
        <v>12.23870430719608</v>
      </c>
      <c r="AA184" s="126">
        <v>3.5293018700701446</v>
      </c>
      <c r="AC184" s="48">
        <f>Y76</f>
        <v>49.5</v>
      </c>
      <c r="AD184" s="61">
        <f t="shared" ref="AD184:AE184" si="720">Z76</f>
        <v>1.0990828790872234</v>
      </c>
      <c r="AE184" s="62">
        <f t="shared" si="720"/>
        <v>0.88648829232063486</v>
      </c>
      <c r="AG184" s="145">
        <v>-9.5</v>
      </c>
      <c r="AH184" s="146">
        <v>42.655902921350801</v>
      </c>
      <c r="AI184" s="147">
        <f t="shared" si="488"/>
        <v>4.0504388449157878</v>
      </c>
      <c r="AK184" s="48">
        <f>AG65</f>
        <v>50</v>
      </c>
      <c r="AL184" s="61">
        <f>AH65</f>
        <v>4.1299785070527353</v>
      </c>
      <c r="AM184" s="62">
        <f>AI65</f>
        <v>1.4614241999700592</v>
      </c>
    </row>
    <row r="185" spans="1:39" ht="13.5" thickTop="1">
      <c r="A185" s="115">
        <v>-30</v>
      </c>
      <c r="B185" s="116">
        <v>509.57214925617967</v>
      </c>
      <c r="C185" s="117">
        <v>4.7220019598736132</v>
      </c>
      <c r="E185" s="48">
        <f>A25</f>
        <v>50</v>
      </c>
      <c r="F185" s="61">
        <f t="shared" ref="F185:G185" si="721">B25</f>
        <v>10.806588574687787</v>
      </c>
      <c r="G185" s="62">
        <f t="shared" si="721"/>
        <v>1.3241230095611427</v>
      </c>
      <c r="I185" s="115">
        <v>-30</v>
      </c>
      <c r="J185" s="116">
        <v>480.41</v>
      </c>
      <c r="K185" s="117">
        <v>4.7061186105287911</v>
      </c>
      <c r="M185" s="48">
        <f>I25</f>
        <v>50</v>
      </c>
      <c r="N185" s="61">
        <f t="shared" ref="N185" si="722">J25</f>
        <v>10.95</v>
      </c>
      <c r="O185" s="62">
        <f t="shared" ref="O185" si="723">K25</f>
        <v>1.3369963369963369</v>
      </c>
      <c r="Y185" s="124">
        <v>-5</v>
      </c>
      <c r="Z185" s="125">
        <v>12.558239004031464</v>
      </c>
      <c r="AA185" s="126">
        <v>3.5559148908235851</v>
      </c>
      <c r="AC185" s="48">
        <f>Y75</f>
        <v>50</v>
      </c>
      <c r="AD185" s="61">
        <f t="shared" ref="AD185:AE185" si="724">Z75</f>
        <v>1.0783138337651927</v>
      </c>
      <c r="AE185" s="62">
        <f t="shared" si="724"/>
        <v>0.87266029436064274</v>
      </c>
      <c r="AG185" s="139">
        <v>-10</v>
      </c>
      <c r="AH185" s="140">
        <v>43.661507126443723</v>
      </c>
      <c r="AI185" s="141">
        <f>AH185*5/(10+AH185)</f>
        <v>4.068233400858758</v>
      </c>
      <c r="AK185" s="48">
        <f>AG64</f>
        <v>50.5</v>
      </c>
      <c r="AL185" s="61">
        <f>AH64</f>
        <v>4.0625597775867881</v>
      </c>
      <c r="AM185" s="62">
        <f>AI64</f>
        <v>1.4444595585157205</v>
      </c>
    </row>
    <row r="186" spans="1:39">
      <c r="A186" s="121">
        <v>-30.5</v>
      </c>
      <c r="B186" s="122">
        <v>524.90975980196527</v>
      </c>
      <c r="C186" s="123">
        <v>4.7296857780019375</v>
      </c>
      <c r="E186" s="48">
        <f>A24</f>
        <v>50.5</v>
      </c>
      <c r="F186" s="61">
        <f t="shared" ref="F186:G186" si="725">B24</f>
        <v>10.603315286452615</v>
      </c>
      <c r="G186" s="62">
        <f t="shared" si="725"/>
        <v>1.305720384117308</v>
      </c>
      <c r="I186" s="121">
        <v>-30.5</v>
      </c>
      <c r="J186" s="122">
        <v>494.78</v>
      </c>
      <c r="K186" s="123">
        <v>4.7141659362018364</v>
      </c>
      <c r="M186" s="48">
        <f>I24</f>
        <v>50.5</v>
      </c>
      <c r="N186" s="61">
        <f t="shared" ref="N186" si="726">J24</f>
        <v>10.746</v>
      </c>
      <c r="O186" s="62">
        <f t="shared" ref="O186" si="727">K24</f>
        <v>1.3186570460904139</v>
      </c>
      <c r="Y186" s="124">
        <v>-5.5</v>
      </c>
      <c r="Z186" s="125">
        <v>12.886943137693525</v>
      </c>
      <c r="AA186" s="126">
        <v>3.5823049639512079</v>
      </c>
      <c r="AC186" s="48">
        <f>Y74</f>
        <v>50.5</v>
      </c>
      <c r="AD186" s="61">
        <f t="shared" ref="AD186:AE186" si="728">Z74</f>
        <v>1.0579940408734809</v>
      </c>
      <c r="AE186" s="62">
        <f t="shared" si="728"/>
        <v>0.8590411373014335</v>
      </c>
      <c r="AG186" s="142">
        <v>-10.5</v>
      </c>
      <c r="AH186" s="143">
        <v>44.693996586600136</v>
      </c>
      <c r="AI186" s="144">
        <f t="shared" ref="AI186:AI244" si="729">AH186*5/(10+AH186)</f>
        <v>4.0858228851345295</v>
      </c>
      <c r="AK186" s="48">
        <f>AG63</f>
        <v>51</v>
      </c>
      <c r="AL186" s="61">
        <f>AH63</f>
        <v>3.9964218692076612</v>
      </c>
      <c r="AM186" s="62">
        <f>AI63</f>
        <v>1.427658406753175</v>
      </c>
    </row>
    <row r="187" spans="1:39">
      <c r="A187" s="121">
        <v>-31</v>
      </c>
      <c r="B187" s="122">
        <v>540.74420130048816</v>
      </c>
      <c r="C187" s="123">
        <v>4.7371852405014154</v>
      </c>
      <c r="E187" s="48">
        <f>A23</f>
        <v>51</v>
      </c>
      <c r="F187" s="61">
        <f t="shared" ref="F187:G187" si="730">B23</f>
        <v>10.404403937626901</v>
      </c>
      <c r="G187" s="62">
        <f t="shared" si="730"/>
        <v>1.2875334027558469</v>
      </c>
      <c r="I187" s="121">
        <v>-31</v>
      </c>
      <c r="J187" s="122">
        <v>509.63</v>
      </c>
      <c r="K187" s="123">
        <v>4.7220317625039385</v>
      </c>
      <c r="M187" s="48">
        <f>I23</f>
        <v>51</v>
      </c>
      <c r="N187" s="61">
        <f t="shared" ref="N187" si="731">J23</f>
        <v>10.545999999999999</v>
      </c>
      <c r="O187" s="62">
        <f t="shared" ref="O187" si="732">K23</f>
        <v>1.3004981995757905</v>
      </c>
      <c r="Y187" s="124">
        <v>-6</v>
      </c>
      <c r="Z187" s="125">
        <v>13.225097679505108</v>
      </c>
      <c r="AA187" s="126">
        <v>3.6084658076055263</v>
      </c>
      <c r="AC187" s="48">
        <f>Y73</f>
        <v>51</v>
      </c>
      <c r="AD187" s="61">
        <f t="shared" ref="AD187:AE187" si="733">Z73</f>
        <v>1.0381126914302996</v>
      </c>
      <c r="AE187" s="62">
        <f t="shared" si="733"/>
        <v>0.84562856990199642</v>
      </c>
      <c r="AG187" s="142">
        <v>-11</v>
      </c>
      <c r="AH187" s="143">
        <v>45.754168158116777</v>
      </c>
      <c r="AI187" s="144">
        <f t="shared" si="729"/>
        <v>4.1032060624023332</v>
      </c>
      <c r="AK187" s="48">
        <f>AG62</f>
        <v>51.5</v>
      </c>
      <c r="AL187" s="61">
        <f>AH62</f>
        <v>3.9315373642075593</v>
      </c>
      <c r="AM187" s="62">
        <f>AI62</f>
        <v>1.4110206438193726</v>
      </c>
    </row>
    <row r="188" spans="1:39">
      <c r="A188" s="121">
        <v>-31.5</v>
      </c>
      <c r="B188" s="122">
        <v>557.09234518889582</v>
      </c>
      <c r="C188" s="123">
        <v>4.7445035670636484</v>
      </c>
      <c r="E188" s="48">
        <f>A22</f>
        <v>51.5</v>
      </c>
      <c r="F188" s="61">
        <f t="shared" ref="F188:G188" si="734">B22</f>
        <v>10.209749688282766</v>
      </c>
      <c r="G188" s="62">
        <f t="shared" si="734"/>
        <v>1.2695614580333878</v>
      </c>
      <c r="I188" s="121">
        <v>-31.5</v>
      </c>
      <c r="J188" s="122">
        <v>524.97</v>
      </c>
      <c r="K188" s="123">
        <v>4.729715119736202</v>
      </c>
      <c r="M188" s="48">
        <f>I22</f>
        <v>51.5</v>
      </c>
      <c r="N188" s="61">
        <f t="shared" ref="N188" si="735">J22</f>
        <v>10.35</v>
      </c>
      <c r="O188" s="62">
        <f t="shared" ref="O188" si="736">K22</f>
        <v>1.2825278810408922</v>
      </c>
      <c r="Y188" s="124">
        <v>-6.5</v>
      </c>
      <c r="Z188" s="125">
        <v>13.572992547685008</v>
      </c>
      <c r="AA188" s="126">
        <v>3.6343913577386733</v>
      </c>
      <c r="AC188" s="48">
        <f>Y72</f>
        <v>51.5</v>
      </c>
      <c r="AD188" s="61">
        <f t="shared" ref="AD188:AE188" si="737">Z72</f>
        <v>1.0186592600180535</v>
      </c>
      <c r="AE188" s="62">
        <f t="shared" si="737"/>
        <v>0.83242032014628642</v>
      </c>
      <c r="AG188" s="142">
        <v>-11.5</v>
      </c>
      <c r="AH188" s="143">
        <v>46.842844486280391</v>
      </c>
      <c r="AI188" s="144">
        <f t="shared" si="729"/>
        <v>4.1203818096740745</v>
      </c>
      <c r="AK188" s="48">
        <f>AG61</f>
        <v>52</v>
      </c>
      <c r="AL188" s="61">
        <f>AH61</f>
        <v>3.8678794930558618</v>
      </c>
      <c r="AM188" s="62">
        <f>AI61</f>
        <v>1.3945461146358555</v>
      </c>
    </row>
    <row r="189" spans="1:39">
      <c r="A189" s="121">
        <v>-32</v>
      </c>
      <c r="B189" s="122">
        <v>573.97164908910383</v>
      </c>
      <c r="C189" s="123">
        <v>4.7516439716562413</v>
      </c>
      <c r="E189" s="48">
        <f>A21</f>
        <v>52</v>
      </c>
      <c r="F189" s="61">
        <f t="shared" ref="F189:G189" si="738">B21</f>
        <v>10.019250464800328</v>
      </c>
      <c r="G189" s="62">
        <f t="shared" si="738"/>
        <v>1.2518038629450274</v>
      </c>
      <c r="I189" s="121">
        <v>-32</v>
      </c>
      <c r="J189" s="122">
        <v>540.80999999999995</v>
      </c>
      <c r="K189" s="123">
        <v>4.7372155358175227</v>
      </c>
      <c r="M189" s="48">
        <f>I21</f>
        <v>52</v>
      </c>
      <c r="N189" s="61">
        <f t="shared" ref="N189" si="739">J21</f>
        <v>10.157999999999999</v>
      </c>
      <c r="O189" s="62">
        <f t="shared" ref="O189" si="740">K21</f>
        <v>1.2647542208277305</v>
      </c>
      <c r="Y189" s="124">
        <v>-7</v>
      </c>
      <c r="Z189" s="125">
        <v>13.930926893827747</v>
      </c>
      <c r="AA189" s="126">
        <v>3.6600757733838836</v>
      </c>
      <c r="AC189" s="48">
        <f>Y71</f>
        <v>52</v>
      </c>
      <c r="AD189" s="61">
        <f t="shared" ref="AD189:AE189" si="741">Z71</f>
        <v>0.9996234967950246</v>
      </c>
      <c r="AE189" s="62">
        <f t="shared" si="741"/>
        <v>0.81941409770641171</v>
      </c>
      <c r="AG189" s="142">
        <v>-12</v>
      </c>
      <c r="AH189" s="143">
        <v>47.960874906672984</v>
      </c>
      <c r="AI189" s="144">
        <f t="shared" si="729"/>
        <v>4.1373491155799726</v>
      </c>
      <c r="AK189" s="48">
        <f>AG60</f>
        <v>52.5</v>
      </c>
      <c r="AL189" s="61">
        <f>AH60</f>
        <v>3.8054221177102594</v>
      </c>
      <c r="AM189" s="62">
        <f>AI60</f>
        <v>1.3782346114677944</v>
      </c>
    </row>
    <row r="190" spans="1:39">
      <c r="A190" s="121">
        <v>-32.5</v>
      </c>
      <c r="B190" s="122">
        <v>591.4001770690362</v>
      </c>
      <c r="C190" s="123">
        <v>4.7586096600301815</v>
      </c>
      <c r="E190" s="48">
        <f>A20</f>
        <v>52.5</v>
      </c>
      <c r="F190" s="61">
        <f t="shared" ref="F190:G190" si="742">B20</f>
        <v>9.8328068811210638</v>
      </c>
      <c r="G190" s="62">
        <f t="shared" si="742"/>
        <v>1.2342598540025767</v>
      </c>
      <c r="I190" s="121">
        <v>-32.5</v>
      </c>
      <c r="J190" s="122">
        <v>557.19000000000005</v>
      </c>
      <c r="K190" s="123">
        <v>4.74454605834568</v>
      </c>
      <c r="M190" s="48">
        <f>I20</f>
        <v>52.5</v>
      </c>
      <c r="N190" s="61">
        <f t="shared" ref="N190" si="743">J20</f>
        <v>9.9700000000000006</v>
      </c>
      <c r="O190" s="62">
        <f t="shared" ref="O190" si="744">K20</f>
        <v>1.2471853890417814</v>
      </c>
      <c r="Y190" s="124">
        <v>-7.5</v>
      </c>
      <c r="Z190" s="125">
        <v>14.299209398126585</v>
      </c>
      <c r="AA190" s="126">
        <v>3.6855134414672284</v>
      </c>
      <c r="AC190" s="48">
        <f>Y70</f>
        <v>52.5</v>
      </c>
      <c r="AD190" s="61">
        <f t="shared" ref="AD190:AE190" si="745">Z70</f>
        <v>0.9809954197455838</v>
      </c>
      <c r="AE190" s="62">
        <f t="shared" si="745"/>
        <v>0.80660759631572509</v>
      </c>
      <c r="AG190" s="142">
        <v>-12.5</v>
      </c>
      <c r="AH190" s="143">
        <v>49.109136380206586</v>
      </c>
      <c r="AI190" s="144">
        <f t="shared" si="729"/>
        <v>4.1541070795149855</v>
      </c>
      <c r="AK190" s="48">
        <f>AG59</f>
        <v>53</v>
      </c>
      <c r="AL190" s="61">
        <f>AH59</f>
        <v>3.7441397153906268</v>
      </c>
      <c r="AM190" s="62">
        <f>AI59</f>
        <v>1.3620858754796983</v>
      </c>
    </row>
    <row r="191" spans="1:39">
      <c r="A191" s="121">
        <v>-33</v>
      </c>
      <c r="B191" s="122">
        <v>609.39662057156147</v>
      </c>
      <c r="C191" s="123">
        <v>4.7654038273366011</v>
      </c>
      <c r="E191" s="48">
        <f>A19</f>
        <v>53</v>
      </c>
      <c r="F191" s="61">
        <f t="shared" ref="F191:G191" si="746">B19</f>
        <v>9.6503221623881696</v>
      </c>
      <c r="G191" s="62">
        <f t="shared" si="746"/>
        <v>1.2169285942829429</v>
      </c>
      <c r="I191" s="121">
        <v>-33</v>
      </c>
      <c r="J191" s="122">
        <v>574.11</v>
      </c>
      <c r="K191" s="123">
        <v>4.7517008491830959</v>
      </c>
      <c r="M191" s="48">
        <f>I19</f>
        <v>53</v>
      </c>
      <c r="N191" s="61">
        <f t="shared" ref="N191" si="747">J19</f>
        <v>9.7870000000000008</v>
      </c>
      <c r="O191" s="62">
        <f t="shared" ref="O191" si="748">K19</f>
        <v>1.2299243471485661</v>
      </c>
      <c r="Y191" s="124">
        <v>-8</v>
      </c>
      <c r="Z191" s="125">
        <v>14.678158573560321</v>
      </c>
      <c r="AA191" s="126">
        <v>3.7106989811433357</v>
      </c>
      <c r="AC191" s="48">
        <f>Y69</f>
        <v>53</v>
      </c>
      <c r="AD191" s="61">
        <f t="shared" ref="AD191:AE191" si="749">Z69</f>
        <v>0.96276530716164088</v>
      </c>
      <c r="AE191" s="62">
        <f t="shared" si="749"/>
        <v>0.79399849605292694</v>
      </c>
      <c r="AG191" s="142">
        <v>-13</v>
      </c>
      <c r="AH191" s="143">
        <v>50.288534463226327</v>
      </c>
      <c r="AI191" s="144">
        <f t="shared" si="729"/>
        <v>4.1706549106696551</v>
      </c>
      <c r="AK191" s="48">
        <f>AG58</f>
        <v>53.5</v>
      </c>
      <c r="AL191" s="61">
        <f>AH58</f>
        <v>3.6840073628029266</v>
      </c>
      <c r="AM191" s="62">
        <f>AI58</f>
        <v>1.3460995982862154</v>
      </c>
    </row>
    <row r="192" spans="1:39">
      <c r="A192" s="121">
        <v>-33.5</v>
      </c>
      <c r="B192" s="122">
        <v>627.98032003032233</v>
      </c>
      <c r="C192" s="123">
        <v>4.7720296558518838</v>
      </c>
      <c r="E192" s="48">
        <f>A18</f>
        <v>53.5</v>
      </c>
      <c r="F192" s="61">
        <f t="shared" ref="F192:G192" si="750">B18</f>
        <v>9.471702070896864</v>
      </c>
      <c r="G192" s="62">
        <f t="shared" si="750"/>
        <v>1.1998091764429517</v>
      </c>
      <c r="I192" s="121">
        <v>-33.5</v>
      </c>
      <c r="J192" s="122">
        <v>591.6</v>
      </c>
      <c r="K192" s="123">
        <v>4.7586872586872584</v>
      </c>
      <c r="M192" s="48">
        <f>I18</f>
        <v>53.5</v>
      </c>
      <c r="N192" s="61">
        <f t="shared" ref="N192" si="751">J18</f>
        <v>9.6069999999999993</v>
      </c>
      <c r="O192" s="62">
        <f t="shared" ref="O192" si="752">K18</f>
        <v>1.2127906683162066</v>
      </c>
      <c r="Y192" s="124">
        <v>-8.5</v>
      </c>
      <c r="Z192" s="125">
        <v>15.068103079271372</v>
      </c>
      <c r="AA192" s="126">
        <v>3.7356272476508359</v>
      </c>
      <c r="AC192" s="48">
        <f>Y68</f>
        <v>53.5</v>
      </c>
      <c r="AD192" s="61">
        <f t="shared" ref="AD192:AE192" si="753">Z68</f>
        <v>0.94492369034789458</v>
      </c>
      <c r="AE192" s="62">
        <f t="shared" si="753"/>
        <v>0.78158446553815208</v>
      </c>
      <c r="AG192" s="142">
        <v>-13.5</v>
      </c>
      <c r="AH192" s="143">
        <v>51.50000431408445</v>
      </c>
      <c r="AI192" s="144">
        <f t="shared" si="729"/>
        <v>4.1869919269493572</v>
      </c>
      <c r="AK192" s="48">
        <f>AG57</f>
        <v>54</v>
      </c>
      <c r="AL192" s="61">
        <f>AH57</f>
        <v>3.6250007207987767</v>
      </c>
      <c r="AM192" s="62">
        <f>AI57</f>
        <v>1.3302754234959988</v>
      </c>
    </row>
    <row r="193" spans="1:39">
      <c r="A193" s="121">
        <v>-34</v>
      </c>
      <c r="B193" s="122">
        <v>647.17128719193647</v>
      </c>
      <c r="C193" s="123">
        <v>4.7784903128099048</v>
      </c>
      <c r="E193" s="48">
        <f>A17</f>
        <v>54</v>
      </c>
      <c r="F193" s="61">
        <f t="shared" ref="F193:G193" si="754">B17</f>
        <v>9.2968548342817812</v>
      </c>
      <c r="G193" s="62">
        <f t="shared" si="754"/>
        <v>1.182900625697326</v>
      </c>
      <c r="I193" s="121">
        <v>-34</v>
      </c>
      <c r="J193" s="122">
        <v>609.66999999999996</v>
      </c>
      <c r="K193" s="123">
        <v>4.7655040880453985</v>
      </c>
      <c r="M193" s="48">
        <f>I17</f>
        <v>54</v>
      </c>
      <c r="N193" s="61">
        <f t="shared" ref="N193" si="755">J17</f>
        <v>9.43</v>
      </c>
      <c r="O193" s="62">
        <f t="shared" ref="O193" si="756">K17</f>
        <v>1.19579000760842</v>
      </c>
      <c r="Y193" s="124">
        <v>-9</v>
      </c>
      <c r="Z193" s="125">
        <v>15.469382043359182</v>
      </c>
      <c r="AA193" s="126">
        <v>3.7602933356846924</v>
      </c>
      <c r="AC193" s="48">
        <f>Y67</f>
        <v>54</v>
      </c>
      <c r="AD193" s="61">
        <f t="shared" ref="AD193:AE193" si="757">Z67</f>
        <v>0.92746134654404477</v>
      </c>
      <c r="AE193" s="62">
        <f t="shared" si="757"/>
        <v>0.76936316404237226</v>
      </c>
      <c r="AG193" s="142">
        <v>-14</v>
      </c>
      <c r="AH193" s="143">
        <v>52.744511737638213</v>
      </c>
      <c r="AI193" s="144">
        <f t="shared" si="729"/>
        <v>4.2031175537858747</v>
      </c>
      <c r="AK193" s="48">
        <f>AG56</f>
        <v>54.5</v>
      </c>
      <c r="AL193" s="61">
        <f>AH56</f>
        <v>3.5670960194584782</v>
      </c>
      <c r="AM193" s="62">
        <f>AI56</f>
        <v>1.3146129482471431</v>
      </c>
    </row>
    <row r="194" spans="1:39">
      <c r="A194" s="121">
        <v>-34.5</v>
      </c>
      <c r="B194" s="122">
        <v>666.99022816442118</v>
      </c>
      <c r="C194" s="123">
        <v>4.7847889483400126</v>
      </c>
      <c r="E194" s="48">
        <f>A16</f>
        <v>54.5</v>
      </c>
      <c r="F194" s="61">
        <f t="shared" ref="F194:G194" si="758">B16</f>
        <v>9.1256910758697227</v>
      </c>
      <c r="G194" s="62">
        <f t="shared" si="758"/>
        <v>1.1662019027566619</v>
      </c>
      <c r="I194" s="121">
        <v>-34.5</v>
      </c>
      <c r="J194" s="122">
        <v>628.36</v>
      </c>
      <c r="K194" s="123">
        <v>4.7721611276505254</v>
      </c>
      <c r="M194" s="48">
        <f>I16</f>
        <v>54.5</v>
      </c>
      <c r="N194" s="61">
        <f t="shared" ref="N194" si="759">J16</f>
        <v>9.2579999999999991</v>
      </c>
      <c r="O194" s="62">
        <f t="shared" ref="O194" si="760">K16</f>
        <v>1.1791227265780222</v>
      </c>
      <c r="Y194" s="124">
        <v>-9.5</v>
      </c>
      <c r="Z194" s="125">
        <v>15.882345395320179</v>
      </c>
      <c r="AA194" s="126">
        <v>3.7846925822845612</v>
      </c>
      <c r="AC194" s="48">
        <f>Y66</f>
        <v>54.5</v>
      </c>
      <c r="AD194" s="61">
        <f t="shared" ref="AD194:AE194" si="761">Z66</f>
        <v>0.91036929205713346</v>
      </c>
      <c r="AE194" s="62">
        <f t="shared" si="761"/>
        <v>0.75733224351140238</v>
      </c>
      <c r="AG194" s="142">
        <v>-14.5</v>
      </c>
      <c r="AH194" s="143">
        <v>54.023054269195875</v>
      </c>
      <c r="AI194" s="144">
        <f t="shared" si="729"/>
        <v>4.2190313228455718</v>
      </c>
      <c r="AK194" s="48">
        <f>AG55</f>
        <v>55</v>
      </c>
      <c r="AL194" s="61">
        <f>AH55</f>
        <v>3.5102700435846632</v>
      </c>
      <c r="AM194" s="62">
        <f>AI55</f>
        <v>1.2991117247325159</v>
      </c>
    </row>
    <row r="195" spans="1:39">
      <c r="A195" s="121">
        <v>-35</v>
      </c>
      <c r="B195" s="122">
        <v>687.45856721197117</v>
      </c>
      <c r="C195" s="123">
        <v>4.7909286935092332</v>
      </c>
      <c r="E195" s="48">
        <f>A15</f>
        <v>55</v>
      </c>
      <c r="F195" s="61">
        <f t="shared" ref="F195:G195" si="762">B15</f>
        <v>8.9581237471290613</v>
      </c>
      <c r="G195" s="62">
        <f t="shared" si="762"/>
        <v>1.1497119067225627</v>
      </c>
      <c r="I195" s="121">
        <v>-35</v>
      </c>
      <c r="J195" s="122">
        <v>647.66999999999996</v>
      </c>
      <c r="K195" s="123">
        <v>4.778653326840498</v>
      </c>
      <c r="M195" s="48">
        <f>I15</f>
        <v>55</v>
      </c>
      <c r="N195" s="61">
        <f t="shared" ref="N195" si="763">J15</f>
        <v>9.0890000000000004</v>
      </c>
      <c r="O195" s="62">
        <f t="shared" ref="O195" si="764">K15</f>
        <v>1.1626032899281129</v>
      </c>
      <c r="Y195" s="124">
        <v>-10</v>
      </c>
      <c r="Z195" s="125">
        <v>16.307354208359989</v>
      </c>
      <c r="AA195" s="126">
        <v>3.8088205692396229</v>
      </c>
      <c r="AC195" s="48">
        <f>Y65</f>
        <v>55</v>
      </c>
      <c r="AD195" s="61">
        <f t="shared" ref="AD195:AE195" si="765">Z65</f>
        <v>0.89363877559746929</v>
      </c>
      <c r="AE195" s="62">
        <f t="shared" si="765"/>
        <v>0.74548935050593534</v>
      </c>
      <c r="AG195" s="142">
        <v>-15</v>
      </c>
      <c r="AH195" s="143">
        <v>55.336662299491152</v>
      </c>
      <c r="AI195" s="144">
        <f t="shared" si="729"/>
        <v>4.234732870638398</v>
      </c>
      <c r="AK195" s="48">
        <f>AG54</f>
        <v>55.5</v>
      </c>
      <c r="AL195" s="61">
        <f>AH54</f>
        <v>3.4545001185947721</v>
      </c>
      <c r="AM195" s="62">
        <f>AI54</f>
        <v>1.2837712617135753</v>
      </c>
    </row>
    <row r="196" spans="1:39">
      <c r="A196" s="121">
        <v>-35.5</v>
      </c>
      <c r="B196" s="122">
        <v>708.59847131654442</v>
      </c>
      <c r="C196" s="123">
        <v>4.7969126584670203</v>
      </c>
      <c r="E196" s="48">
        <f>A14</f>
        <v>55.5</v>
      </c>
      <c r="F196" s="61">
        <f t="shared" ref="F196:G196" si="766">B14</f>
        <v>8.794068062149373</v>
      </c>
      <c r="G196" s="62">
        <f t="shared" si="766"/>
        <v>1.1334294779373211</v>
      </c>
      <c r="I196" s="121">
        <v>-35.5</v>
      </c>
      <c r="J196" s="122">
        <v>667.64</v>
      </c>
      <c r="K196" s="123">
        <v>4.7849893928100453</v>
      </c>
      <c r="M196" s="48">
        <f>I14</f>
        <v>55.5</v>
      </c>
      <c r="N196" s="61">
        <f t="shared" ref="N196" si="767">J14</f>
        <v>8.923</v>
      </c>
      <c r="O196" s="62">
        <f t="shared" ref="O196" si="768">K14</f>
        <v>1.1462374431570024</v>
      </c>
      <c r="Y196" s="124">
        <v>-10.5</v>
      </c>
      <c r="Z196" s="125">
        <v>16.744781051811092</v>
      </c>
      <c r="AA196" s="126">
        <v>3.8326731250123536</v>
      </c>
      <c r="AC196" s="48">
        <f>Y64</f>
        <v>55.5</v>
      </c>
      <c r="AD196" s="61">
        <f t="shared" ref="AD196:AE196" si="769">Z64</f>
        <v>0.8772612718118411</v>
      </c>
      <c r="AE196" s="62">
        <f t="shared" si="769"/>
        <v>0.73383212805914688</v>
      </c>
      <c r="AG196" s="142">
        <v>-15.5</v>
      </c>
      <c r="AH196" s="143">
        <v>56.68640024233742</v>
      </c>
      <c r="AI196" s="144">
        <f t="shared" si="729"/>
        <v>4.2502219370321281</v>
      </c>
      <c r="AK196" s="48">
        <f>AG53</f>
        <v>56</v>
      </c>
      <c r="AL196" s="61">
        <f>AH53</f>
        <v>3.3997640968001992</v>
      </c>
      <c r="AM196" s="62">
        <f>AI53</f>
        <v>1.2685910260211397</v>
      </c>
    </row>
    <row r="197" spans="1:39">
      <c r="A197" s="121">
        <v>-36</v>
      </c>
      <c r="B197" s="122">
        <v>730.43287552697643</v>
      </c>
      <c r="C197" s="123">
        <v>4.8027439306907258</v>
      </c>
      <c r="E197" s="48">
        <f>A13</f>
        <v>56</v>
      </c>
      <c r="F197" s="61">
        <f t="shared" ref="F197:G197" si="770">B13</f>
        <v>8.633441434086718</v>
      </c>
      <c r="G197" s="62">
        <f t="shared" si="770"/>
        <v>1.117353400785742</v>
      </c>
      <c r="I197" s="121">
        <v>-36</v>
      </c>
      <c r="J197" s="122">
        <v>688.28</v>
      </c>
      <c r="K197" s="123">
        <v>4.7911677897198857</v>
      </c>
      <c r="M197" s="48">
        <f>I13</f>
        <v>56</v>
      </c>
      <c r="N197" s="61">
        <f t="shared" ref="N197" si="771">J13</f>
        <v>8.7609999999999992</v>
      </c>
      <c r="O197" s="62">
        <f t="shared" ref="O197" si="772">K13</f>
        <v>1.1301308015789067</v>
      </c>
      <c r="Y197" s="124">
        <v>-11</v>
      </c>
      <c r="Z197" s="125">
        <v>17.195010353882978</v>
      </c>
      <c r="AA197" s="126">
        <v>3.8562463261848707</v>
      </c>
      <c r="AC197" s="48">
        <f>Y63</f>
        <v>56</v>
      </c>
      <c r="AD197" s="61">
        <f t="shared" ref="AD197:AE197" si="773">Z63</f>
        <v>0.86122847500781741</v>
      </c>
      <c r="AE197" s="62">
        <f t="shared" si="773"/>
        <v>0.72235821745339834</v>
      </c>
      <c r="AG197" s="142">
        <v>-16</v>
      </c>
      <c r="AH197" s="143">
        <v>58.073367746683218</v>
      </c>
      <c r="AI197" s="144">
        <f t="shared" si="729"/>
        <v>4.2654983636763557</v>
      </c>
      <c r="AK197" s="48">
        <f>AG52</f>
        <v>56.5</v>
      </c>
      <c r="AL197" s="61">
        <f>AH52</f>
        <v>3.3460403440612989</v>
      </c>
      <c r="AM197" s="62">
        <f>AI52</f>
        <v>1.2535704440419346</v>
      </c>
    </row>
    <row r="198" spans="1:39">
      <c r="A198" s="121">
        <v>-36.5</v>
      </c>
      <c r="B198" s="122">
        <v>752.98550911660493</v>
      </c>
      <c r="C198" s="123">
        <v>4.808425573329913</v>
      </c>
      <c r="E198" s="48">
        <f>A12</f>
        <v>56.5</v>
      </c>
      <c r="F198" s="61">
        <f t="shared" ref="F198:G198" si="774">B12</f>
        <v>8.4761634135126265</v>
      </c>
      <c r="G198" s="62">
        <f t="shared" si="774"/>
        <v>1.1014824064469799</v>
      </c>
      <c r="I198" s="121">
        <v>-36.5</v>
      </c>
      <c r="J198" s="122">
        <v>709.63</v>
      </c>
      <c r="K198" s="123">
        <v>4.7971958952449203</v>
      </c>
      <c r="M198" s="48">
        <f>I12</f>
        <v>56.5</v>
      </c>
      <c r="N198" s="61">
        <f t="shared" ref="N198" si="775">J12</f>
        <v>8.6029999999999998</v>
      </c>
      <c r="O198" s="62">
        <f t="shared" ref="O198" si="776">K12</f>
        <v>1.1142916353651271</v>
      </c>
      <c r="Y198" s="124">
        <v>-11.5</v>
      </c>
      <c r="Z198" s="125">
        <v>17.658438774977114</v>
      </c>
      <c r="AA198" s="126">
        <v>3.8795364984333971</v>
      </c>
      <c r="AC198" s="48">
        <f>Y62</f>
        <v>56.5</v>
      </c>
      <c r="AD198" s="61">
        <f t="shared" ref="AD198:AE198" si="777">Z62</f>
        <v>0.84553229306330135</v>
      </c>
      <c r="AE198" s="62">
        <f t="shared" si="777"/>
        <v>0.71106525991776248</v>
      </c>
      <c r="AG198" s="142">
        <v>-16.5</v>
      </c>
      <c r="AH198" s="143">
        <v>59.498700954864212</v>
      </c>
      <c r="AI198" s="144">
        <f t="shared" si="729"/>
        <v>4.2805620923407997</v>
      </c>
      <c r="AK198" s="48">
        <f>AG51</f>
        <v>57</v>
      </c>
      <c r="AL198" s="61">
        <f>AH51</f>
        <v>3.2933077268066335</v>
      </c>
      <c r="AM198" s="62">
        <f>AI51</f>
        <v>1.2387089031895013</v>
      </c>
    </row>
    <row r="199" spans="1:39">
      <c r="A199" s="121">
        <v>-37</v>
      </c>
      <c r="B199" s="122">
        <v>776.28092257066669</v>
      </c>
      <c r="C199" s="123">
        <v>4.813960623647457</v>
      </c>
      <c r="E199" s="48">
        <f>A11</f>
        <v>57</v>
      </c>
      <c r="F199" s="61">
        <f t="shared" ref="F199:G199" si="778">B11</f>
        <v>8.3221556286063354</v>
      </c>
      <c r="G199" s="62">
        <f t="shared" si="778"/>
        <v>1.0858151755944148</v>
      </c>
      <c r="I199" s="121">
        <v>-37</v>
      </c>
      <c r="J199" s="122">
        <v>731.7</v>
      </c>
      <c r="K199" s="123">
        <v>4.8030720756203227</v>
      </c>
      <c r="M199" s="48">
        <f>I11</f>
        <v>57</v>
      </c>
      <c r="N199" s="61">
        <f t="shared" ref="N199" si="779">J11</f>
        <v>8.4469999999999992</v>
      </c>
      <c r="O199" s="62">
        <f t="shared" ref="O199" si="780">K11</f>
        <v>1.0985252425416807</v>
      </c>
      <c r="Y199" s="124">
        <v>-12</v>
      </c>
      <c r="Z199" s="125">
        <v>18.135475591792563</v>
      </c>
      <c r="AA199" s="126">
        <v>3.9025402170374619</v>
      </c>
      <c r="AC199" s="48">
        <f>Y61</f>
        <v>57</v>
      </c>
      <c r="AD199" s="61">
        <f t="shared" ref="AD199:AE199" si="781">Z61</f>
        <v>0.83016484151547609</v>
      </c>
      <c r="AE199" s="62">
        <f t="shared" si="781"/>
        <v>0.69995089824798562</v>
      </c>
      <c r="AG199" s="142">
        <v>-17</v>
      </c>
      <c r="AH199" s="143">
        <v>60.963573808921069</v>
      </c>
      <c r="AI199" s="144">
        <f t="shared" si="729"/>
        <v>4.2954131631725359</v>
      </c>
      <c r="AK199" s="48">
        <f>AG50</f>
        <v>57.5</v>
      </c>
      <c r="AL199" s="61">
        <f>AH50</f>
        <v>3.241545599406535</v>
      </c>
      <c r="AM199" s="62">
        <f>AI50</f>
        <v>1.2240057533585111</v>
      </c>
    </row>
    <row r="200" spans="1:39">
      <c r="A200" s="121">
        <v>-37.5</v>
      </c>
      <c r="B200" s="122">
        <v>800.34451542486693</v>
      </c>
      <c r="C200" s="123">
        <v>4.8193520915553361</v>
      </c>
      <c r="E200" s="48">
        <f>A10</f>
        <v>57.5</v>
      </c>
      <c r="F200" s="61">
        <f t="shared" ref="F200:G200" si="782">B10</f>
        <v>8.1713417271322779</v>
      </c>
      <c r="G200" s="62">
        <f t="shared" si="782"/>
        <v>1.0703503410418593</v>
      </c>
      <c r="I200" s="121">
        <v>-37.5</v>
      </c>
      <c r="J200" s="122">
        <v>754.53</v>
      </c>
      <c r="K200" s="123">
        <v>4.8088027226492294</v>
      </c>
      <c r="M200" s="48">
        <f>I10</f>
        <v>57.5</v>
      </c>
      <c r="N200" s="61">
        <f t="shared" ref="N200" si="783">J10</f>
        <v>8.2949999999999999</v>
      </c>
      <c r="O200" s="62">
        <f t="shared" ref="O200" si="784">K10</f>
        <v>1.0830395613004309</v>
      </c>
      <c r="Y200" s="124">
        <v>-12.5</v>
      </c>
      <c r="Z200" s="125">
        <v>18.626543092451442</v>
      </c>
      <c r="AA200" s="126">
        <v>3.9252543069321892</v>
      </c>
      <c r="AC200" s="48">
        <f>Y60</f>
        <v>57.5</v>
      </c>
      <c r="AD200" s="61">
        <f t="shared" ref="AD200:AE200" si="785">Z60</f>
        <v>0.81511843782370907</v>
      </c>
      <c r="AE200" s="62">
        <f t="shared" si="785"/>
        <v>0.68901277835073038</v>
      </c>
      <c r="AG200" s="142">
        <v>-17.5</v>
      </c>
      <c r="AH200" s="143">
        <v>62.469199406933704</v>
      </c>
      <c r="AI200" s="144">
        <f t="shared" si="729"/>
        <v>4.3100517128768487</v>
      </c>
      <c r="AK200" s="48">
        <f>AG49</f>
        <v>58</v>
      </c>
      <c r="AL200" s="61">
        <f>AH49</f>
        <v>3.1907337918899499</v>
      </c>
      <c r="AM200" s="62">
        <f>AI49</f>
        <v>1.2094603083612023</v>
      </c>
    </row>
    <row r="201" spans="1:39">
      <c r="A201" s="121">
        <v>-38</v>
      </c>
      <c r="B201" s="122">
        <v>825.20256497681555</v>
      </c>
      <c r="C201" s="123">
        <v>4.8246029582429202</v>
      </c>
      <c r="E201" s="48">
        <f>A9</f>
        <v>58</v>
      </c>
      <c r="F201" s="61">
        <f t="shared" ref="F201:G201" si="786">B9</f>
        <v>8.02364732014669</v>
      </c>
      <c r="G201" s="62">
        <f t="shared" si="786"/>
        <v>1.0550864903345805</v>
      </c>
      <c r="I201" s="121">
        <v>-38</v>
      </c>
      <c r="J201" s="122">
        <v>778.14</v>
      </c>
      <c r="K201" s="123">
        <v>4.8143885960353403</v>
      </c>
      <c r="M201" s="48">
        <f>I9</f>
        <v>58</v>
      </c>
      <c r="N201" s="61">
        <f t="shared" ref="N201" si="787">J9</f>
        <v>8.1460000000000008</v>
      </c>
      <c r="O201" s="62">
        <f t="shared" ref="O201" si="788">K9</f>
        <v>1.0677397368007131</v>
      </c>
      <c r="Y201" s="124">
        <v>-13</v>
      </c>
      <c r="Z201" s="125">
        <v>19.132076982868764</v>
      </c>
      <c r="AA201" s="126">
        <v>3.9476758423131622</v>
      </c>
      <c r="AC201" s="48">
        <f>Y59</f>
        <v>58</v>
      </c>
      <c r="AD201" s="61">
        <f t="shared" ref="AD201:AE201" si="789">Z59</f>
        <v>0.80038559580092428</v>
      </c>
      <c r="AE201" s="62">
        <f t="shared" si="789"/>
        <v>0.67824855071381074</v>
      </c>
      <c r="AG201" s="142">
        <v>-18</v>
      </c>
      <c r="AH201" s="143">
        <v>64.016831411410308</v>
      </c>
      <c r="AI201" s="144">
        <f t="shared" si="729"/>
        <v>4.3244779728264335</v>
      </c>
      <c r="AK201" s="48">
        <f>AG48</f>
        <v>58.5</v>
      </c>
      <c r="AL201" s="61">
        <f>AH48</f>
        <v>3.1408525979949733</v>
      </c>
      <c r="AM201" s="62">
        <f>AI48</f>
        <v>1.195071847345051</v>
      </c>
    </row>
    <row r="202" spans="1:39">
      <c r="A202" s="121">
        <v>-38.5</v>
      </c>
      <c r="B202" s="122">
        <v>850.88225589209651</v>
      </c>
      <c r="C202" s="123">
        <v>4.8297161748954851</v>
      </c>
      <c r="E202" s="48">
        <f>A8</f>
        <v>58.5</v>
      </c>
      <c r="F202" s="61">
        <f t="shared" ref="F202:G202" si="790">B8</f>
        <v>7.8789999273785547</v>
      </c>
      <c r="G202" s="62">
        <f t="shared" si="790"/>
        <v>1.0400221682837638</v>
      </c>
      <c r="I202" s="121">
        <v>-38.5</v>
      </c>
      <c r="J202" s="122">
        <v>802.57</v>
      </c>
      <c r="K202" s="123">
        <v>4.8198349688314499</v>
      </c>
      <c r="M202" s="48">
        <f>I8</f>
        <v>58.5</v>
      </c>
      <c r="N202" s="61">
        <f t="shared" ref="N202" si="791">J8</f>
        <v>8</v>
      </c>
      <c r="O202" s="62">
        <f t="shared" ref="O202" si="792">K8</f>
        <v>1.0526315789473684</v>
      </c>
      <c r="Y202" s="124">
        <v>-13.5</v>
      </c>
      <c r="Z202" s="125">
        <v>19.652526804586852</v>
      </c>
      <c r="AA202" s="126">
        <v>3.96980214580458</v>
      </c>
      <c r="AC202" s="48">
        <f>Y58</f>
        <v>58.5</v>
      </c>
      <c r="AD202" s="61">
        <f t="shared" ref="AD202:AE202" si="793">Z58</f>
        <v>0.78595902020832908</v>
      </c>
      <c r="AE202" s="62">
        <f t="shared" si="793"/>
        <v>0.66765587180431196</v>
      </c>
      <c r="AG202" s="142">
        <v>-18.5</v>
      </c>
      <c r="AH202" s="143">
        <v>65.607765511848228</v>
      </c>
      <c r="AI202" s="144">
        <f t="shared" si="729"/>
        <v>4.3386922671036396</v>
      </c>
      <c r="AK202" s="48">
        <f>AG47</f>
        <v>59</v>
      </c>
      <c r="AL202" s="61">
        <f>AH47</f>
        <v>3.0918827635433628</v>
      </c>
      <c r="AM202" s="62">
        <f>AI47</f>
        <v>1.180839616190748</v>
      </c>
    </row>
    <row r="203" spans="1:39">
      <c r="A203" s="121">
        <v>-39</v>
      </c>
      <c r="B203" s="122">
        <v>877.4117107269177</v>
      </c>
      <c r="C203" s="123">
        <v>4.8346946615006363</v>
      </c>
      <c r="E203" s="48">
        <f>A7</f>
        <v>59</v>
      </c>
      <c r="F203" s="61">
        <f t="shared" ref="F203:G203" si="794">B7</f>
        <v>7.7373289242327132</v>
      </c>
      <c r="G203" s="62">
        <f t="shared" si="794"/>
        <v>1.0251558794433184</v>
      </c>
      <c r="I203" s="121">
        <v>-39</v>
      </c>
      <c r="J203" s="122">
        <v>827.84</v>
      </c>
      <c r="K203" s="123">
        <v>4.8251422176629672</v>
      </c>
      <c r="M203" s="48">
        <f>I7</f>
        <v>59</v>
      </c>
      <c r="N203" s="61">
        <f t="shared" ref="N203" si="795">J7</f>
        <v>7.8570000000000002</v>
      </c>
      <c r="O203" s="62">
        <f t="shared" ref="O203" si="796">K7</f>
        <v>1.0377208970599889</v>
      </c>
      <c r="Y203" s="124">
        <v>-14</v>
      </c>
      <c r="Z203" s="125">
        <v>20.188356364295206</v>
      </c>
      <c r="AA203" s="126">
        <v>3.9916307872027774</v>
      </c>
      <c r="AC203" s="48">
        <f>Y57</f>
        <v>59</v>
      </c>
      <c r="AD203" s="61">
        <f t="shared" ref="AD203:AE203" si="797">Z57</f>
        <v>0.77183160150840635</v>
      </c>
      <c r="AE203" s="62">
        <f t="shared" si="797"/>
        <v>0.65723240539641126</v>
      </c>
      <c r="AG203" s="142">
        <v>-19</v>
      </c>
      <c r="AH203" s="143">
        <v>67.243340943685581</v>
      </c>
      <c r="AI203" s="144">
        <f t="shared" si="729"/>
        <v>4.352695010480546</v>
      </c>
      <c r="AK203" s="48">
        <f>AG46</f>
        <v>59.5</v>
      </c>
      <c r="AL203" s="61">
        <f>AH46</f>
        <v>3.0438054751294197</v>
      </c>
      <c r="AM203" s="62">
        <f>AI46</f>
        <v>1.1667628288895573</v>
      </c>
    </row>
    <row r="204" spans="1:39">
      <c r="A204" s="121">
        <v>-39.5</v>
      </c>
      <c r="B204" s="122">
        <v>904.82002138938697</v>
      </c>
      <c r="C204" s="123">
        <v>4.8395413057402639</v>
      </c>
      <c r="E204" s="48">
        <f>A6</f>
        <v>59.5</v>
      </c>
      <c r="F204" s="61">
        <f t="shared" ref="F204:G204" si="798">B6</f>
        <v>7.5985654903640008</v>
      </c>
      <c r="G204" s="62">
        <f t="shared" si="798"/>
        <v>1.0104860905280295</v>
      </c>
      <c r="I204" s="121">
        <v>-39.5</v>
      </c>
      <c r="J204" s="122">
        <v>853.98</v>
      </c>
      <c r="K204" s="123">
        <v>4.8303129030068552</v>
      </c>
      <c r="M204" s="48">
        <f>I6</f>
        <v>59.5</v>
      </c>
      <c r="N204" s="61">
        <f t="shared" ref="N204" si="799">J6</f>
        <v>7.7169999999999996</v>
      </c>
      <c r="O204" s="62">
        <f t="shared" ref="O204" si="800">K6</f>
        <v>1.0230134952408729</v>
      </c>
      <c r="Y204" s="124">
        <v>-14.5</v>
      </c>
      <c r="Z204" s="125">
        <v>20.740044175246581</v>
      </c>
      <c r="AA204" s="126">
        <v>4.0131595818080035</v>
      </c>
      <c r="AC204" s="48">
        <f>Y56</f>
        <v>59.5</v>
      </c>
      <c r="AD204" s="61">
        <f t="shared" ref="AD204:AE204" si="801">Z56</f>
        <v>0.75799641077130453</v>
      </c>
      <c r="AE204" s="62">
        <f t="shared" si="801"/>
        <v>0.646975823830781</v>
      </c>
      <c r="AG204" s="142">
        <v>-19.5</v>
      </c>
      <c r="AH204" s="143">
        <v>68.92494206594705</v>
      </c>
      <c r="AI204" s="144">
        <f t="shared" si="729"/>
        <v>4.366486706341556</v>
      </c>
      <c r="AK204" s="48">
        <f>AG45</f>
        <v>60</v>
      </c>
      <c r="AL204" s="61">
        <f>AH45</f>
        <v>2.9966023491143678</v>
      </c>
      <c r="AM204" s="62">
        <f>AI45</f>
        <v>1.1528406688993476</v>
      </c>
    </row>
    <row r="205" spans="1:39">
      <c r="A205" s="121">
        <v>-40</v>
      </c>
      <c r="B205" s="122">
        <v>933.13728156145191</v>
      </c>
      <c r="C205" s="123">
        <v>4.8442589619656111</v>
      </c>
      <c r="E205" s="48">
        <f>A5</f>
        <v>60</v>
      </c>
      <c r="F205" s="61">
        <f t="shared" ref="F205:G205" si="802">B5</f>
        <v>7.4626425597732222</v>
      </c>
      <c r="G205" s="62">
        <f t="shared" si="802"/>
        <v>0.99601123277225601</v>
      </c>
      <c r="I205" s="121">
        <v>-40</v>
      </c>
      <c r="J205" s="122">
        <v>881.03</v>
      </c>
      <c r="K205" s="123">
        <v>4.8353511958991469</v>
      </c>
      <c r="M205" s="48">
        <f>I5</f>
        <v>60</v>
      </c>
      <c r="N205" s="61">
        <f t="shared" ref="N205" si="803">J5</f>
        <v>7.5789999999999997</v>
      </c>
      <c r="O205" s="62">
        <f t="shared" ref="O205" si="804">K5</f>
        <v>1.0084089518081907</v>
      </c>
      <c r="Y205" s="124">
        <v>-15</v>
      </c>
      <c r="Z205" s="125">
        <v>21.308083910779253</v>
      </c>
      <c r="AA205" s="126">
        <v>4.034386588358597</v>
      </c>
      <c r="AC205" s="48">
        <f>Y55</f>
        <v>60</v>
      </c>
      <c r="AD205" s="61">
        <f t="shared" ref="AD205:AE205" si="805">Z55</f>
        <v>0.74444669472990876</v>
      </c>
      <c r="AE205" s="62">
        <f t="shared" si="805"/>
        <v>0.63688380920746179</v>
      </c>
      <c r="AG205" s="142">
        <v>-20</v>
      </c>
      <c r="AH205" s="143">
        <v>70.653999999999058</v>
      </c>
      <c r="AI205" s="144">
        <f t="shared" si="729"/>
        <v>4.3800679445532698</v>
      </c>
      <c r="AK205" s="48">
        <f>AG44</f>
        <v>60.5</v>
      </c>
      <c r="AL205" s="61">
        <f>AH44</f>
        <v>2.9502554209172978</v>
      </c>
      <c r="AM205" s="62">
        <f>AI44</f>
        <v>1.1390722904785473</v>
      </c>
    </row>
    <row r="206" spans="1:39">
      <c r="Y206" s="124">
        <v>-15.5</v>
      </c>
      <c r="Z206" s="125">
        <v>21.892984870145256</v>
      </c>
      <c r="AA206" s="126">
        <v>4.0553101065824153</v>
      </c>
      <c r="AC206" s="48">
        <f>Y54</f>
        <v>60.5</v>
      </c>
      <c r="AD206" s="61">
        <f t="shared" ref="AD206:AE206" si="806">Z54</f>
        <v>0.7311758709790519</v>
      </c>
      <c r="AE206" s="62">
        <f t="shared" si="806"/>
        <v>0.62695405451412656</v>
      </c>
      <c r="AG206" s="142">
        <v>-20.5</v>
      </c>
      <c r="AH206" s="143">
        <v>72.431994331922766</v>
      </c>
      <c r="AI206" s="144">
        <f t="shared" si="729"/>
        <v>4.3934393992862919</v>
      </c>
      <c r="AK206" s="48">
        <f>AG43</f>
        <v>61</v>
      </c>
      <c r="AL206" s="61">
        <f>AH43</f>
        <v>2.9047471345939386</v>
      </c>
      <c r="AM206" s="62">
        <f>AI43</f>
        <v>1.1254568199973256</v>
      </c>
    </row>
    <row r="207" spans="1:39">
      <c r="Y207" s="124">
        <v>-16</v>
      </c>
      <c r="Z207" s="125">
        <v>22.495272456838237</v>
      </c>
      <c r="AA207" s="126">
        <v>4.0759286743812897</v>
      </c>
      <c r="AC207" s="48">
        <f>Y53</f>
        <v>61</v>
      </c>
      <c r="AD207" s="61">
        <f t="shared" ref="AD207:AE207" si="807">Z53</f>
        <v>0.71817752331438789</v>
      </c>
      <c r="AE207" s="62">
        <f t="shared" si="807"/>
        <v>0.61718426469159227</v>
      </c>
      <c r="AG207" s="142">
        <v>-21</v>
      </c>
      <c r="AH207" s="143">
        <v>74.260454881128183</v>
      </c>
      <c r="AI207" s="144">
        <f t="shared" si="729"/>
        <v>4.4066018267936204</v>
      </c>
      <c r="AK207" s="48">
        <f>AG42</f>
        <v>61.5</v>
      </c>
      <c r="AL207" s="61">
        <f>AH42</f>
        <v>2.8600603326955416</v>
      </c>
      <c r="AM207" s="62">
        <f>AI42</f>
        <v>1.1119933572255865</v>
      </c>
    </row>
    <row r="208" spans="1:39">
      <c r="Y208" s="124">
        <v>-16.5</v>
      </c>
      <c r="Z208" s="125">
        <v>23.115488669607398</v>
      </c>
      <c r="AA208" s="126">
        <v>4.0962410646650405</v>
      </c>
      <c r="AC208" s="48">
        <f>Y52</f>
        <v>61.5</v>
      </c>
      <c r="AD208" s="61">
        <f t="shared" ref="AD208:AE208" si="808">Z52</f>
        <v>0.70544539720668098</v>
      </c>
      <c r="AE208" s="62">
        <f t="shared" si="808"/>
        <v>0.60757215763850747</v>
      </c>
      <c r="AG208" s="142">
        <v>-21.5</v>
      </c>
      <c r="AH208" s="143">
        <v>76.140963537953226</v>
      </c>
      <c r="AI208" s="144">
        <f t="shared" si="729"/>
        <v>4.419556063150254</v>
      </c>
      <c r="AK208" s="48">
        <f>AG41</f>
        <v>62</v>
      </c>
      <c r="AL208" s="61">
        <f>AH41</f>
        <v>2.8161782463990161</v>
      </c>
      <c r="AM208" s="62">
        <f>AI41</f>
        <v>1.0986809765970142</v>
      </c>
    </row>
    <row r="209" spans="25:39">
      <c r="Y209" s="124">
        <v>-17</v>
      </c>
      <c r="Z209" s="125">
        <v>23.75419260632837</v>
      </c>
      <c r="AA209" s="126">
        <v>4.1162462818520433</v>
      </c>
      <c r="AC209" s="48">
        <f>Y51</f>
        <v>62</v>
      </c>
      <c r="AD209" s="61">
        <f t="shared" ref="AD209:AE209" si="809">Z51</f>
        <v>0.69297339540738667</v>
      </c>
      <c r="AE209" s="62">
        <f t="shared" si="809"/>
        <v>0.59811546515712399</v>
      </c>
      <c r="AG209" s="142">
        <v>-22</v>
      </c>
      <c r="AH209" s="143">
        <v>78.075156173089269</v>
      </c>
      <c r="AI209" s="144">
        <f t="shared" si="729"/>
        <v>4.4323030219584538</v>
      </c>
      <c r="AK209" s="48">
        <f>AG40</f>
        <v>62.5</v>
      </c>
      <c r="AL209" s="61">
        <f>AH40</f>
        <v>2.7730844859012644</v>
      </c>
      <c r="AM209" s="62">
        <f>AI40</f>
        <v>1.085518728448932</v>
      </c>
    </row>
    <row r="210" spans="25:39">
      <c r="Y210" s="124">
        <v>-17.5</v>
      </c>
      <c r="Z210" s="125">
        <v>24.411960980896815</v>
      </c>
      <c r="AA210" s="126">
        <v>4.1359435580540982</v>
      </c>
      <c r="AC210" s="48">
        <f>Y50</f>
        <v>62.5</v>
      </c>
      <c r="AD210" s="61">
        <f t="shared" ref="AD210:AE210" si="810">Z50</f>
        <v>0.68075557368145334</v>
      </c>
      <c r="AE210" s="62">
        <f t="shared" si="810"/>
        <v>0.58881193384199493</v>
      </c>
      <c r="AG210" s="142">
        <v>-22.5</v>
      </c>
      <c r="AH210" s="143">
        <v>80.064724621830223</v>
      </c>
      <c r="AI210" s="144">
        <f t="shared" si="729"/>
        <v>4.4448436920232277</v>
      </c>
      <c r="AK210" s="48">
        <f>AG39</f>
        <v>63</v>
      </c>
      <c r="AL210" s="61">
        <f>AH39</f>
        <v>2.7307630310697291</v>
      </c>
      <c r="AM210" s="62">
        <f>AI39</f>
        <v>1.0725056402374458</v>
      </c>
    </row>
    <row r="211" spans="25:39">
      <c r="Y211" s="124">
        <v>-18</v>
      </c>
      <c r="Z211" s="125">
        <v>25.089388653292517</v>
      </c>
      <c r="AA211" s="126">
        <v>4.1553323489636504</v>
      </c>
      <c r="AC211" s="48">
        <f>Y49</f>
        <v>63</v>
      </c>
      <c r="AD211" s="61">
        <f t="shared" ref="AD211:AE211" si="811">Z49</f>
        <v>0.66878613666353703</v>
      </c>
      <c r="AE211" s="62">
        <f t="shared" si="811"/>
        <v>0.57965932591352698</v>
      </c>
      <c r="AG211" s="142">
        <v>-23</v>
      </c>
      <c r="AH211" s="143">
        <v>82.111418746246883</v>
      </c>
      <c r="AI211" s="144">
        <f t="shared" si="729"/>
        <v>4.4571791350023338</v>
      </c>
      <c r="AK211" s="48">
        <f>AG38</f>
        <v>63.5</v>
      </c>
      <c r="AL211" s="61">
        <f>AH38</f>
        <v>2.6891982223419402</v>
      </c>
      <c r="AM211" s="62">
        <f>AI38</f>
        <v>1.0596407177275606</v>
      </c>
    </row>
    <row r="212" spans="25:39">
      <c r="Y212" s="124">
        <v>-18.5</v>
      </c>
      <c r="Z212" s="125">
        <v>25.78708917294901</v>
      </c>
      <c r="AA212" s="126">
        <v>4.1744123294618198</v>
      </c>
      <c r="AC212" s="48">
        <f>Y48</f>
        <v>63.5</v>
      </c>
      <c r="AD212" s="61">
        <f t="shared" ref="AD212:AE212" si="812">Z48</f>
        <v>0.65705943383378795</v>
      </c>
      <c r="AE212" s="62">
        <f t="shared" si="812"/>
        <v>0.57065541999818614</v>
      </c>
      <c r="AG212" s="142">
        <v>-23.5</v>
      </c>
      <c r="AH212" s="143">
        <v>84.217048578535781</v>
      </c>
      <c r="AI212" s="144">
        <f t="shared" si="729"/>
        <v>4.4693104830351178</v>
      </c>
      <c r="AK212" s="48">
        <f>AG37</f>
        <v>64</v>
      </c>
      <c r="AL212" s="61">
        <f>AH37</f>
        <v>2.6483747518670855</v>
      </c>
      <c r="AM212" s="62">
        <f>AI37</f>
        <v>1.0469229461580218</v>
      </c>
    </row>
    <row r="213" spans="25:39">
      <c r="Y213" s="124">
        <v>-19</v>
      </c>
      <c r="Z213" s="125">
        <v>26.505695335547038</v>
      </c>
      <c r="AA213" s="126">
        <v>4.1931833889659735</v>
      </c>
      <c r="AC213" s="48">
        <f>Y47</f>
        <v>64</v>
      </c>
      <c r="AD213" s="61">
        <f t="shared" ref="AD213:AE213" si="813">Z47</f>
        <v>0.64556995560963581</v>
      </c>
      <c r="AE213" s="62">
        <f t="shared" si="813"/>
        <v>0.56179801185723921</v>
      </c>
      <c r="AG213" s="142">
        <v>-24</v>
      </c>
      <c r="AH213" s="143">
        <v>86.383486548941931</v>
      </c>
      <c r="AI213" s="144">
        <f t="shared" si="729"/>
        <v>4.4812389363544058</v>
      </c>
      <c r="AK213" s="48">
        <f>AG36</f>
        <v>64.5</v>
      </c>
      <c r="AL213" s="61">
        <f>AH36</f>
        <v>2.6082776548824351</v>
      </c>
      <c r="AM213" s="62">
        <f>AI36</f>
        <v>1.0343512913805497</v>
      </c>
    </row>
    <row r="214" spans="25:39" ht="13.5" thickBot="1">
      <c r="Y214" s="130">
        <v>-19.5</v>
      </c>
      <c r="Z214" s="131">
        <v>27.245859753331654</v>
      </c>
      <c r="AA214" s="132">
        <v>4.2116456265357591</v>
      </c>
      <c r="AC214" s="48">
        <f>Y46</f>
        <v>64.5</v>
      </c>
      <c r="AD214" s="61">
        <f t="shared" ref="AD214:AE214" si="814">Z46</f>
        <v>0.63431232955000794</v>
      </c>
      <c r="AE214" s="62">
        <f t="shared" si="814"/>
        <v>0.55308491506581814</v>
      </c>
      <c r="AG214" s="142">
        <v>-24.5</v>
      </c>
      <c r="AH214" s="143">
        <v>88.612669801779248</v>
      </c>
      <c r="AI214" s="144">
        <f t="shared" si="729"/>
        <v>4.4929657608854452</v>
      </c>
      <c r="AK214" s="48">
        <f>AG35</f>
        <v>65</v>
      </c>
      <c r="AL214" s="61">
        <f>AH35</f>
        <v>2.5688923013183036</v>
      </c>
      <c r="AM214" s="62">
        <f>AI35</f>
        <v>1.0219247009733954</v>
      </c>
    </row>
    <row r="215" spans="25:39" ht="13.5" thickTop="1">
      <c r="Y215" s="118">
        <v>-20</v>
      </c>
      <c r="Z215" s="119">
        <v>28.008255439031274</v>
      </c>
      <c r="AA215" s="120">
        <v>4.2297993457565841</v>
      </c>
      <c r="AC215" s="48">
        <f>Y45</f>
        <v>65</v>
      </c>
      <c r="AD215" s="61">
        <f t="shared" ref="AD215:AE215" si="815">Z45</f>
        <v>0.62328131666858311</v>
      </c>
      <c r="AE215" s="62">
        <f t="shared" si="815"/>
        <v>0.54451396164410781</v>
      </c>
      <c r="AG215" s="142">
        <v>-25</v>
      </c>
      <c r="AH215" s="143">
        <v>90.906602603266563</v>
      </c>
      <c r="AI215" s="144">
        <f t="shared" si="729"/>
        <v>4.5044922858359975</v>
      </c>
      <c r="AK215" s="48">
        <f>AG34</f>
        <v>65.5</v>
      </c>
      <c r="AL215" s="61">
        <f>AH34</f>
        <v>2.5302043876246967</v>
      </c>
      <c r="AM215" s="62">
        <f>AI34</f>
        <v>1.009642105328953</v>
      </c>
    </row>
    <row r="216" spans="25:39">
      <c r="Y216" s="124">
        <v>-20.5</v>
      </c>
      <c r="Z216" s="125">
        <v>28.793576403436553</v>
      </c>
      <c r="AA216" s="126">
        <v>4.2476450494196154</v>
      </c>
      <c r="AC216" s="48">
        <f>Y44</f>
        <v>65.5</v>
      </c>
      <c r="AD216" s="61">
        <f t="shared" ref="AD216:AE216" si="816">Z44</f>
        <v>0.61247180785277322</v>
      </c>
      <c r="AE216" s="62">
        <f t="shared" si="816"/>
        <v>0.53608300264241626</v>
      </c>
      <c r="AG216" s="142">
        <v>-25.5</v>
      </c>
      <c r="AH216" s="143">
        <v>93.26735884502294</v>
      </c>
      <c r="AI216" s="144">
        <f t="shared" si="729"/>
        <v>4.5158199012813256</v>
      </c>
      <c r="AK216" s="48">
        <f>AG33</f>
        <v>66</v>
      </c>
      <c r="AL216" s="61">
        <f>AH33</f>
        <v>2.4921999288137582</v>
      </c>
      <c r="AM216" s="62">
        <f>AI33</f>
        <v>0.99750241871545764</v>
      </c>
    </row>
    <row r="217" spans="25:39">
      <c r="Y217" s="124">
        <v>-21</v>
      </c>
      <c r="Z217" s="125">
        <v>29.602538266668958</v>
      </c>
      <c r="AA217" s="126">
        <v>4.265183434017211</v>
      </c>
      <c r="AC217" s="48">
        <f>Y43</f>
        <v>66</v>
      </c>
      <c r="AD217" s="61">
        <f t="shared" ref="AD217:AE217" si="817">Z43</f>
        <v>0.60187882038523421</v>
      </c>
      <c r="AE217" s="62">
        <f t="shared" si="817"/>
        <v>0.52778990868186293</v>
      </c>
      <c r="AG217" s="142">
        <v>-26</v>
      </c>
      <c r="AH217" s="143">
        <v>95.69708464726375</v>
      </c>
      <c r="AI217" s="144">
        <f t="shared" si="729"/>
        <v>4.5269500557478777</v>
      </c>
      <c r="AK217" s="48">
        <f>AG32</f>
        <v>66.5</v>
      </c>
      <c r="AL217" s="61">
        <f>AH32</f>
        <v>2.4548652507114452</v>
      </c>
      <c r="AM217" s="62">
        <f>AI32</f>
        <v>0.9855045403125573</v>
      </c>
    </row>
    <row r="218" spans="25:39">
      <c r="Y218" s="124">
        <v>-21.5</v>
      </c>
      <c r="Z218" s="125">
        <v>30.435878883146444</v>
      </c>
      <c r="AA218" s="126">
        <v>4.2824153840727472</v>
      </c>
      <c r="AC218" s="48">
        <f>Y42</f>
        <v>66.5</v>
      </c>
      <c r="AD218" s="61">
        <f t="shared" ref="AD218:AE218" si="818">Z42</f>
        <v>0.59149749456481371</v>
      </c>
      <c r="AE218" s="62">
        <f t="shared" si="818"/>
        <v>0.51963257045239297</v>
      </c>
      <c r="AG218" s="142">
        <v>-26.5</v>
      </c>
      <c r="AH218" s="143">
        <v>98.19800106590624</v>
      </c>
      <c r="AI218" s="144">
        <f t="shared" si="729"/>
        <v>4.5378842537992572</v>
      </c>
      <c r="AK218" s="48">
        <f>AG31</f>
        <v>67</v>
      </c>
      <c r="AL218" s="61">
        <f>AH31</f>
        <v>2.4181869824130908</v>
      </c>
      <c r="AM218" s="62">
        <f>AI31</f>
        <v>0.97364735522092727</v>
      </c>
    </row>
    <row r="219" spans="25:39">
      <c r="Y219" s="124">
        <v>-22</v>
      </c>
      <c r="Z219" s="125">
        <v>31.294358980216025</v>
      </c>
      <c r="AA219" s="126">
        <v>4.2993419663233583</v>
      </c>
      <c r="AC219" s="48">
        <f>Y41</f>
        <v>67</v>
      </c>
      <c r="AD219" s="61">
        <f t="shared" ref="AD219:AE219" si="819">Z41</f>
        <v>0.58132309042390307</v>
      </c>
      <c r="AE219" s="62">
        <f t="shared" si="819"/>
        <v>0.5116088991697606</v>
      </c>
      <c r="AG219" s="142">
        <v>-27</v>
      </c>
      <c r="AH219" s="143">
        <v>100.77240690798193</v>
      </c>
      <c r="AI219" s="144">
        <f t="shared" si="729"/>
        <v>4.5486240536279512</v>
      </c>
      <c r="AK219" s="48">
        <f>AG30</f>
        <v>67.5</v>
      </c>
      <c r="AL219" s="61">
        <f>AH30</f>
        <v>2.3821520489366592</v>
      </c>
      <c r="AM219" s="62">
        <f>AI30</f>
        <v>0.96192973544579874</v>
      </c>
    </row>
    <row r="220" spans="25:39">
      <c r="Y220" s="124">
        <v>-22.5</v>
      </c>
      <c r="Z220" s="125">
        <v>32.178762810397288</v>
      </c>
      <c r="AA220" s="126">
        <v>4.3159644237740666</v>
      </c>
      <c r="AC220" s="48">
        <f>Y40</f>
        <v>67.5</v>
      </c>
      <c r="AD220" s="61">
        <f t="shared" ref="AD220:AE220" si="820">Z40</f>
        <v>0.57135098453933164</v>
      </c>
      <c r="AE220" s="62">
        <f t="shared" si="820"/>
        <v>0.50371682699315512</v>
      </c>
      <c r="AG220" s="142">
        <v>-27.5</v>
      </c>
      <c r="AH220" s="143">
        <v>103.42268165995598</v>
      </c>
      <c r="AI220" s="144">
        <f t="shared" si="729"/>
        <v>4.5591710646561756</v>
      </c>
      <c r="AK220" s="48">
        <f>AG29</f>
        <v>68</v>
      </c>
      <c r="AL220" s="61">
        <f>AH29</f>
        <v>2.346747664068221</v>
      </c>
      <c r="AM220" s="62">
        <f>AI29</f>
        <v>0.95035054085448678</v>
      </c>
    </row>
    <row r="221" spans="25:39">
      <c r="Y221" s="124">
        <v>-23</v>
      </c>
      <c r="Z221" s="125">
        <v>33.089898817140934</v>
      </c>
      <c r="AA221" s="126">
        <v>4.3322841696413521</v>
      </c>
      <c r="AC221" s="48">
        <f>Y39</f>
        <v>68</v>
      </c>
      <c r="AD221" s="61">
        <f t="shared" ref="AD221:AE221" si="821">Z39</f>
        <v>0.56157666693396469</v>
      </c>
      <c r="AE221" s="62">
        <f t="shared" si="821"/>
        <v>0.49595430740504959</v>
      </c>
      <c r="AG221" s="142">
        <v>-28</v>
      </c>
      <c r="AH221" s="143">
        <v>106.15128853374992</v>
      </c>
      <c r="AI221" s="144">
        <f t="shared" si="729"/>
        <v>4.5695269451490281</v>
      </c>
      <c r="AK221" s="48">
        <f>AG28</f>
        <v>68.5</v>
      </c>
      <c r="AL221" s="61">
        <f>AH28</f>
        <v>2.3119613233945526</v>
      </c>
      <c r="AM221" s="62">
        <f>AI28</f>
        <v>0.93890862010810705</v>
      </c>
    </row>
    <row r="222" spans="25:39">
      <c r="Y222" s="124">
        <v>-23.5</v>
      </c>
      <c r="Z222" s="125">
        <v>34.028600313969768</v>
      </c>
      <c r="AA222" s="126">
        <v>4.3483027812038566</v>
      </c>
      <c r="AC222" s="48">
        <f>Y38</f>
        <v>68.5</v>
      </c>
      <c r="AD222" s="61">
        <f t="shared" ref="AD222:AE222" si="822">Z38</f>
        <v>0.55199573806627567</v>
      </c>
      <c r="AE222" s="62">
        <f t="shared" si="822"/>
        <v>0.48831931555483682</v>
      </c>
      <c r="AG222" s="142">
        <v>-28.5</v>
      </c>
      <c r="AH222" s="143">
        <v>108.96077763548658</v>
      </c>
      <c r="AI222" s="144">
        <f t="shared" si="729"/>
        <v>4.5796933998430358</v>
      </c>
      <c r="AK222" s="48">
        <f>AG27</f>
        <v>69</v>
      </c>
      <c r="AL222" s="61">
        <f>AH27</f>
        <v>2.2777807975172486</v>
      </c>
      <c r="AM222" s="62">
        <f>AI27</f>
        <v>0.92760281156748214</v>
      </c>
    </row>
    <row r="223" spans="25:39">
      <c r="Y223" s="124">
        <v>-24</v>
      </c>
      <c r="Z223" s="125">
        <v>34.995726176822409</v>
      </c>
      <c r="AA223" s="126">
        <v>4.3640219935774489</v>
      </c>
      <c r="AC223" s="48">
        <f>Y37</f>
        <v>69</v>
      </c>
      <c r="AD223" s="61">
        <f t="shared" ref="AD223:AE223" si="823">Z37</f>
        <v>0.54260390590525565</v>
      </c>
      <c r="AE223" s="62">
        <f t="shared" si="823"/>
        <v>0.48080984856778147</v>
      </c>
      <c r="AG223" s="142">
        <v>-29</v>
      </c>
      <c r="AH223" s="143">
        <v>111.85378926219936</v>
      </c>
      <c r="AI223" s="144">
        <f t="shared" si="729"/>
        <v>4.5896721775929974</v>
      </c>
      <c r="AK223" s="48">
        <f>AG26</f>
        <v>69.5</v>
      </c>
      <c r="AL223" s="61">
        <f>AH26</f>
        <v>2.2441941254435318</v>
      </c>
      <c r="AM223" s="62">
        <f>AI26</f>
        <v>0.91643194417347518</v>
      </c>
    </row>
    <row r="224" spans="25:39">
      <c r="Y224" s="124">
        <v>-24.5</v>
      </c>
      <c r="Z224" s="125">
        <v>35.992161549378146</v>
      </c>
      <c r="AA224" s="126">
        <v>4.3794436934314573</v>
      </c>
      <c r="AC224" s="48">
        <f>Y36</f>
        <v>69.5</v>
      </c>
      <c r="AD224" s="61">
        <f t="shared" ref="AD224:AE224" si="824">Z36</f>
        <v>0.53339698308811667</v>
      </c>
      <c r="AE224" s="62">
        <f t="shared" si="824"/>
        <v>0.47342392582079224</v>
      </c>
      <c r="AG224" s="142">
        <v>-29.5</v>
      </c>
      <c r="AH224" s="143">
        <v>114.83305733198102</v>
      </c>
      <c r="AI224" s="144">
        <f t="shared" si="729"/>
        <v>4.5994650690399261</v>
      </c>
      <c r="AK224" s="48">
        <f>AG25</f>
        <v>70</v>
      </c>
      <c r="AL224" s="61">
        <f>AH25</f>
        <v>2.2111896081486195</v>
      </c>
      <c r="AM224" s="62">
        <f>AI25</f>
        <v>0.90539483830186207</v>
      </c>
    </row>
    <row r="225" spans="25:39">
      <c r="Y225" s="124">
        <v>-25</v>
      </c>
      <c r="Z225" s="125">
        <v>37.018818561091258</v>
      </c>
      <c r="AA225" s="126">
        <v>4.3945699126623525</v>
      </c>
      <c r="AC225" s="48">
        <f>Y35</f>
        <v>70</v>
      </c>
      <c r="AD225" s="61">
        <f t="shared" ref="AD225:AE225" si="825">Z35</f>
        <v>0.52437088415829236</v>
      </c>
      <c r="AE225" s="62">
        <f t="shared" si="825"/>
        <v>0.46615958918645034</v>
      </c>
      <c r="AG225" s="142">
        <v>-30</v>
      </c>
      <c r="AH225" s="143">
        <v>117.90141295330618</v>
      </c>
      <c r="AI225" s="144">
        <f t="shared" si="729"/>
        <v>4.6090739043027318</v>
      </c>
      <c r="AK225" s="48">
        <f>AG24</f>
        <v>70.5</v>
      </c>
      <c r="AL225" s="61">
        <f>AH24</f>
        <v>2.1787558023050799</v>
      </c>
      <c r="AM225" s="62">
        <f>AI24</f>
        <v>0.89449030659302065</v>
      </c>
    </row>
    <row r="226" spans="25:39">
      <c r="Y226" s="124">
        <v>-25.5</v>
      </c>
      <c r="Z226" s="125">
        <v>38.076637057603293</v>
      </c>
      <c r="AA226" s="126">
        <v>4.4094028220405486</v>
      </c>
      <c r="AC226" s="48">
        <f>Y34</f>
        <v>70.5</v>
      </c>
      <c r="AD226" s="61">
        <f t="shared" ref="AD226:AE226" si="826">Z34</f>
        <v>0.51552162288134307</v>
      </c>
      <c r="AE226" s="62">
        <f t="shared" si="826"/>
        <v>0.45901490324671501</v>
      </c>
      <c r="AG226" s="142">
        <v>-30.5</v>
      </c>
      <c r="AH226" s="143">
        <v>121.06178813949494</v>
      </c>
      <c r="AI226" s="144">
        <f t="shared" si="729"/>
        <v>4.6185005506961136</v>
      </c>
      <c r="AK226" s="48">
        <f>AG23</f>
        <v>71</v>
      </c>
      <c r="AL226" s="61">
        <f>AH23</f>
        <v>2.1468815141744479</v>
      </c>
      <c r="AM226" s="62">
        <f>AI23</f>
        <v>0.88371715475663748</v>
      </c>
    </row>
    <row r="227" spans="25:39">
      <c r="Y227" s="124">
        <v>-26</v>
      </c>
      <c r="Z227" s="125">
        <v>39.166585343148071</v>
      </c>
      <c r="AA227" s="126">
        <v>4.4239447248454393</v>
      </c>
      <c r="AC227" s="48">
        <f>Y33</f>
        <v>71</v>
      </c>
      <c r="AD227" s="61">
        <f t="shared" ref="AD227:AE227" si="827">Z33</f>
        <v>0.5068453096364478</v>
      </c>
      <c r="AE227" s="62">
        <f t="shared" si="827"/>
        <v>0.45198795547768739</v>
      </c>
      <c r="AG227" s="142">
        <v>-31</v>
      </c>
      <c r="AH227" s="143">
        <v>124.31721967459063</v>
      </c>
      <c r="AI227" s="144">
        <f t="shared" si="729"/>
        <v>4.6277469104770441</v>
      </c>
      <c r="AK227" s="48">
        <f>AG22</f>
        <v>71.5</v>
      </c>
      <c r="AL227" s="61">
        <f>AH22</f>
        <v>2.1155557936565361</v>
      </c>
      <c r="AM227" s="62">
        <f>AI22</f>
        <v>0.87307418235166689</v>
      </c>
    </row>
    <row r="228" spans="25:39">
      <c r="Y228" s="124">
        <v>-26.5</v>
      </c>
      <c r="Z228" s="125">
        <v>40.289660934501242</v>
      </c>
      <c r="AA228" s="126">
        <v>4.4381980505032335</v>
      </c>
      <c r="AC228" s="48">
        <f>Y32</f>
        <v>71.5</v>
      </c>
      <c r="AD228" s="61">
        <f t="shared" ref="AD228:AE228" si="828">Z32</f>
        <v>0.49833814888122957</v>
      </c>
      <c r="AE228" s="62">
        <f t="shared" si="828"/>
        <v>0.44507685640676903</v>
      </c>
      <c r="AG228" s="142">
        <v>-31.5</v>
      </c>
      <c r="AH228" s="143">
        <v>127.67085313718384</v>
      </c>
      <c r="AI228" s="144">
        <f t="shared" si="729"/>
        <v>4.6368149186220498</v>
      </c>
      <c r="AK228" s="48">
        <f>AG21</f>
        <v>72</v>
      </c>
      <c r="AL228" s="61">
        <f>AH21</f>
        <v>2.0847679284921687</v>
      </c>
      <c r="AM228" s="62">
        <f>AI21</f>
        <v>0.86256018354184805</v>
      </c>
    </row>
    <row r="229" spans="25:39">
      <c r="Y229" s="124">
        <v>-27</v>
      </c>
      <c r="Z229" s="125">
        <v>41.446891325949423</v>
      </c>
      <c r="AA229" s="126">
        <v>4.4521653482413335</v>
      </c>
      <c r="AC229" s="48">
        <f>Y31</f>
        <v>72</v>
      </c>
      <c r="AD229" s="61">
        <f t="shared" ref="AD229:AE229" si="829">Z31</f>
        <v>0.48999643668770321</v>
      </c>
      <c r="AE229" s="62">
        <f t="shared" si="829"/>
        <v>0.43827973974348877</v>
      </c>
      <c r="AG229" s="142">
        <v>-32</v>
      </c>
      <c r="AH229" s="143">
        <v>131.12594708901892</v>
      </c>
      <c r="AI229" s="144">
        <f t="shared" si="729"/>
        <v>4.6457065406373417</v>
      </c>
      <c r="AK229" s="48">
        <f>AG20</f>
        <v>72.5</v>
      </c>
      <c r="AL229" s="61">
        <f>AH20</f>
        <v>2.0545074386150559</v>
      </c>
      <c r="AM229" s="62">
        <f>AI20</f>
        <v>0.85217394782706213</v>
      </c>
    </row>
    <row r="230" spans="25:39">
      <c r="Y230" s="124">
        <v>-27.5</v>
      </c>
      <c r="Z230" s="125">
        <v>42.639334764692592</v>
      </c>
      <c r="AA230" s="126">
        <v>4.4658492807725612</v>
      </c>
      <c r="AC230" s="48">
        <f>Y30</f>
        <v>72.5</v>
      </c>
      <c r="AD230" s="61">
        <f t="shared" ref="AD230:AE230" si="830">Z30</f>
        <v>0.48181655834729586</v>
      </c>
      <c r="AE230" s="62">
        <f t="shared" si="830"/>
        <v>0.43159476248531137</v>
      </c>
      <c r="AG230" s="142">
        <v>-32.5</v>
      </c>
      <c r="AH230" s="143">
        <v>134.68587743552899</v>
      </c>
      <c r="AI230" s="144">
        <f t="shared" si="729"/>
        <v>4.6544237704037172</v>
      </c>
      <c r="AK230" s="48">
        <f>AG19</f>
        <v>73</v>
      </c>
      <c r="AL230" s="61">
        <f>AH19</f>
        <v>2.0247640706487497</v>
      </c>
      <c r="AM230" s="62">
        <f>AI19</f>
        <v>0.8419142607508604</v>
      </c>
    </row>
    <row r="231" spans="25:39">
      <c r="Y231" s="124">
        <v>-28</v>
      </c>
      <c r="Z231" s="125">
        <v>43.868081036003822</v>
      </c>
      <c r="AA231" s="126">
        <v>4.4792526180217047</v>
      </c>
      <c r="AC231" s="48">
        <f>Y29</f>
        <v>73</v>
      </c>
      <c r="AD231" s="61">
        <f t="shared" ref="AD231:AE231" si="831">Z29</f>
        <v>0.47379498604282666</v>
      </c>
      <c r="AE231" s="62">
        <f t="shared" si="831"/>
        <v>0.42502010499959414</v>
      </c>
      <c r="AG231" s="142">
        <v>-33</v>
      </c>
      <c r="AH231" s="143">
        <v>138.35414196578668</v>
      </c>
      <c r="AI231" s="144">
        <f t="shared" si="729"/>
        <v>4.6629686280580493</v>
      </c>
      <c r="AK231" s="48">
        <f>AG18</f>
        <v>73.5</v>
      </c>
      <c r="AL231" s="61">
        <f>AH18</f>
        <v>1.9955277925445651</v>
      </c>
      <c r="AM231" s="62">
        <f>AI18</f>
        <v>0.83177990458444906</v>
      </c>
    </row>
    <row r="232" spans="25:39">
      <c r="Y232" s="124">
        <v>-28.5</v>
      </c>
      <c r="Z232" s="125">
        <v>45.134252257385633</v>
      </c>
      <c r="AA232" s="126">
        <v>4.4923782309061666</v>
      </c>
      <c r="AC232" s="48">
        <f>Y28</f>
        <v>73.5</v>
      </c>
      <c r="AD232" s="61">
        <f t="shared" ref="AD232:AE232" si="832">Z28</f>
        <v>0.46592827658549452</v>
      </c>
      <c r="AE232" s="62">
        <f t="shared" si="832"/>
        <v>0.41855397108290215</v>
      </c>
      <c r="AG232" s="142">
        <v>-33.5</v>
      </c>
      <c r="AH232" s="143">
        <v>142.13436507968302</v>
      </c>
      <c r="AI232" s="144">
        <f t="shared" si="729"/>
        <v>4.6713431579129958</v>
      </c>
      <c r="AK232" s="48">
        <f>AG17</f>
        <v>74</v>
      </c>
      <c r="AL232" s="61">
        <f>AH17</f>
        <v>1.9667887883567232</v>
      </c>
      <c r="AM232" s="62">
        <f>AI17</f>
        <v>0.82176965898752286</v>
      </c>
    </row>
    <row r="233" spans="25:39">
      <c r="Y233" s="124">
        <v>-29</v>
      </c>
      <c r="Z233" s="125">
        <v>46.439003680879523</v>
      </c>
      <c r="AA233" s="126">
        <v>4.5052290851819423</v>
      </c>
      <c r="AC233" s="48">
        <f>Y27</f>
        <v>74</v>
      </c>
      <c r="AD233" s="61">
        <f t="shared" ref="AD233:AE233" si="833">Z27</f>
        <v>0.45821306921495975</v>
      </c>
      <c r="AE233" s="62">
        <f t="shared" si="833"/>
        <v>0.41219458799883468</v>
      </c>
      <c r="AG233" s="142">
        <v>-34</v>
      </c>
      <c r="AH233" s="143">
        <v>146.03030271049741</v>
      </c>
      <c r="AI233" s="144">
        <f t="shared" si="729"/>
        <v>4.6795494264164104</v>
      </c>
      <c r="AK233" s="48">
        <f>AG16</f>
        <v>74.5</v>
      </c>
      <c r="AL233" s="61">
        <f>AH16</f>
        <v>1.9385374531509092</v>
      </c>
      <c r="AM233" s="62">
        <f>AI16</f>
        <v>0.81188230164628583</v>
      </c>
    </row>
    <row r="234" spans="25:39">
      <c r="Y234" s="124">
        <v>-29.5</v>
      </c>
      <c r="Z234" s="125">
        <v>47.783524502576405</v>
      </c>
      <c r="AA234" s="126">
        <v>4.517808235365294</v>
      </c>
      <c r="AC234" s="48">
        <f>Y26</f>
        <v>74.5</v>
      </c>
      <c r="AD234" s="61">
        <f t="shared" ref="AD234:AE234" si="834">Z26</f>
        <v>0.45064608346061852</v>
      </c>
      <c r="AE234" s="62">
        <f t="shared" si="834"/>
        <v>0.40594020649543716</v>
      </c>
      <c r="AG234" s="142">
        <v>-34.5</v>
      </c>
      <c r="AH234" s="143">
        <v>150.04584745144885</v>
      </c>
      <c r="AI234" s="144">
        <f t="shared" si="729"/>
        <v>4.687589520151918</v>
      </c>
      <c r="AK234" s="48">
        <f>AG15</f>
        <v>75</v>
      </c>
      <c r="AL234" s="61">
        <f>AH15</f>
        <v>1.9107643880425134</v>
      </c>
      <c r="AM234" s="62">
        <f>AI15</f>
        <v>0.80211660888900338</v>
      </c>
    </row>
    <row r="235" spans="25:39">
      <c r="Y235" s="124">
        <v>-30</v>
      </c>
      <c r="Z235" s="125">
        <v>49.169038678272742</v>
      </c>
      <c r="AA235" s="126">
        <v>4.530118818739842</v>
      </c>
      <c r="AC235" s="48">
        <f>Y25</f>
        <v>75</v>
      </c>
      <c r="AD235" s="61">
        <f t="shared" ref="AD235:AE235" si="835">Z25</f>
        <v>0.44322411706232878</v>
      </c>
      <c r="AE235" s="62">
        <f t="shared" si="835"/>
        <v>0.39978910080332325</v>
      </c>
      <c r="AG235" s="142">
        <v>-35</v>
      </c>
      <c r="AH235" s="143">
        <v>154.18503389513509</v>
      </c>
      <c r="AI235" s="144">
        <f t="shared" si="729"/>
        <v>4.69546554388182</v>
      </c>
      <c r="AK235" s="48">
        <f>AG14</f>
        <v>75.5</v>
      </c>
      <c r="AL235" s="61">
        <f>AH14</f>
        <v>1.8834603953611426</v>
      </c>
      <c r="AM235" s="62">
        <f>AI14</f>
        <v>0.79247135627951226</v>
      </c>
    </row>
    <row r="236" spans="25:39">
      <c r="Y236" s="124">
        <v>-30.5</v>
      </c>
      <c r="Z236" s="125">
        <v>50.596805744111663</v>
      </c>
      <c r="AA236" s="126">
        <v>4.5421640494581519</v>
      </c>
      <c r="AC236" s="48">
        <f>Y24</f>
        <v>75.5</v>
      </c>
      <c r="AD236" s="61">
        <f t="shared" ref="AD236:AE236" si="836">Z24</f>
        <v>0.43594404394874975</v>
      </c>
      <c r="AE236" s="62">
        <f t="shared" si="836"/>
        <v>0.39373956861546777</v>
      </c>
      <c r="AG236" s="142">
        <v>-35.5</v>
      </c>
      <c r="AH236" s="143">
        <v>158.45204419524401</v>
      </c>
      <c r="AI236" s="144">
        <f t="shared" si="729"/>
        <v>4.7031796186334933</v>
      </c>
      <c r="AK236" s="48">
        <f>AG13</f>
        <v>76</v>
      </c>
      <c r="AL236" s="61">
        <f>AH13</f>
        <v>1.8566164739379136</v>
      </c>
      <c r="AM236" s="62">
        <f>AI13</f>
        <v>0.78294531918905841</v>
      </c>
    </row>
    <row r="237" spans="25:39">
      <c r="Y237" s="124">
        <v>-31</v>
      </c>
      <c r="Z237" s="125">
        <v>52.068121640916388</v>
      </c>
      <c r="AA237" s="126">
        <v>4.5539472127461131</v>
      </c>
      <c r="AC237" s="48">
        <f>Y23</f>
        <v>76</v>
      </c>
      <c r="AD237" s="61">
        <f t="shared" ref="AD237:AE237" si="837">Z23</f>
        <v>0.42880281227169859</v>
      </c>
      <c r="AE237" s="62">
        <f t="shared" si="837"/>
        <v>0.38778993104974763</v>
      </c>
      <c r="AG237" s="142">
        <v>-36</v>
      </c>
      <c r="AH237" s="143">
        <v>162.8512138603358</v>
      </c>
      <c r="AI237" s="144">
        <f t="shared" si="729"/>
        <v>4.7107338798303138</v>
      </c>
      <c r="AK237" s="48">
        <f>AG12</f>
        <v>76.5</v>
      </c>
      <c r="AL237" s="61">
        <f>AH12</f>
        <v>1.830223814512058</v>
      </c>
      <c r="AM237" s="62">
        <f>AI12</f>
        <v>0.77353727334682143</v>
      </c>
    </row>
    <row r="238" spans="25:39">
      <c r="Y238" s="124">
        <v>-31.5</v>
      </c>
      <c r="Z238" s="125">
        <v>53.584319540802973</v>
      </c>
      <c r="AA238" s="126">
        <v>4.5654716592177582</v>
      </c>
      <c r="AC238" s="48">
        <f>Y22</f>
        <v>76.5</v>
      </c>
      <c r="AD238" s="61">
        <f t="shared" ref="AD238:AE238" si="838">Z22</f>
        <v>0.42179744249480772</v>
      </c>
      <c r="AE238" s="62">
        <f t="shared" si="838"/>
        <v>0.38193853259513549</v>
      </c>
      <c r="AG238" s="142">
        <v>-36.5</v>
      </c>
      <c r="AH238" s="143">
        <v>167.38703778992914</v>
      </c>
      <c r="AI238" s="144">
        <f t="shared" si="729"/>
        <v>4.7181304754679276</v>
      </c>
      <c r="AK238" s="48">
        <f>AG11</f>
        <v>77</v>
      </c>
      <c r="AL238" s="61">
        <f>AH11</f>
        <v>1.8042737952538148</v>
      </c>
      <c r="AM238" s="62">
        <f>AI11</f>
        <v>0.76424599536960303</v>
      </c>
    </row>
    <row r="239" spans="25:39">
      <c r="Y239" s="124">
        <v>-32</v>
      </c>
      <c r="Z239" s="125">
        <v>55.146770674519459</v>
      </c>
      <c r="AA239" s="126">
        <v>4.5767407993075242</v>
      </c>
      <c r="AC239" s="48">
        <f>Y21</f>
        <v>77</v>
      </c>
      <c r="AD239" s="61">
        <f t="shared" ref="AD239:AE239" si="839">Z21</f>
        <v>0.41492502553491517</v>
      </c>
      <c r="AE239" s="62">
        <f t="shared" si="839"/>
        <v>0.37618374104249042</v>
      </c>
      <c r="AG239" s="142">
        <v>-37</v>
      </c>
      <c r="AH239" s="143">
        <v>172.0641765636237</v>
      </c>
      <c r="AI239" s="144">
        <f t="shared" si="729"/>
        <v>4.7253715643366716</v>
      </c>
      <c r="AK239" s="48">
        <f>AG10</f>
        <v>77.5</v>
      </c>
      <c r="AL239" s="61">
        <f>AH10</f>
        <v>1.7787579774003373</v>
      </c>
      <c r="AM239" s="62">
        <f>AI10</f>
        <v>0.75507026327105287</v>
      </c>
    </row>
    <row r="240" spans="25:39">
      <c r="Y240" s="124">
        <v>-32.5</v>
      </c>
      <c r="Z240" s="125">
        <v>56.756885157809897</v>
      </c>
      <c r="AA240" s="126">
        <v>4.5877580978262298</v>
      </c>
      <c r="AC240" s="48">
        <f>Y20</f>
        <v>77.5</v>
      </c>
      <c r="AD240" s="61">
        <f t="shared" ref="AD240:AE240" si="840">Z20</f>
        <v>0.40818272095465846</v>
      </c>
      <c r="AE240" s="62">
        <f t="shared" si="840"/>
        <v>0.37052394740085326</v>
      </c>
      <c r="AG240" s="142">
        <v>-37.5</v>
      </c>
      <c r="AH240" s="143">
        <v>176.88746299449971</v>
      </c>
      <c r="AI240" s="144">
        <f t="shared" si="729"/>
        <v>4.7324593142908062</v>
      </c>
      <c r="AK240" s="48">
        <f>AG9</f>
        <v>78</v>
      </c>
      <c r="AL240" s="61">
        <f>AH9</f>
        <v>1.7536681010014268</v>
      </c>
      <c r="AM240" s="62">
        <f>AI9</f>
        <v>0.74600885695079822</v>
      </c>
    </row>
    <row r="241" spans="25:39">
      <c r="Y241" s="124">
        <v>-33</v>
      </c>
      <c r="Z241" s="125">
        <v>58.416112814948335</v>
      </c>
      <c r="AA241" s="126">
        <v>4.5985270686464519</v>
      </c>
      <c r="AC241" s="48">
        <f>Y19</f>
        <v>78</v>
      </c>
      <c r="AD241" s="61">
        <f t="shared" ref="AD241:AE241" si="841">Z19</f>
        <v>0.4015677552047644</v>
      </c>
      <c r="AE241" s="62">
        <f t="shared" si="841"/>
        <v>0.3649575658000947</v>
      </c>
      <c r="AG241" s="142">
        <v>-38</v>
      </c>
      <c r="AH241" s="143">
        <v>181.86190895851212</v>
      </c>
      <c r="AI241" s="144">
        <f t="shared" si="729"/>
        <v>4.7393959005650679</v>
      </c>
      <c r="AK241" s="48">
        <f>AG8</f>
        <v>78.5</v>
      </c>
      <c r="AL241" s="61">
        <f>AH8</f>
        <v>1.7289960807724467</v>
      </c>
      <c r="AM241" s="62">
        <f>AI8</f>
        <v>0.73706055866401932</v>
      </c>
    </row>
    <row r="242" spans="25:39">
      <c r="Y242" s="124">
        <v>-33.5</v>
      </c>
      <c r="Z242" s="125">
        <v>60.125943997420222</v>
      </c>
      <c r="AA242" s="126">
        <v>4.6090512695223156</v>
      </c>
      <c r="AC242" s="48">
        <f>Y18</f>
        <v>78.5</v>
      </c>
      <c r="AD242" s="61">
        <f t="shared" ref="AD242:AE242" si="842">Z18</f>
        <v>0.39507741991456585</v>
      </c>
      <c r="AE242" s="62">
        <f t="shared" si="842"/>
        <v>0.3594830333807274</v>
      </c>
      <c r="AG242" s="142">
        <v>-38.5</v>
      </c>
      <c r="AH242" s="143">
        <v>186.99271251222339</v>
      </c>
      <c r="AI242" s="144">
        <f t="shared" si="729"/>
        <v>4.7461835041390303</v>
      </c>
      <c r="AK242" s="48">
        <f>AG7</f>
        <v>79</v>
      </c>
      <c r="AL242" s="61">
        <f>AH7</f>
        <v>1.7047340020511903</v>
      </c>
      <c r="AM242" s="62">
        <f>AI7</f>
        <v>0.72822415347176839</v>
      </c>
    </row>
    <row r="243" spans="25:39">
      <c r="Y243" s="124">
        <v>-34</v>
      </c>
      <c r="Z243" s="125">
        <v>61.887910395555537</v>
      </c>
      <c r="AA243" s="126">
        <v>4.6193342970481455</v>
      </c>
      <c r="AC243" s="48">
        <f>Y17</f>
        <v>79</v>
      </c>
      <c r="AD243" s="61">
        <f t="shared" ref="AD243:AE243" si="843">Z17</f>
        <v>0.3887090702293845</v>
      </c>
      <c r="AE243" s="62">
        <f t="shared" si="843"/>
        <v>0.35409881017171452</v>
      </c>
      <c r="AG243" s="142">
        <v>-39</v>
      </c>
      <c r="AH243" s="143">
        <v>192.28526531169578</v>
      </c>
      <c r="AI243" s="144">
        <f t="shared" si="729"/>
        <v>4.7528243101495482</v>
      </c>
      <c r="AK243" s="48">
        <f>AG6</f>
        <v>79.5</v>
      </c>
      <c r="AL243" s="61">
        <f>AH6</f>
        <v>1.6808741168561849</v>
      </c>
      <c r="AM243" s="62">
        <f>AI6</f>
        <v>0.71949842967256417</v>
      </c>
    </row>
    <row r="244" spans="25:39" ht="13.5" thickBot="1">
      <c r="Y244" s="124">
        <v>-34.5</v>
      </c>
      <c r="Z244" s="125">
        <v>63.703585840722702</v>
      </c>
      <c r="AA244" s="126">
        <v>4.6293797817597557</v>
      </c>
      <c r="AC244" s="48">
        <f>Y16</f>
        <v>79.5</v>
      </c>
      <c r="AD244" s="61">
        <f t="shared" ref="AD244:AE244" si="844">Z16</f>
        <v>0.38246012319337452</v>
      </c>
      <c r="AE244" s="62">
        <f t="shared" si="844"/>
        <v>0.34880337895700242</v>
      </c>
      <c r="AG244" s="145">
        <v>-39.5</v>
      </c>
      <c r="AH244" s="146">
        <v>197.74516034608368</v>
      </c>
      <c r="AI244" s="147">
        <f t="shared" si="729"/>
        <v>4.7593205063516058</v>
      </c>
      <c r="AK244" s="48">
        <f>AG5</f>
        <v>80</v>
      </c>
      <c r="AL244" s="61">
        <f>AH5</f>
        <v>1.6574088400433546</v>
      </c>
      <c r="AM244" s="62">
        <f>AI5</f>
        <v>0.71088217921556174</v>
      </c>
    </row>
    <row r="245" spans="25:39" ht="13.5" thickTop="1">
      <c r="Y245" s="124">
        <v>-35</v>
      </c>
      <c r="Z245" s="125">
        <v>65.574587095502324</v>
      </c>
      <c r="AA245" s="126">
        <v>4.6391913833816689</v>
      </c>
      <c r="AC245" s="48">
        <f>Y15</f>
        <v>80</v>
      </c>
      <c r="AD245" s="61">
        <f t="shared" ref="AD245:AE245" si="845">Z15</f>
        <v>0.37632805617654069</v>
      </c>
      <c r="AE245" s="62">
        <f t="shared" si="845"/>
        <v>0.34359524513153911</v>
      </c>
    </row>
    <row r="246" spans="25:39">
      <c r="Y246" s="124">
        <v>-35.5</v>
      </c>
      <c r="Z246" s="125">
        <v>67.502574629044673</v>
      </c>
      <c r="AA246" s="126">
        <v>4.6487727862229464</v>
      </c>
      <c r="AC246" s="48">
        <f>Y14</f>
        <v>80.5</v>
      </c>
      <c r="AD246" s="61">
        <f t="shared" ref="AD246:AE246" si="846">Z14</f>
        <v>0.37031040534461324</v>
      </c>
      <c r="AE246" s="62">
        <f t="shared" si="846"/>
        <v>0.3384729365474507</v>
      </c>
    </row>
    <row r="247" spans="25:39">
      <c r="Y247" s="124">
        <v>-36</v>
      </c>
      <c r="Z247" s="125">
        <v>69.489253374587761</v>
      </c>
      <c r="AA247" s="126">
        <v>4.6581276947238122</v>
      </c>
      <c r="AC247" s="48">
        <f>Y13</f>
        <v>81</v>
      </c>
      <c r="AD247" s="61">
        <f t="shared" ref="AD247:AE247" si="847">Z13</f>
        <v>0.36440476417058099</v>
      </c>
      <c r="AE247" s="62">
        <f t="shared" si="847"/>
        <v>0.33343500335108545</v>
      </c>
    </row>
    <row r="248" spans="25:39">
      <c r="Y248" s="124">
        <v>-36.5</v>
      </c>
      <c r="Z248" s="125">
        <v>71.536373465888744</v>
      </c>
      <c r="AA248" s="126">
        <v>4.6672598291547533</v>
      </c>
      <c r="AC248" s="48">
        <f>Y12</f>
        <v>81.5</v>
      </c>
      <c r="AD248" s="61">
        <f t="shared" ref="AD248:AE248" si="848">Z12</f>
        <v>0.35860878198664442</v>
      </c>
      <c r="AE248" s="62">
        <f t="shared" si="848"/>
        <v>0.32848001781154373</v>
      </c>
    </row>
    <row r="249" spans="25:39">
      <c r="Y249" s="124">
        <v>-37</v>
      </c>
      <c r="Z249" s="125">
        <v>73.645730949050986</v>
      </c>
      <c r="AA249" s="126">
        <v>4.676172921469246</v>
      </c>
      <c r="AC249" s="48">
        <f>Y11</f>
        <v>82</v>
      </c>
      <c r="AD249" s="61">
        <f t="shared" ref="AD249:AE249" si="849">Z11</f>
        <v>0.35292016257544911</v>
      </c>
      <c r="AE249" s="62">
        <f t="shared" si="849"/>
        <v>0.32360657414133376</v>
      </c>
    </row>
    <row r="250" spans="25:39">
      <c r="Y250" s="124">
        <v>-37.5</v>
      </c>
      <c r="Z250" s="125">
        <v>75.819168465991453</v>
      </c>
      <c r="AA250" s="126">
        <v>4.6848707113109169</v>
      </c>
      <c r="AC250" s="48">
        <f>Y10</f>
        <v>82.5</v>
      </c>
      <c r="AD250" s="61">
        <f t="shared" ref="AD250:AE250" si="850">Z10</f>
        <v>0.34733666279943415</v>
      </c>
      <c r="AE250" s="62">
        <f t="shared" si="850"/>
        <v>0.31881328830971756</v>
      </c>
    </row>
    <row r="251" spans="25:39">
      <c r="Y251" s="124">
        <v>-38</v>
      </c>
      <c r="Z251" s="125">
        <v>78.058575905485839</v>
      </c>
      <c r="AA251" s="126">
        <v>4.6933569421753676</v>
      </c>
      <c r="AC251" s="48">
        <f>Y9</f>
        <v>83</v>
      </c>
      <c r="AD251" s="61">
        <f t="shared" ref="AD251:AE251" si="851">Z9</f>
        <v>0.34185609126724681</v>
      </c>
      <c r="AE251" s="62">
        <f t="shared" si="851"/>
        <v>0.31409879784935535</v>
      </c>
    </row>
    <row r="252" spans="25:39">
      <c r="Y252" s="124">
        <v>-38.5</v>
      </c>
      <c r="Z252" s="125">
        <v>80.365891017465884</v>
      </c>
      <c r="AA252" s="126">
        <v>4.7016353577266417</v>
      </c>
      <c r="AC252" s="48">
        <f>Y8</f>
        <v>83.5</v>
      </c>
      <c r="AD252" s="61">
        <f t="shared" ref="AD252:AE252" si="852">Z8</f>
        <v>0.33647630703610693</v>
      </c>
      <c r="AE252" s="62">
        <f t="shared" si="852"/>
        <v>0.30946176165674238</v>
      </c>
    </row>
    <row r="253" spans="25:39">
      <c r="Y253" s="124">
        <v>-39</v>
      </c>
      <c r="Z253" s="125">
        <v>82.743099985907321</v>
      </c>
      <c r="AA253" s="126">
        <v>4.7097096982678099</v>
      </c>
      <c r="AC253" s="48">
        <f>Y7</f>
        <v>84</v>
      </c>
      <c r="AD253" s="61">
        <f t="shared" ref="AD253:AE253" si="853">Z7</f>
        <v>0.33119521834913379</v>
      </c>
      <c r="AE253" s="62">
        <f t="shared" si="853"/>
        <v>0.30490085978699538</v>
      </c>
    </row>
    <row r="254" spans="25:39">
      <c r="Y254" s="124">
        <v>-39.5</v>
      </c>
      <c r="Z254" s="125">
        <v>85.192237955333596</v>
      </c>
      <c r="AA254" s="126">
        <v>4.7175836973648337</v>
      </c>
      <c r="AC254" s="48">
        <f>Y6</f>
        <v>84.5</v>
      </c>
      <c r="AD254" s="61">
        <f t="shared" ref="AD254:AE254" si="854">Z6</f>
        <v>0.32601078140660411</v>
      </c>
      <c r="AE254" s="62">
        <f t="shared" si="854"/>
        <v>0.3004147932434546</v>
      </c>
    </row>
    <row r="255" spans="25:39">
      <c r="Y255" s="124">
        <v>-40</v>
      </c>
      <c r="Z255" s="125">
        <v>87.715389505627513</v>
      </c>
      <c r="AA255" s="126">
        <v>4.7252610786225935</v>
      </c>
      <c r="AC255" s="48">
        <f>Y5</f>
        <v>85</v>
      </c>
      <c r="AD255" s="61">
        <f t="shared" ref="AD255:AE255" si="855">Z5</f>
        <v>0.3209209991701934</v>
      </c>
      <c r="AE255" s="62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48" bestFit="1" customWidth="1"/>
    <col min="2" max="2" width="52" style="48" bestFit="1" customWidth="1"/>
    <col min="3" max="3" width="35.85546875" style="48" bestFit="1" customWidth="1"/>
    <col min="4" max="4" width="13" style="48" bestFit="1" customWidth="1"/>
    <col min="5" max="5" width="10.140625" style="48" customWidth="1"/>
    <col min="6" max="16384" width="8.7109375" style="48"/>
  </cols>
  <sheetData>
    <row r="1" spans="1:3" s="206" customFormat="1" ht="13.5">
      <c r="A1" s="207" t="s">
        <v>760</v>
      </c>
      <c r="B1" s="207" t="s">
        <v>242</v>
      </c>
      <c r="C1" s="206" t="s">
        <v>511</v>
      </c>
    </row>
    <row r="2" spans="1:3">
      <c r="A2" s="53" t="s">
        <v>189</v>
      </c>
      <c r="B2" s="53" t="s">
        <v>229</v>
      </c>
      <c r="C2" s="48" t="s">
        <v>514</v>
      </c>
    </row>
    <row r="3" spans="1:3">
      <c r="A3" s="53" t="s">
        <v>215</v>
      </c>
      <c r="B3" s="53" t="s">
        <v>230</v>
      </c>
      <c r="C3" s="48" t="s">
        <v>514</v>
      </c>
    </row>
    <row r="4" spans="1:3">
      <c r="A4" s="53" t="s">
        <v>190</v>
      </c>
      <c r="B4" s="53" t="s">
        <v>231</v>
      </c>
      <c r="C4" s="48" t="s">
        <v>513</v>
      </c>
    </row>
    <row r="5" spans="1:3">
      <c r="A5" s="53" t="s">
        <v>191</v>
      </c>
      <c r="B5" s="53" t="s">
        <v>232</v>
      </c>
      <c r="C5" s="48" t="s">
        <v>513</v>
      </c>
    </row>
    <row r="6" spans="1:3">
      <c r="A6" s="53" t="s">
        <v>214</v>
      </c>
      <c r="B6" s="53" t="s">
        <v>227</v>
      </c>
      <c r="C6" s="48" t="s">
        <v>517</v>
      </c>
    </row>
    <row r="7" spans="1:3">
      <c r="A7" s="53" t="s">
        <v>220</v>
      </c>
      <c r="B7" s="53" t="s">
        <v>226</v>
      </c>
      <c r="C7" s="48" t="s">
        <v>519</v>
      </c>
    </row>
    <row r="8" spans="1:3">
      <c r="A8" s="53" t="s">
        <v>216</v>
      </c>
      <c r="B8" s="53" t="s">
        <v>249</v>
      </c>
      <c r="C8" s="48" t="s">
        <v>515</v>
      </c>
    </row>
    <row r="9" spans="1:3">
      <c r="A9" s="53" t="s">
        <v>219</v>
      </c>
      <c r="B9" s="53" t="s">
        <v>225</v>
      </c>
      <c r="C9" s="48" t="s">
        <v>518</v>
      </c>
    </row>
    <row r="10" spans="1:3">
      <c r="A10" s="53" t="s">
        <v>223</v>
      </c>
      <c r="B10" s="53" t="s">
        <v>224</v>
      </c>
      <c r="C10" s="48" t="s">
        <v>516</v>
      </c>
    </row>
    <row r="11" spans="1:3">
      <c r="A11" s="53" t="s">
        <v>217</v>
      </c>
      <c r="B11" s="53" t="s">
        <v>233</v>
      </c>
      <c r="C11" s="48" t="s">
        <v>520</v>
      </c>
    </row>
    <row r="12" spans="1:3">
      <c r="A12" s="53" t="s">
        <v>218</v>
      </c>
      <c r="B12" s="53" t="s">
        <v>234</v>
      </c>
      <c r="C12" s="48" t="s">
        <v>520</v>
      </c>
    </row>
    <row r="13" spans="1:3">
      <c r="A13" s="53" t="s">
        <v>192</v>
      </c>
      <c r="B13" s="53" t="s">
        <v>228</v>
      </c>
      <c r="C13" s="48" t="s">
        <v>523</v>
      </c>
    </row>
    <row r="14" spans="1:3">
      <c r="A14" s="53" t="s">
        <v>222</v>
      </c>
      <c r="B14" s="53" t="s">
        <v>235</v>
      </c>
      <c r="C14" s="48" t="s">
        <v>521</v>
      </c>
    </row>
    <row r="15" spans="1:3">
      <c r="A15" s="53" t="s">
        <v>188</v>
      </c>
      <c r="B15" s="53" t="s">
        <v>250</v>
      </c>
    </row>
    <row r="16" spans="1:3">
      <c r="A16" s="53" t="s">
        <v>236</v>
      </c>
      <c r="B16" s="53" t="s">
        <v>251</v>
      </c>
    </row>
    <row r="17" spans="1:3">
      <c r="A17" s="53" t="s">
        <v>364</v>
      </c>
      <c r="B17" s="53" t="s">
        <v>237</v>
      </c>
    </row>
    <row r="18" spans="1:3" ht="25.5">
      <c r="A18" s="53" t="s">
        <v>185</v>
      </c>
      <c r="B18" s="176" t="s">
        <v>794</v>
      </c>
    </row>
    <row r="19" spans="1:3">
      <c r="A19" s="53" t="s">
        <v>370</v>
      </c>
      <c r="B19" s="53" t="s">
        <v>761</v>
      </c>
    </row>
    <row r="20" spans="1:3">
      <c r="A20" s="53" t="s">
        <v>522</v>
      </c>
      <c r="B20" s="53" t="s">
        <v>762</v>
      </c>
      <c r="C20" s="48" t="s">
        <v>512</v>
      </c>
    </row>
    <row r="21" spans="1:3">
      <c r="A21" s="53"/>
      <c r="B21" s="53"/>
    </row>
    <row r="22" spans="1:3">
      <c r="A22" s="53"/>
      <c r="B22" s="53"/>
    </row>
    <row r="23" spans="1:3">
      <c r="A23" s="53"/>
      <c r="B23" s="53"/>
    </row>
    <row r="24" spans="1:3">
      <c r="A24" s="53"/>
      <c r="B24" s="53"/>
    </row>
    <row r="25" spans="1:3">
      <c r="A25" s="53"/>
      <c r="B25" s="53"/>
    </row>
    <row r="26" spans="1:3">
      <c r="A26" s="53"/>
      <c r="B26" s="53"/>
    </row>
    <row r="27" spans="1:3">
      <c r="A27" s="53"/>
      <c r="B27" s="53"/>
    </row>
    <row r="28" spans="1:3">
      <c r="A28" s="53"/>
      <c r="B28" s="53"/>
    </row>
    <row r="29" spans="1:3">
      <c r="A29" s="53"/>
      <c r="B29" s="53"/>
    </row>
    <row r="30" spans="1:3">
      <c r="A30" s="53"/>
      <c r="B30" s="53"/>
    </row>
    <row r="31" spans="1:3">
      <c r="A31" s="53"/>
      <c r="B31" s="53"/>
    </row>
    <row r="32" spans="1:3">
      <c r="A32" s="53"/>
      <c r="B32" s="53"/>
    </row>
    <row r="33" spans="1:2">
      <c r="A33" s="53"/>
      <c r="B33" s="53"/>
    </row>
    <row r="34" spans="1:2">
      <c r="A34" s="53"/>
      <c r="B34" s="53"/>
    </row>
    <row r="35" spans="1:2">
      <c r="A35" s="53"/>
      <c r="B35" s="53"/>
    </row>
    <row r="36" spans="1:2">
      <c r="A36" s="53"/>
      <c r="B36" s="53"/>
    </row>
    <row r="37" spans="1:2">
      <c r="A37" s="53"/>
      <c r="B37" s="53"/>
    </row>
    <row r="38" spans="1:2">
      <c r="A38" s="53"/>
      <c r="B38" s="53"/>
    </row>
    <row r="39" spans="1:2">
      <c r="A39" s="53"/>
      <c r="B39" s="53"/>
    </row>
    <row r="40" spans="1:2">
      <c r="A40" s="53"/>
      <c r="B40" s="53"/>
    </row>
    <row r="41" spans="1:2">
      <c r="A41" s="53"/>
      <c r="B41" s="53"/>
    </row>
    <row r="42" spans="1:2">
      <c r="A42" s="53"/>
      <c r="B42" s="53"/>
    </row>
    <row r="43" spans="1:2">
      <c r="A43" s="53"/>
      <c r="B43" s="53"/>
    </row>
    <row r="44" spans="1:2">
      <c r="A44" s="53"/>
      <c r="B44" s="53"/>
    </row>
    <row r="45" spans="1:2">
      <c r="A45" s="53"/>
      <c r="B45" s="53"/>
    </row>
    <row r="46" spans="1:2">
      <c r="A46" s="53"/>
      <c r="B46" s="53"/>
    </row>
    <row r="47" spans="1:2">
      <c r="A47" s="53"/>
      <c r="B47" s="53"/>
    </row>
    <row r="48" spans="1:2">
      <c r="A48" s="53"/>
      <c r="B48" s="53"/>
    </row>
    <row r="49" spans="1:2">
      <c r="A49" s="53"/>
      <c r="B49" s="53"/>
    </row>
    <row r="50" spans="1:2">
      <c r="A50" s="53"/>
      <c r="B50" s="53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2026-01-06T05:18:00Z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