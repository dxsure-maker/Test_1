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3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K12" i="31" s="1"/>
  <c r="K13" i="31" s="1"/>
  <c r="L11" i="31"/>
  <c r="I75" i="22" s="1"/>
  <c r="M11" i="31"/>
  <c r="M12" i="31"/>
  <c r="T12" i="31"/>
  <c r="AP12" i="31"/>
  <c r="M13" i="31"/>
  <c r="T13" i="31"/>
  <c r="E93" i="22" s="1"/>
  <c r="K47" i="31"/>
  <c r="K48" i="31" s="1"/>
  <c r="L47" i="31"/>
  <c r="L48" i="31" s="1"/>
  <c r="M47" i="31"/>
  <c r="M48" i="31" s="1"/>
  <c r="T47" i="31"/>
  <c r="E120" i="22" s="1"/>
  <c r="AP47" i="31"/>
  <c r="T48" i="31"/>
  <c r="D2" i="22"/>
  <c r="E8" i="22"/>
  <c r="E9" i="22"/>
  <c r="E10" i="22"/>
  <c r="F19" i="22"/>
  <c r="E28" i="22"/>
  <c r="E29" i="22"/>
  <c r="E30" i="22"/>
  <c r="E31" i="22"/>
  <c r="E32" i="22"/>
  <c r="E33" i="22"/>
  <c r="E34" i="22"/>
  <c r="E36" i="22"/>
  <c r="E37" i="22"/>
  <c r="E38" i="22"/>
  <c r="E39" i="22"/>
  <c r="E40" i="22"/>
  <c r="E41" i="22"/>
  <c r="E42" i="22"/>
  <c r="E43" i="22"/>
  <c r="E46" i="22"/>
  <c r="E47" i="22"/>
  <c r="E48" i="22"/>
  <c r="E49" i="22"/>
  <c r="F60" i="22"/>
  <c r="D66" i="22"/>
  <c r="E68" i="22"/>
  <c r="E69" i="22"/>
  <c r="E70" i="22"/>
  <c r="F70" i="22"/>
  <c r="F71" i="22"/>
  <c r="D72" i="22"/>
  <c r="E73" i="22" s="1"/>
  <c r="G74" i="22"/>
  <c r="I74" i="22"/>
  <c r="G75" i="22"/>
  <c r="G76" i="22"/>
  <c r="I76" i="22"/>
  <c r="G77" i="22"/>
  <c r="H77" i="22"/>
  <c r="I77" i="22" s="1"/>
  <c r="G78" i="22"/>
  <c r="I78" i="22"/>
  <c r="G79" i="22"/>
  <c r="I79" i="22"/>
  <c r="G80" i="22"/>
  <c r="I80" i="22"/>
  <c r="G81" i="22"/>
  <c r="I81" i="22"/>
  <c r="G82" i="22"/>
  <c r="I82" i="22"/>
  <c r="E84" i="22"/>
  <c r="F84" i="22"/>
  <c r="F85" i="22"/>
  <c r="G86" i="22"/>
  <c r="I86" i="22"/>
  <c r="G87" i="22"/>
  <c r="I87" i="22"/>
  <c r="G88" i="22"/>
  <c r="I88" i="22"/>
  <c r="G89" i="22"/>
  <c r="I89" i="22"/>
  <c r="G90" i="22"/>
  <c r="I90" i="22"/>
  <c r="G91" i="22"/>
  <c r="I91" i="22"/>
  <c r="F93" i="22"/>
  <c r="F94" i="22"/>
  <c r="G95" i="22"/>
  <c r="I95" i="22"/>
  <c r="G96" i="22"/>
  <c r="I96" i="22"/>
  <c r="G97" i="22"/>
  <c r="I97" i="22"/>
  <c r="G98" i="22"/>
  <c r="I98" i="22"/>
  <c r="G99" i="22"/>
  <c r="I99" i="22"/>
  <c r="G100" i="22"/>
  <c r="I100" i="22"/>
  <c r="D101" i="22"/>
  <c r="D102" i="22"/>
  <c r="E104" i="22"/>
  <c r="E105" i="22"/>
  <c r="E106" i="22"/>
  <c r="F106" i="22"/>
  <c r="F107" i="22"/>
  <c r="D108" i="22"/>
  <c r="F108" i="22" s="1"/>
  <c r="E108" i="22"/>
  <c r="G110" i="22"/>
  <c r="I110" i="22"/>
  <c r="G111" i="22"/>
  <c r="I111" i="22"/>
  <c r="G112" i="22"/>
  <c r="I112" i="22"/>
  <c r="G113" i="22"/>
  <c r="H113" i="22"/>
  <c r="I113" i="22" s="1"/>
  <c r="G114" i="22"/>
  <c r="I114" i="22"/>
  <c r="G115" i="22"/>
  <c r="I115" i="22"/>
  <c r="G116" i="22"/>
  <c r="I116" i="22"/>
  <c r="G117" i="22"/>
  <c r="I117" i="22"/>
  <c r="G118" i="22"/>
  <c r="I118" i="22"/>
  <c r="F120" i="22"/>
  <c r="F121" i="22"/>
  <c r="G122" i="22"/>
  <c r="I122" i="22"/>
  <c r="G123" i="22"/>
  <c r="I123" i="22"/>
  <c r="G124" i="22"/>
  <c r="I124" i="22"/>
  <c r="G125" i="22"/>
  <c r="I125" i="22"/>
  <c r="G126" i="22"/>
  <c r="I126" i="22"/>
  <c r="G127" i="22"/>
  <c r="I127" i="22"/>
  <c r="E129" i="22"/>
  <c r="F129" i="22"/>
  <c r="F130" i="22"/>
  <c r="G131" i="22"/>
  <c r="I131" i="22"/>
  <c r="G132" i="22"/>
  <c r="I132" i="22"/>
  <c r="G133" i="22"/>
  <c r="I133" i="22"/>
  <c r="G134" i="22"/>
  <c r="I134" i="22"/>
  <c r="G135" i="22"/>
  <c r="I135" i="22"/>
  <c r="G136" i="22"/>
  <c r="I136" i="22"/>
  <c r="F40" i="22"/>
  <c r="F36" i="22"/>
  <c r="F69" i="22"/>
  <c r="F68" i="22"/>
  <c r="F104" i="22"/>
  <c r="F37" i="22"/>
  <c r="F38" i="22"/>
  <c r="F105" i="22"/>
  <c r="L12" i="31" l="1"/>
  <c r="L13" i="31" s="1"/>
  <c r="D92" i="22"/>
  <c r="D128" i="22"/>
  <c r="D83" i="22"/>
  <c r="D119" i="22"/>
  <c r="F72" i="22"/>
  <c r="E72" i="22"/>
  <c r="F109" i="22"/>
  <c r="E109" i="22"/>
  <c r="F7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M83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I231" i="33"/>
  <c r="AI230" i="33"/>
  <c r="AI229" i="33"/>
  <c r="AI228" i="33"/>
  <c r="AM21" i="33" s="1"/>
  <c r="AI227" i="33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I212" i="33"/>
  <c r="AI211" i="33"/>
  <c r="AI210" i="33"/>
  <c r="AM39" i="33" s="1"/>
  <c r="AI209" i="33"/>
  <c r="AI208" i="33"/>
  <c r="AI207" i="33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I192" i="33"/>
  <c r="AM57" i="33" s="1"/>
  <c r="AI191" i="33"/>
  <c r="AI190" i="33"/>
  <c r="AI189" i="33"/>
  <c r="AM60" i="33" s="1"/>
  <c r="AI188" i="33"/>
  <c r="AI187" i="33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I173" i="33"/>
  <c r="AI172" i="33"/>
  <c r="AI171" i="33"/>
  <c r="AI170" i="33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I151" i="33"/>
  <c r="AM98" i="33" s="1"/>
  <c r="AI150" i="33"/>
  <c r="AM99" i="33" s="1"/>
  <c r="AI149" i="33"/>
  <c r="AI148" i="33"/>
  <c r="AI147" i="33"/>
  <c r="AI146" i="33"/>
  <c r="AI145" i="33"/>
  <c r="AM104" i="33" s="1"/>
  <c r="AI144" i="33"/>
  <c r="AM105" i="33" s="1"/>
  <c r="AI143" i="33"/>
  <c r="AI142" i="33"/>
  <c r="AM107" i="33" s="1"/>
  <c r="AI141" i="33"/>
  <c r="AI140" i="33"/>
  <c r="AI139" i="33"/>
  <c r="AI138" i="33"/>
  <c r="AI137" i="33"/>
  <c r="AI136" i="33"/>
  <c r="AI135" i="33"/>
  <c r="AM114" i="33" s="1"/>
  <c r="AI134" i="33"/>
  <c r="AI133" i="33"/>
  <c r="AM116" i="33" s="1"/>
  <c r="AI132" i="33"/>
  <c r="AM117" i="33" s="1"/>
  <c r="AI131" i="33"/>
  <c r="AI130" i="33"/>
  <c r="AI129" i="33"/>
  <c r="AI128" i="33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M121" i="33"/>
  <c r="AL121" i="33"/>
  <c r="AK121" i="33"/>
  <c r="AM120" i="33"/>
  <c r="AL120" i="33"/>
  <c r="AK120" i="33"/>
  <c r="AM119" i="33"/>
  <c r="AL119" i="33"/>
  <c r="AK119" i="33"/>
  <c r="AM118" i="33"/>
  <c r="AL118" i="33"/>
  <c r="AK118" i="33"/>
  <c r="AL117" i="33"/>
  <c r="AK117" i="33"/>
  <c r="AL116" i="33"/>
  <c r="AK116" i="33"/>
  <c r="AM115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M108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M103" i="33"/>
  <c r="AL103" i="33"/>
  <c r="AK103" i="33"/>
  <c r="AM102" i="33"/>
  <c r="AL102" i="33"/>
  <c r="AK102" i="33"/>
  <c r="AM101" i="33"/>
  <c r="AL101" i="33"/>
  <c r="AK101" i="33"/>
  <c r="AM100" i="33"/>
  <c r="AL100" i="33"/>
  <c r="AK100" i="33"/>
  <c r="AL99" i="33"/>
  <c r="AK99" i="33"/>
  <c r="AL98" i="33"/>
  <c r="AK98" i="33"/>
  <c r="AM97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M79" i="33"/>
  <c r="AL79" i="33"/>
  <c r="AK79" i="33"/>
  <c r="AM78" i="33"/>
  <c r="AL78" i="33"/>
  <c r="AK78" i="33"/>
  <c r="AM77" i="33"/>
  <c r="AL77" i="33"/>
  <c r="AK77" i="33"/>
  <c r="AM76" i="33"/>
  <c r="AL76" i="33"/>
  <c r="AK76" i="33"/>
  <c r="AM75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M62" i="33"/>
  <c r="AL62" i="33"/>
  <c r="AK62" i="33"/>
  <c r="AM61" i="33"/>
  <c r="AL61" i="33"/>
  <c r="AK61" i="33"/>
  <c r="AL60" i="33"/>
  <c r="AK60" i="33"/>
  <c r="AM59" i="33"/>
  <c r="AL59" i="33"/>
  <c r="AK59" i="33"/>
  <c r="AM58" i="33"/>
  <c r="AL58" i="33"/>
  <c r="AK58" i="33"/>
  <c r="AL57" i="33"/>
  <c r="AK57" i="33"/>
  <c r="AM56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M42" i="33"/>
  <c r="AL42" i="33"/>
  <c r="AK42" i="33"/>
  <c r="AM41" i="33"/>
  <c r="AL41" i="33"/>
  <c r="AK41" i="33"/>
  <c r="AM40" i="33"/>
  <c r="AL40" i="33"/>
  <c r="AK40" i="33"/>
  <c r="AL39" i="33"/>
  <c r="AK39" i="33"/>
  <c r="AM38" i="33"/>
  <c r="AL38" i="33"/>
  <c r="AK38" i="33"/>
  <c r="AM37" i="33"/>
  <c r="AL37" i="33"/>
  <c r="AK37" i="33"/>
  <c r="AM36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M22" i="33"/>
  <c r="AL22" i="33"/>
  <c r="AK22" i="33"/>
  <c r="AL21" i="33"/>
  <c r="AK21" i="33"/>
  <c r="AM20" i="33"/>
  <c r="AL20" i="33"/>
  <c r="AK20" i="33"/>
  <c r="AM19" i="33"/>
  <c r="AL19" i="33"/>
  <c r="AK19" i="33"/>
  <c r="AM18" i="33"/>
  <c r="AL18" i="33"/>
  <c r="AK18" i="33"/>
  <c r="AM17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M6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</calcChain>
</file>

<file path=xl/sharedStrings.xml><?xml version="1.0" encoding="utf-8"?>
<sst xmlns="http://schemas.openxmlformats.org/spreadsheetml/2006/main" count="1432" uniqueCount="1197">
  <si>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</si>
  <si>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</si>
  <si>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</si>
  <si>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</si>
  <si>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</si>
  <si>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</si>
  <si>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</si>
  <si>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</si>
  <si>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</si>
  <si>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</si>
  <si>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</si>
  <si>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</si>
  <si>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</si>
  <si>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</si>
  <si>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</si>
  <si>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</si>
  <si>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</si>
  <si>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</si>
  <si>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</si>
  <si>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</si>
  <si>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</si>
  <si>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</si>
  <si>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</si>
  <si>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</si>
  <si>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</si>
  <si>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</si>
  <si>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</si>
  <si>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</si>
  <si>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</si>
  <si>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</si>
  <si>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</si>
  <si>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</si>
  <si>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</si>
  <si>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</si>
  <si>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</si>
  <si>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</si>
  <si>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</si>
  <si>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</si>
  <si>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</si>
  <si>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</si>
  <si>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</si>
  <si>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</si>
  <si>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</si>
  <si>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</si>
  <si>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</si>
  <si>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</si>
  <si>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</si>
  <si>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</si>
  <si>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</si>
  <si>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</si>
  <si>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</si>
  <si>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</si>
  <si>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</si>
  <si>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</si>
  <si>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</si>
  <si>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</si>
  <si>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</si>
  <si>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</si>
  <si>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</si>
  <si>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</si>
  <si>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</si>
  <si>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</si>
  <si>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</si>
  <si>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</si>
  <si>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</si>
  <si>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</si>
  <si>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</si>
  <si>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</si>
  <si>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</si>
  <si>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</si>
  <si>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</si>
  <si>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</si>
  <si>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</si>
  <si>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</si>
  <si>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</si>
  <si>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</si>
  <si>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</si>
  <si>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</si>
  <si>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</si>
  <si>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</si>
  <si>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</si>
  <si>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</si>
  <si>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</si>
  <si>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</si>
  <si>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</si>
  <si>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</si>
  <si>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</si>
  <si>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</si>
  <si>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</si>
  <si>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</si>
  <si>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</si>
  <si>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</si>
  <si>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</si>
  <si>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</si>
  <si>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</si>
  <si>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</si>
  <si>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</si>
  <si>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</si>
  <si>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</si>
  <si>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</si>
  <si>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</si>
  <si>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</si>
  <si>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</si>
  <si>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</si>
  <si>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</si>
  <si>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</si>
  <si>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</si>
  <si>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</si>
  <si>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</si>
  <si>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</si>
  <si>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</si>
  <si>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</si>
  <si>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</si>
  <si>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</si>
  <si>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</si>
  <si>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</si>
  <si>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</si>
  <si>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</si>
  <si>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</si>
  <si>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</si>
  <si>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</si>
  <si>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</si>
  <si>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</si>
  <si>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</si>
  <si>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</si>
  <si>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</si>
  <si>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</si>
  <si>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</si>
  <si>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</si>
  <si>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</si>
  <si>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</si>
  <si>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</si>
  <si>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</si>
  <si>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</si>
  <si>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</si>
  <si>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</si>
  <si>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</si>
  <si>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</si>
  <si>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</si>
  <si>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</si>
  <si>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</si>
  <si>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</si>
  <si>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</si>
  <si>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</si>
  <si>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</si>
  <si>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</si>
  <si>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</si>
  <si>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</si>
  <si>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</si>
  <si>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</si>
  <si>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</si>
  <si>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</si>
  <si>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</si>
  <si>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</si>
  <si>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</si>
  <si>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</si>
  <si>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</si>
  <si>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</si>
  <si>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</si>
  <si>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</si>
  <si>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</si>
  <si>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</si>
  <si>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</si>
  <si>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</si>
  <si>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</si>
  <si>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</si>
  <si>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</si>
  <si>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</si>
  <si>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</si>
  <si>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</si>
  <si>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</si>
  <si>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</si>
  <si>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</si>
  <si>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</si>
  <si>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</si>
  <si>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</si>
  <si>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</si>
  <si>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</si>
  <si>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</si>
  <si>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</si>
  <si>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</si>
  <si>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</si>
  <si>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</si>
  <si>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</si>
  <si>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</si>
  <si>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</si>
  <si>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</si>
  <si>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</si>
  <si>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</si>
  <si>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</si>
  <si>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</si>
  <si>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</si>
  <si>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</si>
  <si>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</si>
  <si>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</si>
  <si>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</si>
  <si>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</si>
  <si>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</si>
  <si>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</si>
  <si>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</si>
  <si>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</si>
  <si>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</si>
  <si>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</si>
  <si>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</si>
  <si>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</si>
  <si>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</si>
  <si>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</si>
  <si>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</si>
  <si>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</si>
  <si>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</si>
  <si>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</si>
  <si>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</si>
  <si>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</si>
  <si>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</si>
  <si>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</si>
  <si>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</si>
  <si>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</si>
  <si>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</si>
  <si>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</si>
  <si>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</si>
  <si>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</si>
  <si>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</si>
  <si>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</si>
  <si>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</si>
  <si>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</si>
  <si>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</si>
  <si>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</si>
  <si>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</si>
  <si>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</si>
  <si>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</si>
  <si>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</si>
  <si>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</si>
  <si>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</si>
  <si>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</si>
  <si>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</si>
  <si>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</si>
  <si>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</si>
  <si>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</si>
  <si>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</si>
  <si>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</si>
  <si>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</si>
  <si>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</si>
  <si>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</si>
  <si>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</si>
  <si>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</si>
  <si>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</si>
  <si>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</si>
  <si>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</si>
  <si>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</si>
  <si>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</si>
  <si>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</si>
  <si>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</si>
  <si>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</si>
  <si>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</si>
  <si>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</si>
  <si>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</si>
  <si>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</si>
  <si>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</si>
  <si>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</si>
  <si>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</si>
  <si>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</si>
  <si>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</si>
  <si>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</si>
  <si>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</si>
  <si>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</si>
  <si>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</si>
  <si>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</si>
  <si>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</si>
  <si>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</si>
  <si>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</si>
  <si>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</si>
  <si>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</si>
  <si>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</si>
  <si>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</si>
  <si>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</si>
  <si>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</si>
  <si>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</si>
  <si>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</si>
  <si>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</si>
  <si>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</si>
  <si>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</si>
  <si>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</si>
  <si>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</si>
  <si>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</si>
  <si>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</si>
  <si>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</si>
  <si>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</si>
  <si>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</si>
  <si>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</si>
  <si>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</si>
  <si>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</si>
  <si>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</si>
  <si>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</si>
  <si>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</si>
  <si>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</si>
  <si>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</si>
  <si>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</si>
  <si>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</si>
  <si>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</si>
  <si>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</si>
  <si>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</si>
  <si>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</si>
  <si>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</si>
  <si>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</si>
  <si>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</si>
  <si>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</si>
  <si>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</si>
  <si>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</si>
  <si>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</si>
  <si>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</si>
  <si>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</si>
  <si>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</si>
  <si>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</si>
  <si>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</si>
  <si>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</si>
  <si>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</si>
  <si>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</si>
  <si>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</si>
  <si>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</si>
  <si>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</si>
  <si>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</si>
  <si>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</si>
  <si>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</si>
  <si>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</si>
  <si>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</si>
  <si>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</si>
  <si>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</si>
  <si>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</si>
  <si>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</si>
  <si>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</si>
  <si>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</si>
  <si>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</si>
  <si>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</si>
  <si>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</si>
  <si>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</si>
  <si>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</si>
  <si>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</si>
  <si>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</si>
  <si>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</si>
  <si>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</si>
  <si>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</si>
  <si>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</si>
  <si>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</si>
  <si>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</si>
  <si>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</si>
  <si>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</si>
  <si>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</si>
  <si>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</si>
  <si>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</si>
  <si>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</si>
  <si>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</si>
  <si>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</si>
  <si>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</si>
  <si>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</si>
  <si>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</si>
  <si>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</si>
  <si>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</si>
  <si>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</si>
  <si>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</si>
  <si>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</si>
  <si>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</si>
  <si>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</si>
  <si>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</si>
  <si>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</si>
  <si>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</si>
  <si>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</si>
  <si>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</si>
  <si>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</si>
  <si>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</si>
  <si>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</si>
  <si>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</si>
  <si>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</si>
  <si>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</si>
  <si>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</si>
  <si>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</si>
  <si>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</si>
  <si>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</si>
  <si>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</si>
  <si>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</si>
  <si>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</si>
  <si>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</si>
  <si>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</si>
  <si>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</si>
  <si>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</si>
  <si>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</si>
  <si>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</si>
  <si>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</si>
  <si>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</si>
  <si>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</si>
  <si>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</si>
  <si>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</si>
  <si>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</si>
  <si>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</si>
  <si>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</si>
  <si>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</si>
  <si>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</si>
  <si>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</si>
  <si>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</si>
  <si>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</si>
  <si>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</si>
  <si>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</si>
  <si>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</si>
  <si>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</si>
  <si>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</si>
  <si>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</si>
  <si>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</si>
  <si>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</si>
  <si>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</si>
  <si>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</si>
  <si>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</si>
  <si>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</si>
  <si>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</si>
  <si>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</si>
  <si>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</si>
  <si>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</si>
  <si>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</si>
  <si>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</si>
  <si>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</si>
  <si>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</si>
  <si>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</si>
  <si>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</si>
  <si>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</si>
  <si>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</si>
  <si>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</si>
  <si>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</si>
  <si>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</si>
  <si>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</si>
  <si>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</si>
  <si>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</si>
  <si>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</si>
  <si>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</si>
  <si>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</si>
  <si>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</si>
  <si>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</si>
  <si>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</si>
  <si>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</si>
  <si>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</si>
  <si>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</si>
  <si>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</si>
  <si>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</si>
  <si>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</si>
  <si>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</si>
  <si>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</si>
  <si>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</si>
  <si>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</si>
  <si>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</si>
  <si>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</si>
  <si>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</si>
  <si>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</si>
  <si>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</si>
  <si>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</si>
  <si>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</si>
  <si>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</si>
  <si>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</si>
  <si>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</si>
  <si>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</si>
  <si>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</si>
  <si>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</si>
  <si>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</si>
  <si>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</si>
  <si>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</si>
  <si>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</si>
  <si>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</si>
  <si>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</si>
  <si>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</si>
  <si>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</si>
  <si>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</si>
  <si>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</si>
  <si>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</si>
  <si>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</si>
  <si>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</si>
  <si>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</si>
  <si>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Title62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</si>
  <si>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</si>
  <si>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</si>
  <si>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</si>
  <si>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</si>
  <si>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</si>
  <si>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</si>
  <si>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</si>
  <si>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</si>
  <si>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</si>
  <si>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</si>
  <si>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</si>
  <si>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</si>
  <si>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</si>
  <si>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</si>
  <si>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</si>
  <si>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</si>
  <si>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</si>
  <si>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</si>
  <si>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</si>
  <si>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</si>
  <si>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</si>
  <si>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</si>
  <si>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</si>
  <si>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</si>
  <si>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</si>
  <si>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</si>
  <si>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</si>
  <si>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</si>
  <si>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</si>
  <si>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</si>
  <si>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</si>
  <si>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</si>
  <si>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</si>
  <si>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</si>
  <si>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</si>
  <si>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</si>
  <si>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</si>
  <si>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</si>
  <si>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</si>
  <si>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</si>
  <si>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</si>
  <si>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</si>
  <si>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</si>
  <si>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</si>
  <si>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</si>
  <si>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</si>
  <si>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</si>
  <si>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</si>
  <si>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</si>
  <si>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</si>
  <si>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</si>
  <si>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</si>
  <si>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</si>
  <si>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</si>
  <si>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</si>
  <si>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</si>
  <si>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</si>
  <si>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</si>
  <si>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</si>
  <si>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</si>
  <si>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</si>
  <si>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</si>
  <si>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T62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</si>
  <si>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</si>
  <si>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</si>
  <si>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</si>
  <si>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</si>
  <si>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</si>
  <si>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</si>
  <si>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</si>
  <si>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</si>
  <si>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</si>
  <si>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</si>
  <si>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</si>
  <si>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</si>
  <si>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</si>
  <si>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</si>
  <si>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</si>
  <si>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</si>
  <si>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</si>
  <si>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</si>
  <si>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</si>
  <si>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</si>
  <si>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</si>
  <si>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</si>
  <si>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</si>
  <si>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</si>
  <si>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</si>
  <si>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</si>
  <si>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</si>
  <si>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</si>
  <si>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</si>
  <si>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</si>
  <si>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</si>
  <si>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</si>
  <si>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</si>
  <si>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</si>
  <si>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</si>
  <si>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</si>
  <si>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</si>
  <si>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</si>
  <si>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</si>
  <si>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</si>
  <si>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</si>
  <si>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</si>
  <si>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</si>
  <si>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</si>
  <si>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</si>
  <si>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</si>
  <si>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</si>
  <si>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</si>
  <si>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</si>
  <si>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</si>
  <si>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</si>
  <si>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</si>
  <si>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</si>
  <si>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</si>
  <si>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</si>
  <si>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</si>
  <si>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</si>
  <si>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</si>
  <si>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</si>
  <si>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</si>
  <si>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</si>
  <si>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</si>
  <si>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</si>
  <si>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</si>
  <si>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</si>
  <si>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</si>
  <si>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</si>
  <si>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</si>
  <si>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</si>
  <si>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</si>
  <si>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</si>
  <si>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</si>
  <si>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</si>
  <si>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</si>
  <si>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</si>
  <si>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</si>
  <si>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</si>
  <si>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</si>
  <si>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</si>
  <si>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</si>
  <si>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</si>
  <si>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</si>
  <si>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</si>
  <si>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</si>
  <si>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</si>
  <si>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</si>
  <si>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</si>
  <si>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</si>
  <si>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</si>
  <si>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</si>
  <si>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</si>
  <si>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</si>
  <si>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</si>
  <si>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</si>
  <si>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</si>
  <si>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</si>
  <si>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</si>
  <si>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</si>
  <si>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</si>
  <si>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</si>
  <si>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</si>
  <si>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</si>
  <si>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</si>
  <si>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</si>
  <si>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</si>
  <si>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</si>
  <si>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</si>
  <si>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</si>
  <si>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</si>
  <si>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</si>
  <si>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</si>
  <si>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</si>
  <si>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</si>
  <si>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</si>
  <si>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</si>
  <si>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</si>
  <si>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</si>
  <si>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</si>
  <si>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</si>
  <si>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</si>
  <si>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</si>
  <si>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</si>
  <si>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</si>
  <si>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</si>
  <si>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</si>
  <si>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</si>
  <si>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</si>
  <si>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</si>
  <si>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</si>
  <si>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</si>
  <si>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</si>
  <si>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</si>
  <si>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</si>
  <si>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</si>
  <si>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</si>
  <si>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</si>
  <si>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</si>
  <si>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</si>
  <si>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</si>
  <si>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</si>
  <si>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</si>
  <si>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</si>
  <si>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</si>
  <si>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</si>
  <si>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</si>
  <si>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</si>
  <si>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</si>
  <si>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</si>
  <si>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</si>
  <si>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</si>
  <si>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</si>
  <si>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</si>
  <si>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</si>
  <si>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</si>
  <si>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</si>
  <si>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</si>
  <si>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</si>
  <si>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</si>
  <si>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</si>
  <si>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</si>
  <si>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</si>
  <si>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</si>
  <si>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</si>
  <si>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</si>
  <si>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</si>
  <si>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</si>
  <si>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</si>
  <si>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</si>
  <si>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</si>
  <si>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</si>
  <si>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</si>
  <si>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</si>
  <si>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</si>
  <si>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</si>
  <si>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</si>
  <si>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</si>
  <si>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</si>
  <si>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</si>
  <si>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</si>
  <si>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</si>
  <si>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</si>
  <si>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</si>
  <si>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</si>
  <si>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</si>
  <si>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</si>
  <si>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</si>
  <si>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</si>
  <si>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</si>
  <si>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</si>
  <si>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</si>
  <si>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</si>
  <si>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</si>
  <si>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</si>
  <si>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</si>
  <si>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</si>
  <si>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</si>
  <si>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</si>
  <si>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T62.1</t>
  </si>
  <si>
    <t>P62.1</t>
  </si>
  <si>
    <t>T62.1.1</t>
  </si>
  <si>
    <t>T62.1.2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</si>
  <si>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</si>
  <si>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</si>
  <si>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</si>
  <si>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</si>
  <si>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</si>
  <si>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</si>
  <si>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</si>
  <si>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</si>
  <si>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</si>
  <si>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</si>
  <si>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</si>
  <si>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</si>
  <si>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</si>
  <si>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</si>
  <si>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</si>
  <si>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</si>
  <si>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</si>
  <si>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</si>
  <si>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</si>
  <si>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</si>
  <si>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</si>
  <si>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</si>
  <si>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</si>
  <si>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</si>
  <si>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</si>
  <si>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</si>
  <si>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</si>
  <si>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</si>
  <si>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</si>
  <si>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</si>
  <si>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</si>
  <si>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</si>
  <si>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</si>
  <si>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</si>
  <si>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</si>
  <si>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</si>
  <si>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</si>
  <si>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</si>
  <si>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VCU_FatcPermPwrVal</t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</si>
  <si>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</si>
  <si>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</si>
  <si>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</si>
  <si>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</si>
  <si>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</si>
  <si>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</si>
  <si>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</si>
  <si>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</si>
  <si>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</si>
  <si>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</si>
  <si>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</si>
  <si>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</si>
  <si>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</si>
  <si>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</si>
  <si>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</si>
  <si>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</si>
  <si>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</si>
  <si>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</si>
  <si>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</si>
  <si>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</si>
  <si>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</si>
  <si>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</si>
  <si>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</si>
  <si>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</si>
  <si>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</si>
  <si>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</si>
  <si>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</si>
  <si>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</si>
  <si>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</si>
  <si>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</si>
  <si>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</si>
  <si>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</si>
  <si>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</si>
  <si>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</si>
  <si>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</si>
  <si>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</si>
  <si>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</si>
  <si>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</si>
  <si>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</si>
  <si>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</si>
  <si>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</si>
  <si>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</si>
  <si>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</si>
  <si>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</si>
  <si>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</si>
  <si>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</si>
  <si>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</si>
  <si>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</si>
  <si>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</si>
  <si>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</si>
  <si>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</si>
  <si>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</si>
  <si>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</si>
  <si>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</si>
  <si>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</si>
  <si>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</si>
  <si>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</si>
  <si>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</si>
  <si>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</si>
  <si>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</si>
  <si>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</si>
  <si>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</si>
  <si>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</si>
  <si>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</si>
  <si>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</si>
  <si>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</si>
  <si>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</si>
  <si>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</si>
  <si>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</si>
  <si>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</si>
  <si>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</si>
  <si>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</si>
  <si>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</si>
  <si>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</si>
  <si>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</si>
  <si>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</si>
  <si>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</si>
  <si>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</si>
  <si>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</si>
  <si>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</si>
  <si>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</si>
  <si>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</si>
  <si>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</si>
  <si>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</si>
  <si>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</si>
  <si>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</si>
  <si>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</si>
  <si>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</si>
  <si>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</si>
  <si>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</si>
  <si>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</si>
  <si>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</si>
  <si>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</si>
  <si>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</si>
  <si>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</si>
  <si>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</si>
  <si>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</si>
  <si>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</si>
  <si>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</si>
  <si>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</si>
  <si>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</si>
  <si>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</si>
  <si>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</si>
  <si>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</si>
  <si>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</si>
  <si>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</si>
  <si>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</si>
  <si>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</si>
  <si>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</si>
  <si>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</si>
  <si>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</si>
  <si>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</si>
  <si>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</si>
  <si>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</si>
  <si>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</si>
  <si>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</si>
  <si>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</si>
  <si>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</si>
  <si>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</si>
  <si>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</si>
  <si>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</si>
  <si>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</si>
  <si>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</si>
  <si>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</si>
  <si>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</si>
  <si>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</si>
  <si>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</si>
  <si>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</si>
  <si>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</si>
  <si>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</si>
  <si>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</si>
  <si>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</si>
  <si>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</si>
  <si>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</si>
  <si>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</si>
  <si>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</si>
  <si>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</si>
  <si>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</si>
  <si>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</si>
  <si>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</si>
  <si>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</si>
  <si>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</si>
  <si>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</si>
  <si>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</si>
  <si>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</si>
  <si>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</si>
  <si>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</si>
  <si>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</si>
  <si>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</si>
  <si>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</si>
  <si>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</si>
  <si>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</si>
  <si>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</si>
  <si>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</si>
  <si>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</si>
  <si>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</si>
  <si>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</si>
  <si>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</si>
  <si>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</si>
  <si>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</si>
  <si>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</si>
  <si>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</si>
  <si>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</si>
  <si>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</si>
  <si>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</si>
  <si>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</si>
  <si>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</si>
  <si>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</si>
  <si>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</si>
  <si>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</si>
  <si>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</si>
  <si>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</si>
  <si>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</si>
  <si>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</si>
  <si>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</si>
  <si>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</si>
  <si>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</si>
  <si>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</si>
  <si>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</si>
  <si>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</si>
  <si>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</si>
  <si>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</si>
  <si>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</si>
  <si>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</si>
  <si>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</si>
  <si>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</si>
  <si>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</si>
  <si>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</si>
  <si>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</si>
  <si>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</si>
  <si>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</si>
  <si>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</si>
  <si>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</si>
  <si>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</si>
  <si>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</si>
  <si>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</si>
  <si>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</si>
  <si>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</si>
  <si>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</si>
  <si>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</si>
  <si>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</si>
  <si>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</si>
  <si>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</si>
  <si>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</si>
  <si>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</si>
  <si>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</si>
  <si>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</si>
  <si>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</si>
  <si>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</si>
  <si>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</si>
  <si>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</si>
  <si>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</si>
  <si>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</si>
  <si>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</si>
  <si>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</si>
  <si>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</si>
  <si>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</si>
  <si>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</si>
  <si>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</si>
  <si>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</si>
  <si>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</si>
  <si>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</si>
  <si>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</si>
  <si>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</si>
  <si>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</si>
  <si>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</si>
  <si>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</si>
  <si>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</si>
  <si>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</si>
  <si>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</si>
  <si>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</si>
  <si>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</si>
  <si>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</si>
  <si>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</si>
  <si>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</si>
  <si>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</si>
  <si>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</si>
  <si>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</si>
  <si>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</si>
  <si>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</si>
  <si>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</si>
  <si>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</si>
  <si>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</si>
  <si>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</si>
  <si>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</si>
  <si>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</si>
  <si>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</si>
  <si>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</si>
  <si>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</si>
  <si>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</si>
  <si>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</si>
  <si>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</si>
  <si>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</si>
  <si>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</si>
  <si>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</si>
  <si>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</si>
  <si>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</si>
  <si>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</si>
  <si>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</si>
  <si>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</si>
  <si>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</si>
  <si>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</si>
  <si>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</si>
  <si>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</si>
  <si>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</si>
  <si>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</si>
  <si>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</si>
  <si>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</si>
  <si>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</si>
  <si>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</si>
  <si>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</si>
  <si>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</si>
  <si>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</si>
  <si>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</si>
  <si>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</si>
  <si>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</si>
  <si>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</si>
  <si>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</si>
  <si>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</si>
  <si>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</si>
  <si>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</si>
  <si>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</si>
  <si>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</si>
  <si>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</si>
  <si>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</si>
  <si>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</si>
  <si>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</si>
  <si>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</si>
  <si>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</si>
  <si>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</si>
  <si>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</si>
  <si>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</si>
  <si>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</si>
  <si>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</si>
  <si>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</si>
  <si>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</si>
  <si>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</si>
  <si>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</si>
  <si>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</si>
  <si>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</si>
  <si>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</si>
  <si>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</si>
  <si>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</si>
  <si>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</si>
  <si>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</si>
  <si>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</si>
  <si>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</si>
  <si>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</si>
  <si>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</si>
  <si>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</si>
  <si>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</si>
  <si>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</si>
  <si>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</si>
  <si>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</si>
  <si>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</si>
  <si>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</si>
  <si>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</si>
  <si>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</si>
  <si>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</si>
  <si>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</si>
  <si>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</si>
  <si>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</si>
  <si>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</si>
  <si>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</si>
  <si>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</si>
  <si>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</si>
  <si>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</si>
  <si>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</si>
  <si>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</si>
  <si>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</si>
  <si>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</si>
  <si>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</si>
  <si>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</si>
  <si>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</si>
  <si>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</si>
  <si>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</si>
  <si>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</si>
  <si>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</si>
  <si>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</si>
  <si>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</si>
  <si>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</si>
  <si>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</si>
  <si>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</si>
  <si>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</si>
  <si>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</si>
  <si>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</si>
  <si>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</si>
  <si>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</si>
  <si>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</si>
  <si>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</si>
  <si>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</si>
  <si>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</si>
  <si>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</si>
  <si>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</si>
  <si>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</si>
  <si>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</si>
  <si>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</si>
  <si>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</si>
  <si>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</si>
  <si>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</si>
  <si>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</si>
  <si>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</si>
  <si>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</si>
  <si>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</si>
  <si>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</si>
  <si>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</si>
  <si>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</si>
  <si>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</si>
  <si>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</si>
  <si>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</si>
  <si>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</si>
  <si>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</si>
  <si>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</si>
  <si>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</si>
  <si>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</si>
  <si>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</si>
  <si>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</si>
  <si>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</si>
  <si>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</si>
  <si>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</si>
  <si>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</si>
  <si>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</si>
  <si>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</si>
  <si>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</si>
  <si>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</si>
  <si>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</si>
  <si>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</si>
  <si>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</si>
  <si>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</si>
  <si>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</si>
  <si>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</si>
  <si>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</si>
  <si>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</si>
  <si>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</si>
  <si>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</si>
  <si>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</si>
  <si>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</si>
  <si>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</si>
  <si>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</si>
  <si>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</si>
  <si>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</si>
  <si>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EXV 제어사양에 따름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</si>
  <si>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</si>
  <si>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</si>
  <si>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</si>
  <si>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</si>
  <si>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</si>
  <si>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</si>
  <si>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</si>
  <si>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</si>
  <si>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PeEwpRPMReq</t>
    <phoneticPr fontId="9" type="noConversion"/>
  </si>
  <si>
    <t>BAT. ON시 초기화 기능</t>
    <phoneticPr fontId="9" type="noConversion"/>
  </si>
  <si>
    <t>BAT. ON시 초기화 기능 확인</t>
    <phoneticPr fontId="9" type="noConversion"/>
  </si>
  <si>
    <t>배터리쿨링 협조 제어사양 (H/P 할때)</t>
    <phoneticPr fontId="9" type="noConversion"/>
  </si>
  <si>
    <t>배터리쿨링 협조 제어사양 (H/P 할때) 로직 동작 확인</t>
    <phoneticPr fontId="9" type="noConversion"/>
  </si>
  <si>
    <t>T62.1.2</t>
    <phoneticPr fontId="9" type="noConversion"/>
  </si>
  <si>
    <t>검증유닛용_로직 작동 확인_Depth.1_EV_내수일반</t>
    <phoneticPr fontId="5" type="noConversion"/>
  </si>
  <si>
    <t>작성자</t>
    <phoneticPr fontId="5" type="noConversion"/>
  </si>
  <si>
    <t>관리자</t>
    <phoneticPr fontId="5" type="noConversion"/>
  </si>
  <si>
    <t>2024-12-19 ~ 2025-01-22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</si>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</sst>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3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52" fillId="12" borderId="3" xfId="2" applyFont="1" applyFill="1" applyBorder="1">
      <alignment vertical="center"/>
    </xf>
    <xf numFmtId="0" fontId="5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6" fillId="15" borderId="0" xfId="17" applyFont="1" applyFill="1">
      <alignment vertical="center"/>
    </xf>
    <xf numFmtId="0" fontId="29" fillId="0" borderId="0" xfId="0" applyFont="1" applyAlignment="1"/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5" fillId="6" borderId="9" xfId="0" applyFont="1" applyFill="1" applyBorder="1" applyAlignment="1">
      <alignment wrapText="1"/>
    </xf>
    <xf numFmtId="0" fontId="56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8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7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2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59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3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3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3" fillId="20" borderId="14" xfId="23" applyFont="1" applyFill="1" applyBorder="1" applyAlignment="1" applyProtection="1">
      <alignment horizontal="center" vertical="center" wrapText="1"/>
      <protection hidden="1"/>
    </xf>
    <xf numFmtId="0" fontId="53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50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115</v>
      </c>
      <c r="C2" s="208" t="s">
        <v>1192</v>
      </c>
      <c r="D2" s="209"/>
      <c r="E2" s="210"/>
    </row>
    <row r="3" spans="2:5" ht="15" customHeight="1" thickBot="1">
      <c r="B3" s="26" t="s">
        <v>1193</v>
      </c>
      <c r="C3" s="211" t="s">
        <v>606</v>
      </c>
      <c r="D3" s="212"/>
      <c r="E3" s="213"/>
    </row>
    <row r="4" spans="2:5" ht="15" customHeight="1">
      <c r="B4" s="50" t="s">
        <v>0</v>
      </c>
      <c r="C4" s="51" t="s">
        <v>1</v>
      </c>
      <c r="D4" s="51" t="s">
        <v>1194</v>
      </c>
      <c r="E4" s="52" t="s">
        <v>114</v>
      </c>
    </row>
    <row r="5" spans="2:5" ht="16.5" customHeight="1">
      <c r="B5" s="17">
        <v>0.1</v>
      </c>
      <c r="C5" s="18" t="s">
        <v>1195</v>
      </c>
      <c r="D5" s="27" t="s">
        <v>116</v>
      </c>
      <c r="E5" s="19" t="s">
        <v>1196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01"/>
  <sheetViews>
    <sheetView zoomScale="85" zoomScaleNormal="85" workbookViewId="0">
      <pane ySplit="7" topLeftCell="A8" activePane="bottomLeft" state="frozen"/>
      <selection pane="bottomLeft" sqref="A1:DP77"/>
    </sheetView>
  </sheetViews>
  <sheetFormatPr defaultColWidth="9.28515625" defaultRowHeight="12.75"/>
  <cols>
    <col min="1" max="2" width="2.7109375" customWidth="1"/>
    <col min="3" max="3" width="7.5703125" bestFit="1" customWidth="1"/>
    <col min="4" max="4" width="12.28515625" customWidth="1"/>
    <col min="9" max="9" width="5.7109375" bestFit="1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6" width="0" hidden="1" customWidth="1"/>
    <col min="27" max="27" width="11.28515625" hidden="1" customWidth="1"/>
    <col min="28" max="28" width="0" hidden="1" customWidth="1"/>
    <col min="29" max="29" width="9.28515625" hidden="1" customWidth="1"/>
    <col min="30" max="30" width="10" hidden="1" customWidth="1"/>
    <col min="31" max="39" width="0" hidden="1" customWidth="1"/>
    <col min="40" max="41" width="9.28515625" customWidth="1"/>
    <col min="42" max="42" width="9.140625" customWidth="1"/>
    <col min="43" max="43" width="10.5703125" customWidth="1"/>
    <col min="44" max="53" width="0" hidden="1" customWidth="1"/>
    <col min="54" max="56" width="10.5703125" hidden="1" customWidth="1"/>
    <col min="57" max="79" width="0" hidden="1" customWidth="1"/>
    <col min="80" max="80" width="10.5703125" customWidth="1"/>
    <col min="81" max="92" width="0" hidden="1" customWidth="1"/>
    <col min="93" max="93" width="10.5703125" customWidth="1"/>
    <col min="94" max="110" width="0" hidden="1" customWidth="1"/>
    <col min="111" max="114" width="10.5703125" customWidth="1"/>
    <col min="115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  <c r="BO1" s="231">
        <v>58</v>
      </c>
      <c r="BP1" s="231">
        <v>59</v>
      </c>
      <c r="BQ1" s="231">
        <v>60</v>
      </c>
      <c r="BR1" s="231">
        <v>61</v>
      </c>
      <c r="BS1" s="231">
        <v>62</v>
      </c>
      <c r="BT1" s="231">
        <v>63</v>
      </c>
      <c r="BU1" s="231">
        <v>64</v>
      </c>
      <c r="BV1" s="231">
        <v>65</v>
      </c>
      <c r="BW1" s="231">
        <v>66</v>
      </c>
      <c r="BX1" s="231">
        <v>67</v>
      </c>
      <c r="BY1" s="231">
        <v>68</v>
      </c>
      <c r="BZ1" s="231">
        <v>69</v>
      </c>
      <c r="CA1" s="231">
        <v>70</v>
      </c>
      <c r="CB1" s="231">
        <v>71</v>
      </c>
      <c r="CC1" s="231">
        <v>72</v>
      </c>
      <c r="CD1" s="231">
        <v>73</v>
      </c>
      <c r="CE1" s="231">
        <v>74</v>
      </c>
      <c r="CF1" s="231">
        <v>75</v>
      </c>
      <c r="CG1" s="231">
        <v>76</v>
      </c>
      <c r="CH1" s="231">
        <v>77</v>
      </c>
      <c r="CI1" s="231">
        <v>78</v>
      </c>
      <c r="CJ1" s="231">
        <v>79</v>
      </c>
      <c r="CK1" s="231">
        <v>80</v>
      </c>
      <c r="CL1" s="231">
        <v>81</v>
      </c>
      <c r="CM1" s="231">
        <v>82</v>
      </c>
      <c r="CN1" s="231">
        <v>83</v>
      </c>
      <c r="CO1" s="231">
        <v>84</v>
      </c>
      <c r="CP1" s="231">
        <v>85</v>
      </c>
      <c r="CQ1" s="231">
        <v>86</v>
      </c>
      <c r="CR1" s="231">
        <v>87</v>
      </c>
      <c r="CS1" s="231">
        <v>88</v>
      </c>
      <c r="CT1" s="231">
        <v>89</v>
      </c>
      <c r="CU1" s="231">
        <v>90</v>
      </c>
      <c r="CV1" s="231">
        <v>91</v>
      </c>
      <c r="CW1" s="231">
        <v>92</v>
      </c>
      <c r="CX1" s="231">
        <v>93</v>
      </c>
      <c r="CY1" s="231">
        <v>94</v>
      </c>
      <c r="CZ1" s="231">
        <v>95</v>
      </c>
      <c r="DA1" s="231">
        <v>96</v>
      </c>
      <c r="DB1" s="231">
        <v>97</v>
      </c>
      <c r="DC1" s="231">
        <v>98</v>
      </c>
      <c r="DD1" s="231">
        <v>99</v>
      </c>
      <c r="DE1" s="231">
        <v>100</v>
      </c>
      <c r="DF1" s="231">
        <v>101</v>
      </c>
      <c r="DG1" s="231">
        <v>102</v>
      </c>
      <c r="DH1" s="231">
        <v>103</v>
      </c>
      <c r="DI1" s="231">
        <v>104</v>
      </c>
      <c r="DJ1" s="231">
        <v>105</v>
      </c>
      <c r="DK1" s="231">
        <v>106</v>
      </c>
      <c r="DL1" s="231">
        <v>107</v>
      </c>
      <c r="DM1" s="231">
        <v>108</v>
      </c>
      <c r="DN1" s="231">
        <v>109</v>
      </c>
      <c r="DO1" s="231">
        <v>110</v>
      </c>
      <c r="DP1" s="231">
        <v>111</v>
      </c>
    </row>
    <row r="2" spans="1:120" ht="12.75" customHeight="1">
      <c r="A2" s="2"/>
      <c r="B2" s="2"/>
      <c r="C2" s="2"/>
      <c r="D2" s="215" t="s">
        <v>85</v>
      </c>
      <c r="E2" s="216"/>
      <c r="F2" s="216"/>
      <c r="G2" s="217"/>
      <c r="H2" s="2"/>
      <c r="I2" s="177" t="s">
        <v>140</v>
      </c>
      <c r="J2" s="48" t="s">
        <v>142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4" t="s">
        <v>1178</v>
      </c>
      <c r="F3" s="214"/>
      <c r="G3" s="214"/>
      <c r="H3" s="2"/>
      <c r="I3" s="177" t="s">
        <v>144</v>
      </c>
      <c r="J3" s="48" t="s">
        <v>117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4" t="s">
        <v>1179</v>
      </c>
      <c r="F4" s="214"/>
      <c r="G4" s="214"/>
      <c r="H4" s="2"/>
      <c r="I4" s="177" t="s">
        <v>120</v>
      </c>
      <c r="J4" s="179" t="s">
        <v>118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1180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2" t="s">
        <v>1181</v>
      </c>
      <c r="E5" s="214" t="s">
        <v>1182</v>
      </c>
      <c r="F5" s="214"/>
      <c r="G5" s="214"/>
      <c r="H5" s="2"/>
      <c r="I5" s="177" t="s">
        <v>121</v>
      </c>
      <c r="J5" s="48" t="s">
        <v>119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3"/>
      <c r="E6" s="214" t="s">
        <v>1183</v>
      </c>
      <c r="F6" s="214"/>
      <c r="G6" s="214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40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1184</v>
      </c>
      <c r="S7" s="94"/>
      <c r="T7" s="94" t="s">
        <v>86</v>
      </c>
      <c r="U7" s="94" t="s">
        <v>158</v>
      </c>
      <c r="V7" s="94" t="s">
        <v>186</v>
      </c>
      <c r="W7" s="94" t="s">
        <v>41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1185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42</v>
      </c>
      <c r="AO7" s="94" t="s">
        <v>43</v>
      </c>
      <c r="AP7" s="94" t="s">
        <v>44</v>
      </c>
      <c r="AQ7" s="94" t="s">
        <v>183</v>
      </c>
      <c r="AR7" s="94" t="s">
        <v>45</v>
      </c>
      <c r="AS7" s="94" t="s">
        <v>264</v>
      </c>
      <c r="AT7" s="94" t="s">
        <v>263</v>
      </c>
      <c r="AU7" s="94" t="s">
        <v>321</v>
      </c>
      <c r="AV7" s="94" t="s">
        <v>46</v>
      </c>
      <c r="AW7" s="94" t="s">
        <v>47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">
        <v>1186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2.7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788</v>
      </c>
      <c r="K8" s="95" t="s">
        <v>1187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7" t="s">
        <v>309</v>
      </c>
      <c r="J9" s="87" t="s">
        <v>308</v>
      </c>
      <c r="K9" s="89">
        <v>10</v>
      </c>
      <c r="L9" s="89">
        <v>-2</v>
      </c>
      <c r="M9" s="89">
        <v>10</v>
      </c>
      <c r="N9" s="89">
        <v>80.25</v>
      </c>
      <c r="O9" s="89">
        <v>0</v>
      </c>
      <c r="P9" s="89">
        <v>50</v>
      </c>
      <c r="Q9" s="89">
        <v>400</v>
      </c>
      <c r="R9" s="89">
        <v>55</v>
      </c>
      <c r="S9" s="90"/>
      <c r="T9" s="85"/>
      <c r="U9" s="86"/>
      <c r="V9" s="86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2"/>
    </row>
    <row r="10" spans="1:120" ht="12.75" customHeight="1">
      <c r="A10" s="2"/>
      <c r="B10" s="2"/>
      <c r="C10" s="4"/>
      <c r="D10" s="4"/>
      <c r="E10" s="4"/>
      <c r="F10" s="4"/>
      <c r="G10" s="2"/>
      <c r="H10" s="2"/>
      <c r="I10" s="99" t="s">
        <v>7</v>
      </c>
      <c r="J10" s="99" t="s">
        <v>789</v>
      </c>
      <c r="K10" s="99" t="s">
        <v>1188</v>
      </c>
      <c r="L10" s="99"/>
      <c r="M10" s="99"/>
      <c r="N10" s="99"/>
      <c r="O10" s="99"/>
      <c r="P10" s="99"/>
      <c r="Q10" s="99"/>
      <c r="R10" s="99"/>
      <c r="S10" s="99"/>
      <c r="T10" s="99"/>
      <c r="U10" s="100"/>
      <c r="V10" s="100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  <c r="BM10" s="99"/>
      <c r="BN10" s="99"/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BY10" s="99"/>
      <c r="BZ10" s="99"/>
      <c r="CA10" s="99"/>
      <c r="CB10" s="99"/>
      <c r="CC10" s="99"/>
      <c r="CD10" s="99"/>
      <c r="CE10" s="99"/>
      <c r="CF10" s="99"/>
      <c r="CG10" s="99"/>
      <c r="CH10" s="99"/>
      <c r="CI10" s="99"/>
      <c r="CJ10" s="99"/>
      <c r="CK10" s="99"/>
      <c r="CL10" s="99"/>
      <c r="CM10" s="99"/>
      <c r="CN10" s="99"/>
      <c r="CO10" s="99"/>
      <c r="CP10" s="99"/>
      <c r="CQ10" s="99"/>
      <c r="CR10" s="99"/>
      <c r="CS10" s="99"/>
      <c r="CT10" s="99"/>
      <c r="CU10" s="99"/>
      <c r="CV10" s="99"/>
      <c r="CW10" s="99"/>
      <c r="CX10" s="99"/>
      <c r="CY10" s="99"/>
      <c r="CZ10" s="99"/>
      <c r="DA10" s="99"/>
      <c r="DB10" s="99"/>
      <c r="DC10" s="99"/>
      <c r="DD10" s="99"/>
      <c r="DE10" s="99"/>
      <c r="DF10" s="99"/>
      <c r="DG10" s="99"/>
      <c r="DH10" s="99"/>
      <c r="DI10" s="99"/>
      <c r="DJ10" s="99"/>
      <c r="DK10" s="99"/>
      <c r="DL10" s="99"/>
      <c r="DM10" s="99"/>
      <c r="DN10" s="99"/>
      <c r="DO10" s="99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87" t="s">
        <v>48</v>
      </c>
      <c r="J11" s="87" t="s">
        <v>790</v>
      </c>
      <c r="K11" s="186">
        <f>K9</f>
        <v>10</v>
      </c>
      <c r="L11" s="186">
        <f>L9</f>
        <v>-2</v>
      </c>
      <c r="M11" s="186">
        <f>M9</f>
        <v>10</v>
      </c>
      <c r="N11" s="90"/>
      <c r="O11" s="90"/>
      <c r="P11" s="90"/>
      <c r="Q11" s="90"/>
      <c r="R11" s="90"/>
      <c r="S11" s="90"/>
      <c r="T11" s="98" t="s">
        <v>185</v>
      </c>
      <c r="U11" s="88" t="s">
        <v>371</v>
      </c>
      <c r="V11" s="88">
        <v>10</v>
      </c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89" t="s">
        <v>88</v>
      </c>
      <c r="AO11" s="90"/>
      <c r="AP11" s="89" t="s">
        <v>88</v>
      </c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1">
        <v>7</v>
      </c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1">
        <v>0</v>
      </c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1">
        <v>1</v>
      </c>
      <c r="DH11" s="91">
        <v>1</v>
      </c>
      <c r="DI11" s="91">
        <v>1</v>
      </c>
      <c r="DJ11" s="91">
        <v>1</v>
      </c>
      <c r="DK11" s="90"/>
      <c r="DL11" s="90"/>
      <c r="DM11" s="90"/>
      <c r="DN11" s="90"/>
      <c r="DO11" s="90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5" t="s">
        <v>143</v>
      </c>
      <c r="J12" s="185" t="s">
        <v>791</v>
      </c>
      <c r="K12" s="186">
        <f>K11</f>
        <v>10</v>
      </c>
      <c r="L12" s="186">
        <f>L11</f>
        <v>-2</v>
      </c>
      <c r="M12" s="186">
        <f>M11</f>
        <v>10</v>
      </c>
      <c r="N12" s="90"/>
      <c r="O12" s="90"/>
      <c r="P12" s="90"/>
      <c r="Q12" s="90"/>
      <c r="R12" s="90"/>
      <c r="S12" s="90"/>
      <c r="T12" s="98" t="str">
        <f>BatChllrTgtRpm</f>
        <v>VCU_BatChllrTgtRpm</v>
      </c>
      <c r="U12" s="89">
        <v>1000</v>
      </c>
      <c r="V12" s="88">
        <v>10</v>
      </c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89" t="s">
        <v>88</v>
      </c>
      <c r="AO12" s="90"/>
      <c r="AP12" s="89">
        <f>U12</f>
        <v>1000</v>
      </c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89" t="s">
        <v>1177</v>
      </c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1">
        <v>2</v>
      </c>
      <c r="DH12" s="91">
        <v>1</v>
      </c>
      <c r="DI12" s="91">
        <v>2</v>
      </c>
      <c r="DJ12" s="91">
        <v>1</v>
      </c>
      <c r="DK12" s="90"/>
      <c r="DL12" s="90"/>
      <c r="DM12" s="90"/>
      <c r="DN12" s="90"/>
      <c r="DO12" s="90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5" t="s">
        <v>143</v>
      </c>
      <c r="J13" s="185" t="s">
        <v>792</v>
      </c>
      <c r="K13" s="186">
        <f>K12</f>
        <v>10</v>
      </c>
      <c r="L13" s="186">
        <f>L12</f>
        <v>-2</v>
      </c>
      <c r="M13" s="186">
        <f>M12</f>
        <v>10</v>
      </c>
      <c r="N13" s="90"/>
      <c r="O13" s="90"/>
      <c r="P13" s="90"/>
      <c r="Q13" s="90"/>
      <c r="R13" s="90"/>
      <c r="S13" s="90"/>
      <c r="T13" s="98" t="str">
        <f>BatChllrTgtRpm</f>
        <v>VCU_BatChllrTgtRpm</v>
      </c>
      <c r="U13" s="89">
        <v>0</v>
      </c>
      <c r="V13" s="88">
        <v>10</v>
      </c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89" t="s">
        <v>88</v>
      </c>
      <c r="AO13" s="90"/>
      <c r="AP13" s="89" t="s">
        <v>88</v>
      </c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1">
        <v>0</v>
      </c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1">
        <v>1</v>
      </c>
      <c r="DH13" s="91">
        <v>1</v>
      </c>
      <c r="DI13" s="91">
        <v>1</v>
      </c>
      <c r="DJ13" s="91">
        <v>1</v>
      </c>
      <c r="DK13" s="90"/>
      <c r="DL13" s="90"/>
      <c r="DM13" s="90"/>
      <c r="DN13" s="90"/>
      <c r="DO13" s="90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5"/>
      <c r="J14" s="185"/>
      <c r="K14" s="186"/>
      <c r="L14" s="186"/>
      <c r="M14" s="186"/>
      <c r="N14" s="90"/>
      <c r="O14" s="90"/>
      <c r="P14" s="90"/>
      <c r="Q14" s="90"/>
      <c r="R14" s="90"/>
      <c r="S14" s="90"/>
      <c r="T14" s="85"/>
      <c r="U14" s="86"/>
      <c r="V14" s="86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5"/>
      <c r="J15" s="185"/>
      <c r="K15" s="186"/>
      <c r="L15" s="186"/>
      <c r="M15" s="186"/>
      <c r="N15" s="90"/>
      <c r="O15" s="90"/>
      <c r="P15" s="90"/>
      <c r="Q15" s="90"/>
      <c r="R15" s="90"/>
      <c r="S15" s="90"/>
      <c r="T15" s="85"/>
      <c r="U15" s="86"/>
      <c r="V15" s="86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0"/>
      <c r="AZ15" s="90"/>
      <c r="BA15" s="90"/>
      <c r="BB15" s="90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5"/>
      <c r="J16" s="185"/>
      <c r="K16" s="186"/>
      <c r="L16" s="186"/>
      <c r="M16" s="186"/>
      <c r="N16" s="90"/>
      <c r="O16" s="90"/>
      <c r="P16" s="90"/>
      <c r="Q16" s="90"/>
      <c r="R16" s="90"/>
      <c r="S16" s="90"/>
      <c r="T16" s="85"/>
      <c r="U16" s="86"/>
      <c r="V16" s="86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5"/>
      <c r="J17" s="185"/>
      <c r="K17" s="186"/>
      <c r="L17" s="186"/>
      <c r="M17" s="186"/>
      <c r="N17" s="90"/>
      <c r="O17" s="90"/>
      <c r="P17" s="90"/>
      <c r="Q17" s="90"/>
      <c r="R17" s="90"/>
      <c r="S17" s="90"/>
      <c r="T17" s="85"/>
      <c r="U17" s="86"/>
      <c r="V17" s="86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90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5"/>
      <c r="J18" s="185"/>
      <c r="K18" s="186"/>
      <c r="L18" s="186"/>
      <c r="M18" s="186"/>
      <c r="N18" s="90"/>
      <c r="O18" s="90"/>
      <c r="P18" s="90"/>
      <c r="Q18" s="90"/>
      <c r="R18" s="90"/>
      <c r="S18" s="90"/>
      <c r="T18" s="85"/>
      <c r="U18" s="86"/>
      <c r="V18" s="86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5"/>
      <c r="J19" s="185"/>
      <c r="K19" s="186"/>
      <c r="L19" s="186"/>
      <c r="M19" s="186"/>
      <c r="N19" s="90"/>
      <c r="O19" s="90"/>
      <c r="P19" s="90"/>
      <c r="Q19" s="90"/>
      <c r="R19" s="90"/>
      <c r="S19" s="90"/>
      <c r="T19" s="85"/>
      <c r="U19" s="86"/>
      <c r="V19" s="86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5"/>
      <c r="J20" s="185"/>
      <c r="K20" s="186"/>
      <c r="L20" s="186"/>
      <c r="M20" s="186"/>
      <c r="N20" s="90"/>
      <c r="O20" s="90"/>
      <c r="P20" s="90"/>
      <c r="Q20" s="90"/>
      <c r="R20" s="90"/>
      <c r="S20" s="90"/>
      <c r="T20" s="85"/>
      <c r="U20" s="86"/>
      <c r="V20" s="86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5"/>
      <c r="J21" s="185"/>
      <c r="K21" s="186"/>
      <c r="L21" s="186"/>
      <c r="M21" s="186"/>
      <c r="N21" s="90"/>
      <c r="O21" s="90"/>
      <c r="P21" s="90"/>
      <c r="Q21" s="90"/>
      <c r="R21" s="90"/>
      <c r="S21" s="90"/>
      <c r="T21" s="85"/>
      <c r="U21" s="86"/>
      <c r="V21" s="86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5"/>
      <c r="J22" s="185"/>
      <c r="K22" s="186"/>
      <c r="L22" s="186"/>
      <c r="M22" s="186"/>
      <c r="N22" s="90"/>
      <c r="O22" s="90"/>
      <c r="P22" s="90"/>
      <c r="Q22" s="90"/>
      <c r="R22" s="90"/>
      <c r="S22" s="90"/>
      <c r="T22" s="85"/>
      <c r="U22" s="86"/>
      <c r="V22" s="86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5"/>
      <c r="J23" s="185"/>
      <c r="K23" s="186"/>
      <c r="L23" s="186"/>
      <c r="M23" s="186"/>
      <c r="N23" s="90"/>
      <c r="O23" s="90"/>
      <c r="P23" s="90"/>
      <c r="Q23" s="90"/>
      <c r="R23" s="90"/>
      <c r="S23" s="90"/>
      <c r="T23" s="85"/>
      <c r="U23" s="86"/>
      <c r="V23" s="86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5"/>
      <c r="J24" s="185"/>
      <c r="K24" s="186"/>
      <c r="L24" s="186"/>
      <c r="M24" s="186"/>
      <c r="N24" s="90"/>
      <c r="O24" s="90"/>
      <c r="P24" s="90"/>
      <c r="Q24" s="90"/>
      <c r="R24" s="90"/>
      <c r="S24" s="90"/>
      <c r="T24" s="85"/>
      <c r="U24" s="86"/>
      <c r="V24" s="86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5"/>
      <c r="J25" s="185"/>
      <c r="K25" s="186"/>
      <c r="L25" s="186"/>
      <c r="M25" s="186"/>
      <c r="N25" s="90"/>
      <c r="O25" s="90"/>
      <c r="P25" s="90"/>
      <c r="Q25" s="90"/>
      <c r="R25" s="90"/>
      <c r="S25" s="90"/>
      <c r="T25" s="85"/>
      <c r="U25" s="86"/>
      <c r="V25" s="86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90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5"/>
      <c r="J26" s="185"/>
      <c r="K26" s="186"/>
      <c r="L26" s="186"/>
      <c r="M26" s="186"/>
      <c r="N26" s="90"/>
      <c r="O26" s="90"/>
      <c r="P26" s="90"/>
      <c r="Q26" s="90"/>
      <c r="R26" s="90"/>
      <c r="S26" s="90"/>
      <c r="T26" s="85"/>
      <c r="U26" s="86"/>
      <c r="V26" s="86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5"/>
      <c r="J27" s="185"/>
      <c r="K27" s="186"/>
      <c r="L27" s="186"/>
      <c r="M27" s="186"/>
      <c r="N27" s="90"/>
      <c r="O27" s="90"/>
      <c r="P27" s="90"/>
      <c r="Q27" s="90"/>
      <c r="R27" s="90"/>
      <c r="S27" s="90"/>
      <c r="T27" s="85"/>
      <c r="U27" s="86"/>
      <c r="V27" s="86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5"/>
      <c r="J28" s="185"/>
      <c r="K28" s="186"/>
      <c r="L28" s="186"/>
      <c r="M28" s="186"/>
      <c r="N28" s="90"/>
      <c r="O28" s="90"/>
      <c r="P28" s="90"/>
      <c r="Q28" s="90"/>
      <c r="R28" s="90"/>
      <c r="S28" s="90"/>
      <c r="T28" s="85"/>
      <c r="U28" s="86"/>
      <c r="V28" s="86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5"/>
      <c r="J29" s="185"/>
      <c r="K29" s="186"/>
      <c r="L29" s="186"/>
      <c r="M29" s="186"/>
      <c r="N29" s="90"/>
      <c r="O29" s="90"/>
      <c r="P29" s="90"/>
      <c r="Q29" s="90"/>
      <c r="R29" s="90"/>
      <c r="S29" s="90"/>
      <c r="T29" s="85"/>
      <c r="U29" s="86"/>
      <c r="V29" s="86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5"/>
      <c r="J30" s="185"/>
      <c r="K30" s="186"/>
      <c r="L30" s="186"/>
      <c r="M30" s="186"/>
      <c r="N30" s="90"/>
      <c r="O30" s="90"/>
      <c r="P30" s="90"/>
      <c r="Q30" s="90"/>
      <c r="R30" s="90"/>
      <c r="S30" s="90"/>
      <c r="T30" s="85"/>
      <c r="U30" s="86"/>
      <c r="V30" s="86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5"/>
      <c r="J31" s="185"/>
      <c r="K31" s="186"/>
      <c r="L31" s="186"/>
      <c r="M31" s="186"/>
      <c r="N31" s="90"/>
      <c r="O31" s="90"/>
      <c r="P31" s="90"/>
      <c r="Q31" s="90"/>
      <c r="R31" s="90"/>
      <c r="S31" s="90"/>
      <c r="T31" s="85"/>
      <c r="U31" s="86"/>
      <c r="V31" s="86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5"/>
      <c r="J32" s="185"/>
      <c r="K32" s="186"/>
      <c r="L32" s="186"/>
      <c r="M32" s="186"/>
      <c r="N32" s="90"/>
      <c r="O32" s="90"/>
      <c r="P32" s="90"/>
      <c r="Q32" s="90"/>
      <c r="R32" s="90"/>
      <c r="S32" s="90"/>
      <c r="T32" s="85"/>
      <c r="U32" s="86"/>
      <c r="V32" s="86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2"/>
    </row>
    <row r="33" spans="1:120" ht="12.75" customHeight="1">
      <c r="A33" s="2"/>
      <c r="B33" s="2"/>
      <c r="C33" s="2"/>
      <c r="D33" s="2"/>
      <c r="E33" s="2"/>
      <c r="F33" s="2"/>
      <c r="G33" s="2"/>
      <c r="H33" s="2"/>
      <c r="I33" s="185"/>
      <c r="J33" s="185"/>
      <c r="K33" s="186"/>
      <c r="L33" s="186"/>
      <c r="M33" s="186"/>
      <c r="N33" s="90"/>
      <c r="O33" s="90"/>
      <c r="P33" s="90"/>
      <c r="Q33" s="90"/>
      <c r="R33" s="90"/>
      <c r="S33" s="90"/>
      <c r="T33" s="85"/>
      <c r="U33" s="86"/>
      <c r="V33" s="86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5"/>
      <c r="J34" s="185"/>
      <c r="K34" s="186"/>
      <c r="L34" s="186"/>
      <c r="M34" s="186"/>
      <c r="N34" s="90"/>
      <c r="O34" s="90"/>
      <c r="P34" s="90"/>
      <c r="Q34" s="90"/>
      <c r="R34" s="90"/>
      <c r="S34" s="90"/>
      <c r="T34" s="85"/>
      <c r="U34" s="86"/>
      <c r="V34" s="86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5"/>
      <c r="J35" s="185"/>
      <c r="K35" s="186"/>
      <c r="L35" s="186"/>
      <c r="M35" s="186"/>
      <c r="N35" s="90"/>
      <c r="O35" s="90"/>
      <c r="P35" s="90"/>
      <c r="Q35" s="90"/>
      <c r="R35" s="90"/>
      <c r="S35" s="90"/>
      <c r="T35" s="85"/>
      <c r="U35" s="86"/>
      <c r="V35" s="86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5"/>
      <c r="J36" s="185"/>
      <c r="K36" s="186"/>
      <c r="L36" s="186"/>
      <c r="M36" s="186"/>
      <c r="N36" s="90"/>
      <c r="O36" s="90"/>
      <c r="P36" s="90"/>
      <c r="Q36" s="90"/>
      <c r="R36" s="90"/>
      <c r="S36" s="90"/>
      <c r="T36" s="85"/>
      <c r="U36" s="86"/>
      <c r="V36" s="86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90"/>
      <c r="AW36" s="90"/>
      <c r="AX36" s="90"/>
      <c r="AY36" s="90"/>
      <c r="AZ36" s="90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5"/>
      <c r="J37" s="185"/>
      <c r="K37" s="186"/>
      <c r="L37" s="186"/>
      <c r="M37" s="186"/>
      <c r="N37" s="90"/>
      <c r="O37" s="90"/>
      <c r="P37" s="90"/>
      <c r="Q37" s="90"/>
      <c r="R37" s="90"/>
      <c r="S37" s="90"/>
      <c r="T37" s="85"/>
      <c r="U37" s="86"/>
      <c r="V37" s="86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5"/>
      <c r="J38" s="185"/>
      <c r="K38" s="186"/>
      <c r="L38" s="186"/>
      <c r="M38" s="186"/>
      <c r="N38" s="90"/>
      <c r="O38" s="90"/>
      <c r="P38" s="90"/>
      <c r="Q38" s="90"/>
      <c r="R38" s="90"/>
      <c r="S38" s="90"/>
      <c r="T38" s="85"/>
      <c r="U38" s="86"/>
      <c r="V38" s="86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  <c r="AZ38" s="90"/>
      <c r="BA38" s="90"/>
      <c r="BB38" s="90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5"/>
      <c r="J39" s="185"/>
      <c r="K39" s="186"/>
      <c r="L39" s="186"/>
      <c r="M39" s="186"/>
      <c r="N39" s="90"/>
      <c r="O39" s="90"/>
      <c r="P39" s="90"/>
      <c r="Q39" s="90"/>
      <c r="R39" s="90"/>
      <c r="S39" s="90"/>
      <c r="T39" s="85"/>
      <c r="U39" s="86"/>
      <c r="V39" s="86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90"/>
      <c r="AU39" s="90"/>
      <c r="AV39" s="90"/>
      <c r="AW39" s="90"/>
      <c r="AX39" s="90"/>
      <c r="AY39" s="90"/>
      <c r="AZ39" s="90"/>
      <c r="BA39" s="90"/>
      <c r="BB39" s="90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5"/>
      <c r="J40" s="185"/>
      <c r="K40" s="186"/>
      <c r="L40" s="186"/>
      <c r="M40" s="186"/>
      <c r="N40" s="90"/>
      <c r="O40" s="90"/>
      <c r="P40" s="90"/>
      <c r="Q40" s="90"/>
      <c r="R40" s="90"/>
      <c r="S40" s="90"/>
      <c r="T40" s="85"/>
      <c r="U40" s="86"/>
      <c r="V40" s="86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  <c r="AY40" s="90"/>
      <c r="AZ40" s="90"/>
      <c r="BA40" s="90"/>
      <c r="BB40" s="90"/>
      <c r="BC40" s="90"/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5"/>
      <c r="J41" s="185"/>
      <c r="K41" s="186"/>
      <c r="L41" s="186"/>
      <c r="M41" s="186"/>
      <c r="N41" s="90"/>
      <c r="O41" s="90"/>
      <c r="P41" s="90"/>
      <c r="Q41" s="90"/>
      <c r="R41" s="90"/>
      <c r="S41" s="90"/>
      <c r="T41" s="85"/>
      <c r="U41" s="86"/>
      <c r="V41" s="86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2"/>
    </row>
    <row r="42" spans="1:120" ht="12.75" customHeight="1">
      <c r="A42" s="2"/>
      <c r="B42" s="2"/>
      <c r="C42" s="2"/>
      <c r="D42" s="2"/>
      <c r="E42" s="2"/>
      <c r="F42" s="2"/>
      <c r="G42" s="2"/>
      <c r="H42" s="2"/>
      <c r="I42" s="185"/>
      <c r="J42" s="185"/>
      <c r="K42" s="186"/>
      <c r="L42" s="186"/>
      <c r="M42" s="186"/>
      <c r="N42" s="90"/>
      <c r="O42" s="90"/>
      <c r="P42" s="90"/>
      <c r="Q42" s="90"/>
      <c r="R42" s="90"/>
      <c r="S42" s="90"/>
      <c r="T42" s="85"/>
      <c r="U42" s="86"/>
      <c r="V42" s="86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5"/>
      <c r="J43" s="185"/>
      <c r="K43" s="186"/>
      <c r="L43" s="186"/>
      <c r="M43" s="186"/>
      <c r="N43" s="90"/>
      <c r="O43" s="90"/>
      <c r="P43" s="90"/>
      <c r="Q43" s="90"/>
      <c r="R43" s="90"/>
      <c r="S43" s="90"/>
      <c r="T43" s="85"/>
      <c r="U43" s="86"/>
      <c r="V43" s="86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95"/>
      <c r="J44" s="95" t="s">
        <v>472</v>
      </c>
      <c r="K44" s="95" t="s">
        <v>1189</v>
      </c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/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2"/>
    </row>
    <row r="45" spans="1:120" ht="13.5" customHeight="1">
      <c r="A45" s="2"/>
      <c r="B45" s="2"/>
      <c r="C45" s="2"/>
      <c r="D45" s="2"/>
      <c r="E45" s="2"/>
      <c r="F45" s="2"/>
      <c r="G45" s="2"/>
      <c r="H45" s="2"/>
      <c r="I45" s="97" t="s">
        <v>7</v>
      </c>
      <c r="J45" s="97" t="s">
        <v>733</v>
      </c>
      <c r="K45" s="97" t="s">
        <v>1190</v>
      </c>
      <c r="L45" s="97"/>
      <c r="M45" s="97"/>
      <c r="N45" s="97"/>
      <c r="O45" s="97"/>
      <c r="P45" s="97"/>
      <c r="Q45" s="97"/>
      <c r="R45" s="97"/>
      <c r="S45" s="97"/>
      <c r="T45" s="97"/>
      <c r="U45" s="234"/>
      <c r="V45" s="234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7"/>
      <c r="DB45" s="97"/>
      <c r="DC45" s="97"/>
      <c r="DD45" s="97"/>
      <c r="DE45" s="97"/>
      <c r="DF45" s="97"/>
      <c r="DG45" s="97"/>
      <c r="DH45" s="97"/>
      <c r="DI45" s="97"/>
      <c r="DJ45" s="97"/>
      <c r="DK45" s="97"/>
      <c r="DL45" s="97"/>
      <c r="DM45" s="97"/>
      <c r="DN45" s="97"/>
      <c r="DO45" s="97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5" t="s">
        <v>48</v>
      </c>
      <c r="J46" s="185" t="s">
        <v>734</v>
      </c>
      <c r="K46" s="89">
        <v>10</v>
      </c>
      <c r="L46" s="89">
        <v>-2</v>
      </c>
      <c r="M46" s="89">
        <v>10</v>
      </c>
      <c r="N46" s="90"/>
      <c r="O46" s="90"/>
      <c r="P46" s="90"/>
      <c r="Q46" s="90"/>
      <c r="R46" s="90"/>
      <c r="S46" s="90"/>
      <c r="T46" s="98" t="s">
        <v>185</v>
      </c>
      <c r="U46" s="88" t="s">
        <v>371</v>
      </c>
      <c r="V46" s="88">
        <v>10</v>
      </c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89" t="s">
        <v>88</v>
      </c>
      <c r="AO46" s="90"/>
      <c r="AP46" s="89" t="s">
        <v>88</v>
      </c>
      <c r="AQ46" s="90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1">
        <v>7</v>
      </c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1">
        <v>0</v>
      </c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1">
        <v>1</v>
      </c>
      <c r="DH46" s="91">
        <v>1</v>
      </c>
      <c r="DI46" s="91">
        <v>1</v>
      </c>
      <c r="DJ46" s="91">
        <v>1</v>
      </c>
      <c r="DK46" s="90"/>
      <c r="DL46" s="90"/>
      <c r="DM46" s="90"/>
      <c r="DN46" s="90"/>
      <c r="DO46" s="90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5" t="s">
        <v>536</v>
      </c>
      <c r="J47" s="185" t="s">
        <v>735</v>
      </c>
      <c r="K47" s="186">
        <f>K46</f>
        <v>10</v>
      </c>
      <c r="L47" s="186">
        <f>L46</f>
        <v>-2</v>
      </c>
      <c r="M47" s="186">
        <f>M46</f>
        <v>10</v>
      </c>
      <c r="N47" s="90"/>
      <c r="O47" s="90"/>
      <c r="P47" s="90"/>
      <c r="Q47" s="90"/>
      <c r="R47" s="90"/>
      <c r="S47" s="90"/>
      <c r="T47" s="98" t="str">
        <f>BatChllrTgtRpm</f>
        <v>VCU_BatChllrTgtRpm</v>
      </c>
      <c r="U47" s="89">
        <v>1000</v>
      </c>
      <c r="V47" s="88">
        <v>10</v>
      </c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  <c r="AN47" s="89" t="s">
        <v>88</v>
      </c>
      <c r="AO47" s="90"/>
      <c r="AP47" s="89">
        <f>U47</f>
        <v>1000</v>
      </c>
      <c r="AQ47" s="90"/>
      <c r="AR47" s="90"/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C47" s="90"/>
      <c r="BD47" s="90"/>
      <c r="BE47" s="90"/>
      <c r="BF47" s="90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89" t="s">
        <v>1177</v>
      </c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1">
        <v>2</v>
      </c>
      <c r="DH47" s="91">
        <v>1</v>
      </c>
      <c r="DI47" s="91">
        <v>2</v>
      </c>
      <c r="DJ47" s="91">
        <v>1</v>
      </c>
      <c r="DK47" s="90"/>
      <c r="DL47" s="90"/>
      <c r="DM47" s="90"/>
      <c r="DN47" s="90"/>
      <c r="DO47" s="90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5" t="s">
        <v>536</v>
      </c>
      <c r="J48" s="185" t="s">
        <v>1191</v>
      </c>
      <c r="K48" s="186">
        <f>K47</f>
        <v>10</v>
      </c>
      <c r="L48" s="186">
        <f>L47</f>
        <v>-2</v>
      </c>
      <c r="M48" s="186">
        <f>M47</f>
        <v>10</v>
      </c>
      <c r="N48" s="90"/>
      <c r="O48" s="90"/>
      <c r="P48" s="90"/>
      <c r="Q48" s="90"/>
      <c r="R48" s="90"/>
      <c r="S48" s="90"/>
      <c r="T48" s="98" t="str">
        <f>BatChllrTgtRpm</f>
        <v>VCU_BatChllrTgtRpm</v>
      </c>
      <c r="U48" s="89">
        <v>0</v>
      </c>
      <c r="V48" s="88">
        <v>10</v>
      </c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89" t="s">
        <v>88</v>
      </c>
      <c r="AO48" s="90"/>
      <c r="AP48" s="89" t="s">
        <v>88</v>
      </c>
      <c r="AQ48" s="90"/>
      <c r="AR48" s="90"/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C48" s="90"/>
      <c r="BD48" s="90"/>
      <c r="BE48" s="90"/>
      <c r="BF48" s="90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1">
        <v>0</v>
      </c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1">
        <v>1</v>
      </c>
      <c r="DH48" s="91">
        <v>1</v>
      </c>
      <c r="DI48" s="91">
        <v>1</v>
      </c>
      <c r="DJ48" s="91">
        <v>1</v>
      </c>
      <c r="DK48" s="90"/>
      <c r="DL48" s="90"/>
      <c r="DM48" s="90"/>
      <c r="DN48" s="90"/>
      <c r="DO48" s="90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49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5"/>
      <c r="CC49" s="95"/>
      <c r="CD49" s="95"/>
      <c r="CE49" s="95"/>
      <c r="CF49" s="95"/>
      <c r="CG49" s="95"/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40"/>
      <c r="V50" s="40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40"/>
      <c r="V51" s="40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40"/>
      <c r="V52" s="40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40"/>
      <c r="V53" s="40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40"/>
      <c r="V54" s="40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40"/>
      <c r="V55" s="40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40"/>
      <c r="V56" s="40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40"/>
      <c r="V57" s="40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40"/>
      <c r="V58" s="40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40"/>
      <c r="V59" s="40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</row>
    <row r="60" spans="1:120" ht="12.75" customHeight="1">
      <c r="A60" s="2"/>
      <c r="B60" s="2"/>
      <c r="C60" s="4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40"/>
      <c r="V60" s="40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40"/>
      <c r="V61" s="40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40"/>
      <c r="V62" s="40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40"/>
      <c r="V63" s="40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40"/>
      <c r="V64" s="40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40"/>
      <c r="V65" s="40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40"/>
      <c r="V66" s="40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</row>
    <row r="67" spans="1:120" ht="12.75" customHeight="1">
      <c r="A67" s="2"/>
      <c r="B67" s="2"/>
      <c r="C67" s="4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40"/>
      <c r="V67" s="40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40"/>
      <c r="V68" s="40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40"/>
      <c r="V69" s="40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40"/>
      <c r="V70" s="40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40"/>
      <c r="V71" s="40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</row>
    <row r="72" spans="1:120" ht="12.75" customHeight="1">
      <c r="A72" s="2"/>
      <c r="B72" s="2"/>
      <c r="C72" s="4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40"/>
      <c r="V72" s="40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40"/>
      <c r="V73" s="40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40"/>
      <c r="V74" s="40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40"/>
      <c r="V75" s="40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40"/>
      <c r="V76" s="40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</row>
    <row r="77" spans="1:120" ht="12.75" customHeight="1">
      <c r="A77" s="2"/>
      <c r="B77" s="2"/>
      <c r="C77" s="4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40"/>
      <c r="V77" s="40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37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bestFit="1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0" hidden="1" customWidth="1"/>
    <col min="9" max="9" width="10.5703125" customWidth="1"/>
    <col min="10" max="10" width="10.7109375" customWidth="1"/>
    <col min="11" max="11" width="7.7109375" bestFit="1" customWidth="1"/>
    <col min="12" max="12" width="31" customWidth="1"/>
  </cols>
  <sheetData>
    <row r="1" spans="1:12" ht="42.75" customHeight="1">
      <c r="A1" s="228" t="s">
        <v>310</v>
      </c>
      <c r="B1" s="228" t="s">
        <v>23</v>
      </c>
      <c r="C1" s="228" t="s">
        <v>91</v>
      </c>
      <c r="D1" s="228" t="s">
        <v>24</v>
      </c>
      <c r="E1" s="228" t="s">
        <v>25</v>
      </c>
      <c r="F1" s="229" t="s">
        <v>26</v>
      </c>
      <c r="G1" s="228" t="s">
        <v>27</v>
      </c>
      <c r="H1" s="228" t="s">
        <v>92</v>
      </c>
      <c r="I1" s="228" t="s">
        <v>28</v>
      </c>
      <c r="J1" s="228" t="s">
        <v>29</v>
      </c>
      <c r="K1" s="228" t="s">
        <v>30</v>
      </c>
      <c r="L1" s="228" t="s">
        <v>90</v>
      </c>
    </row>
    <row r="2" spans="1:12" ht="15" customHeight="1">
      <c r="A2" s="64">
        <v>1</v>
      </c>
      <c r="B2" s="38" t="s">
        <v>788</v>
      </c>
      <c r="C2" s="38" t="s">
        <v>793</v>
      </c>
      <c r="D2" s="38" t="str">
        <f>VLOOKUP(B2,Tbl_Button_Display_ASSTS,2,FALSE)</f>
        <v>BAT. ON시 초기화 기능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141</v>
      </c>
      <c r="E3" s="36"/>
      <c r="F3" s="79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122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7">
        <v>1</v>
      </c>
      <c r="B5" s="7"/>
      <c r="C5" s="7"/>
      <c r="D5" s="7" t="s">
        <v>98</v>
      </c>
      <c r="E5" s="7" t="s">
        <v>133</v>
      </c>
      <c r="F5" s="9">
        <v>14</v>
      </c>
      <c r="G5" s="171" t="s">
        <v>1162</v>
      </c>
      <c r="H5" s="7"/>
      <c r="I5" s="7"/>
      <c r="J5" s="7"/>
      <c r="K5" s="7"/>
      <c r="L5" s="7"/>
    </row>
    <row r="6" spans="1:12" ht="14.25" customHeight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customHeight="1" outlineLevel="2">
      <c r="A7" s="67">
        <v>1</v>
      </c>
      <c r="B7" s="7"/>
      <c r="C7" s="7"/>
      <c r="D7" s="7" t="s">
        <v>123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customHeight="1" outlineLevel="2">
      <c r="A9" s="68">
        <v>1</v>
      </c>
      <c r="B9" s="10"/>
      <c r="C9" s="10"/>
      <c r="D9" s="10"/>
      <c r="E9" s="101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7">
        <v>1</v>
      </c>
      <c r="B10" s="7"/>
      <c r="C10" s="7"/>
      <c r="D10" s="7"/>
      <c r="E10" s="7" t="e">
        <f>AirconPressureSensorValue</f>
        <v>#NAME?</v>
      </c>
      <c r="F10" s="9">
        <v>150</v>
      </c>
      <c r="G10" s="7"/>
      <c r="H10" s="7"/>
      <c r="I10" s="7"/>
      <c r="J10" s="7"/>
      <c r="K10" s="7"/>
      <c r="L10" s="7"/>
    </row>
    <row r="11" spans="1:12" ht="14.25" customHeight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customHeight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customHeight="1" outlineLevel="2">
      <c r="A13" s="67">
        <v>1</v>
      </c>
      <c r="B13" s="7"/>
      <c r="C13" s="7"/>
      <c r="D13" s="7"/>
      <c r="E13" s="7" t="s">
        <v>101</v>
      </c>
      <c r="F13" s="9">
        <v>1</v>
      </c>
      <c r="G13" s="7"/>
      <c r="H13" s="7"/>
      <c r="I13" s="7"/>
      <c r="J13" s="7"/>
      <c r="K13" s="7"/>
      <c r="L13" s="7"/>
    </row>
    <row r="14" spans="1:12" ht="14.25" customHeight="1" outlineLevel="2">
      <c r="A14" s="67">
        <v>1</v>
      </c>
      <c r="B14" s="7"/>
      <c r="C14" s="7"/>
      <c r="D14" s="28" t="s">
        <v>1163</v>
      </c>
      <c r="E14" s="7" t="s">
        <v>107</v>
      </c>
      <c r="F14" s="9">
        <v>35</v>
      </c>
      <c r="G14" s="28"/>
      <c r="H14" s="7"/>
      <c r="I14" s="7"/>
      <c r="J14" s="7"/>
      <c r="K14" s="7"/>
      <c r="L14" s="7"/>
    </row>
    <row r="15" spans="1:12" ht="14.25" customHeight="1" outlineLevel="2">
      <c r="A15" s="67">
        <v>1</v>
      </c>
      <c r="B15" s="7"/>
      <c r="C15" s="7"/>
      <c r="D15" s="28" t="s">
        <v>1164</v>
      </c>
      <c r="E15" s="28" t="s">
        <v>137</v>
      </c>
      <c r="F15" s="9">
        <v>35</v>
      </c>
      <c r="G15" s="7"/>
      <c r="H15" s="7"/>
      <c r="I15" s="7"/>
      <c r="J15" s="7"/>
      <c r="K15" s="7"/>
      <c r="L15" s="7"/>
    </row>
    <row r="16" spans="1:12" ht="14.25" customHeight="1" outlineLevel="2">
      <c r="A16" s="67">
        <v>1</v>
      </c>
      <c r="B16" s="7"/>
      <c r="C16" s="7"/>
      <c r="D16" s="28"/>
      <c r="E16" s="28" t="s">
        <v>138</v>
      </c>
      <c r="F16" s="9">
        <v>35</v>
      </c>
      <c r="G16" s="7"/>
      <c r="H16" s="7"/>
      <c r="I16" s="7"/>
      <c r="J16" s="7"/>
      <c r="K16" s="7"/>
      <c r="L16" s="7"/>
    </row>
    <row r="17" spans="1:12" ht="14.25" customHeight="1" outlineLevel="2">
      <c r="A17" s="67">
        <v>1</v>
      </c>
      <c r="B17" s="7"/>
      <c r="C17" s="7"/>
      <c r="D17" s="28"/>
      <c r="E17" s="28" t="s">
        <v>135</v>
      </c>
      <c r="F17" s="9">
        <v>35</v>
      </c>
      <c r="G17" s="7"/>
      <c r="H17" s="7"/>
      <c r="I17" s="7"/>
      <c r="J17" s="7"/>
      <c r="K17" s="7"/>
      <c r="L17" s="7"/>
    </row>
    <row r="18" spans="1:12" ht="14.25" customHeight="1" outlineLevel="2">
      <c r="A18" s="67">
        <v>1</v>
      </c>
      <c r="B18" s="7"/>
      <c r="C18" s="7"/>
      <c r="D18" s="28"/>
      <c r="E18" s="28" t="s">
        <v>136</v>
      </c>
      <c r="F18" s="9">
        <v>35</v>
      </c>
      <c r="G18" s="7"/>
      <c r="H18" s="7"/>
      <c r="I18" s="7"/>
      <c r="J18" s="7"/>
      <c r="K18" s="7"/>
      <c r="L18" s="7"/>
    </row>
    <row r="19" spans="1:12" ht="14.25" customHeight="1" outlineLevel="2">
      <c r="A19" s="67">
        <v>1</v>
      </c>
      <c r="B19" s="7"/>
      <c r="C19" s="7"/>
      <c r="D19" s="28" t="s">
        <v>1165</v>
      </c>
      <c r="E19" s="7" t="s">
        <v>108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customHeight="1" outlineLevel="2">
      <c r="A20" s="67">
        <v>1</v>
      </c>
      <c r="B20" s="7"/>
      <c r="C20" s="7"/>
      <c r="D20" s="7" t="s">
        <v>124</v>
      </c>
      <c r="E20" s="7"/>
      <c r="F20" s="7"/>
      <c r="G20" s="7"/>
      <c r="H20" s="7"/>
      <c r="I20" s="7"/>
      <c r="J20" s="7"/>
      <c r="K20" s="7"/>
      <c r="L20" s="7"/>
    </row>
    <row r="21" spans="1:12" ht="14.25" customHeight="1" outlineLevel="2">
      <c r="A21" s="67">
        <v>1</v>
      </c>
      <c r="B21" s="7"/>
      <c r="C21" s="7"/>
      <c r="D21" s="28" t="s">
        <v>125</v>
      </c>
      <c r="E21" s="28" t="s">
        <v>126</v>
      </c>
      <c r="F21" s="9">
        <v>1</v>
      </c>
      <c r="G21" s="28" t="s">
        <v>1166</v>
      </c>
      <c r="H21" s="7"/>
      <c r="I21" s="7"/>
      <c r="J21" s="7"/>
      <c r="K21" s="7"/>
      <c r="L21" s="7"/>
    </row>
    <row r="22" spans="1:12" ht="14.25" customHeight="1" outlineLevel="2">
      <c r="A22" s="67">
        <v>1</v>
      </c>
      <c r="B22" s="7"/>
      <c r="C22" s="7"/>
      <c r="D22" s="28" t="s">
        <v>776</v>
      </c>
      <c r="E22" s="28" t="s">
        <v>775</v>
      </c>
      <c r="F22" s="9">
        <v>2000</v>
      </c>
      <c r="G22" s="28" t="s">
        <v>777</v>
      </c>
      <c r="H22" s="7"/>
      <c r="I22" s="7"/>
      <c r="J22" s="7"/>
      <c r="K22" s="7"/>
      <c r="L22" s="7"/>
    </row>
    <row r="23" spans="1:12" ht="14.25" customHeight="1" outlineLevel="2">
      <c r="A23" s="67">
        <v>1</v>
      </c>
      <c r="B23" s="7"/>
      <c r="C23" s="7"/>
      <c r="D23" s="28" t="s">
        <v>125</v>
      </c>
      <c r="E23" s="28" t="s">
        <v>134</v>
      </c>
      <c r="F23" s="9">
        <v>4</v>
      </c>
      <c r="G23" s="28"/>
      <c r="H23" s="7"/>
      <c r="I23" s="7"/>
      <c r="J23" s="7"/>
      <c r="K23" s="7"/>
      <c r="L23" s="7"/>
    </row>
    <row r="24" spans="1:12" ht="14.25" customHeight="1" outlineLevel="2">
      <c r="A24" s="67">
        <v>1</v>
      </c>
      <c r="B24" s="7"/>
      <c r="C24" s="7"/>
      <c r="D24" s="7"/>
      <c r="E24" s="7" t="s">
        <v>104</v>
      </c>
      <c r="F24" s="9">
        <v>5000</v>
      </c>
      <c r="G24" s="7"/>
      <c r="H24" s="7"/>
      <c r="I24" s="7"/>
      <c r="J24" s="7"/>
      <c r="K24" s="7"/>
      <c r="L24" s="7"/>
    </row>
    <row r="25" spans="1:12" ht="14.25" customHeight="1" outlineLevel="2">
      <c r="A25" s="67">
        <v>1</v>
      </c>
      <c r="B25" s="7"/>
      <c r="C25" s="7"/>
      <c r="D25" s="7"/>
      <c r="E25" s="7" t="s">
        <v>102</v>
      </c>
      <c r="F25" s="9">
        <v>2000</v>
      </c>
      <c r="G25" s="7"/>
      <c r="H25" s="7"/>
      <c r="I25" s="7"/>
      <c r="J25" s="7"/>
      <c r="K25" s="7"/>
      <c r="L25" s="7"/>
    </row>
    <row r="26" spans="1:12" ht="14.25" customHeight="1" outlineLevel="2">
      <c r="A26" s="67">
        <v>1</v>
      </c>
      <c r="B26" s="7"/>
      <c r="C26" s="7"/>
      <c r="D26" s="7"/>
      <c r="E26" s="7" t="s">
        <v>103</v>
      </c>
      <c r="F26" s="9">
        <v>1</v>
      </c>
      <c r="G26" s="7"/>
      <c r="H26" s="7"/>
      <c r="I26" s="7"/>
      <c r="J26" s="7"/>
      <c r="K26" s="7"/>
      <c r="L26" s="7"/>
    </row>
    <row r="27" spans="1:12" ht="14.25" customHeight="1" outlineLevel="2">
      <c r="A27" s="67">
        <v>1</v>
      </c>
      <c r="B27" s="7"/>
      <c r="C27" s="7"/>
      <c r="D27" s="7"/>
      <c r="E27" s="7" t="s">
        <v>104</v>
      </c>
      <c r="F27" s="9">
        <v>5000</v>
      </c>
      <c r="G27" s="7"/>
      <c r="H27" s="7"/>
      <c r="I27" s="7"/>
      <c r="J27" s="7"/>
      <c r="K27" s="7"/>
      <c r="L27" s="7"/>
    </row>
    <row r="28" spans="1:12" ht="14.25" customHeight="1" outlineLevel="2">
      <c r="A28" s="68">
        <v>1</v>
      </c>
      <c r="B28" s="10"/>
      <c r="C28" s="10"/>
      <c r="D28" s="10"/>
      <c r="E28" s="28" t="str">
        <f>BatChllrTgtRpm</f>
        <v>VCU_BatChllrTgtRpm</v>
      </c>
      <c r="F28" s="9">
        <v>0</v>
      </c>
      <c r="G28" s="10"/>
      <c r="H28" s="10"/>
      <c r="I28" s="10"/>
      <c r="J28" s="14"/>
      <c r="K28" s="10"/>
      <c r="L28" s="10"/>
    </row>
    <row r="29" spans="1:12" ht="14.25" customHeight="1" outlineLevel="2">
      <c r="A29" s="68">
        <v>1</v>
      </c>
      <c r="B29" s="10"/>
      <c r="C29" s="10"/>
      <c r="D29" s="10"/>
      <c r="E29" s="28" t="str">
        <f>BatEwpFltSta</f>
        <v>VCU_BatEwpFltSta</v>
      </c>
      <c r="F29" s="9">
        <v>0</v>
      </c>
      <c r="G29" s="10"/>
      <c r="H29" s="10"/>
      <c r="I29" s="10"/>
      <c r="J29" s="14"/>
      <c r="K29" s="10"/>
      <c r="L29" s="10"/>
    </row>
    <row r="30" spans="1:12" ht="14.25" customHeight="1" outlineLevel="2">
      <c r="A30" s="68">
        <v>1</v>
      </c>
      <c r="B30" s="10"/>
      <c r="C30" s="10"/>
      <c r="D30" s="10"/>
      <c r="E30" s="28" t="str">
        <f>LtrEwpFltSt</f>
        <v>VCU_LtrEwpFltSt</v>
      </c>
      <c r="F30" s="9">
        <v>0</v>
      </c>
      <c r="G30" s="10"/>
      <c r="H30" s="10"/>
      <c r="I30" s="10"/>
      <c r="J30" s="14"/>
      <c r="K30" s="10"/>
      <c r="L30" s="10"/>
    </row>
    <row r="31" spans="1:12" ht="14.25" customHeight="1" outlineLevel="2">
      <c r="A31" s="68">
        <v>1</v>
      </c>
      <c r="B31" s="10"/>
      <c r="C31" s="10"/>
      <c r="D31" s="10"/>
      <c r="E31" s="28" t="str">
        <f>PtcOprPrm</f>
        <v>CF_Fcu_PtcOprPrm</v>
      </c>
      <c r="F31" s="9">
        <v>1</v>
      </c>
      <c r="G31" s="10"/>
      <c r="H31" s="10"/>
      <c r="I31" s="10"/>
      <c r="J31" s="14"/>
      <c r="K31" s="10"/>
      <c r="L31" s="10"/>
    </row>
    <row r="32" spans="1:12" ht="14.25" customHeight="1" outlineLevel="2">
      <c r="A32" s="68">
        <v>1</v>
      </c>
      <c r="B32" s="10"/>
      <c r="C32" s="10"/>
      <c r="D32" s="10"/>
      <c r="E32" s="28" t="str">
        <f>PtcPrmPwr_W</f>
        <v>CR_Fcu_PtcPrmPwr_W</v>
      </c>
      <c r="F32" s="9">
        <v>510</v>
      </c>
      <c r="G32" s="10"/>
      <c r="H32" s="10"/>
      <c r="I32" s="10"/>
      <c r="J32" s="14"/>
      <c r="K32" s="10"/>
      <c r="L32" s="10"/>
    </row>
    <row r="33" spans="1:12" ht="14.25" customHeight="1" outlineLevel="2">
      <c r="A33" s="68">
        <v>1</v>
      </c>
      <c r="B33" s="10"/>
      <c r="C33" s="10"/>
      <c r="D33" s="10"/>
      <c r="E33" s="28" t="str">
        <f>HVPP_CstPwrDr_W</f>
        <v>HVPP_CstPwrDr_W</v>
      </c>
      <c r="F33" s="9">
        <v>250</v>
      </c>
      <c r="G33" s="10"/>
      <c r="H33" s="10"/>
      <c r="I33" s="10"/>
      <c r="J33" s="14"/>
      <c r="K33" s="10"/>
      <c r="L33" s="10"/>
    </row>
    <row r="34" spans="1:12" ht="14.25" customHeight="1" outlineLevel="2">
      <c r="A34" s="68">
        <v>1</v>
      </c>
      <c r="B34" s="10"/>
      <c r="C34" s="10"/>
      <c r="D34" s="10"/>
      <c r="E34" s="28" t="str">
        <f>HVPP_CstPwrPs_W</f>
        <v>HVPP_CstPwrPs_W</v>
      </c>
      <c r="F34" s="9">
        <v>250</v>
      </c>
      <c r="G34" s="10"/>
      <c r="H34" s="10"/>
      <c r="I34" s="10"/>
      <c r="J34" s="14"/>
      <c r="K34" s="10"/>
      <c r="L34" s="10"/>
    </row>
    <row r="35" spans="1:12" ht="14.25" customHeight="1" outlineLevel="2">
      <c r="A35" s="67">
        <v>1</v>
      </c>
      <c r="B35" s="7"/>
      <c r="C35" s="7"/>
      <c r="D35" s="7" t="s">
        <v>36</v>
      </c>
      <c r="E35" s="7"/>
      <c r="F35" s="7"/>
      <c r="G35" s="7"/>
      <c r="H35" s="7"/>
      <c r="I35" s="7"/>
      <c r="J35" s="7"/>
      <c r="K35" s="7"/>
      <c r="L35" s="7"/>
    </row>
    <row r="36" spans="1:12" ht="14.25" customHeight="1" outlineLevel="2">
      <c r="A36" s="67">
        <v>1</v>
      </c>
      <c r="B36" s="7"/>
      <c r="C36" s="7"/>
      <c r="D36" s="7"/>
      <c r="E36" s="8" t="e">
        <f>Incar_IN</f>
        <v>#NAME?</v>
      </c>
      <c r="F36" s="63">
        <f>VINTERPOLATION(VLOOKUP(C4,Tbl_Button_Display_ASSTS,2,FALSE),Tbl_Incar_Sensor,3)</f>
        <v>3.3272756433630186</v>
      </c>
      <c r="G36" s="7"/>
      <c r="H36" s="7"/>
      <c r="I36" s="7"/>
      <c r="J36" s="7"/>
      <c r="K36" s="7"/>
      <c r="L36" s="7"/>
    </row>
    <row r="37" spans="1:12" ht="14.25" customHeight="1" outlineLevel="2">
      <c r="A37" s="67">
        <v>1</v>
      </c>
      <c r="B37" s="7"/>
      <c r="C37" s="7"/>
      <c r="D37" s="7"/>
      <c r="E37" s="8" t="e">
        <f>Amb_IN</f>
        <v>#NAME?</v>
      </c>
      <c r="F37" s="63">
        <f>VINTERPOLATION(VLOOKUP(C4,Tbl_Button_Display_ASSTS,3,FALSE),Tbl_Amb_Sensor,3)</f>
        <v>3.8892180094786726</v>
      </c>
      <c r="G37" s="28" t="s">
        <v>1167</v>
      </c>
      <c r="H37" s="7"/>
      <c r="I37" s="7"/>
      <c r="J37" s="7"/>
      <c r="K37" s="7"/>
      <c r="L37" s="7"/>
    </row>
    <row r="38" spans="1:12" ht="14.25" customHeight="1" outlineLevel="2">
      <c r="A38" s="67">
        <v>1</v>
      </c>
      <c r="B38" s="7"/>
      <c r="C38" s="7"/>
      <c r="D38" s="28" t="s">
        <v>1168</v>
      </c>
      <c r="E38" s="8" t="e">
        <f>EvaDr_IN</f>
        <v>#NAME?</v>
      </c>
      <c r="F38" s="63">
        <f>VINTERPOLATION(VLOOKUP(C4,Tbl_Button_Display_ASSTS,4,FALSE),Tbl_Eva_Sensor,3)</f>
        <v>1.8795506552943622</v>
      </c>
      <c r="G38" s="7"/>
      <c r="H38" s="7"/>
      <c r="I38" s="7"/>
      <c r="J38" s="7"/>
      <c r="K38" s="7"/>
      <c r="L38" s="7"/>
    </row>
    <row r="39" spans="1:12" ht="14.25" customHeight="1" outlineLevel="2">
      <c r="A39" s="67">
        <v>1</v>
      </c>
      <c r="B39" s="7"/>
      <c r="C39" s="7"/>
      <c r="D39" s="7"/>
      <c r="E39" s="8" t="e">
        <f>CionDiag_V</f>
        <v>#NAME?</v>
      </c>
      <c r="F39" s="9">
        <v>2.7</v>
      </c>
      <c r="G39" s="7"/>
      <c r="H39" s="7"/>
      <c r="I39" s="7"/>
      <c r="J39" s="7"/>
      <c r="K39" s="7"/>
      <c r="L39" s="7"/>
    </row>
    <row r="40" spans="1:12" ht="14.25" customHeight="1" outlineLevel="2">
      <c r="A40" s="67">
        <v>1</v>
      </c>
      <c r="B40" s="7"/>
      <c r="C40" s="7"/>
      <c r="D40" s="28" t="s">
        <v>1169</v>
      </c>
      <c r="E40" s="29" t="e">
        <f>Duct_ALL_V</f>
        <v>#NAME?</v>
      </c>
      <c r="F40" s="230">
        <f>VINTERPOLATION(VLOOKUP(C4,Tbl_Button_Display_ASSTS,9,FALSE),Tbl_Duct_Sensor,3)</f>
        <v>0.74548935050593534</v>
      </c>
      <c r="G40" s="7"/>
      <c r="H40" s="7"/>
      <c r="I40" s="7"/>
      <c r="J40" s="7"/>
      <c r="K40" s="7"/>
      <c r="L40" s="7"/>
    </row>
    <row r="41" spans="1:12" ht="14.25" customHeight="1" outlineLevel="2">
      <c r="A41" s="67">
        <v>1</v>
      </c>
      <c r="B41" s="7"/>
      <c r="C41" s="7"/>
      <c r="D41" s="7"/>
      <c r="E41" s="8" t="e">
        <f>Photo_L_V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customHeight="1" outlineLevel="2">
      <c r="A42" s="67">
        <v>1</v>
      </c>
      <c r="B42" s="7"/>
      <c r="C42" s="7"/>
      <c r="D42" s="7"/>
      <c r="E42" s="8" t="e">
        <f>Photo_R_V</f>
        <v>#NAME?</v>
      </c>
      <c r="F42" s="9">
        <v>0</v>
      </c>
      <c r="G42" s="7"/>
      <c r="H42" s="7"/>
      <c r="I42" s="7"/>
      <c r="J42" s="7"/>
      <c r="K42" s="7"/>
      <c r="L42" s="7"/>
    </row>
    <row r="43" spans="1:12" ht="14.25" customHeight="1" outlineLevel="2">
      <c r="A43" s="67">
        <v>1</v>
      </c>
      <c r="B43" s="7"/>
      <c r="C43" s="7"/>
      <c r="D43" s="10"/>
      <c r="E43" s="13" t="e">
        <f>T_windshield</f>
        <v>#NAME?</v>
      </c>
      <c r="F43" s="11">
        <v>30</v>
      </c>
      <c r="G43" s="28" t="s">
        <v>344</v>
      </c>
      <c r="H43" s="7"/>
      <c r="I43" s="7"/>
      <c r="J43" s="7"/>
      <c r="K43" s="7"/>
      <c r="L43" s="7"/>
    </row>
    <row r="44" spans="1:12" ht="14.25" customHeight="1" outlineLevel="1">
      <c r="A44" s="67">
        <v>1</v>
      </c>
      <c r="B44" s="7"/>
      <c r="C44" s="7"/>
      <c r="D44" s="28" t="s">
        <v>1170</v>
      </c>
      <c r="E44" s="28" t="s">
        <v>127</v>
      </c>
      <c r="F44" s="9">
        <v>35</v>
      </c>
      <c r="G44" s="28"/>
      <c r="H44" s="7"/>
      <c r="I44" s="7"/>
      <c r="J44" s="7"/>
      <c r="K44" s="7"/>
      <c r="L44" s="7"/>
    </row>
    <row r="45" spans="1:12" ht="14.25" customHeight="1" outlineLevel="2">
      <c r="A45" s="67">
        <v>1</v>
      </c>
      <c r="B45" s="7"/>
      <c r="C45" s="7"/>
      <c r="D45" s="28" t="s">
        <v>1170</v>
      </c>
      <c r="E45" s="28" t="s">
        <v>106</v>
      </c>
      <c r="F45" s="9">
        <v>35</v>
      </c>
      <c r="G45" s="7"/>
      <c r="H45" s="7"/>
      <c r="I45" s="7"/>
      <c r="J45" s="7"/>
      <c r="K45" s="7"/>
      <c r="L45" s="7"/>
    </row>
    <row r="46" spans="1:12" ht="14.25" customHeight="1" outlineLevel="2">
      <c r="A46" s="67">
        <v>1</v>
      </c>
      <c r="B46" s="7"/>
      <c r="C46" s="7"/>
      <c r="D46" s="28" t="s">
        <v>1171</v>
      </c>
      <c r="E46" s="29" t="str">
        <f>P_SIGNAL_COMP_OUT</f>
        <v>Snr_P SIGNAL_COMP OUT(PSI)_IN</v>
      </c>
      <c r="F46" s="9">
        <v>80</v>
      </c>
      <c r="G46" s="28" t="s">
        <v>1172</v>
      </c>
      <c r="H46" s="7"/>
      <c r="I46" s="7"/>
      <c r="J46" s="7"/>
      <c r="K46" s="7"/>
      <c r="L46" s="7"/>
    </row>
    <row r="47" spans="1:12" ht="14.25" customHeight="1" outlineLevel="2">
      <c r="A47" s="67">
        <v>1</v>
      </c>
      <c r="B47" s="7"/>
      <c r="C47" s="7"/>
      <c r="D47" s="28"/>
      <c r="E47" s="29" t="str">
        <f>T_SIGNAL_COMP_OUT</f>
        <v>Snr_T SIGNAL_COMP OUT(degC)_IN</v>
      </c>
      <c r="F47" s="9">
        <v>40</v>
      </c>
      <c r="G47" s="28" t="s">
        <v>1173</v>
      </c>
      <c r="H47" s="7"/>
      <c r="I47" s="7"/>
      <c r="J47" s="7"/>
      <c r="K47" s="7"/>
      <c r="L47" s="7"/>
    </row>
    <row r="48" spans="1:12" ht="14.25" customHeight="1" outlineLevel="2">
      <c r="A48" s="68">
        <v>1</v>
      </c>
      <c r="B48" s="10"/>
      <c r="C48" s="10"/>
      <c r="D48" s="28"/>
      <c r="E48" s="29" t="str">
        <f>P_SIGNAL_BCHILLER</f>
        <v>Snr_P SIGNAL_B/CHILLER(PSI)_IN</v>
      </c>
      <c r="F48" s="9">
        <v>40</v>
      </c>
      <c r="G48" s="7"/>
      <c r="H48" s="10"/>
      <c r="I48" s="10"/>
      <c r="J48" s="14"/>
      <c r="K48" s="10"/>
      <c r="L48" s="10"/>
    </row>
    <row r="49" spans="1:12" ht="14.25" customHeight="1" outlineLevel="2">
      <c r="A49" s="67">
        <v>1</v>
      </c>
      <c r="B49" s="7"/>
      <c r="C49" s="7"/>
      <c r="D49" s="28"/>
      <c r="E49" s="29" t="str">
        <f>T_SIGNAL_BCHILLER</f>
        <v>Snr_T SIGNAL_B/CHILLER(degC)_IN</v>
      </c>
      <c r="F49" s="9">
        <v>40</v>
      </c>
      <c r="G49" s="7"/>
      <c r="H49" s="7"/>
      <c r="I49" s="7"/>
      <c r="J49" s="7"/>
      <c r="K49" s="7"/>
      <c r="L49" s="7"/>
    </row>
    <row r="50" spans="1:12" ht="14.25" customHeight="1" outlineLevel="1">
      <c r="A50" s="67">
        <v>1</v>
      </c>
      <c r="B50" s="7"/>
      <c r="C50" s="7"/>
      <c r="D50" s="28"/>
      <c r="E50" s="29"/>
      <c r="F50" s="9"/>
      <c r="G50" s="7"/>
      <c r="H50" s="7"/>
      <c r="I50" s="7"/>
      <c r="J50" s="7"/>
      <c r="K50" s="7"/>
      <c r="L50" s="7"/>
    </row>
    <row r="51" spans="1:12" ht="15" customHeight="1" outlineLevel="2">
      <c r="A51" s="66">
        <v>1</v>
      </c>
      <c r="B51" s="5" t="s">
        <v>31</v>
      </c>
      <c r="C51" s="6" t="s">
        <v>34</v>
      </c>
      <c r="D51" s="6" t="s">
        <v>1174</v>
      </c>
      <c r="E51" s="5"/>
      <c r="F51" s="5"/>
      <c r="G51" s="5"/>
      <c r="H51" s="5"/>
      <c r="I51" s="5"/>
      <c r="J51" s="5"/>
      <c r="K51" s="5"/>
      <c r="L51" s="5"/>
    </row>
    <row r="52" spans="1:12" ht="14.25" customHeight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385</v>
      </c>
      <c r="H52" s="10"/>
      <c r="I52" s="7"/>
      <c r="J52" s="84"/>
      <c r="K52" s="10"/>
      <c r="L52" s="10"/>
    </row>
    <row r="53" spans="1:12" ht="14.25" customHeight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386</v>
      </c>
      <c r="H53" s="10"/>
      <c r="I53" s="7"/>
      <c r="J53" s="84"/>
      <c r="K53" s="10"/>
      <c r="L53" s="10"/>
    </row>
    <row r="54" spans="1:12" ht="14.25" customHeight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387</v>
      </c>
      <c r="H54" s="10"/>
      <c r="I54" s="7"/>
      <c r="J54" s="84"/>
      <c r="K54" s="10"/>
      <c r="L54" s="10"/>
    </row>
    <row r="55" spans="1:12" ht="14.25" customHeight="1" outlineLevel="1">
      <c r="A55" s="68">
        <v>1</v>
      </c>
      <c r="B55" s="10"/>
      <c r="C55" s="10"/>
      <c r="D55" s="10" t="s">
        <v>384</v>
      </c>
      <c r="E55" s="10"/>
      <c r="F55" s="10"/>
      <c r="G55" s="10" t="s">
        <v>388</v>
      </c>
      <c r="H55" s="10"/>
      <c r="I55" s="7"/>
      <c r="J55" s="84"/>
      <c r="K55" s="10"/>
      <c r="L55" s="10"/>
    </row>
    <row r="56" spans="1:12" ht="14.25" customHeight="1" outlineLevel="2">
      <c r="A56" s="68">
        <v>1</v>
      </c>
      <c r="B56" s="10"/>
      <c r="C56" s="10"/>
      <c r="D56" s="10" t="s">
        <v>384</v>
      </c>
      <c r="E56" s="10"/>
      <c r="F56" s="10"/>
      <c r="G56" s="10" t="s">
        <v>389</v>
      </c>
      <c r="H56" s="10"/>
      <c r="I56" s="7"/>
      <c r="J56" s="84"/>
      <c r="K56" s="10"/>
      <c r="L56" s="10"/>
    </row>
    <row r="57" spans="1:12" ht="14.25" customHeight="1" outlineLevel="2">
      <c r="A57" s="66">
        <v>1</v>
      </c>
      <c r="B57" s="5" t="s">
        <v>31</v>
      </c>
      <c r="C57" s="6" t="s">
        <v>37</v>
      </c>
      <c r="D57" s="6" t="s">
        <v>164</v>
      </c>
      <c r="E57" s="5"/>
      <c r="F57" s="80"/>
      <c r="G57" s="5"/>
      <c r="H57" s="5"/>
      <c r="I57" s="5"/>
      <c r="J57" s="5"/>
      <c r="K57" s="5"/>
      <c r="L57" s="5"/>
    </row>
    <row r="58" spans="1:12" ht="14.25" customHeight="1" outlineLevel="2">
      <c r="A58" s="68">
        <v>1</v>
      </c>
      <c r="B58" s="10"/>
      <c r="C58" s="10"/>
      <c r="D58" s="10"/>
      <c r="E58" s="10" t="s">
        <v>131</v>
      </c>
      <c r="F58" s="81" t="s">
        <v>132</v>
      </c>
      <c r="G58" s="10"/>
      <c r="H58" s="10"/>
      <c r="I58" s="30"/>
      <c r="J58" s="30"/>
      <c r="K58" s="10"/>
      <c r="L58" s="10"/>
    </row>
    <row r="59" spans="1:12" ht="14.25" customHeight="1" collapsed="1">
      <c r="A59" s="68">
        <v>1</v>
      </c>
      <c r="B59" s="10"/>
      <c r="C59" s="10"/>
      <c r="D59" s="10"/>
      <c r="E59" s="10"/>
      <c r="F59" s="82"/>
      <c r="G59" s="10" t="s">
        <v>128</v>
      </c>
      <c r="H59" s="10"/>
      <c r="I59" s="31" t="s">
        <v>130</v>
      </c>
      <c r="J59" s="10"/>
      <c r="K59" s="10"/>
      <c r="L59" s="10"/>
    </row>
    <row r="60" spans="1:12" ht="14.25" customHeight="1" outlineLevel="1">
      <c r="A60" s="68">
        <v>1</v>
      </c>
      <c r="B60" s="10"/>
      <c r="C60" s="10"/>
      <c r="D60" s="44" t="s">
        <v>1175</v>
      </c>
      <c r="E60" s="10" t="s">
        <v>89</v>
      </c>
      <c r="F60" s="9" t="e">
        <f>CONCATENATE("자가진단 진입 : ",SelfDiagCode)</f>
        <v>#NAME?</v>
      </c>
      <c r="G60" s="10"/>
      <c r="H60" s="10"/>
      <c r="I60" s="10"/>
      <c r="J60" s="30"/>
      <c r="K60" s="10"/>
      <c r="L60" s="10"/>
    </row>
    <row r="61" spans="1:12" ht="14.25" customHeight="1" outlineLevel="2">
      <c r="A61" s="68">
        <v>1</v>
      </c>
      <c r="B61" s="10"/>
      <c r="C61" s="10"/>
      <c r="D61" s="10"/>
      <c r="E61" s="10"/>
      <c r="F61" s="82"/>
      <c r="G61" s="10" t="s">
        <v>129</v>
      </c>
      <c r="H61" s="10"/>
      <c r="I61" s="12">
        <v>0</v>
      </c>
      <c r="J61" s="30"/>
      <c r="K61" s="10"/>
      <c r="L61" s="10"/>
    </row>
    <row r="62" spans="1:12" ht="14.25" customHeight="1" outlineLevel="2">
      <c r="A62" s="66">
        <v>1</v>
      </c>
      <c r="B62" s="5" t="s">
        <v>31</v>
      </c>
      <c r="C62" s="6" t="s">
        <v>97</v>
      </c>
      <c r="D62" s="6" t="s">
        <v>113</v>
      </c>
      <c r="E62" s="5"/>
      <c r="F62" s="80"/>
      <c r="G62" s="5"/>
      <c r="H62" s="5"/>
      <c r="I62" s="5"/>
      <c r="J62" s="5"/>
      <c r="K62" s="5"/>
      <c r="L62" s="5"/>
    </row>
    <row r="63" spans="1:12" ht="14.25" customHeight="1" outlineLevel="2">
      <c r="A63" s="67">
        <v>1</v>
      </c>
      <c r="B63" s="7"/>
      <c r="C63" s="7"/>
      <c r="D63" s="7" t="s">
        <v>139</v>
      </c>
      <c r="E63" s="7" t="s">
        <v>93</v>
      </c>
      <c r="F63" s="81" t="s">
        <v>373</v>
      </c>
      <c r="G63" s="7"/>
      <c r="H63" s="7"/>
      <c r="I63" s="7"/>
      <c r="J63" s="7"/>
      <c r="K63" s="7"/>
      <c r="L63" s="7"/>
    </row>
    <row r="64" spans="1:12" ht="14.25" customHeight="1" outlineLevel="2">
      <c r="A64" s="68">
        <v>1</v>
      </c>
      <c r="B64" s="10"/>
      <c r="C64" s="10"/>
      <c r="D64" s="10"/>
      <c r="E64" s="7" t="s">
        <v>5</v>
      </c>
      <c r="F64" s="81">
        <v>2</v>
      </c>
      <c r="G64" s="10"/>
      <c r="H64" s="10"/>
      <c r="I64" s="10"/>
      <c r="J64" s="10"/>
      <c r="K64" s="10"/>
      <c r="L64" s="10"/>
    </row>
    <row r="65" spans="1:12" ht="14.25" customHeight="1" outlineLevel="2">
      <c r="A65" s="68">
        <v>1</v>
      </c>
      <c r="B65" s="10"/>
      <c r="C65" s="10"/>
      <c r="D65" s="44"/>
      <c r="E65" s="10" t="s">
        <v>89</v>
      </c>
      <c r="F65" s="83" t="s">
        <v>1176</v>
      </c>
      <c r="G65" s="41"/>
      <c r="H65" s="41"/>
      <c r="I65" s="41"/>
      <c r="J65" s="30"/>
      <c r="K65" s="10"/>
      <c r="L65" s="10"/>
    </row>
    <row r="66" spans="1:12" ht="14.25" customHeight="1" outlineLevel="2">
      <c r="A66" s="103">
        <v>1</v>
      </c>
      <c r="B66" s="104" t="s">
        <v>7</v>
      </c>
      <c r="C66" s="104" t="s">
        <v>789</v>
      </c>
      <c r="D66" s="104" t="str">
        <f>VLOOKUP(C66,Tbl_Button_Display_ASSTS, 2,FALSE)</f>
        <v>BAT. ON시 초기화 기능 확인</v>
      </c>
      <c r="E66" s="104"/>
      <c r="F66" s="104"/>
      <c r="G66" s="104"/>
      <c r="H66" s="104"/>
      <c r="I66" s="104"/>
      <c r="J66" s="104"/>
      <c r="K66" s="104"/>
      <c r="L66" s="104"/>
    </row>
    <row r="67" spans="1:12" ht="14.25" customHeight="1" outlineLevel="2">
      <c r="A67" s="105">
        <v>1</v>
      </c>
      <c r="B67" s="106" t="s">
        <v>38</v>
      </c>
      <c r="C67" s="106" t="s">
        <v>790</v>
      </c>
      <c r="D67" s="106" t="s">
        <v>39</v>
      </c>
      <c r="E67" s="106"/>
      <c r="F67" s="106"/>
      <c r="G67" s="106"/>
      <c r="H67" s="106"/>
      <c r="I67" s="106"/>
      <c r="J67" s="106"/>
      <c r="K67" s="106"/>
      <c r="L67" s="106"/>
    </row>
    <row r="68" spans="1:12" ht="14.25" customHeight="1" outlineLevel="2">
      <c r="A68" s="68">
        <v>1</v>
      </c>
      <c r="B68" s="10"/>
      <c r="C68" s="10"/>
      <c r="D68" s="10"/>
      <c r="E68" s="101" t="e">
        <f>Incar_IN</f>
        <v>#NAME?</v>
      </c>
      <c r="F68" s="63">
        <f>VINTERPOLATION(VLOOKUP(C67,Tbl_Button_Display_ASSTS,2,FALSE),Tbl_Incar_Sensor,3)</f>
        <v>3.3272756433630186</v>
      </c>
      <c r="G68" s="10"/>
      <c r="H68" s="10"/>
      <c r="I68" s="10"/>
      <c r="J68" s="10"/>
      <c r="K68" s="10"/>
      <c r="L68" s="10"/>
    </row>
    <row r="69" spans="1:12" ht="16.5" customHeight="1" outlineLevel="2">
      <c r="A69" s="68">
        <v>1</v>
      </c>
      <c r="B69" s="10"/>
      <c r="C69" s="10"/>
      <c r="D69" s="10"/>
      <c r="E69" s="101" t="e">
        <f>Amb_IN</f>
        <v>#NAME?</v>
      </c>
      <c r="F69" s="63">
        <f>VINTERPOLATION(VLOOKUP(C67,Tbl_Button_Display_ASSTS,3,FALSE),Tbl_Amb_Sensor,3)</f>
        <v>3.8892180094786726</v>
      </c>
      <c r="G69" s="188"/>
      <c r="H69" s="10"/>
      <c r="I69" s="10"/>
      <c r="J69" s="10"/>
      <c r="K69" s="10"/>
      <c r="L69" s="10"/>
    </row>
    <row r="70" spans="1:12" ht="14.25" customHeight="1" outlineLevel="2">
      <c r="A70" s="68">
        <v>1</v>
      </c>
      <c r="B70" s="10"/>
      <c r="C70" s="10"/>
      <c r="D70" s="10"/>
      <c r="E70" s="101" t="str">
        <f>VLOOKUP(C67,Tbl_Button_Display_ASSTS,11,FALSE)</f>
        <v>Power_Reset</v>
      </c>
      <c r="F70" s="11" t="str">
        <f>VLOOKUP(C67,Tbl_Button_Display_ASSTS,12,FALSE)</f>
        <v xml:space="preserve"> </v>
      </c>
      <c r="G70" s="10"/>
      <c r="H70" s="10"/>
      <c r="I70" s="10"/>
      <c r="J70" s="10"/>
      <c r="K70" s="10"/>
      <c r="L70" s="10"/>
    </row>
    <row r="71" spans="1:12" ht="14.25" customHeight="1" outlineLevel="2">
      <c r="A71" s="68">
        <v>1</v>
      </c>
      <c r="B71" s="10"/>
      <c r="C71" s="10"/>
      <c r="D71" s="10"/>
      <c r="E71" s="14" t="s">
        <v>5</v>
      </c>
      <c r="F71" s="11">
        <f>VLOOKUP(C67,Tbl_Button_Display_ASSTS,13,FALSE)</f>
        <v>10</v>
      </c>
      <c r="G71" s="10"/>
      <c r="H71" s="10"/>
      <c r="I71" s="10"/>
      <c r="J71" s="10"/>
      <c r="K71" s="10"/>
      <c r="L71" s="10"/>
    </row>
    <row r="72" spans="1:12" ht="14.25" customHeight="1" outlineLevel="2">
      <c r="A72" s="68">
        <v>1</v>
      </c>
      <c r="B72" s="10"/>
      <c r="C72" s="10"/>
      <c r="D72" s="10" t="e">
        <f>IF(BAT_ON_Initialize="X","","Set_System_Off")</f>
        <v>#NAME?</v>
      </c>
      <c r="E72" s="101" t="e">
        <f>IF(D72="Set_System_Off","Sw_OFF","")</f>
        <v>#NAME?</v>
      </c>
      <c r="F72" s="81" t="e">
        <f>IF(D72="Set_System_Off",1,"")</f>
        <v>#NAME?</v>
      </c>
      <c r="G72" s="10"/>
      <c r="H72" s="10"/>
      <c r="I72" s="10"/>
      <c r="J72" s="14"/>
      <c r="K72" s="10"/>
      <c r="L72" s="108"/>
    </row>
    <row r="73" spans="1:12" ht="14.25" customHeight="1" outlineLevel="2">
      <c r="A73" s="68">
        <v>1</v>
      </c>
      <c r="B73" s="10"/>
      <c r="C73" s="10"/>
      <c r="D73" s="10"/>
      <c r="E73" s="14" t="e">
        <f>IF(D72="Set_System_Off","Delay(Sec)","")</f>
        <v>#NAME?</v>
      </c>
      <c r="F73" s="81" t="e">
        <f>IF(D72="Set_System_Off",2,"")</f>
        <v>#NAME?</v>
      </c>
      <c r="G73" s="10"/>
      <c r="H73" s="10"/>
      <c r="I73" s="10"/>
      <c r="J73" s="10"/>
      <c r="K73" s="10"/>
      <c r="L73" s="108"/>
    </row>
    <row r="74" spans="1:12" ht="14.25" customHeight="1" outlineLevel="2">
      <c r="A74" s="68">
        <v>1</v>
      </c>
      <c r="B74" s="10"/>
      <c r="C74" s="10"/>
      <c r="D74" s="10"/>
      <c r="E74" s="10"/>
      <c r="F74" s="82"/>
      <c r="G74" s="10" t="e">
        <f>Incar_OUT</f>
        <v>#NAME?</v>
      </c>
      <c r="H74" s="10"/>
      <c r="I74" s="12">
        <f>VLOOKUP(C67,Tbl_Button_Display_ASSTS,2,FALSE)</f>
        <v>10</v>
      </c>
      <c r="J74" s="10"/>
      <c r="K74" s="10"/>
      <c r="L74" s="10"/>
    </row>
    <row r="75" spans="1:12" ht="16.5" customHeight="1" outlineLevel="1">
      <c r="A75" s="68">
        <v>1</v>
      </c>
      <c r="B75" s="10"/>
      <c r="C75" s="10"/>
      <c r="D75" s="10"/>
      <c r="E75" s="188"/>
      <c r="F75" s="82"/>
      <c r="G75" s="10" t="e">
        <f>Amb_OUT</f>
        <v>#NAME?</v>
      </c>
      <c r="H75" s="10"/>
      <c r="I75" s="12">
        <f>VLOOKUP(C67,Tbl_Button_Display_ASSTS,3,FALSE)</f>
        <v>-2</v>
      </c>
      <c r="J75" s="10"/>
      <c r="K75" s="10"/>
      <c r="L75" s="10"/>
    </row>
    <row r="76" spans="1:12" ht="14.25" customHeight="1" outlineLevel="2">
      <c r="A76" s="68">
        <v>1</v>
      </c>
      <c r="B76" s="10"/>
      <c r="C76" s="10"/>
      <c r="D76" s="10"/>
      <c r="E76" s="10"/>
      <c r="F76" s="10"/>
      <c r="G76" s="10" t="e">
        <f>CompSpd_rpm</f>
        <v>#NAME?</v>
      </c>
      <c r="H76" s="10"/>
      <c r="I76" s="12" t="str">
        <f>VLOOKUP(C67,Tbl_Button_Display_ASSTS,33,FALSE)</f>
        <v>Off</v>
      </c>
      <c r="J76" s="10"/>
      <c r="K76" s="10"/>
      <c r="L76" s="10"/>
    </row>
    <row r="77" spans="1:12" ht="14.25" customHeight="1" outlineLevel="2">
      <c r="A77" s="68">
        <v>1</v>
      </c>
      <c r="B77" s="10"/>
      <c r="C77" s="10"/>
      <c r="D77" s="10"/>
      <c r="E77" s="10"/>
      <c r="F77" s="10"/>
      <c r="G77" s="10" t="str">
        <f>HP_ModSta</f>
        <v>DATC_HtrPmpModSta</v>
      </c>
      <c r="H77" s="47" t="e">
        <f>VLOOKUP(C67,Tbl_Button_Display_ASSTS,71,FALSE)</f>
        <v>#REF!</v>
      </c>
      <c r="I77" s="45" t="e">
        <f>(IF(H77="","",VLOOKUP(H77,Tbl_HP_Cycle,2,FALSE)))</f>
        <v>#REF!</v>
      </c>
      <c r="J77" s="10"/>
      <c r="K77" s="10"/>
      <c r="L77" s="10"/>
    </row>
    <row r="78" spans="1:12" ht="14.25" customHeight="1" outlineLevel="2">
      <c r="A78" s="68">
        <v>1</v>
      </c>
      <c r="B78" s="10"/>
      <c r="C78" s="10"/>
      <c r="D78" s="10"/>
      <c r="E78" s="10"/>
      <c r="F78" s="10"/>
      <c r="G78" s="10" t="str">
        <f>V02_EXV</f>
        <v>V02_EXV (B/CHILLER)</v>
      </c>
      <c r="H78" s="10"/>
      <c r="I78" s="12" t="e">
        <f>VLOOKUP(C67,Tbl_Button_Display_ASSTS,84,FALSE)</f>
        <v>#REF!</v>
      </c>
      <c r="J78" s="10"/>
      <c r="K78" s="10"/>
      <c r="L78" s="10"/>
    </row>
    <row r="79" spans="1:12" ht="14.25" customHeight="1" outlineLevel="2">
      <c r="A79" s="68">
        <v>1</v>
      </c>
      <c r="B79" s="10"/>
      <c r="C79" s="10"/>
      <c r="D79" s="10"/>
      <c r="E79" s="10"/>
      <c r="F79" s="10"/>
      <c r="G79" s="10" t="str">
        <f>BattChlrVlvSta</f>
        <v>DATC_BattChlrVlvSta</v>
      </c>
      <c r="H79" s="10"/>
      <c r="I79" s="12" t="e">
        <f>VLOOKUP(C67,Tbl_Button_Display_ASSTS,102,FALSE)</f>
        <v>#REF!</v>
      </c>
      <c r="J79" s="10"/>
      <c r="K79" s="10"/>
      <c r="L79" s="10"/>
    </row>
    <row r="80" spans="1:12" ht="14.25" customHeight="1" outlineLevel="2">
      <c r="A80" s="68">
        <v>1</v>
      </c>
      <c r="B80" s="10"/>
      <c r="C80" s="10"/>
      <c r="D80" s="10"/>
      <c r="E80" s="10"/>
      <c r="F80" s="10"/>
      <c r="G80" s="10" t="str">
        <f>BattChlrVlv_FltCode</f>
        <v>DATC_BattChlrVlv_FltCode</v>
      </c>
      <c r="H80" s="10"/>
      <c r="I80" s="12" t="e">
        <f>VLOOKUP(C67,Tbl_Button_Display_ASSTS,103,FALSE)</f>
        <v>#REF!</v>
      </c>
      <c r="J80" s="10"/>
      <c r="K80" s="10"/>
      <c r="L80" s="10"/>
    </row>
    <row r="81" spans="1:12" ht="14.25" customHeight="1" outlineLevel="2">
      <c r="A81" s="68">
        <v>1</v>
      </c>
      <c r="B81" s="10"/>
      <c r="C81" s="10"/>
      <c r="D81" s="10"/>
      <c r="E81" s="10"/>
      <c r="F81" s="10"/>
      <c r="G81" s="10" t="str">
        <f>BattEvapVlvSta</f>
        <v>DATC_BattEvapVlvSta</v>
      </c>
      <c r="H81" s="10"/>
      <c r="I81" s="12" t="e">
        <f>VLOOKUP(C67,Tbl_Button_Display_ASSTS,104,FALSE)</f>
        <v>#REF!</v>
      </c>
      <c r="J81" s="10"/>
      <c r="K81" s="10"/>
      <c r="L81" s="10"/>
    </row>
    <row r="82" spans="1:12" ht="14.25" customHeight="1" outlineLevel="2">
      <c r="A82" s="68">
        <v>1</v>
      </c>
      <c r="B82" s="10"/>
      <c r="C82" s="10"/>
      <c r="D82" s="10"/>
      <c r="E82" s="10"/>
      <c r="F82" s="10"/>
      <c r="G82" s="10" t="str">
        <f>BattEvapVlv_FltCode</f>
        <v>DATC_BattEvapVlv_FltCode</v>
      </c>
      <c r="H82" s="10"/>
      <c r="I82" s="46" t="e">
        <f>VLOOKUP(C67,Tbl_Button_Display_ASSTS,105,FALSE)</f>
        <v>#REF!</v>
      </c>
      <c r="J82" s="10"/>
      <c r="K82" s="10"/>
      <c r="L82" s="10"/>
    </row>
    <row r="83" spans="1:12" ht="14.25" customHeight="1" outlineLevel="2">
      <c r="A83" s="69">
        <v>1</v>
      </c>
      <c r="B83" s="37" t="s">
        <v>143</v>
      </c>
      <c r="C83" s="37" t="s">
        <v>791</v>
      </c>
      <c r="D83" s="37" t="str">
        <f>CONCATENATE(E84," = ",F84," 설정 시, 배터리 냉각을 위한 COMP 작동 동작 확인")</f>
        <v>VCU_BatChllrTgtRpm = 1000 설정 시, 배터리 냉각을 위한 COMP 작동 동작 확인</v>
      </c>
      <c r="E83" s="37"/>
      <c r="F83" s="37"/>
      <c r="G83" s="37"/>
      <c r="H83" s="37"/>
      <c r="I83" s="37"/>
      <c r="J83" s="37"/>
      <c r="K83" s="37"/>
      <c r="L83" s="37"/>
    </row>
    <row r="84" spans="1:12" ht="14.25" customHeight="1" outlineLevel="2">
      <c r="A84" s="68">
        <v>1</v>
      </c>
      <c r="B84" s="10"/>
      <c r="C84" s="10"/>
      <c r="D84" s="10"/>
      <c r="E84" s="101" t="str">
        <f>VLOOKUP(C83,Tbl_Button_Display_ASSTS,11,FALSE)</f>
        <v>VCU_BatChllrTgtRpm</v>
      </c>
      <c r="F84" s="11">
        <f>VLOOKUP(C83,Tbl_Button_Display_ASSTS,12,FALSE)</f>
        <v>1000</v>
      </c>
      <c r="G84" s="10"/>
      <c r="H84" s="10"/>
      <c r="I84" s="10"/>
      <c r="J84" s="10"/>
      <c r="K84" s="10"/>
      <c r="L84" s="10"/>
    </row>
    <row r="85" spans="1:12" ht="14.25" customHeight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10</v>
      </c>
      <c r="G85" s="10"/>
      <c r="H85" s="10"/>
      <c r="I85" s="10"/>
      <c r="J85" s="10"/>
      <c r="K85" s="10"/>
      <c r="L85" s="10"/>
    </row>
    <row r="86" spans="1:12" ht="14.25" customHeight="1" outlineLevel="1">
      <c r="A86" s="68">
        <v>1</v>
      </c>
      <c r="B86" s="10"/>
      <c r="C86" s="10"/>
      <c r="D86" s="10"/>
      <c r="E86" s="10"/>
      <c r="F86" s="10"/>
      <c r="G86" s="10" t="e">
        <f>CompSpd_rpm</f>
        <v>#NAME?</v>
      </c>
      <c r="H86" s="10"/>
      <c r="I86" s="12">
        <f>VLOOKUP(C83,Tbl_Button_Display_ASSTS,33,FALSE)</f>
        <v>1000</v>
      </c>
      <c r="J86" s="10"/>
      <c r="K86" s="10"/>
      <c r="L86" s="10"/>
    </row>
    <row r="87" spans="1:12" ht="14.25" customHeight="1" outlineLevel="2">
      <c r="A87" s="68">
        <v>1</v>
      </c>
      <c r="B87" s="10"/>
      <c r="C87" s="10"/>
      <c r="D87" s="10"/>
      <c r="E87" s="10"/>
      <c r="F87" s="10"/>
      <c r="G87" s="10" t="str">
        <f>V02_EXV</f>
        <v>V02_EXV (B/CHILLER)</v>
      </c>
      <c r="H87" s="10"/>
      <c r="I87" s="12" t="e">
        <f>VLOOKUP(C83,Tbl_Button_Display_ASSTS,84,FALSE)</f>
        <v>#REF!</v>
      </c>
      <c r="J87" s="10"/>
      <c r="K87" s="10"/>
      <c r="L87" s="10"/>
    </row>
    <row r="88" spans="1:12" ht="14.25" customHeight="1" outlineLevel="2">
      <c r="A88" s="68">
        <v>1</v>
      </c>
      <c r="B88" s="10"/>
      <c r="C88" s="10"/>
      <c r="D88" s="10"/>
      <c r="E88" s="10"/>
      <c r="F88" s="10"/>
      <c r="G88" s="10" t="str">
        <f>BattChlrVlvSta</f>
        <v>DATC_BattChlrVlvSta</v>
      </c>
      <c r="H88" s="10"/>
      <c r="I88" s="12" t="e">
        <f>VLOOKUP(C83,Tbl_Button_Display_ASSTS,102,FALSE)</f>
        <v>#REF!</v>
      </c>
      <c r="J88" s="10"/>
      <c r="K88" s="10"/>
      <c r="L88" s="10"/>
    </row>
    <row r="89" spans="1:12" ht="14.25" customHeight="1" outlineLevel="2">
      <c r="A89" s="68">
        <v>1</v>
      </c>
      <c r="B89" s="10"/>
      <c r="C89" s="10"/>
      <c r="D89" s="10"/>
      <c r="E89" s="10"/>
      <c r="F89" s="10"/>
      <c r="G89" s="10" t="str">
        <f>BattChlrVlv_FltCode</f>
        <v>DATC_BattChlrVlv_FltCode</v>
      </c>
      <c r="H89" s="10"/>
      <c r="I89" s="12" t="e">
        <f>VLOOKUP(C83,Tbl_Button_Display_ASSTS,103,FALSE)</f>
        <v>#REF!</v>
      </c>
      <c r="J89" s="10"/>
      <c r="K89" s="10"/>
      <c r="L89" s="10"/>
    </row>
    <row r="90" spans="1:12" ht="14.25" customHeight="1" outlineLevel="2">
      <c r="A90" s="68">
        <v>1</v>
      </c>
      <c r="B90" s="10"/>
      <c r="C90" s="10"/>
      <c r="D90" s="10"/>
      <c r="E90" s="10"/>
      <c r="F90" s="10"/>
      <c r="G90" s="10" t="str">
        <f>BattEvapVlvSta</f>
        <v>DATC_BattEvapVlvSta</v>
      </c>
      <c r="H90" s="10"/>
      <c r="I90" s="12" t="e">
        <f>VLOOKUP(C83,Tbl_Button_Display_ASSTS,104,FALSE)</f>
        <v>#REF!</v>
      </c>
      <c r="J90" s="10"/>
      <c r="K90" s="10"/>
      <c r="L90" s="10"/>
    </row>
    <row r="91" spans="1:12" ht="14.25" customHeight="1" outlineLevel="2">
      <c r="A91" s="68">
        <v>1</v>
      </c>
      <c r="B91" s="10"/>
      <c r="C91" s="10"/>
      <c r="D91" s="10"/>
      <c r="E91" s="10"/>
      <c r="F91" s="10"/>
      <c r="G91" s="10" t="str">
        <f>BattEvapVlv_FltCode</f>
        <v>DATC_BattEvapVlv_FltCode</v>
      </c>
      <c r="H91" s="10"/>
      <c r="I91" s="46" t="e">
        <f>VLOOKUP(C83,Tbl_Button_Display_ASSTS,105,FALSE)</f>
        <v>#REF!</v>
      </c>
      <c r="J91" s="10"/>
      <c r="K91" s="10"/>
      <c r="L91" s="10"/>
    </row>
    <row r="92" spans="1:12" ht="14.25" customHeight="1" outlineLevel="2">
      <c r="A92" s="69">
        <v>1</v>
      </c>
      <c r="B92" s="37" t="s">
        <v>143</v>
      </c>
      <c r="C92" s="37" t="s">
        <v>792</v>
      </c>
      <c r="D92" s="37" t="str">
        <f>CONCATENATE(E93," = ",F93," 설정 시, 배터리 냉각을 위한 COMP 작동 동작 해제 확인")</f>
        <v>VCU_BatChllrTgtRpm = 0 설정 시, 배터리 냉각을 위한 COMP 작동 동작 해제 확인</v>
      </c>
      <c r="E92" s="37"/>
      <c r="F92" s="37"/>
      <c r="G92" s="37"/>
      <c r="H92" s="37"/>
      <c r="I92" s="37"/>
      <c r="J92" s="37"/>
      <c r="K92" s="37"/>
      <c r="L92" s="37"/>
    </row>
    <row r="93" spans="1:12" ht="14.25" customHeight="1" outlineLevel="2">
      <c r="A93" s="68">
        <v>1</v>
      </c>
      <c r="B93" s="10"/>
      <c r="C93" s="10"/>
      <c r="D93" s="10"/>
      <c r="E93" s="101" t="str">
        <f>VLOOKUP(C92,Tbl_Button_Display_ASSTS,11,FALSE)</f>
        <v>VCU_BatChllrTgtRpm</v>
      </c>
      <c r="F93" s="11">
        <f>VLOOKUP(C92,Tbl_Button_Display_ASSTS,12,FALSE)</f>
        <v>0</v>
      </c>
      <c r="G93" s="10"/>
      <c r="H93" s="10"/>
      <c r="I93" s="10"/>
      <c r="J93" s="10"/>
      <c r="K93" s="10"/>
      <c r="L93" s="10"/>
    </row>
    <row r="94" spans="1:12" ht="14.25" customHeight="1" outlineLevel="2">
      <c r="A94" s="68">
        <v>1</v>
      </c>
      <c r="B94" s="10"/>
      <c r="C94" s="10"/>
      <c r="D94" s="10"/>
      <c r="E94" s="14" t="s">
        <v>5</v>
      </c>
      <c r="F94" s="11">
        <f>VLOOKUP(C92,Tbl_Button_Display_ASSTS,13,FALSE)</f>
        <v>10</v>
      </c>
      <c r="G94" s="10"/>
      <c r="H94" s="10"/>
      <c r="I94" s="10"/>
      <c r="J94" s="10"/>
      <c r="K94" s="10"/>
      <c r="L94" s="10"/>
    </row>
    <row r="95" spans="1:12" ht="14.25" customHeight="1" outlineLevel="2">
      <c r="A95" s="68">
        <v>1</v>
      </c>
      <c r="B95" s="10"/>
      <c r="C95" s="10"/>
      <c r="D95" s="10"/>
      <c r="E95" s="10"/>
      <c r="F95" s="10"/>
      <c r="G95" s="10" t="e">
        <f>CompSpd_rpm</f>
        <v>#NAME?</v>
      </c>
      <c r="H95" s="10"/>
      <c r="I95" s="12" t="str">
        <f>VLOOKUP(C92,Tbl_Button_Display_ASSTS,33,FALSE)</f>
        <v>Off</v>
      </c>
      <c r="J95" s="10"/>
      <c r="K95" s="10"/>
      <c r="L95" s="10"/>
    </row>
    <row r="96" spans="1:12" ht="14.25" customHeight="1" outlineLevel="2">
      <c r="A96" s="68">
        <v>1</v>
      </c>
      <c r="B96" s="10"/>
      <c r="C96" s="10"/>
      <c r="D96" s="10"/>
      <c r="E96" s="10"/>
      <c r="F96" s="10"/>
      <c r="G96" s="10" t="str">
        <f>V02_EXV</f>
        <v>V02_EXV (B/CHILLER)</v>
      </c>
      <c r="H96" s="10"/>
      <c r="I96" s="12" t="e">
        <f>VLOOKUP(C92,Tbl_Button_Display_ASSTS,84,FALSE)</f>
        <v>#REF!</v>
      </c>
      <c r="J96" s="10"/>
      <c r="K96" s="10"/>
      <c r="L96" s="10"/>
    </row>
    <row r="97" spans="1:12" ht="14.25" customHeight="1" outlineLevel="1">
      <c r="A97" s="68">
        <v>1</v>
      </c>
      <c r="B97" s="10"/>
      <c r="C97" s="10"/>
      <c r="D97" s="10"/>
      <c r="E97" s="10"/>
      <c r="F97" s="10"/>
      <c r="G97" s="10" t="str">
        <f>BattChlrVlvSta</f>
        <v>DATC_BattChlrVlvSta</v>
      </c>
      <c r="H97" s="10"/>
      <c r="I97" s="12" t="e">
        <f>VLOOKUP(C92,Tbl_Button_Display_ASSTS,102,FALSE)</f>
        <v>#REF!</v>
      </c>
      <c r="J97" s="10"/>
      <c r="K97" s="10"/>
      <c r="L97" s="10"/>
    </row>
    <row r="98" spans="1:12" ht="14.25" customHeight="1" outlineLevel="2">
      <c r="A98" s="68">
        <v>1</v>
      </c>
      <c r="B98" s="10"/>
      <c r="C98" s="10"/>
      <c r="D98" s="10"/>
      <c r="E98" s="10"/>
      <c r="F98" s="10"/>
      <c r="G98" s="10" t="str">
        <f>BattChlrVlv_FltCode</f>
        <v>DATC_BattChlrVlv_FltCode</v>
      </c>
      <c r="H98" s="10"/>
      <c r="I98" s="12" t="e">
        <f>VLOOKUP(C92,Tbl_Button_Display_ASSTS,103,FALSE)</f>
        <v>#REF!</v>
      </c>
      <c r="J98" s="10"/>
      <c r="K98" s="10"/>
      <c r="L98" s="10"/>
    </row>
    <row r="99" spans="1:12" ht="14.25" customHeight="1" outlineLevel="2">
      <c r="A99" s="68">
        <v>1</v>
      </c>
      <c r="B99" s="10"/>
      <c r="C99" s="10"/>
      <c r="D99" s="10"/>
      <c r="E99" s="10"/>
      <c r="F99" s="10"/>
      <c r="G99" s="10" t="str">
        <f>BattEvapVlvSta</f>
        <v>DATC_BattEvapVlvSta</v>
      </c>
      <c r="H99" s="10"/>
      <c r="I99" s="12" t="e">
        <f>VLOOKUP(C92,Tbl_Button_Display_ASSTS,104,FALSE)</f>
        <v>#REF!</v>
      </c>
      <c r="J99" s="10"/>
      <c r="K99" s="10"/>
      <c r="L99" s="10"/>
    </row>
    <row r="100" spans="1:12" ht="14.25" customHeight="1" outlineLevel="2">
      <c r="A100" s="68">
        <v>1</v>
      </c>
      <c r="B100" s="10"/>
      <c r="C100" s="10"/>
      <c r="D100" s="10"/>
      <c r="E100" s="10"/>
      <c r="F100" s="10"/>
      <c r="G100" s="10" t="str">
        <f>BattEvapVlv_FltCode</f>
        <v>DATC_BattEvapVlv_FltCode</v>
      </c>
      <c r="H100" s="10"/>
      <c r="I100" s="46" t="e">
        <f>VLOOKUP(C92,Tbl_Button_Display_ASSTS,105,FALSE)</f>
        <v>#REF!</v>
      </c>
      <c r="J100" s="10"/>
      <c r="K100" s="10"/>
      <c r="L100" s="10"/>
    </row>
    <row r="101" spans="1:12" ht="15" customHeight="1" outlineLevel="2">
      <c r="A101" s="64">
        <v>1</v>
      </c>
      <c r="B101" s="38" t="s">
        <v>472</v>
      </c>
      <c r="C101" s="38" t="s">
        <v>535</v>
      </c>
      <c r="D101" s="107" t="str">
        <f>VLOOKUP(B101,Tbl_Button_Display_ASSTS,2,FALSE)</f>
        <v>배터리쿨링 협조 제어사양 (H/P 할때)</v>
      </c>
      <c r="E101" s="107"/>
      <c r="F101" s="78"/>
      <c r="G101" s="107"/>
      <c r="H101" s="107"/>
      <c r="I101" s="107"/>
      <c r="J101" s="107"/>
      <c r="K101" s="107"/>
      <c r="L101" s="107"/>
    </row>
    <row r="102" spans="1:12" ht="14.25" customHeight="1" outlineLevel="2">
      <c r="A102" s="103">
        <v>1</v>
      </c>
      <c r="B102" s="104" t="s">
        <v>7</v>
      </c>
      <c r="C102" s="104" t="s">
        <v>733</v>
      </c>
      <c r="D102" s="104" t="str">
        <f>VLOOKUP(C102,Tbl_Button_Display_ASSTS, 2,FALSE)</f>
        <v>배터리쿨링 협조 제어사양 (H/P 할때) 로직 동작 확인</v>
      </c>
      <c r="E102" s="104"/>
      <c r="F102" s="104"/>
      <c r="G102" s="104"/>
      <c r="H102" s="104"/>
      <c r="I102" s="104"/>
      <c r="J102" s="104"/>
      <c r="K102" s="104"/>
      <c r="L102" s="104"/>
    </row>
    <row r="103" spans="1:12" ht="14.25" customHeight="1" outlineLevel="2">
      <c r="A103" s="105">
        <v>1</v>
      </c>
      <c r="B103" s="106" t="s">
        <v>38</v>
      </c>
      <c r="C103" s="106" t="s">
        <v>734</v>
      </c>
      <c r="D103" s="106" t="s">
        <v>39</v>
      </c>
      <c r="E103" s="106"/>
      <c r="F103" s="106"/>
      <c r="G103" s="106"/>
      <c r="H103" s="106"/>
      <c r="I103" s="106"/>
      <c r="J103" s="106"/>
      <c r="K103" s="106"/>
      <c r="L103" s="106"/>
    </row>
    <row r="104" spans="1:12" ht="14.25" customHeight="1" outlineLevel="2">
      <c r="A104" s="68">
        <v>1</v>
      </c>
      <c r="B104" s="10"/>
      <c r="C104" s="10"/>
      <c r="D104" s="10"/>
      <c r="E104" s="101" t="e">
        <f>Incar_IN</f>
        <v>#NAME?</v>
      </c>
      <c r="F104" s="63">
        <f>VINTERPOLATION(VLOOKUP(C103,Tbl_Button_Display_ASSTS,2,FALSE),Tbl_Incar_Sensor,3)</f>
        <v>3.3272756433630186</v>
      </c>
      <c r="G104" s="10"/>
      <c r="H104" s="10"/>
      <c r="I104" s="10"/>
      <c r="J104" s="10"/>
      <c r="K104" s="10"/>
      <c r="L104" s="10"/>
    </row>
    <row r="105" spans="1:12" ht="16.5" customHeight="1" outlineLevel="2">
      <c r="A105" s="68">
        <v>1</v>
      </c>
      <c r="B105" s="10"/>
      <c r="C105" s="10"/>
      <c r="D105" s="10"/>
      <c r="E105" s="101" t="e">
        <f>Amb_IN</f>
        <v>#NAME?</v>
      </c>
      <c r="F105" s="63">
        <f>VINTERPOLATION(VLOOKUP(C103,Tbl_Button_Display_ASSTS,3,FALSE),Tbl_Amb_Sensor,3)</f>
        <v>3.8892180094786726</v>
      </c>
      <c r="G105" s="188"/>
      <c r="H105" s="10"/>
      <c r="I105" s="10"/>
      <c r="J105" s="10"/>
      <c r="K105" s="10"/>
      <c r="L105" s="10"/>
    </row>
    <row r="106" spans="1:12" ht="14.25" customHeight="1" outlineLevel="2">
      <c r="A106" s="68">
        <v>1</v>
      </c>
      <c r="B106" s="10"/>
      <c r="C106" s="10"/>
      <c r="D106" s="10"/>
      <c r="E106" s="101" t="str">
        <f>VLOOKUP(C103,Tbl_Button_Display_ASSTS,11,FALSE)</f>
        <v>Power_Reset</v>
      </c>
      <c r="F106" s="11" t="str">
        <f>VLOOKUP(C103,Tbl_Button_Display_ASSTS,12,FALSE)</f>
        <v xml:space="preserve"> </v>
      </c>
      <c r="G106" s="10"/>
      <c r="H106" s="10"/>
      <c r="I106" s="10"/>
      <c r="J106" s="10"/>
      <c r="K106" s="10"/>
      <c r="L106" s="10"/>
    </row>
    <row r="107" spans="1:12" ht="14.25" customHeight="1" outlineLevel="2">
      <c r="A107" s="68">
        <v>1</v>
      </c>
      <c r="B107" s="10"/>
      <c r="C107" s="10"/>
      <c r="D107" s="10"/>
      <c r="E107" s="14" t="s">
        <v>5</v>
      </c>
      <c r="F107" s="11">
        <f>VLOOKUP(C103,Tbl_Button_Display_ASSTS,13,FALSE)</f>
        <v>10</v>
      </c>
      <c r="G107" s="10"/>
      <c r="H107" s="10"/>
      <c r="I107" s="10"/>
      <c r="J107" s="10"/>
      <c r="K107" s="10"/>
      <c r="L107" s="10"/>
    </row>
    <row r="108" spans="1:12" ht="14.25" customHeight="1">
      <c r="A108" s="68">
        <v>1</v>
      </c>
      <c r="B108" s="10"/>
      <c r="C108" s="10"/>
      <c r="D108" s="10" t="e">
        <f>IF(BAT_ON_Initialize="X","","Set_System_Off")</f>
        <v>#NAME?</v>
      </c>
      <c r="E108" s="101" t="e">
        <f>IF(D108="Set_System_Off","Sw_OFF","")</f>
        <v>#NAME?</v>
      </c>
      <c r="F108" s="81" t="e">
        <f>IF(D108="Set_System_Off",1,"")</f>
        <v>#NAME?</v>
      </c>
      <c r="G108" s="10"/>
      <c r="H108" s="10"/>
      <c r="I108" s="10"/>
      <c r="J108" s="14"/>
      <c r="K108" s="10"/>
      <c r="L108" s="108"/>
    </row>
    <row r="109" spans="1:12" ht="14.25" customHeight="1" collapsed="1">
      <c r="A109" s="68">
        <v>1</v>
      </c>
      <c r="B109" s="10"/>
      <c r="C109" s="10"/>
      <c r="D109" s="10"/>
      <c r="E109" s="14" t="e">
        <f>IF(D108="Set_System_Off","Delay(Sec)","")</f>
        <v>#NAME?</v>
      </c>
      <c r="F109" s="81" t="e">
        <f>IF(D108="Set_System_Off",2,"")</f>
        <v>#NAME?</v>
      </c>
      <c r="G109" s="10"/>
      <c r="H109" s="10"/>
      <c r="I109" s="10"/>
      <c r="J109" s="10"/>
      <c r="K109" s="10"/>
      <c r="L109" s="108"/>
    </row>
    <row r="110" spans="1:12" ht="14.25" customHeight="1" outlineLevel="1">
      <c r="A110" s="68">
        <v>1</v>
      </c>
      <c r="B110" s="10"/>
      <c r="C110" s="10"/>
      <c r="D110" s="10"/>
      <c r="E110" s="10"/>
      <c r="F110" s="82"/>
      <c r="G110" s="10" t="e">
        <f>Incar_OUT</f>
        <v>#NAME?</v>
      </c>
      <c r="H110" s="10"/>
      <c r="I110" s="12">
        <f>VLOOKUP(C103,Tbl_Button_Display_ASSTS,2,FALSE)</f>
        <v>10</v>
      </c>
      <c r="J110" s="10"/>
      <c r="K110" s="10"/>
      <c r="L110" s="10"/>
    </row>
    <row r="111" spans="1:12" ht="16.5" customHeight="1" outlineLevel="2">
      <c r="A111" s="68">
        <v>1</v>
      </c>
      <c r="B111" s="10"/>
      <c r="C111" s="10"/>
      <c r="D111" s="10"/>
      <c r="E111" s="188"/>
      <c r="F111" s="82"/>
      <c r="G111" s="10" t="e">
        <f>Amb_OUT</f>
        <v>#NAME?</v>
      </c>
      <c r="H111" s="10"/>
      <c r="I111" s="12">
        <f>VLOOKUP(C103,Tbl_Button_Display_ASSTS,3,FALSE)</f>
        <v>-2</v>
      </c>
      <c r="J111" s="10"/>
      <c r="K111" s="10"/>
      <c r="L111" s="10"/>
    </row>
    <row r="112" spans="1:12" ht="14.25" customHeight="1" outlineLevel="2">
      <c r="A112" s="68">
        <v>1</v>
      </c>
      <c r="B112" s="10"/>
      <c r="C112" s="10"/>
      <c r="D112" s="10"/>
      <c r="E112" s="10"/>
      <c r="F112" s="10"/>
      <c r="G112" s="10" t="e">
        <f>CompSpd_rpm</f>
        <v>#NAME?</v>
      </c>
      <c r="H112" s="10"/>
      <c r="I112" s="12" t="str">
        <f>VLOOKUP(C103,Tbl_Button_Display_ASSTS,33,FALSE)</f>
        <v>Off</v>
      </c>
      <c r="J112" s="10"/>
      <c r="K112" s="10"/>
      <c r="L112" s="10"/>
    </row>
    <row r="113" spans="1:12" ht="14.25" customHeight="1" outlineLevel="2">
      <c r="A113" s="68">
        <v>1</v>
      </c>
      <c r="B113" s="10"/>
      <c r="C113" s="10"/>
      <c r="D113" s="10"/>
      <c r="E113" s="10"/>
      <c r="F113" s="10"/>
      <c r="G113" s="10" t="str">
        <f>HP_ModSta</f>
        <v>DATC_HtrPmpModSta</v>
      </c>
      <c r="H113" s="47" t="e">
        <f>VLOOKUP(C103,Tbl_Button_Display_ASSTS,71,FALSE)</f>
        <v>#REF!</v>
      </c>
      <c r="I113" s="45" t="e">
        <f>(IF(H113="","",VLOOKUP(H113,Tbl_HP_Cycle,2,FALSE)))</f>
        <v>#REF!</v>
      </c>
      <c r="J113" s="10"/>
      <c r="K113" s="10"/>
      <c r="L113" s="10"/>
    </row>
    <row r="114" spans="1:12" ht="14.25" customHeight="1" outlineLevel="2">
      <c r="A114" s="68">
        <v>1</v>
      </c>
      <c r="B114" s="10"/>
      <c r="C114" s="10"/>
      <c r="D114" s="10"/>
      <c r="E114" s="10"/>
      <c r="F114" s="10"/>
      <c r="G114" s="10" t="str">
        <f>V02_EXV</f>
        <v>V02_EXV (B/CHILLER)</v>
      </c>
      <c r="H114" s="10"/>
      <c r="I114" s="12" t="e">
        <f>VLOOKUP(C103,Tbl_Button_Display_ASSTS,84,FALSE)</f>
        <v>#REF!</v>
      </c>
      <c r="J114" s="10"/>
      <c r="K114" s="10"/>
      <c r="L114" s="10"/>
    </row>
    <row r="115" spans="1:12" ht="14.25" customHeight="1" outlineLevel="2">
      <c r="A115" s="68">
        <v>1</v>
      </c>
      <c r="B115" s="10"/>
      <c r="C115" s="10"/>
      <c r="D115" s="10"/>
      <c r="E115" s="10"/>
      <c r="F115" s="10"/>
      <c r="G115" s="10" t="str">
        <f>BattChlrVlvSta</f>
        <v>DATC_BattChlrVlvSta</v>
      </c>
      <c r="H115" s="10"/>
      <c r="I115" s="12" t="e">
        <f>VLOOKUP(C103,Tbl_Button_Display_ASSTS,102,FALSE)</f>
        <v>#REF!</v>
      </c>
      <c r="J115" s="10"/>
      <c r="K115" s="10"/>
      <c r="L115" s="10"/>
    </row>
    <row r="116" spans="1:12" ht="14.25" customHeight="1" outlineLevel="2">
      <c r="A116" s="68">
        <v>1</v>
      </c>
      <c r="B116" s="10"/>
      <c r="C116" s="10"/>
      <c r="D116" s="10"/>
      <c r="E116" s="10"/>
      <c r="F116" s="10"/>
      <c r="G116" s="10" t="str">
        <f>BattChlrVlv_FltCode</f>
        <v>DATC_BattChlrVlv_FltCode</v>
      </c>
      <c r="H116" s="10"/>
      <c r="I116" s="12" t="e">
        <f>VLOOKUP(C103,Tbl_Button_Display_ASSTS,103,FALSE)</f>
        <v>#REF!</v>
      </c>
      <c r="J116" s="10"/>
      <c r="K116" s="10"/>
      <c r="L116" s="10"/>
    </row>
    <row r="117" spans="1:12" ht="14.25" customHeight="1" outlineLevel="2">
      <c r="A117" s="68">
        <v>1</v>
      </c>
      <c r="B117" s="10"/>
      <c r="C117" s="10"/>
      <c r="D117" s="10"/>
      <c r="E117" s="10"/>
      <c r="F117" s="10"/>
      <c r="G117" s="10" t="str">
        <f>BattEvapVlvSta</f>
        <v>DATC_BattEvapVlvSta</v>
      </c>
      <c r="H117" s="10"/>
      <c r="I117" s="12" t="e">
        <f>VLOOKUP(C103,Tbl_Button_Display_ASSTS,104,FALSE)</f>
        <v>#REF!</v>
      </c>
      <c r="J117" s="10"/>
      <c r="K117" s="10"/>
      <c r="L117" s="10"/>
    </row>
    <row r="118" spans="1:12" ht="14.25" customHeight="1" outlineLevel="2">
      <c r="A118" s="68">
        <v>1</v>
      </c>
      <c r="B118" s="10"/>
      <c r="C118" s="10"/>
      <c r="D118" s="10"/>
      <c r="E118" s="10"/>
      <c r="F118" s="10"/>
      <c r="G118" s="10" t="str">
        <f>BattEvapVlv_FltCode</f>
        <v>DATC_BattEvapVlv_FltCode</v>
      </c>
      <c r="H118" s="10"/>
      <c r="I118" s="46" t="e">
        <f>VLOOKUP(C103,Tbl_Button_Display_ASSTS,105,FALSE)</f>
        <v>#REF!</v>
      </c>
      <c r="J118" s="10"/>
      <c r="K118" s="10"/>
      <c r="L118" s="10"/>
    </row>
    <row r="119" spans="1:12" ht="14.25" customHeight="1" outlineLevel="2">
      <c r="A119" s="69">
        <v>1</v>
      </c>
      <c r="B119" s="37" t="s">
        <v>143</v>
      </c>
      <c r="C119" s="37" t="s">
        <v>735</v>
      </c>
      <c r="D119" s="37" t="str">
        <f>CONCATENATE(E120," = ",F120," 설정 시, 배터리 냉각을 위한 COMP 작동 동작 확인")</f>
        <v>VCU_BatChllrTgtRpm = 1000 설정 시, 배터리 냉각을 위한 COMP 작동 동작 확인</v>
      </c>
      <c r="E119" s="37"/>
      <c r="F119" s="37"/>
      <c r="G119" s="37"/>
      <c r="H119" s="37"/>
      <c r="I119" s="37"/>
      <c r="J119" s="37"/>
      <c r="K119" s="37"/>
      <c r="L119" s="37"/>
    </row>
    <row r="120" spans="1:12" ht="14.25" customHeight="1" outlineLevel="2">
      <c r="A120" s="68">
        <v>1</v>
      </c>
      <c r="B120" s="10"/>
      <c r="C120" s="10"/>
      <c r="D120" s="10"/>
      <c r="E120" s="101" t="str">
        <f>VLOOKUP(C119,Tbl_Button_Display_ASSTS,11,FALSE)</f>
        <v>VCU_BatChllrTgtRpm</v>
      </c>
      <c r="F120" s="11">
        <f>VLOOKUP(C119,Tbl_Button_Display_ASSTS,12,FALSE)</f>
        <v>1000</v>
      </c>
      <c r="G120" s="10"/>
      <c r="H120" s="10"/>
      <c r="I120" s="10"/>
      <c r="J120" s="10"/>
      <c r="K120" s="10"/>
      <c r="L120" s="10"/>
    </row>
    <row r="121" spans="1:12" ht="14.25" customHeight="1" outlineLevel="1">
      <c r="A121" s="68">
        <v>1</v>
      </c>
      <c r="B121" s="10"/>
      <c r="C121" s="10"/>
      <c r="D121" s="10"/>
      <c r="E121" s="14" t="s">
        <v>5</v>
      </c>
      <c r="F121" s="11">
        <f>VLOOKUP(C119,Tbl_Button_Display_ASSTS,13,FALSE)</f>
        <v>10</v>
      </c>
      <c r="G121" s="10"/>
      <c r="H121" s="10"/>
      <c r="I121" s="10"/>
      <c r="J121" s="10"/>
      <c r="K121" s="10"/>
      <c r="L121" s="10"/>
    </row>
    <row r="122" spans="1:12" ht="14.25" customHeight="1" outlineLevel="2">
      <c r="A122" s="68">
        <v>1</v>
      </c>
      <c r="B122" s="10"/>
      <c r="C122" s="10"/>
      <c r="D122" s="10"/>
      <c r="E122" s="10"/>
      <c r="F122" s="10"/>
      <c r="G122" s="10" t="e">
        <f>CompSpd_rpm</f>
        <v>#NAME?</v>
      </c>
      <c r="H122" s="10"/>
      <c r="I122" s="12">
        <f>VLOOKUP(C119,Tbl_Button_Display_ASSTS,33,FALSE)</f>
        <v>1000</v>
      </c>
      <c r="J122" s="10"/>
      <c r="K122" s="10"/>
      <c r="L122" s="10"/>
    </row>
    <row r="123" spans="1:12" ht="14.25" customHeight="1" outlineLevel="2">
      <c r="A123" s="68">
        <v>1</v>
      </c>
      <c r="B123" s="10"/>
      <c r="C123" s="10"/>
      <c r="D123" s="10"/>
      <c r="E123" s="10"/>
      <c r="F123" s="10"/>
      <c r="G123" s="10" t="str">
        <f>V02_EXV</f>
        <v>V02_EXV (B/CHILLER)</v>
      </c>
      <c r="H123" s="10"/>
      <c r="I123" s="12" t="e">
        <f>VLOOKUP(C119,Tbl_Button_Display_ASSTS,84,FALSE)</f>
        <v>#REF!</v>
      </c>
      <c r="J123" s="10"/>
      <c r="K123" s="10"/>
      <c r="L123" s="10"/>
    </row>
    <row r="124" spans="1:12" ht="14.25" customHeight="1" outlineLevel="2">
      <c r="A124" s="68">
        <v>1</v>
      </c>
      <c r="B124" s="10"/>
      <c r="C124" s="10"/>
      <c r="D124" s="10"/>
      <c r="E124" s="10"/>
      <c r="F124" s="10"/>
      <c r="G124" s="10" t="str">
        <f>BattChlrVlvSta</f>
        <v>DATC_BattChlrVlvSta</v>
      </c>
      <c r="H124" s="10"/>
      <c r="I124" s="12" t="e">
        <f>VLOOKUP(C119,Tbl_Button_Display_ASSTS,102,FALSE)</f>
        <v>#REF!</v>
      </c>
      <c r="J124" s="10"/>
      <c r="K124" s="10"/>
      <c r="L124" s="10"/>
    </row>
    <row r="125" spans="1:12" ht="14.25" customHeight="1" outlineLevel="2">
      <c r="A125" s="68">
        <v>1</v>
      </c>
      <c r="B125" s="10"/>
      <c r="C125" s="10"/>
      <c r="D125" s="10"/>
      <c r="E125" s="10"/>
      <c r="F125" s="10"/>
      <c r="G125" s="10" t="str">
        <f>BattChlrVlv_FltCode</f>
        <v>DATC_BattChlrVlv_FltCode</v>
      </c>
      <c r="H125" s="10"/>
      <c r="I125" s="12" t="e">
        <f>VLOOKUP(C119,Tbl_Button_Display_ASSTS,103,FALSE)</f>
        <v>#REF!</v>
      </c>
      <c r="J125" s="10"/>
      <c r="K125" s="10"/>
      <c r="L125" s="10"/>
    </row>
    <row r="126" spans="1:12" ht="14.25" customHeight="1" outlineLevel="2">
      <c r="A126" s="68">
        <v>1</v>
      </c>
      <c r="B126" s="10"/>
      <c r="C126" s="10"/>
      <c r="D126" s="10"/>
      <c r="E126" s="10"/>
      <c r="F126" s="10"/>
      <c r="G126" s="10" t="str">
        <f>BattEvapVlvSta</f>
        <v>DATC_BattEvapVlvSta</v>
      </c>
      <c r="H126" s="10"/>
      <c r="I126" s="12" t="e">
        <f>VLOOKUP(C119,Tbl_Button_Display_ASSTS,104,FALSE)</f>
        <v>#REF!</v>
      </c>
      <c r="J126" s="10"/>
      <c r="K126" s="10"/>
      <c r="L126" s="10"/>
    </row>
    <row r="127" spans="1:12" ht="14.25" customHeight="1" outlineLevel="2">
      <c r="A127" s="68">
        <v>1</v>
      </c>
      <c r="B127" s="10"/>
      <c r="C127" s="10"/>
      <c r="D127" s="10"/>
      <c r="E127" s="10"/>
      <c r="F127" s="10"/>
      <c r="G127" s="10" t="str">
        <f>BattEvapVlv_FltCode</f>
        <v>DATC_BattEvapVlv_FltCode</v>
      </c>
      <c r="H127" s="10"/>
      <c r="I127" s="46" t="e">
        <f>VLOOKUP(C119,Tbl_Button_Display_ASSTS,105,FALSE)</f>
        <v>#REF!</v>
      </c>
      <c r="J127" s="10"/>
      <c r="K127" s="10"/>
      <c r="L127" s="10"/>
    </row>
    <row r="128" spans="1:12" ht="14.25" customHeight="1" outlineLevel="2">
      <c r="A128" s="69">
        <v>1</v>
      </c>
      <c r="B128" s="37" t="s">
        <v>143</v>
      </c>
      <c r="C128" s="37" t="s">
        <v>736</v>
      </c>
      <c r="D128" s="37" t="str">
        <f>CONCATENATE(E129," = ",F129," 설정 시, 배터리 냉각을 위한 COMP 작동 동작 해제 확인")</f>
        <v>VCU_BatChllrTgtRpm = 0 설정 시, 배터리 냉각을 위한 COMP 작동 동작 해제 확인</v>
      </c>
      <c r="E128" s="37"/>
      <c r="F128" s="37"/>
      <c r="G128" s="37"/>
      <c r="H128" s="37"/>
      <c r="I128" s="37"/>
      <c r="J128" s="37"/>
      <c r="K128" s="37"/>
      <c r="L128" s="37"/>
    </row>
    <row r="129" spans="1:12" ht="14.25" customHeight="1" outlineLevel="2">
      <c r="A129" s="68">
        <v>1</v>
      </c>
      <c r="B129" s="10"/>
      <c r="C129" s="10"/>
      <c r="D129" s="10"/>
      <c r="E129" s="101" t="str">
        <f>VLOOKUP(C128,Tbl_Button_Display_ASSTS,11,FALSE)</f>
        <v>VCU_BatChllrTgtRpm</v>
      </c>
      <c r="F129" s="11">
        <f>VLOOKUP(C128,Tbl_Button_Display_ASSTS,12,FALSE)</f>
        <v>0</v>
      </c>
      <c r="G129" s="10"/>
      <c r="H129" s="10"/>
      <c r="I129" s="10"/>
      <c r="J129" s="10"/>
      <c r="K129" s="10"/>
      <c r="L129" s="10"/>
    </row>
    <row r="130" spans="1:12" ht="14.25" customHeight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10</v>
      </c>
      <c r="G130" s="10"/>
      <c r="H130" s="10"/>
      <c r="I130" s="10"/>
      <c r="J130" s="10"/>
      <c r="K130" s="10"/>
      <c r="L130" s="10"/>
    </row>
    <row r="131" spans="1:12" ht="14.25" customHeight="1" outlineLevel="2">
      <c r="A131" s="68">
        <v>1</v>
      </c>
      <c r="B131" s="10"/>
      <c r="C131" s="10"/>
      <c r="D131" s="10"/>
      <c r="E131" s="10"/>
      <c r="F131" s="10"/>
      <c r="G131" s="10" t="e">
        <f>CompSpd_rpm</f>
        <v>#NAME?</v>
      </c>
      <c r="H131" s="10"/>
      <c r="I131" s="12" t="str">
        <f>VLOOKUP(C128,Tbl_Button_Display_ASSTS,33,FALSE)</f>
        <v>Off</v>
      </c>
      <c r="J131" s="10"/>
      <c r="K131" s="10"/>
      <c r="L131" s="10"/>
    </row>
    <row r="132" spans="1:12" ht="14.25" customHeight="1" outlineLevel="1">
      <c r="A132" s="68">
        <v>1</v>
      </c>
      <c r="B132" s="10"/>
      <c r="C132" s="10"/>
      <c r="D132" s="10"/>
      <c r="E132" s="10"/>
      <c r="F132" s="10"/>
      <c r="G132" s="10" t="str">
        <f>V02_EXV</f>
        <v>V02_EXV (B/CHILLER)</v>
      </c>
      <c r="H132" s="10"/>
      <c r="I132" s="12" t="e">
        <f>VLOOKUP(C128,Tbl_Button_Display_ASSTS,84,FALSE)</f>
        <v>#REF!</v>
      </c>
      <c r="J132" s="10"/>
      <c r="K132" s="10"/>
      <c r="L132" s="10"/>
    </row>
    <row r="133" spans="1:12" ht="14.25" customHeight="1" outlineLevel="2">
      <c r="A133" s="68">
        <v>1</v>
      </c>
      <c r="B133" s="10"/>
      <c r="C133" s="10"/>
      <c r="D133" s="10"/>
      <c r="E133" s="10"/>
      <c r="F133" s="10"/>
      <c r="G133" s="10" t="str">
        <f>BattChlrVlvSta</f>
        <v>DATC_BattChlrVlvSta</v>
      </c>
      <c r="H133" s="10"/>
      <c r="I133" s="12" t="e">
        <f>VLOOKUP(C128,Tbl_Button_Display_ASSTS,102,FALSE)</f>
        <v>#REF!</v>
      </c>
      <c r="J133" s="10"/>
      <c r="K133" s="10"/>
      <c r="L133" s="10"/>
    </row>
    <row r="134" spans="1:12" ht="14.25" customHeight="1" outlineLevel="2">
      <c r="A134" s="68">
        <v>1</v>
      </c>
      <c r="B134" s="10"/>
      <c r="C134" s="10"/>
      <c r="D134" s="10"/>
      <c r="E134" s="10"/>
      <c r="F134" s="10"/>
      <c r="G134" s="10" t="str">
        <f>BattChlrVlv_FltCode</f>
        <v>DATC_BattChlrVlv_FltCode</v>
      </c>
      <c r="H134" s="10"/>
      <c r="I134" s="12" t="e">
        <f>VLOOKUP(C128,Tbl_Button_Display_ASSTS,103,FALSE)</f>
        <v>#REF!</v>
      </c>
      <c r="J134" s="10"/>
      <c r="K134" s="10"/>
      <c r="L134" s="10"/>
    </row>
    <row r="135" spans="1:12" ht="14.25" customHeight="1" outlineLevel="2">
      <c r="A135" s="68">
        <v>1</v>
      </c>
      <c r="B135" s="10"/>
      <c r="C135" s="10"/>
      <c r="D135" s="10"/>
      <c r="E135" s="10"/>
      <c r="F135" s="10"/>
      <c r="G135" s="10" t="str">
        <f>BattEvapVlvSta</f>
        <v>DATC_BattEvapVlvSta</v>
      </c>
      <c r="H135" s="10"/>
      <c r="I135" s="12" t="e">
        <f>VLOOKUP(C128,Tbl_Button_Display_ASSTS,104,FALSE)</f>
        <v>#REF!</v>
      </c>
      <c r="J135" s="10"/>
      <c r="K135" s="10"/>
      <c r="L135" s="10"/>
    </row>
    <row r="136" spans="1:12" ht="14.25" customHeight="1" outlineLevel="2">
      <c r="A136" s="68">
        <v>1</v>
      </c>
      <c r="B136" s="10"/>
      <c r="C136" s="10"/>
      <c r="D136" s="10"/>
      <c r="E136" s="10"/>
      <c r="F136" s="10"/>
      <c r="G136" s="10" t="str">
        <f>BattEvapVlv_FltCode</f>
        <v>DATC_BattEvapVlv_FltCode</v>
      </c>
      <c r="H136" s="10"/>
      <c r="I136" s="46" t="e">
        <f>VLOOKUP(C128,Tbl_Button_Display_ASSTS,105,FALSE)</f>
        <v>#REF!</v>
      </c>
      <c r="J136" s="10"/>
      <c r="K136" s="10"/>
      <c r="L136" s="10"/>
    </row>
    <row r="137" spans="1:12" ht="14.25" customHeight="1" outlineLevel="2">
      <c r="A137" s="173" t="s">
        <v>787</v>
      </c>
      <c r="B137" s="174"/>
      <c r="C137" s="174"/>
      <c r="D137" s="174"/>
      <c r="E137" s="174"/>
      <c r="F137" s="175"/>
      <c r="G137" s="174"/>
      <c r="H137" s="174"/>
      <c r="I137" s="174"/>
      <c r="J137" s="174"/>
      <c r="K137" s="174"/>
      <c r="L137" s="174"/>
    </row>
    <row r="138" spans="1:12" hidden="1" outlineLevel="2"/>
    <row r="139" spans="1:12" hidden="1" outlineLevel="2"/>
    <row r="140" spans="1:12" hidden="1" outlineLevel="2"/>
    <row r="141" spans="1:12" hidden="1" outlineLevel="2"/>
    <row r="142" spans="1:12" hidden="1" outlineLevel="2"/>
    <row r="143" spans="1:12" hidden="1" outlineLevel="1"/>
    <row r="144" spans="1:12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7 K112 K35:K65 K114:K137 K76 K78:K101">
    <cfRule type="containsText" dxfId="50" priority="49" operator="containsText" text="nok">
      <formula>NOT(ISERROR(SEARCH("nok",K1)))</formula>
    </cfRule>
    <cfRule type="containsText" dxfId="49" priority="50" operator="containsText" text="fail">
      <formula>NOT(ISERROR(SEARCH("fail",K1)))</formula>
    </cfRule>
    <cfRule type="containsText" dxfId="48" priority="51" operator="containsText" text="pass">
      <formula>NOT(ISERROR(SEARCH("pass",K1)))</formula>
    </cfRule>
  </conditionalFormatting>
  <conditionalFormatting sqref="K9">
    <cfRule type="containsText" dxfId="47" priority="46" operator="containsText" text="nok">
      <formula>NOT(ISERROR(SEARCH("nok",K9)))</formula>
    </cfRule>
    <cfRule type="containsText" dxfId="46" priority="47" operator="containsText" text="fail">
      <formula>NOT(ISERROR(SEARCH("fail",K9)))</formula>
    </cfRule>
    <cfRule type="containsText" dxfId="45" priority="48" operator="containsText" text="pass">
      <formula>NOT(ISERROR(SEARCH("pass",K9)))</formula>
    </cfRule>
  </conditionalFormatting>
  <conditionalFormatting sqref="K103">
    <cfRule type="containsText" dxfId="44" priority="43" operator="containsText" text="nok">
      <formula>NOT(ISERROR(SEARCH("nok",K103)))</formula>
    </cfRule>
    <cfRule type="containsText" dxfId="43" priority="44" operator="containsText" text="fail">
      <formula>NOT(ISERROR(SEARCH("fail",K103)))</formula>
    </cfRule>
    <cfRule type="containsText" dxfId="42" priority="45" operator="containsText" text="pass">
      <formula>NOT(ISERROR(SEARCH("pass",K103)))</formula>
    </cfRule>
  </conditionalFormatting>
  <conditionalFormatting sqref="K102">
    <cfRule type="containsText" dxfId="41" priority="40" operator="containsText" text="nok">
      <formula>NOT(ISERROR(SEARCH("nok",K102)))</formula>
    </cfRule>
    <cfRule type="containsText" dxfId="40" priority="41" operator="containsText" text="fail">
      <formula>NOT(ISERROR(SEARCH("fail",K102)))</formula>
    </cfRule>
    <cfRule type="containsText" dxfId="39" priority="42" operator="containsText" text="pass">
      <formula>NOT(ISERROR(SEARCH("pass",K102)))</formula>
    </cfRule>
  </conditionalFormatting>
  <conditionalFormatting sqref="K113">
    <cfRule type="containsText" dxfId="38" priority="37" operator="containsText" text="nok">
      <formula>NOT(ISERROR(SEARCH("nok",K113)))</formula>
    </cfRule>
    <cfRule type="containsText" dxfId="37" priority="38" operator="containsText" text="fail">
      <formula>NOT(ISERROR(SEARCH("fail",K113)))</formula>
    </cfRule>
    <cfRule type="containsText" dxfId="36" priority="39" operator="containsText" text="pass">
      <formula>NOT(ISERROR(SEARCH("pass",K113)))</formula>
    </cfRule>
  </conditionalFormatting>
  <conditionalFormatting sqref="K104:K107">
    <cfRule type="containsText" dxfId="35" priority="34" operator="containsText" text="nok">
      <formula>NOT(ISERROR(SEARCH("nok",K104)))</formula>
    </cfRule>
    <cfRule type="containsText" dxfId="34" priority="35" operator="containsText" text="fail">
      <formula>NOT(ISERROR(SEARCH("fail",K104)))</formula>
    </cfRule>
    <cfRule type="containsText" dxfId="33" priority="36" operator="containsText" text="pass">
      <formula>NOT(ISERROR(SEARCH("pass",K104)))</formula>
    </cfRule>
  </conditionalFormatting>
  <conditionalFormatting sqref="K110:K112">
    <cfRule type="containsText" dxfId="32" priority="31" operator="containsText" text="nok">
      <formula>NOT(ISERROR(SEARCH("nok",K110)))</formula>
    </cfRule>
    <cfRule type="containsText" dxfId="31" priority="32" operator="containsText" text="fail">
      <formula>NOT(ISERROR(SEARCH("fail",K110)))</formula>
    </cfRule>
    <cfRule type="containsText" dxfId="30" priority="33" operator="containsText" text="pass">
      <formula>NOT(ISERROR(SEARCH("pass",K110)))</formula>
    </cfRule>
  </conditionalFormatting>
  <conditionalFormatting sqref="K108:K109">
    <cfRule type="containsText" dxfId="29" priority="28" operator="containsText" text="nok">
      <formula>NOT(ISERROR(SEARCH("nok",K108)))</formula>
    </cfRule>
    <cfRule type="containsText" dxfId="28" priority="29" operator="containsText" text="fail">
      <formula>NOT(ISERROR(SEARCH("fail",K108)))</formula>
    </cfRule>
    <cfRule type="containsText" dxfId="27" priority="30" operator="containsText" text="pass">
      <formula>NOT(ISERROR(SEARCH("pass",K108)))</formula>
    </cfRule>
  </conditionalFormatting>
  <conditionalFormatting sqref="K28:K34">
    <cfRule type="containsText" dxfId="26" priority="25" operator="containsText" text="nok">
      <formula>NOT(ISERROR(SEARCH("nok",K28)))</formula>
    </cfRule>
    <cfRule type="containsText" dxfId="25" priority="26" operator="containsText" text="fail">
      <formula>NOT(ISERROR(SEARCH("fail",K28)))</formula>
    </cfRule>
    <cfRule type="containsText" dxfId="24" priority="27" operator="containsText" text="pass">
      <formula>NOT(ISERROR(SEARCH("pass",K28)))</formula>
    </cfRule>
  </conditionalFormatting>
  <conditionalFormatting sqref="K28:K34">
    <cfRule type="containsText" dxfId="23" priority="22" operator="containsText" text="nok">
      <formula>NOT(ISERROR(SEARCH("nok",K28)))</formula>
    </cfRule>
    <cfRule type="containsText" dxfId="22" priority="23" operator="containsText" text="fail">
      <formula>NOT(ISERROR(SEARCH("fail",K28)))</formula>
    </cfRule>
    <cfRule type="containsText" dxfId="21" priority="24" operator="containsText" text="pass">
      <formula>NOT(ISERROR(SEARCH("pass",K28)))</formula>
    </cfRule>
  </conditionalFormatting>
  <conditionalFormatting sqref="K28:K34">
    <cfRule type="containsText" dxfId="20" priority="19" operator="containsText" text="nok">
      <formula>NOT(ISERROR(SEARCH("nok",K28)))</formula>
    </cfRule>
    <cfRule type="containsText" dxfId="19" priority="20" operator="containsText" text="fail">
      <formula>NOT(ISERROR(SEARCH("fail",K28)))</formula>
    </cfRule>
    <cfRule type="containsText" dxfId="18" priority="21" operator="containsText" text="pass">
      <formula>NOT(ISERROR(SEARCH("pass",K28)))</formula>
    </cfRule>
  </conditionalFormatting>
  <conditionalFormatting sqref="K67">
    <cfRule type="containsText" dxfId="17" priority="16" operator="containsText" text="nok">
      <formula>NOT(ISERROR(SEARCH("nok",K67)))</formula>
    </cfRule>
    <cfRule type="containsText" dxfId="16" priority="17" operator="containsText" text="fail">
      <formula>NOT(ISERROR(SEARCH("fail",K67)))</formula>
    </cfRule>
    <cfRule type="containsText" dxfId="15" priority="18" operator="containsText" text="pass">
      <formula>NOT(ISERROR(SEARCH("pass",K67)))</formula>
    </cfRule>
  </conditionalFormatting>
  <conditionalFormatting sqref="K66">
    <cfRule type="containsText" dxfId="14" priority="13" operator="containsText" text="nok">
      <formula>NOT(ISERROR(SEARCH("nok",K66)))</formula>
    </cfRule>
    <cfRule type="containsText" dxfId="13" priority="14" operator="containsText" text="fail">
      <formula>NOT(ISERROR(SEARCH("fail",K66)))</formula>
    </cfRule>
    <cfRule type="containsText" dxfId="12" priority="15" operator="containsText" text="pass">
      <formula>NOT(ISERROR(SEARCH("pass",K66)))</formula>
    </cfRule>
  </conditionalFormatting>
  <conditionalFormatting sqref="K77">
    <cfRule type="containsText" dxfId="11" priority="10" operator="containsText" text="nok">
      <formula>NOT(ISERROR(SEARCH("nok",K77)))</formula>
    </cfRule>
    <cfRule type="containsText" dxfId="10" priority="11" operator="containsText" text="fail">
      <formula>NOT(ISERROR(SEARCH("fail",K77)))</formula>
    </cfRule>
    <cfRule type="containsText" dxfId="9" priority="12" operator="containsText" text="pass">
      <formula>NOT(ISERROR(SEARCH("pass",K77)))</formula>
    </cfRule>
  </conditionalFormatting>
  <conditionalFormatting sqref="K68:K71">
    <cfRule type="containsText" dxfId="8" priority="7" operator="containsText" text="nok">
      <formula>NOT(ISERROR(SEARCH("nok",K68)))</formula>
    </cfRule>
    <cfRule type="containsText" dxfId="7" priority="8" operator="containsText" text="fail">
      <formula>NOT(ISERROR(SEARCH("fail",K68)))</formula>
    </cfRule>
    <cfRule type="containsText" dxfId="6" priority="9" operator="containsText" text="pass">
      <formula>NOT(ISERROR(SEARCH("pass",K68)))</formula>
    </cfRule>
  </conditionalFormatting>
  <conditionalFormatting sqref="K74:K76">
    <cfRule type="containsText" dxfId="5" priority="4" operator="containsText" text="nok">
      <formula>NOT(ISERROR(SEARCH("nok",K74)))</formula>
    </cfRule>
    <cfRule type="containsText" dxfId="4" priority="5" operator="containsText" text="fail">
      <formula>NOT(ISERROR(SEARCH("fail",K74)))</formula>
    </cfRule>
    <cfRule type="containsText" dxfId="3" priority="6" operator="containsText" text="pass">
      <formula>NOT(ISERROR(SEARCH("pass",K74)))</formula>
    </cfRule>
  </conditionalFormatting>
  <conditionalFormatting sqref="K72:K73">
    <cfRule type="containsText" dxfId="2" priority="1" operator="containsText" text="nok">
      <formula>NOT(ISERROR(SEARCH("nok",K72)))</formula>
    </cfRule>
    <cfRule type="containsText" dxfId="1" priority="2" operator="containsText" text="fail">
      <formula>NOT(ISERROR(SEARCH("fail",K72)))</formula>
    </cfRule>
    <cfRule type="containsText" dxfId="0" priority="3" operator="containsText" text="pass">
      <formula>NOT(ISERROR(SEARCH("pass",K72)))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5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798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21" t="s">
        <v>316</v>
      </c>
      <c r="O3" s="221"/>
      <c r="P3" s="221"/>
      <c r="Q3" s="221"/>
      <c r="S3" s="35" t="s">
        <v>799</v>
      </c>
      <c r="T3" s="35" t="s">
        <v>800</v>
      </c>
      <c r="U3" s="35" t="s">
        <v>801</v>
      </c>
      <c r="V3" s="34" t="s">
        <v>68</v>
      </c>
    </row>
    <row r="4" spans="2:22">
      <c r="B4" s="149" t="s">
        <v>2</v>
      </c>
      <c r="C4" s="189">
        <v>0</v>
      </c>
      <c r="D4" s="149"/>
      <c r="F4" s="149" t="s">
        <v>14</v>
      </c>
      <c r="G4" s="190">
        <v>0.3</v>
      </c>
      <c r="H4" s="149"/>
      <c r="J4" s="149" t="s">
        <v>14</v>
      </c>
      <c r="K4" s="190">
        <v>4.7</v>
      </c>
      <c r="L4" s="149"/>
      <c r="N4" s="222" t="s">
        <v>590</v>
      </c>
      <c r="O4" s="224" t="s">
        <v>591</v>
      </c>
      <c r="P4" s="222" t="s">
        <v>590</v>
      </c>
      <c r="Q4" s="224" t="s">
        <v>592</v>
      </c>
      <c r="R4" s="191" t="s">
        <v>802</v>
      </c>
      <c r="S4" s="152">
        <v>3.4</v>
      </c>
      <c r="T4" s="189">
        <v>0.6</v>
      </c>
      <c r="U4" s="189">
        <v>1.3</v>
      </c>
      <c r="V4" s="149"/>
    </row>
    <row r="5" spans="2:22">
      <c r="B5" s="150">
        <v>1</v>
      </c>
      <c r="C5" s="189">
        <v>3.8</v>
      </c>
      <c r="D5" s="149"/>
      <c r="F5" s="149" t="s">
        <v>110</v>
      </c>
      <c r="G5" s="190">
        <v>1.4</v>
      </c>
      <c r="H5" s="149" t="s">
        <v>87</v>
      </c>
      <c r="J5" s="149" t="s">
        <v>110</v>
      </c>
      <c r="K5" s="190">
        <v>4.7</v>
      </c>
      <c r="L5" s="149" t="s">
        <v>111</v>
      </c>
      <c r="N5" s="223"/>
      <c r="O5" s="225"/>
      <c r="P5" s="223"/>
      <c r="Q5" s="225"/>
      <c r="R5" s="191"/>
      <c r="S5" s="152">
        <v>4.3</v>
      </c>
      <c r="T5" s="189">
        <v>0.6</v>
      </c>
      <c r="U5" s="189">
        <v>1.3</v>
      </c>
      <c r="V5" s="149"/>
    </row>
    <row r="6" spans="2:22">
      <c r="B6" s="150">
        <v>2</v>
      </c>
      <c r="C6" s="189">
        <v>5.0999999999999996</v>
      </c>
      <c r="D6" s="149"/>
      <c r="F6" s="149" t="s">
        <v>15</v>
      </c>
      <c r="G6" s="190"/>
      <c r="H6" s="149"/>
      <c r="J6" s="149" t="s">
        <v>15</v>
      </c>
      <c r="K6" s="190"/>
      <c r="L6" s="149"/>
      <c r="N6" s="70">
        <v>-40</v>
      </c>
      <c r="O6" s="71">
        <v>11.3</v>
      </c>
      <c r="P6" s="70">
        <v>-40</v>
      </c>
      <c r="Q6" s="71">
        <v>11.3</v>
      </c>
      <c r="R6" s="191"/>
      <c r="S6" s="152">
        <v>5.3</v>
      </c>
      <c r="T6" s="189">
        <v>1</v>
      </c>
      <c r="U6" s="189">
        <v>1.3</v>
      </c>
      <c r="V6" s="149"/>
    </row>
    <row r="7" spans="2:22">
      <c r="B7" s="150">
        <v>3</v>
      </c>
      <c r="C7" s="189">
        <v>6.3</v>
      </c>
      <c r="D7" s="149"/>
      <c r="F7" s="149" t="s">
        <v>16</v>
      </c>
      <c r="G7" s="190">
        <v>1.4</v>
      </c>
      <c r="H7" s="149" t="s">
        <v>238</v>
      </c>
      <c r="J7" s="149" t="s">
        <v>16</v>
      </c>
      <c r="K7" s="190">
        <v>3.23</v>
      </c>
      <c r="L7" s="149" t="s">
        <v>238</v>
      </c>
      <c r="N7" s="70">
        <v>-20</v>
      </c>
      <c r="O7" s="71">
        <v>11.3</v>
      </c>
      <c r="P7" s="70">
        <v>-20</v>
      </c>
      <c r="Q7" s="71">
        <v>11.3</v>
      </c>
      <c r="R7" s="191"/>
      <c r="S7" s="152">
        <v>6.3</v>
      </c>
      <c r="T7" s="189">
        <v>1.4</v>
      </c>
      <c r="U7" s="189">
        <v>1.4</v>
      </c>
      <c r="V7" s="149"/>
    </row>
    <row r="8" spans="2:22">
      <c r="B8" s="150">
        <v>4</v>
      </c>
      <c r="C8" s="189">
        <v>7.6</v>
      </c>
      <c r="D8" s="149"/>
      <c r="F8" s="149" t="s">
        <v>17</v>
      </c>
      <c r="G8" s="190">
        <v>2.5</v>
      </c>
      <c r="H8" s="149"/>
      <c r="J8" s="149" t="s">
        <v>17</v>
      </c>
      <c r="K8" s="190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1"/>
      <c r="S8" s="152">
        <v>7.4</v>
      </c>
      <c r="T8" s="189">
        <v>1.8</v>
      </c>
      <c r="U8" s="189">
        <v>1.4</v>
      </c>
      <c r="V8" s="149"/>
    </row>
    <row r="9" spans="2:22">
      <c r="B9" s="150">
        <v>5</v>
      </c>
      <c r="C9" s="189">
        <v>8.8000000000000007</v>
      </c>
      <c r="D9" s="149"/>
      <c r="F9" s="149" t="s">
        <v>109</v>
      </c>
      <c r="G9" s="190">
        <v>3.6</v>
      </c>
      <c r="H9" s="149" t="s">
        <v>109</v>
      </c>
      <c r="J9" s="149" t="s">
        <v>109</v>
      </c>
      <c r="K9" s="190">
        <v>3.38</v>
      </c>
      <c r="L9" s="149" t="s">
        <v>112</v>
      </c>
      <c r="N9" s="70">
        <v>-5</v>
      </c>
      <c r="O9" s="71">
        <v>11.3</v>
      </c>
      <c r="P9" s="70">
        <v>-5</v>
      </c>
      <c r="Q9" s="71">
        <v>11.3</v>
      </c>
      <c r="R9" s="191"/>
      <c r="S9" s="152">
        <v>8.6</v>
      </c>
      <c r="T9" s="189">
        <v>2.1</v>
      </c>
      <c r="U9" s="189">
        <v>1.5</v>
      </c>
      <c r="V9" s="149"/>
    </row>
    <row r="10" spans="2:22">
      <c r="B10" s="150">
        <v>6</v>
      </c>
      <c r="C10" s="189">
        <v>10.1</v>
      </c>
      <c r="D10" s="149"/>
      <c r="F10" s="149" t="s">
        <v>18</v>
      </c>
      <c r="G10" s="190">
        <v>4.7</v>
      </c>
      <c r="H10" s="149"/>
      <c r="I10" s="151"/>
      <c r="J10" s="149" t="s">
        <v>18</v>
      </c>
      <c r="K10" s="190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1"/>
      <c r="S10" s="152">
        <v>9.8000000000000007</v>
      </c>
      <c r="T10" s="189">
        <v>2.5</v>
      </c>
      <c r="U10" s="189">
        <v>1.5</v>
      </c>
      <c r="V10" s="149"/>
    </row>
    <row r="11" spans="2:22">
      <c r="B11" s="150">
        <v>7</v>
      </c>
      <c r="C11" s="189">
        <v>11.3</v>
      </c>
      <c r="D11" s="149"/>
      <c r="F11" s="149" t="s">
        <v>19</v>
      </c>
      <c r="G11" s="190"/>
      <c r="H11" s="149"/>
      <c r="I11" s="151"/>
      <c r="J11" s="149" t="s">
        <v>19</v>
      </c>
      <c r="K11" s="189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1"/>
      <c r="S11" s="152">
        <v>11</v>
      </c>
      <c r="T11" s="189">
        <v>2.9</v>
      </c>
      <c r="U11" s="189">
        <v>1.5</v>
      </c>
      <c r="V11" s="149"/>
    </row>
    <row r="12" spans="2:22">
      <c r="B12" s="150">
        <v>8</v>
      </c>
      <c r="C12" s="189">
        <v>13.5</v>
      </c>
      <c r="D12" s="149"/>
      <c r="F12" s="149" t="s">
        <v>20</v>
      </c>
      <c r="G12" s="190"/>
      <c r="H12" s="149"/>
      <c r="I12" s="151"/>
      <c r="J12" s="149" t="s">
        <v>20</v>
      </c>
      <c r="K12" s="189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1" t="s">
        <v>803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288</v>
      </c>
      <c r="G13" s="189">
        <v>4.7</v>
      </c>
      <c r="H13" s="149"/>
      <c r="I13" s="151"/>
      <c r="J13" s="149" t="s">
        <v>288</v>
      </c>
      <c r="K13" s="189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9">
        <v>2.5</v>
      </c>
      <c r="H14" s="149"/>
      <c r="I14" s="151"/>
      <c r="J14" s="149" t="s">
        <v>365</v>
      </c>
      <c r="K14" s="189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743</v>
      </c>
      <c r="G15" s="189">
        <v>0.9</v>
      </c>
      <c r="H15" s="149"/>
      <c r="I15" s="151"/>
      <c r="J15" s="149" t="s">
        <v>335</v>
      </c>
      <c r="K15" s="189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287</v>
      </c>
      <c r="C16" s="152">
        <v>6.5</v>
      </c>
      <c r="D16" s="149"/>
      <c r="F16" s="149" t="s">
        <v>804</v>
      </c>
      <c r="G16" s="189">
        <v>4.7</v>
      </c>
      <c r="H16" s="149"/>
      <c r="I16" s="151"/>
      <c r="J16" s="149" t="s">
        <v>336</v>
      </c>
      <c r="K16" s="189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362</v>
      </c>
      <c r="C17" s="152">
        <v>4.5</v>
      </c>
      <c r="D17" s="149"/>
      <c r="F17" s="149" t="s">
        <v>805</v>
      </c>
      <c r="G17" s="189">
        <v>1.2</v>
      </c>
      <c r="H17" s="149"/>
      <c r="I17" s="151"/>
      <c r="J17" s="149" t="s">
        <v>743</v>
      </c>
      <c r="K17" s="189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9"/>
      <c r="H18" s="149"/>
      <c r="I18" s="151"/>
      <c r="J18" s="149" t="s">
        <v>759</v>
      </c>
      <c r="K18" s="189">
        <v>4.7</v>
      </c>
      <c r="L18" s="149" t="s">
        <v>744</v>
      </c>
    </row>
    <row r="19" spans="2:17">
      <c r="B19" s="149"/>
      <c r="C19" s="152"/>
      <c r="D19" s="149"/>
      <c r="F19" s="149"/>
      <c r="G19" s="189"/>
      <c r="H19" s="149"/>
      <c r="I19" s="151"/>
      <c r="J19" s="149"/>
      <c r="K19" s="189"/>
      <c r="L19" s="149"/>
      <c r="N19" s="32" t="s">
        <v>358</v>
      </c>
    </row>
    <row r="20" spans="2:17" ht="13.5">
      <c r="B20" s="149"/>
      <c r="C20" s="152"/>
      <c r="D20" s="149" t="s">
        <v>797</v>
      </c>
      <c r="F20" s="149"/>
      <c r="G20" s="189"/>
      <c r="H20" s="149"/>
      <c r="I20" s="151"/>
      <c r="J20" s="149"/>
      <c r="K20" s="189"/>
      <c r="L20" s="149"/>
      <c r="N20" s="72" t="s">
        <v>354</v>
      </c>
      <c r="O20" s="73"/>
      <c r="P20" s="73"/>
      <c r="Q20" s="74"/>
    </row>
    <row r="21" spans="2:17" ht="13.5">
      <c r="B21" s="149" t="s">
        <v>283</v>
      </c>
      <c r="C21" s="152" t="s">
        <v>284</v>
      </c>
      <c r="D21" s="149"/>
      <c r="F21" s="149"/>
      <c r="G21" s="189"/>
      <c r="H21" s="149"/>
      <c r="I21" s="151"/>
      <c r="J21" s="149"/>
      <c r="K21" s="189"/>
      <c r="L21" s="149"/>
      <c r="N21" s="72" t="s">
        <v>355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350</v>
      </c>
      <c r="P22" s="75" t="s">
        <v>351</v>
      </c>
      <c r="Q22" s="75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51"/>
      <c r="J23" s="56" t="s">
        <v>257</v>
      </c>
      <c r="K23" s="56"/>
      <c r="L23" s="57"/>
      <c r="N23" s="102" t="s">
        <v>353</v>
      </c>
      <c r="O23" s="102" t="s">
        <v>593</v>
      </c>
      <c r="P23" s="102" t="s">
        <v>593</v>
      </c>
      <c r="Q23" s="102" t="s">
        <v>593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51"/>
      <c r="J24" s="58" t="s">
        <v>258</v>
      </c>
      <c r="K24" s="59" t="s">
        <v>259</v>
      </c>
      <c r="L24" s="58" t="s">
        <v>68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49</v>
      </c>
      <c r="C25" s="152">
        <v>0.3</v>
      </c>
      <c r="D25" s="149" t="s">
        <v>96</v>
      </c>
      <c r="F25" s="149" t="s">
        <v>78</v>
      </c>
      <c r="G25" s="152">
        <v>0.3</v>
      </c>
      <c r="H25" s="149"/>
      <c r="I25" s="151"/>
      <c r="J25" s="154">
        <v>0</v>
      </c>
      <c r="K25" s="60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50</v>
      </c>
      <c r="C26" s="152">
        <v>4.7</v>
      </c>
      <c r="D26" s="149" t="s">
        <v>96</v>
      </c>
      <c r="F26" s="149" t="s">
        <v>79</v>
      </c>
      <c r="G26" s="152">
        <v>4.7</v>
      </c>
      <c r="H26" s="149" t="s">
        <v>366</v>
      </c>
      <c r="I26" s="151"/>
      <c r="J26" s="155">
        <v>3</v>
      </c>
      <c r="K26" s="60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75</v>
      </c>
      <c r="C27" s="152">
        <v>1.5</v>
      </c>
      <c r="D27" s="149" t="s">
        <v>96</v>
      </c>
      <c r="F27" s="149" t="s">
        <v>80</v>
      </c>
      <c r="G27" s="152"/>
      <c r="H27" s="149"/>
      <c r="I27" s="151"/>
      <c r="J27" s="155">
        <v>5.5</v>
      </c>
      <c r="K27" s="60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714</v>
      </c>
      <c r="C28" s="152">
        <v>2.5</v>
      </c>
      <c r="D28" s="149" t="s">
        <v>715</v>
      </c>
      <c r="F28" s="149" t="s">
        <v>81</v>
      </c>
      <c r="G28" s="152"/>
      <c r="H28" s="149"/>
      <c r="I28" s="151"/>
      <c r="J28" s="155">
        <v>6.3</v>
      </c>
      <c r="K28" s="60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716</v>
      </c>
      <c r="C29" s="152">
        <v>2.94</v>
      </c>
      <c r="D29" s="149" t="s">
        <v>717</v>
      </c>
      <c r="F29" s="149" t="s">
        <v>82</v>
      </c>
      <c r="G29" s="152"/>
      <c r="H29" s="149"/>
      <c r="I29" s="151"/>
      <c r="J29" s="155">
        <v>7.1</v>
      </c>
      <c r="K29" s="60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718</v>
      </c>
      <c r="C30" s="152">
        <v>3.38</v>
      </c>
      <c r="D30" s="149" t="s">
        <v>719</v>
      </c>
      <c r="F30" s="149" t="s">
        <v>742</v>
      </c>
      <c r="G30" s="152">
        <v>1.7</v>
      </c>
      <c r="H30" s="149" t="s">
        <v>766</v>
      </c>
      <c r="I30" s="151"/>
      <c r="J30" s="155">
        <v>8</v>
      </c>
      <c r="K30" s="60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720</v>
      </c>
      <c r="C31" s="152">
        <v>3.82</v>
      </c>
      <c r="D31" s="149" t="s">
        <v>721</v>
      </c>
      <c r="F31" s="149"/>
      <c r="G31" s="152"/>
      <c r="H31" s="149"/>
      <c r="I31" s="151"/>
      <c r="J31" s="155">
        <v>9.4</v>
      </c>
      <c r="K31" s="60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320</v>
      </c>
      <c r="C32" s="152">
        <v>2.8</v>
      </c>
      <c r="D32" s="149" t="s">
        <v>95</v>
      </c>
      <c r="F32" s="149"/>
      <c r="G32" s="152"/>
      <c r="H32" s="149"/>
      <c r="I32" s="151"/>
      <c r="J32" s="155">
        <v>10.5</v>
      </c>
      <c r="K32" s="60">
        <v>7</v>
      </c>
      <c r="L32" s="154"/>
    </row>
    <row r="33" spans="2:16">
      <c r="B33" s="149" t="s">
        <v>741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60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6" t="s">
        <v>260</v>
      </c>
      <c r="K35" s="56"/>
      <c r="L35" s="57"/>
    </row>
    <row r="36" spans="2:16">
      <c r="B36" s="149"/>
      <c r="C36" s="152"/>
      <c r="D36" s="149"/>
      <c r="F36" s="149"/>
      <c r="G36" s="152"/>
      <c r="H36" s="149"/>
      <c r="I36" s="151"/>
      <c r="J36" s="58" t="s">
        <v>258</v>
      </c>
      <c r="K36" s="59" t="s">
        <v>259</v>
      </c>
      <c r="L36" s="58" t="s">
        <v>68</v>
      </c>
    </row>
    <row r="37" spans="2:16" ht="13.5">
      <c r="B37" s="149" t="s">
        <v>368</v>
      </c>
      <c r="C37" s="152" t="s">
        <v>369</v>
      </c>
      <c r="D37" s="149"/>
      <c r="F37" s="149" t="s">
        <v>246</v>
      </c>
      <c r="G37" s="152" t="s">
        <v>429</v>
      </c>
      <c r="H37" s="149"/>
      <c r="I37" s="151"/>
      <c r="J37" s="154">
        <v>0</v>
      </c>
      <c r="K37" s="60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60">
        <v>1</v>
      </c>
      <c r="L38" s="154"/>
    </row>
    <row r="39" spans="2:16">
      <c r="B39" s="87" t="s">
        <v>55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60">
        <v>2</v>
      </c>
      <c r="L39" s="154"/>
    </row>
    <row r="40" spans="2:16">
      <c r="B40" s="87" t="s">
        <v>56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60">
        <v>3</v>
      </c>
      <c r="L40" s="154"/>
    </row>
    <row r="41" spans="2:16">
      <c r="B41" s="87" t="s">
        <v>57</v>
      </c>
      <c r="C41" s="158">
        <f t="shared" ref="C41:C48" si="0">INDEX(E41:H41,1,col_country)</f>
        <v>0</v>
      </c>
      <c r="D41" s="151"/>
      <c r="E41" s="87">
        <v>0</v>
      </c>
      <c r="F41" s="87">
        <v>1</v>
      </c>
      <c r="G41" s="87">
        <v>0</v>
      </c>
      <c r="H41" s="87">
        <v>0</v>
      </c>
      <c r="I41" s="151"/>
      <c r="J41" s="155">
        <v>6.81</v>
      </c>
      <c r="K41" s="60">
        <v>4</v>
      </c>
      <c r="L41" s="154"/>
    </row>
    <row r="42" spans="2:16">
      <c r="B42" s="87" t="s">
        <v>58</v>
      </c>
      <c r="C42" s="158" t="str">
        <f t="shared" si="0"/>
        <v>degC</v>
      </c>
      <c r="D42" s="151"/>
      <c r="E42" s="87" t="s">
        <v>12</v>
      </c>
      <c r="F42" s="87" t="s">
        <v>13</v>
      </c>
      <c r="G42" s="87" t="s">
        <v>12</v>
      </c>
      <c r="H42" s="87" t="s">
        <v>12</v>
      </c>
      <c r="I42" s="151"/>
      <c r="J42" s="155">
        <v>7.71</v>
      </c>
      <c r="K42" s="60">
        <v>5</v>
      </c>
      <c r="L42" s="154"/>
    </row>
    <row r="43" spans="2:16">
      <c r="B43" s="87" t="s">
        <v>59</v>
      </c>
      <c r="C43" s="158">
        <f t="shared" si="0"/>
        <v>22</v>
      </c>
      <c r="D43" s="151"/>
      <c r="E43" s="87">
        <v>22</v>
      </c>
      <c r="F43" s="87">
        <v>72</v>
      </c>
      <c r="G43" s="87">
        <v>22</v>
      </c>
      <c r="H43" s="87">
        <v>22</v>
      </c>
      <c r="J43" s="155">
        <v>9.11</v>
      </c>
      <c r="K43" s="60">
        <v>6</v>
      </c>
      <c r="L43" s="154"/>
    </row>
    <row r="44" spans="2:16">
      <c r="B44" s="87" t="s">
        <v>60</v>
      </c>
      <c r="C44" s="158">
        <f t="shared" si="0"/>
        <v>14</v>
      </c>
      <c r="D44" s="151"/>
      <c r="E44" s="87">
        <v>14</v>
      </c>
      <c r="F44" s="87">
        <v>56</v>
      </c>
      <c r="G44" s="87">
        <v>14</v>
      </c>
      <c r="H44" s="87">
        <v>14</v>
      </c>
      <c r="J44" s="155">
        <v>10.210000000000001</v>
      </c>
      <c r="K44" s="60">
        <v>7</v>
      </c>
      <c r="L44" s="154"/>
    </row>
    <row r="45" spans="2:16">
      <c r="B45" s="87" t="s">
        <v>61</v>
      </c>
      <c r="C45" s="158">
        <f t="shared" si="0"/>
        <v>17</v>
      </c>
      <c r="D45" s="151"/>
      <c r="E45" s="87">
        <v>17</v>
      </c>
      <c r="F45" s="87">
        <v>62</v>
      </c>
      <c r="G45" s="87">
        <v>17</v>
      </c>
      <c r="H45" s="87">
        <v>17</v>
      </c>
      <c r="J45" s="155">
        <v>12.21</v>
      </c>
      <c r="K45" s="60">
        <v>8</v>
      </c>
      <c r="L45" s="154"/>
    </row>
    <row r="46" spans="2:16">
      <c r="B46" s="87" t="s">
        <v>62</v>
      </c>
      <c r="C46" s="158">
        <f t="shared" si="0"/>
        <v>27</v>
      </c>
      <c r="D46" s="151"/>
      <c r="E46" s="87">
        <v>27</v>
      </c>
      <c r="F46" s="87">
        <v>82</v>
      </c>
      <c r="G46" s="87">
        <v>27</v>
      </c>
      <c r="H46" s="87">
        <v>27</v>
      </c>
      <c r="I46" s="151"/>
      <c r="J46" s="151"/>
      <c r="K46" s="151"/>
      <c r="L46" s="151"/>
    </row>
    <row r="47" spans="2:16">
      <c r="B47" s="87" t="s">
        <v>63</v>
      </c>
      <c r="C47" s="158">
        <f t="shared" si="0"/>
        <v>141.5</v>
      </c>
      <c r="D47" s="151"/>
      <c r="E47" s="87">
        <v>141.5</v>
      </c>
      <c r="F47" s="87">
        <v>311</v>
      </c>
      <c r="G47" s="87">
        <v>141.5</v>
      </c>
      <c r="H47" s="87">
        <v>141.5</v>
      </c>
      <c r="I47" s="151"/>
      <c r="J47" s="56" t="s">
        <v>424</v>
      </c>
      <c r="K47" s="56"/>
      <c r="L47" s="57"/>
      <c r="N47" s="32" t="s">
        <v>560</v>
      </c>
      <c r="O47" s="32"/>
      <c r="P47" s="33"/>
    </row>
    <row r="48" spans="2:16" s="33" customFormat="1">
      <c r="B48" s="87" t="s">
        <v>64</v>
      </c>
      <c r="C48" s="158">
        <f t="shared" si="0"/>
        <v>0.5</v>
      </c>
      <c r="D48" s="151"/>
      <c r="E48" s="87">
        <v>0.5</v>
      </c>
      <c r="F48" s="87">
        <v>1</v>
      </c>
      <c r="G48" s="87">
        <v>0.5</v>
      </c>
      <c r="H48" s="87">
        <v>0.5</v>
      </c>
      <c r="I48" s="160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561</v>
      </c>
      <c r="P48" s="34" t="s">
        <v>54</v>
      </c>
    </row>
    <row r="49" spans="2:16" ht="13.5">
      <c r="F49" s="160"/>
      <c r="G49" s="151"/>
      <c r="I49" s="160"/>
      <c r="J49" s="154" t="s">
        <v>375</v>
      </c>
      <c r="K49" s="60">
        <v>30</v>
      </c>
      <c r="L49" s="154" t="s">
        <v>376</v>
      </c>
      <c r="N49" s="149" t="s">
        <v>562</v>
      </c>
      <c r="O49" s="152">
        <v>1</v>
      </c>
      <c r="P49" s="149" t="s">
        <v>562</v>
      </c>
    </row>
    <row r="50" spans="2:16" ht="13.5">
      <c r="B50" s="149" t="s">
        <v>145</v>
      </c>
      <c r="C50" s="152" t="str">
        <f>const_TempUnit</f>
        <v>degC</v>
      </c>
      <c r="E50" s="54" t="s">
        <v>253</v>
      </c>
      <c r="F50" s="161"/>
      <c r="I50" s="160"/>
      <c r="J50" s="154" t="s">
        <v>377</v>
      </c>
      <c r="K50" s="60">
        <v>35</v>
      </c>
      <c r="L50" s="154" t="s">
        <v>378</v>
      </c>
      <c r="N50" s="149" t="s">
        <v>563</v>
      </c>
      <c r="O50" s="152">
        <v>4</v>
      </c>
      <c r="P50" s="149" t="s">
        <v>564</v>
      </c>
    </row>
    <row r="51" spans="2:16" ht="13.5">
      <c r="B51" s="149" t="s">
        <v>146</v>
      </c>
      <c r="C51" s="152" t="str">
        <f>IF(FLAG_Country&lt;&gt;"USA",F42,E42)</f>
        <v>degF</v>
      </c>
      <c r="E51" s="55" t="s">
        <v>431</v>
      </c>
      <c r="F51" s="55" t="s">
        <v>254</v>
      </c>
      <c r="I51" s="160"/>
      <c r="J51" s="154" t="s">
        <v>379</v>
      </c>
      <c r="K51" s="60">
        <v>55</v>
      </c>
      <c r="L51" s="154" t="s">
        <v>380</v>
      </c>
      <c r="N51" s="149" t="s">
        <v>565</v>
      </c>
      <c r="O51" s="152">
        <v>3</v>
      </c>
      <c r="P51" s="149" t="s">
        <v>566</v>
      </c>
    </row>
    <row r="52" spans="2:16">
      <c r="B52" s="149" t="s">
        <v>147</v>
      </c>
      <c r="C52" s="152">
        <f>const_Tset_default</f>
        <v>22</v>
      </c>
      <c r="E52" s="152">
        <v>35</v>
      </c>
      <c r="F52" s="162">
        <f>Celo_Blower_Min</f>
        <v>4.5</v>
      </c>
      <c r="I52" s="160"/>
      <c r="N52" s="149" t="s">
        <v>567</v>
      </c>
      <c r="O52" s="152">
        <v>2</v>
      </c>
      <c r="P52" s="149" t="s">
        <v>568</v>
      </c>
    </row>
    <row r="53" spans="2:16">
      <c r="B53" s="149" t="s">
        <v>148</v>
      </c>
      <c r="C53" s="152">
        <f>IF(FLAG_Country&lt;&gt;"USA",F43,E43)</f>
        <v>72</v>
      </c>
      <c r="E53" s="152">
        <v>55</v>
      </c>
      <c r="F53" s="162">
        <f>Celo_Blower_Max</f>
        <v>11.3</v>
      </c>
      <c r="I53" s="160"/>
      <c r="N53" s="151"/>
      <c r="O53" s="151"/>
      <c r="P53" s="151"/>
    </row>
    <row r="54" spans="2:16">
      <c r="B54" s="149" t="s">
        <v>149</v>
      </c>
      <c r="C54" s="152">
        <f>const_Tset_off</f>
        <v>14</v>
      </c>
      <c r="F54" s="160"/>
      <c r="G54" s="151"/>
      <c r="I54" s="160"/>
      <c r="J54" s="32" t="s">
        <v>504</v>
      </c>
      <c r="N54" s="32" t="s">
        <v>569</v>
      </c>
      <c r="O54" s="32"/>
      <c r="P54" s="33"/>
    </row>
    <row r="55" spans="2:16">
      <c r="B55" s="149" t="s">
        <v>150</v>
      </c>
      <c r="C55" s="152">
        <f>IF(FLAG_Country&lt;&gt;"USA",F44,E44)</f>
        <v>56</v>
      </c>
      <c r="E55" s="54" t="s">
        <v>339</v>
      </c>
      <c r="F55" s="161"/>
      <c r="G55" s="54" t="s">
        <v>349</v>
      </c>
      <c r="H55" s="161"/>
      <c r="I55" s="160"/>
      <c r="J55" s="34" t="s">
        <v>580</v>
      </c>
      <c r="K55" s="35" t="s">
        <v>581</v>
      </c>
      <c r="L55" s="34" t="s">
        <v>54</v>
      </c>
      <c r="N55" s="34" t="s">
        <v>52</v>
      </c>
      <c r="O55" s="35" t="s">
        <v>561</v>
      </c>
      <c r="P55" s="34" t="s">
        <v>54</v>
      </c>
    </row>
    <row r="56" spans="2:16">
      <c r="B56" s="149" t="s">
        <v>151</v>
      </c>
      <c r="C56" s="152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60"/>
      <c r="J56" s="149">
        <v>0</v>
      </c>
      <c r="K56" s="42">
        <v>0</v>
      </c>
      <c r="L56" s="149"/>
      <c r="N56" s="149" t="s">
        <v>562</v>
      </c>
      <c r="O56" s="152">
        <v>1</v>
      </c>
      <c r="P56" s="149" t="s">
        <v>562</v>
      </c>
    </row>
    <row r="57" spans="2:16">
      <c r="B57" s="149" t="s">
        <v>152</v>
      </c>
      <c r="C57" s="152">
        <f>IF(FLAG_Country&lt;&gt;"USA",F45,E45)</f>
        <v>62</v>
      </c>
      <c r="E57" s="152">
        <v>1.6</v>
      </c>
      <c r="F57" s="162">
        <f>ADS_Min</f>
        <v>4.2</v>
      </c>
      <c r="G57" s="152">
        <v>35</v>
      </c>
      <c r="H57" s="162">
        <f>PM_Blower_Min</f>
        <v>3.8</v>
      </c>
      <c r="I57" s="163"/>
      <c r="J57" s="149">
        <v>400</v>
      </c>
      <c r="K57" s="42">
        <v>0.34</v>
      </c>
      <c r="L57" s="149"/>
      <c r="N57" s="149" t="s">
        <v>563</v>
      </c>
      <c r="O57" s="152">
        <v>2</v>
      </c>
      <c r="P57" s="149" t="s">
        <v>564</v>
      </c>
    </row>
    <row r="58" spans="2:16">
      <c r="B58" s="149" t="s">
        <v>153</v>
      </c>
      <c r="C58" s="152">
        <f>const_Tset_max</f>
        <v>27</v>
      </c>
      <c r="E58" s="152">
        <v>4.2</v>
      </c>
      <c r="F58" s="162">
        <f>ADS_Max</f>
        <v>8</v>
      </c>
      <c r="G58" s="152">
        <v>75</v>
      </c>
      <c r="H58" s="162">
        <f>PM_Blower_Max</f>
        <v>8</v>
      </c>
      <c r="I58" s="160"/>
      <c r="J58" s="149">
        <v>1000</v>
      </c>
      <c r="K58" s="42">
        <v>0.85</v>
      </c>
      <c r="L58" s="149"/>
      <c r="N58" s="149" t="s">
        <v>565</v>
      </c>
      <c r="O58" s="152">
        <v>3</v>
      </c>
      <c r="P58" s="149" t="s">
        <v>566</v>
      </c>
    </row>
    <row r="59" spans="2:16">
      <c r="B59" s="149" t="s">
        <v>154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2">
        <v>1.7</v>
      </c>
      <c r="L59" s="149"/>
      <c r="N59" s="149" t="s">
        <v>567</v>
      </c>
      <c r="O59" s="152">
        <v>4</v>
      </c>
      <c r="P59" s="149" t="s">
        <v>568</v>
      </c>
    </row>
    <row r="60" spans="2:16">
      <c r="B60" s="149" t="s">
        <v>155</v>
      </c>
      <c r="C60" s="152">
        <f>const_Tset_invalid</f>
        <v>141.5</v>
      </c>
      <c r="E60" s="54" t="s">
        <v>340</v>
      </c>
      <c r="F60" s="161"/>
      <c r="G60" s="54" t="s">
        <v>348</v>
      </c>
      <c r="H60" s="161"/>
      <c r="I60" s="160"/>
      <c r="J60" s="149">
        <v>3000</v>
      </c>
      <c r="K60" s="42">
        <v>2.5499999999999998</v>
      </c>
      <c r="L60" s="149"/>
    </row>
    <row r="61" spans="2:16">
      <c r="B61" s="149" t="s">
        <v>156</v>
      </c>
      <c r="C61" s="152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60"/>
      <c r="J61" s="149">
        <v>4000</v>
      </c>
      <c r="K61" s="42">
        <v>3.4</v>
      </c>
      <c r="L61" s="149"/>
    </row>
    <row r="62" spans="2:16">
      <c r="B62" s="149" t="s">
        <v>157</v>
      </c>
      <c r="C62" s="152">
        <f>const_Tset_resolution</f>
        <v>0.5</v>
      </c>
      <c r="E62" s="152">
        <v>1</v>
      </c>
      <c r="F62" s="162">
        <f>ADS_Min</f>
        <v>4.2</v>
      </c>
      <c r="G62" s="152">
        <v>25</v>
      </c>
      <c r="H62" s="162">
        <f>PM_Blower_Min</f>
        <v>3.8</v>
      </c>
      <c r="I62" s="163"/>
      <c r="J62" s="163"/>
    </row>
    <row r="63" spans="2:16">
      <c r="B63" s="149" t="s">
        <v>159</v>
      </c>
      <c r="C63" s="152">
        <f>IF(FLAG_Country&lt;&gt;"USA",F48,E48)</f>
        <v>1</v>
      </c>
      <c r="E63" s="152">
        <v>3.6</v>
      </c>
      <c r="F63" s="162">
        <f>ADS_Max</f>
        <v>8</v>
      </c>
      <c r="G63" s="152">
        <v>65</v>
      </c>
      <c r="H63" s="162">
        <f>PM_Blower_Max</f>
        <v>8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2" t="s">
        <v>163</v>
      </c>
      <c r="F66" s="32" t="s">
        <v>469</v>
      </c>
      <c r="I66" s="151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8" t="s">
        <v>579</v>
      </c>
      <c r="C68" s="219"/>
      <c r="D68" s="220"/>
      <c r="F68" s="149" t="s">
        <v>212</v>
      </c>
      <c r="G68" s="42" t="s">
        <v>325</v>
      </c>
      <c r="H68" s="149" t="s">
        <v>806</v>
      </c>
      <c r="J68" s="149" t="s">
        <v>280</v>
      </c>
      <c r="K68" s="43" t="s">
        <v>277</v>
      </c>
      <c r="L68" s="149" t="s">
        <v>281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160</v>
      </c>
      <c r="C69" s="152" t="s">
        <v>417</v>
      </c>
      <c r="D69" s="149" t="s">
        <v>410</v>
      </c>
      <c r="E69" s="148" t="s">
        <v>807</v>
      </c>
      <c r="F69" s="149" t="s">
        <v>211</v>
      </c>
      <c r="G69" s="42" t="s">
        <v>325</v>
      </c>
      <c r="H69" s="149" t="s">
        <v>808</v>
      </c>
      <c r="J69" s="149" t="s">
        <v>290</v>
      </c>
      <c r="K69" s="43" t="s">
        <v>298</v>
      </c>
      <c r="L69" s="149" t="s">
        <v>289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166</v>
      </c>
      <c r="C70" s="152" t="s">
        <v>783</v>
      </c>
      <c r="D70" s="149"/>
      <c r="F70" s="149" t="s">
        <v>299</v>
      </c>
      <c r="G70" s="42" t="s">
        <v>213</v>
      </c>
      <c r="H70" s="149" t="s">
        <v>809</v>
      </c>
      <c r="J70" s="149" t="s">
        <v>292</v>
      </c>
      <c r="K70" s="43" t="s">
        <v>317</v>
      </c>
      <c r="L70" s="149" t="s">
        <v>291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167</v>
      </c>
      <c r="C71" s="152" t="s">
        <v>810</v>
      </c>
      <c r="D71" s="149"/>
      <c r="F71" s="149" t="s">
        <v>300</v>
      </c>
      <c r="G71" s="42" t="s">
        <v>213</v>
      </c>
      <c r="H71" s="149" t="s">
        <v>811</v>
      </c>
      <c r="J71" s="149" t="s">
        <v>294</v>
      </c>
      <c r="K71" s="43" t="s">
        <v>297</v>
      </c>
      <c r="L71" s="149" t="s">
        <v>278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168</v>
      </c>
      <c r="C72" s="152" t="s">
        <v>784</v>
      </c>
      <c r="D72" s="149"/>
      <c r="F72" s="149" t="s">
        <v>326</v>
      </c>
      <c r="G72" s="42" t="s">
        <v>325</v>
      </c>
      <c r="H72" s="149" t="s">
        <v>466</v>
      </c>
      <c r="J72" s="149" t="s">
        <v>295</v>
      </c>
      <c r="K72" s="43" t="s">
        <v>296</v>
      </c>
      <c r="L72" s="149" t="s">
        <v>279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169</v>
      </c>
      <c r="C73" s="152" t="s">
        <v>785</v>
      </c>
      <c r="D73" s="149"/>
      <c r="F73" s="149" t="s">
        <v>381</v>
      </c>
      <c r="G73" s="42" t="s">
        <v>325</v>
      </c>
      <c r="H73" s="149" t="s">
        <v>467</v>
      </c>
      <c r="J73" s="149" t="s">
        <v>293</v>
      </c>
      <c r="K73" s="43" t="s">
        <v>318</v>
      </c>
      <c r="L73" s="149" t="s">
        <v>282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165</v>
      </c>
      <c r="C74" s="152" t="s">
        <v>812</v>
      </c>
      <c r="D74" s="149"/>
      <c r="F74" s="149" t="s">
        <v>465</v>
      </c>
      <c r="G74" s="42" t="s">
        <v>213</v>
      </c>
      <c r="H74" s="149" t="s">
        <v>468</v>
      </c>
      <c r="J74" s="149" t="s">
        <v>382</v>
      </c>
      <c r="K74" s="43" t="s">
        <v>383</v>
      </c>
      <c r="L74" s="149" t="s">
        <v>395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170</v>
      </c>
      <c r="C75" s="152" t="s">
        <v>813</v>
      </c>
      <c r="D75" s="149"/>
      <c r="F75" s="149" t="s">
        <v>474</v>
      </c>
      <c r="G75" s="42" t="s">
        <v>213</v>
      </c>
      <c r="H75" s="149" t="s">
        <v>473</v>
      </c>
      <c r="J75" s="149" t="s">
        <v>525</v>
      </c>
      <c r="K75" s="43" t="s">
        <v>755</v>
      </c>
      <c r="L75" s="149" t="s">
        <v>739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171</v>
      </c>
      <c r="C76" s="152" t="s">
        <v>814</v>
      </c>
      <c r="D76" s="149"/>
      <c r="F76" s="149" t="s">
        <v>487</v>
      </c>
      <c r="G76" s="42" t="s">
        <v>325</v>
      </c>
      <c r="H76" s="149" t="s">
        <v>488</v>
      </c>
      <c r="J76" s="149" t="s">
        <v>756</v>
      </c>
      <c r="K76" s="43" t="s">
        <v>757</v>
      </c>
      <c r="L76" s="149" t="s">
        <v>758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172</v>
      </c>
      <c r="C77" s="152" t="s">
        <v>815</v>
      </c>
      <c r="D77" s="149"/>
      <c r="F77" s="149" t="s">
        <v>816</v>
      </c>
      <c r="G77" s="42" t="s">
        <v>213</v>
      </c>
      <c r="H77" s="149" t="s">
        <v>817</v>
      </c>
      <c r="J77" s="149"/>
      <c r="K77" s="43"/>
      <c r="L77" s="149"/>
    </row>
    <row r="78" spans="2:20" ht="13.5">
      <c r="B78" s="149" t="s">
        <v>173</v>
      </c>
      <c r="C78" s="152" t="s">
        <v>818</v>
      </c>
      <c r="D78" s="149"/>
      <c r="F78" s="149" t="s">
        <v>819</v>
      </c>
      <c r="G78" s="42" t="s">
        <v>325</v>
      </c>
      <c r="H78" s="149" t="s">
        <v>820</v>
      </c>
      <c r="J78" s="149"/>
      <c r="K78" s="43"/>
      <c r="L78" s="149"/>
      <c r="N78" s="32" t="s">
        <v>821</v>
      </c>
      <c r="O78" s="32"/>
    </row>
    <row r="79" spans="2:20" ht="13.5">
      <c r="B79" s="149" t="s">
        <v>174</v>
      </c>
      <c r="C79" s="152" t="s">
        <v>822</v>
      </c>
      <c r="D79" s="149"/>
      <c r="F79" s="149" t="s">
        <v>823</v>
      </c>
      <c r="G79" s="42" t="s">
        <v>213</v>
      </c>
      <c r="H79" s="149" t="s">
        <v>824</v>
      </c>
      <c r="J79" s="149"/>
      <c r="K79" s="43"/>
      <c r="L79" s="149"/>
      <c r="N79" s="34"/>
      <c r="O79" s="34" t="s">
        <v>825</v>
      </c>
      <c r="P79" s="34" t="s">
        <v>826</v>
      </c>
      <c r="Q79" s="34" t="s">
        <v>827</v>
      </c>
      <c r="R79" s="34" t="s">
        <v>828</v>
      </c>
      <c r="S79" s="34" t="s">
        <v>829</v>
      </c>
    </row>
    <row r="80" spans="2:20">
      <c r="B80" s="149" t="s">
        <v>175</v>
      </c>
      <c r="C80" s="152" t="s">
        <v>782</v>
      </c>
      <c r="D80" s="149" t="s">
        <v>239</v>
      </c>
      <c r="E80" s="148" t="s">
        <v>830</v>
      </c>
      <c r="F80" s="149"/>
      <c r="G80" s="42"/>
      <c r="H80" s="149"/>
      <c r="J80" s="149"/>
      <c r="K80" s="43"/>
      <c r="L80" s="149"/>
      <c r="N80" s="192">
        <v>1</v>
      </c>
      <c r="O80" s="43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778</v>
      </c>
      <c r="C81" s="152" t="s">
        <v>831</v>
      </c>
      <c r="D81" s="149" t="s">
        <v>832</v>
      </c>
      <c r="F81" s="149"/>
      <c r="G81" s="42"/>
      <c r="H81" s="149"/>
      <c r="J81" s="149"/>
      <c r="K81" s="43"/>
      <c r="L81" s="149"/>
      <c r="N81" s="192">
        <v>1</v>
      </c>
      <c r="O81" s="43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193</v>
      </c>
      <c r="C82" s="152" t="s">
        <v>833</v>
      </c>
      <c r="D82" s="149" t="s">
        <v>240</v>
      </c>
      <c r="F82" s="149"/>
      <c r="G82" s="42"/>
      <c r="H82" s="149"/>
      <c r="J82" s="149"/>
      <c r="K82" s="43"/>
      <c r="L82" s="149"/>
      <c r="N82" s="192">
        <v>2</v>
      </c>
      <c r="O82" s="43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221</v>
      </c>
      <c r="C83" s="152" t="s">
        <v>834</v>
      </c>
      <c r="D83" s="149" t="s">
        <v>245</v>
      </c>
      <c r="F83" s="149"/>
      <c r="G83" s="42"/>
      <c r="H83" s="149"/>
      <c r="J83" s="149"/>
      <c r="K83" s="43"/>
      <c r="L83" s="149"/>
      <c r="N83" s="192">
        <v>3</v>
      </c>
      <c r="O83" s="43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570</v>
      </c>
      <c r="C84" s="152" t="s">
        <v>571</v>
      </c>
      <c r="D84" s="149" t="s">
        <v>572</v>
      </c>
      <c r="F84" s="149"/>
      <c r="G84" s="42"/>
      <c r="H84" s="149"/>
      <c r="J84" s="149"/>
      <c r="K84" s="43"/>
      <c r="L84" s="149"/>
      <c r="N84" s="192">
        <v>4</v>
      </c>
      <c r="O84" s="43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573</v>
      </c>
      <c r="C85" s="152" t="s">
        <v>574</v>
      </c>
      <c r="D85" s="149" t="s">
        <v>575</v>
      </c>
      <c r="F85" s="149"/>
      <c r="G85" s="42"/>
      <c r="H85" s="149"/>
      <c r="J85" s="149"/>
      <c r="K85" s="43"/>
      <c r="L85" s="149"/>
      <c r="N85" s="192">
        <v>5</v>
      </c>
      <c r="O85" s="43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835</v>
      </c>
      <c r="C86" s="152" t="s">
        <v>836</v>
      </c>
      <c r="D86" s="149" t="s">
        <v>837</v>
      </c>
      <c r="F86" s="149"/>
      <c r="G86" s="42"/>
      <c r="H86" s="149"/>
      <c r="J86" s="149"/>
      <c r="K86" s="43"/>
      <c r="L86" s="149"/>
      <c r="N86" s="192">
        <v>6</v>
      </c>
      <c r="O86" s="43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2"/>
      <c r="H87" s="149"/>
      <c r="J87" s="149"/>
      <c r="K87" s="43"/>
      <c r="L87" s="149"/>
      <c r="N87" s="192">
        <v>7</v>
      </c>
      <c r="O87" s="43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8" t="s">
        <v>582</v>
      </c>
      <c r="C88" s="219"/>
      <c r="D88" s="220"/>
      <c r="F88" s="149"/>
      <c r="G88" s="42"/>
      <c r="H88" s="149"/>
      <c r="J88" s="149"/>
      <c r="K88" s="43"/>
      <c r="L88" s="149"/>
      <c r="N88" s="192">
        <v>7</v>
      </c>
      <c r="O88" s="43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195</v>
      </c>
      <c r="C89" s="152" t="s">
        <v>199</v>
      </c>
      <c r="D89" s="149" t="s">
        <v>404</v>
      </c>
      <c r="F89" s="149"/>
      <c r="G89" s="42"/>
      <c r="H89" s="149"/>
      <c r="J89" s="149"/>
      <c r="K89" s="43"/>
      <c r="L89" s="149"/>
      <c r="N89" s="192">
        <v>8</v>
      </c>
      <c r="O89" s="43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196</v>
      </c>
      <c r="C90" s="152" t="s">
        <v>200</v>
      </c>
      <c r="D90" s="149" t="s">
        <v>403</v>
      </c>
      <c r="N90" s="193"/>
    </row>
    <row r="91" spans="2:19">
      <c r="B91" s="149" t="s">
        <v>197</v>
      </c>
      <c r="C91" s="152" t="s">
        <v>201</v>
      </c>
      <c r="D91" s="149" t="s">
        <v>402</v>
      </c>
      <c r="N91" s="168" t="s">
        <v>838</v>
      </c>
    </row>
    <row r="92" spans="2:19">
      <c r="B92" s="149" t="s">
        <v>198</v>
      </c>
      <c r="C92" s="152" t="s">
        <v>202</v>
      </c>
      <c r="D92" s="149" t="s">
        <v>401</v>
      </c>
      <c r="N92" s="149"/>
      <c r="O92" s="149"/>
      <c r="P92" s="149"/>
    </row>
    <row r="93" spans="2:19">
      <c r="B93" s="149" t="s">
        <v>176</v>
      </c>
      <c r="C93" s="152" t="s">
        <v>177</v>
      </c>
      <c r="D93" s="149" t="s">
        <v>400</v>
      </c>
      <c r="N93" s="194">
        <v>0</v>
      </c>
      <c r="O93" s="194" t="s">
        <v>839</v>
      </c>
      <c r="P93" s="149"/>
    </row>
    <row r="94" spans="2:19">
      <c r="B94" s="149" t="s">
        <v>205</v>
      </c>
      <c r="C94" s="152" t="s">
        <v>203</v>
      </c>
      <c r="D94" s="149" t="s">
        <v>422</v>
      </c>
      <c r="N94" s="194">
        <v>1</v>
      </c>
      <c r="O94" s="194" t="s">
        <v>840</v>
      </c>
      <c r="P94" s="149"/>
    </row>
    <row r="95" spans="2:19">
      <c r="B95" s="149" t="s">
        <v>206</v>
      </c>
      <c r="C95" s="152" t="s">
        <v>204</v>
      </c>
      <c r="D95" s="149" t="s">
        <v>423</v>
      </c>
    </row>
    <row r="96" spans="2:19">
      <c r="B96" s="149" t="s">
        <v>505</v>
      </c>
      <c r="C96" s="152" t="s">
        <v>507</v>
      </c>
      <c r="D96" s="149" t="s">
        <v>509</v>
      </c>
      <c r="N96" s="32" t="s">
        <v>841</v>
      </c>
      <c r="O96" s="148" t="s">
        <v>842</v>
      </c>
    </row>
    <row r="97" spans="2:15">
      <c r="B97" s="149" t="s">
        <v>506</v>
      </c>
      <c r="C97" s="152" t="s">
        <v>508</v>
      </c>
      <c r="D97" s="149" t="s">
        <v>510</v>
      </c>
      <c r="N97" s="34"/>
      <c r="O97" s="35"/>
    </row>
    <row r="98" spans="2:15">
      <c r="B98" s="149"/>
      <c r="C98" s="152"/>
      <c r="D98" s="149"/>
      <c r="N98" s="194">
        <v>0</v>
      </c>
      <c r="O98" s="194" t="s">
        <v>843</v>
      </c>
    </row>
    <row r="99" spans="2:15">
      <c r="B99" s="218" t="s">
        <v>583</v>
      </c>
      <c r="C99" s="219"/>
      <c r="D99" s="220"/>
      <c r="N99" s="194">
        <v>1</v>
      </c>
      <c r="O99" s="194" t="s">
        <v>844</v>
      </c>
    </row>
    <row r="100" spans="2:15">
      <c r="B100" s="149" t="s">
        <v>845</v>
      </c>
      <c r="C100" s="152" t="s">
        <v>846</v>
      </c>
      <c r="D100" s="149" t="s">
        <v>847</v>
      </c>
      <c r="N100" s="194">
        <v>2</v>
      </c>
      <c r="O100" s="194" t="s">
        <v>848</v>
      </c>
    </row>
    <row r="101" spans="2:15">
      <c r="B101" s="149" t="s">
        <v>475</v>
      </c>
      <c r="C101" s="152" t="s">
        <v>479</v>
      </c>
      <c r="D101" s="149" t="s">
        <v>594</v>
      </c>
      <c r="N101" s="194">
        <v>3</v>
      </c>
      <c r="O101" s="194" t="s">
        <v>849</v>
      </c>
    </row>
    <row r="102" spans="2:15">
      <c r="B102" s="149" t="s">
        <v>476</v>
      </c>
      <c r="C102" s="152" t="s">
        <v>480</v>
      </c>
      <c r="D102" s="149" t="s">
        <v>595</v>
      </c>
      <c r="N102" s="194">
        <v>4</v>
      </c>
      <c r="O102" s="194" t="s">
        <v>850</v>
      </c>
    </row>
    <row r="103" spans="2:15">
      <c r="B103" s="149" t="s">
        <v>477</v>
      </c>
      <c r="C103" s="152" t="s">
        <v>481</v>
      </c>
      <c r="D103" s="149" t="s">
        <v>596</v>
      </c>
      <c r="N103" s="194">
        <v>5</v>
      </c>
      <c r="O103" s="194" t="s">
        <v>851</v>
      </c>
    </row>
    <row r="104" spans="2:15">
      <c r="B104" s="149" t="s">
        <v>478</v>
      </c>
      <c r="C104" s="152" t="s">
        <v>482</v>
      </c>
      <c r="D104" s="149" t="s">
        <v>597</v>
      </c>
      <c r="N104" s="194">
        <v>6</v>
      </c>
      <c r="O104" s="194" t="s">
        <v>852</v>
      </c>
    </row>
    <row r="105" spans="2:15">
      <c r="B105" s="149" t="s">
        <v>538</v>
      </c>
      <c r="C105" s="152" t="s">
        <v>537</v>
      </c>
      <c r="D105" s="149" t="s">
        <v>539</v>
      </c>
      <c r="N105" s="194">
        <v>7</v>
      </c>
      <c r="O105" s="194" t="s">
        <v>853</v>
      </c>
    </row>
    <row r="106" spans="2:15">
      <c r="B106" s="149" t="s">
        <v>854</v>
      </c>
      <c r="C106" s="152" t="s">
        <v>855</v>
      </c>
      <c r="D106" s="149" t="s">
        <v>856</v>
      </c>
      <c r="N106" s="194">
        <v>8</v>
      </c>
      <c r="O106" s="194" t="s">
        <v>857</v>
      </c>
    </row>
    <row r="107" spans="2:15">
      <c r="B107" s="149" t="s">
        <v>858</v>
      </c>
      <c r="C107" s="152" t="s">
        <v>859</v>
      </c>
      <c r="D107" s="149" t="s">
        <v>860</v>
      </c>
      <c r="N107" s="194">
        <v>9</v>
      </c>
      <c r="O107" s="194" t="s">
        <v>861</v>
      </c>
    </row>
    <row r="108" spans="2:15">
      <c r="B108" s="149" t="s">
        <v>862</v>
      </c>
      <c r="C108" s="152" t="s">
        <v>863</v>
      </c>
      <c r="D108" s="149" t="s">
        <v>864</v>
      </c>
      <c r="N108" s="194">
        <v>10</v>
      </c>
      <c r="O108" s="194" t="s">
        <v>865</v>
      </c>
    </row>
    <row r="109" spans="2:15">
      <c r="B109" s="149" t="s">
        <v>866</v>
      </c>
      <c r="C109" s="152" t="s">
        <v>867</v>
      </c>
      <c r="D109" s="149" t="s">
        <v>868</v>
      </c>
    </row>
    <row r="110" spans="2:15">
      <c r="B110" s="149" t="s">
        <v>869</v>
      </c>
      <c r="C110" s="152" t="s">
        <v>870</v>
      </c>
      <c r="D110" s="149" t="s">
        <v>871</v>
      </c>
    </row>
    <row r="111" spans="2:15">
      <c r="B111" s="149" t="s">
        <v>541</v>
      </c>
      <c r="C111" s="152" t="s">
        <v>540</v>
      </c>
      <c r="D111" s="149" t="s">
        <v>588</v>
      </c>
    </row>
    <row r="112" spans="2:15">
      <c r="B112" s="149" t="s">
        <v>543</v>
      </c>
      <c r="C112" s="152" t="s">
        <v>542</v>
      </c>
      <c r="D112" s="149" t="s">
        <v>545</v>
      </c>
    </row>
    <row r="113" spans="2:5">
      <c r="B113" s="149" t="s">
        <v>544</v>
      </c>
      <c r="C113" s="152" t="s">
        <v>105</v>
      </c>
      <c r="D113" s="149" t="s">
        <v>546</v>
      </c>
    </row>
    <row r="114" spans="2:5">
      <c r="B114" s="149" t="s">
        <v>311</v>
      </c>
      <c r="C114" s="152" t="s">
        <v>372</v>
      </c>
      <c r="D114" s="149" t="s">
        <v>405</v>
      </c>
    </row>
    <row r="115" spans="2:5">
      <c r="B115" s="149" t="s">
        <v>313</v>
      </c>
      <c r="C115" s="152" t="s">
        <v>312</v>
      </c>
      <c r="D115" s="149" t="s">
        <v>433</v>
      </c>
    </row>
    <row r="116" spans="2:5">
      <c r="B116" s="149" t="s">
        <v>315</v>
      </c>
      <c r="C116" s="152" t="s">
        <v>314</v>
      </c>
      <c r="D116" s="149" t="s">
        <v>434</v>
      </c>
    </row>
    <row r="117" spans="2:5" ht="13.5">
      <c r="B117" s="149" t="s">
        <v>872</v>
      </c>
      <c r="C117" s="152" t="s">
        <v>873</v>
      </c>
      <c r="D117" s="149" t="s">
        <v>874</v>
      </c>
    </row>
    <row r="118" spans="2:5" ht="13.5">
      <c r="B118" s="149" t="s">
        <v>875</v>
      </c>
      <c r="C118" s="152" t="s">
        <v>876</v>
      </c>
      <c r="D118" s="149" t="s">
        <v>877</v>
      </c>
    </row>
    <row r="119" spans="2:5" ht="13.5">
      <c r="B119" s="149" t="s">
        <v>878</v>
      </c>
      <c r="C119" s="152" t="s">
        <v>879</v>
      </c>
      <c r="D119" s="149" t="s">
        <v>880</v>
      </c>
    </row>
    <row r="120" spans="2:5" ht="14.25">
      <c r="B120" s="149" t="s">
        <v>881</v>
      </c>
      <c r="C120" s="152" t="s">
        <v>882</v>
      </c>
      <c r="D120" s="149" t="s">
        <v>883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178</v>
      </c>
      <c r="C123" s="152" t="s">
        <v>884</v>
      </c>
      <c r="D123" s="149" t="s">
        <v>483</v>
      </c>
      <c r="E123" s="148" t="s">
        <v>885</v>
      </c>
    </row>
    <row r="124" spans="2:5">
      <c r="B124" s="149" t="s">
        <v>179</v>
      </c>
      <c r="C124" s="152" t="s">
        <v>781</v>
      </c>
      <c r="D124" s="149" t="s">
        <v>484</v>
      </c>
    </row>
    <row r="125" spans="2:5">
      <c r="B125" s="149" t="s">
        <v>180</v>
      </c>
      <c r="C125" s="152" t="s">
        <v>886</v>
      </c>
      <c r="D125" s="149" t="s">
        <v>485</v>
      </c>
    </row>
    <row r="126" spans="2:5">
      <c r="B126" s="149" t="s">
        <v>181</v>
      </c>
      <c r="C126" s="152"/>
      <c r="D126" s="149" t="s">
        <v>486</v>
      </c>
    </row>
    <row r="127" spans="2:5">
      <c r="B127" s="149" t="s">
        <v>887</v>
      </c>
      <c r="C127" s="152" t="s">
        <v>888</v>
      </c>
      <c r="D127" s="149" t="s">
        <v>856</v>
      </c>
    </row>
    <row r="128" spans="2:5">
      <c r="B128" s="149" t="s">
        <v>889</v>
      </c>
      <c r="C128" s="152" t="s">
        <v>890</v>
      </c>
      <c r="D128" s="149" t="s">
        <v>860</v>
      </c>
    </row>
    <row r="129" spans="2:7" ht="13.5">
      <c r="B129" s="149" t="s">
        <v>891</v>
      </c>
      <c r="C129" s="152" t="s">
        <v>892</v>
      </c>
      <c r="D129" s="149" t="s">
        <v>864</v>
      </c>
      <c r="G129" s="195"/>
    </row>
    <row r="130" spans="2:7">
      <c r="B130" s="149" t="s">
        <v>893</v>
      </c>
      <c r="C130" s="152" t="s">
        <v>894</v>
      </c>
      <c r="D130" s="149" t="s">
        <v>868</v>
      </c>
      <c r="E130" s="196"/>
    </row>
    <row r="131" spans="2:7">
      <c r="B131" s="149" t="s">
        <v>895</v>
      </c>
      <c r="C131" s="152" t="s">
        <v>896</v>
      </c>
      <c r="D131" s="149" t="s">
        <v>871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8" t="s">
        <v>598</v>
      </c>
      <c r="C134" s="219"/>
      <c r="D134" s="220"/>
    </row>
    <row r="135" spans="2:7">
      <c r="B135" s="149" t="s">
        <v>241</v>
      </c>
      <c r="C135" s="152" t="s">
        <v>897</v>
      </c>
      <c r="D135" s="149" t="s">
        <v>255</v>
      </c>
      <c r="E135" s="148" t="s">
        <v>898</v>
      </c>
    </row>
    <row r="136" spans="2:7">
      <c r="B136" s="149" t="s">
        <v>492</v>
      </c>
      <c r="C136" s="152" t="s">
        <v>786</v>
      </c>
      <c r="D136" s="149" t="s">
        <v>586</v>
      </c>
    </row>
    <row r="137" spans="2:7">
      <c r="B137" s="149" t="s">
        <v>899</v>
      </c>
      <c r="C137" s="152" t="s">
        <v>900</v>
      </c>
      <c r="D137" s="149"/>
      <c r="E137" s="148" t="s">
        <v>901</v>
      </c>
    </row>
    <row r="138" spans="2:7">
      <c r="B138" s="149" t="s">
        <v>902</v>
      </c>
      <c r="C138" s="152" t="s">
        <v>903</v>
      </c>
      <c r="D138" s="149"/>
      <c r="E138" s="148" t="s">
        <v>901</v>
      </c>
    </row>
    <row r="139" spans="2:7">
      <c r="B139" s="149" t="s">
        <v>904</v>
      </c>
      <c r="C139" s="152" t="s">
        <v>905</v>
      </c>
      <c r="D139" s="149"/>
      <c r="E139" s="148" t="s">
        <v>901</v>
      </c>
    </row>
    <row r="140" spans="2:7">
      <c r="B140" s="149" t="s">
        <v>906</v>
      </c>
      <c r="C140" s="152" t="s">
        <v>907</v>
      </c>
      <c r="D140" s="149"/>
      <c r="E140" s="148" t="s">
        <v>901</v>
      </c>
    </row>
    <row r="141" spans="2:7">
      <c r="B141" s="149"/>
      <c r="C141" s="152"/>
      <c r="D141" s="149"/>
    </row>
    <row r="142" spans="2:7" ht="13.5">
      <c r="B142" s="149" t="s">
        <v>244</v>
      </c>
      <c r="C142" s="152" t="s">
        <v>243</v>
      </c>
      <c r="D142" s="149" t="s">
        <v>396</v>
      </c>
      <c r="E142" s="148" t="s">
        <v>390</v>
      </c>
    </row>
    <row r="143" spans="2:7">
      <c r="B143" s="149" t="s">
        <v>252</v>
      </c>
      <c r="C143" s="152">
        <v>4.5</v>
      </c>
      <c r="D143" s="149" t="s">
        <v>432</v>
      </c>
    </row>
    <row r="144" spans="2:7">
      <c r="B144" s="149" t="s">
        <v>256</v>
      </c>
      <c r="C144" s="152">
        <v>11.3</v>
      </c>
      <c r="D144" s="149" t="s">
        <v>432</v>
      </c>
    </row>
    <row r="145" spans="2:5">
      <c r="B145" s="149"/>
      <c r="C145" s="152"/>
      <c r="D145" s="149"/>
    </row>
    <row r="146" spans="2:5">
      <c r="B146" s="149" t="s">
        <v>270</v>
      </c>
      <c r="C146" s="152" t="s">
        <v>269</v>
      </c>
      <c r="D146" s="149" t="s">
        <v>584</v>
      </c>
      <c r="E146" s="148" t="s">
        <v>265</v>
      </c>
    </row>
    <row r="147" spans="2:5">
      <c r="B147" s="149" t="s">
        <v>272</v>
      </c>
      <c r="C147" s="152" t="s">
        <v>271</v>
      </c>
      <c r="D147" s="149" t="s">
        <v>584</v>
      </c>
      <c r="E147" s="148" t="s">
        <v>266</v>
      </c>
    </row>
    <row r="148" spans="2:5">
      <c r="B148" s="149" t="s">
        <v>274</v>
      </c>
      <c r="C148" s="152" t="s">
        <v>273</v>
      </c>
      <c r="D148" s="167" t="s">
        <v>397</v>
      </c>
      <c r="E148" s="148" t="s">
        <v>267</v>
      </c>
    </row>
    <row r="149" spans="2:5">
      <c r="B149" s="149" t="s">
        <v>276</v>
      </c>
      <c r="C149" s="152" t="s">
        <v>275</v>
      </c>
      <c r="D149" s="167" t="s">
        <v>418</v>
      </c>
      <c r="E149" s="148" t="s">
        <v>268</v>
      </c>
    </row>
    <row r="150" spans="2:5">
      <c r="B150" s="149"/>
      <c r="C150" s="152"/>
      <c r="D150" s="149"/>
    </row>
    <row r="151" spans="2:5">
      <c r="B151" s="149" t="s">
        <v>286</v>
      </c>
      <c r="C151" s="152">
        <v>4.2</v>
      </c>
      <c r="D151" s="149" t="s">
        <v>908</v>
      </c>
    </row>
    <row r="152" spans="2:5">
      <c r="B152" s="149" t="s">
        <v>285</v>
      </c>
      <c r="C152" s="152">
        <v>8</v>
      </c>
      <c r="D152" s="149" t="s">
        <v>908</v>
      </c>
    </row>
    <row r="153" spans="2:5">
      <c r="B153" s="149"/>
      <c r="C153" s="152"/>
      <c r="D153" s="149"/>
    </row>
    <row r="154" spans="2:5">
      <c r="B154" s="149" t="s">
        <v>319</v>
      </c>
      <c r="C154" s="152" t="s">
        <v>909</v>
      </c>
      <c r="D154" s="149" t="s">
        <v>398</v>
      </c>
      <c r="E154" s="148" t="s">
        <v>391</v>
      </c>
    </row>
    <row r="155" spans="2:5">
      <c r="B155" s="149" t="s">
        <v>324</v>
      </c>
      <c r="C155" s="152" t="s">
        <v>910</v>
      </c>
      <c r="D155" s="149" t="s">
        <v>398</v>
      </c>
      <c r="E155" s="148" t="s">
        <v>323</v>
      </c>
    </row>
    <row r="156" spans="2:5">
      <c r="B156" s="149" t="s">
        <v>329</v>
      </c>
      <c r="C156" s="152" t="s">
        <v>328</v>
      </c>
      <c r="D156" s="149" t="s">
        <v>399</v>
      </c>
      <c r="E156" s="148" t="s">
        <v>327</v>
      </c>
    </row>
    <row r="157" spans="2:5">
      <c r="B157" s="149" t="s">
        <v>331</v>
      </c>
      <c r="C157" s="152" t="s">
        <v>330</v>
      </c>
      <c r="D157" s="149" t="s">
        <v>399</v>
      </c>
      <c r="E157" s="148" t="s">
        <v>266</v>
      </c>
    </row>
    <row r="158" spans="2:5">
      <c r="B158" s="149" t="s">
        <v>333</v>
      </c>
      <c r="C158" s="152" t="s">
        <v>394</v>
      </c>
      <c r="D158" s="149" t="s">
        <v>357</v>
      </c>
      <c r="E158" s="148" t="s">
        <v>337</v>
      </c>
    </row>
    <row r="159" spans="2:5">
      <c r="B159" s="149"/>
      <c r="C159" s="152"/>
      <c r="D159" s="149"/>
    </row>
    <row r="160" spans="2:5">
      <c r="B160" s="149" t="s">
        <v>341</v>
      </c>
      <c r="C160" s="152" t="s">
        <v>341</v>
      </c>
      <c r="D160" s="149" t="s">
        <v>406</v>
      </c>
      <c r="E160" s="148" t="s">
        <v>392</v>
      </c>
    </row>
    <row r="161" spans="2:5">
      <c r="B161" s="149" t="s">
        <v>342</v>
      </c>
      <c r="C161" s="152" t="s">
        <v>342</v>
      </c>
      <c r="D161" s="149" t="s">
        <v>406</v>
      </c>
      <c r="E161" s="148" t="s">
        <v>489</v>
      </c>
    </row>
    <row r="162" spans="2:5">
      <c r="B162" s="149" t="s">
        <v>343</v>
      </c>
      <c r="C162" s="152" t="s">
        <v>343</v>
      </c>
      <c r="D162" s="149" t="s">
        <v>406</v>
      </c>
      <c r="E162" s="148" t="s">
        <v>393</v>
      </c>
    </row>
    <row r="163" spans="2:5">
      <c r="B163" s="149" t="s">
        <v>346</v>
      </c>
      <c r="C163" s="152">
        <v>3.8</v>
      </c>
      <c r="D163" s="149" t="s">
        <v>406</v>
      </c>
    </row>
    <row r="164" spans="2:5">
      <c r="B164" s="149" t="s">
        <v>347</v>
      </c>
      <c r="C164" s="152">
        <v>8</v>
      </c>
      <c r="D164" s="149" t="s">
        <v>406</v>
      </c>
    </row>
    <row r="165" spans="2:5">
      <c r="B165" s="149"/>
      <c r="C165" s="152" t="s">
        <v>911</v>
      </c>
      <c r="D165" s="149"/>
    </row>
    <row r="166" spans="2:5">
      <c r="B166" s="149"/>
      <c r="C166" s="152" t="s">
        <v>912</v>
      </c>
      <c r="D166" s="149"/>
    </row>
    <row r="167" spans="2:5">
      <c r="B167" s="149"/>
      <c r="C167" s="152" t="s">
        <v>913</v>
      </c>
      <c r="D167" s="149"/>
      <c r="E167" s="148" t="s">
        <v>914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359</v>
      </c>
      <c r="C170" s="152">
        <v>4.5</v>
      </c>
      <c r="D170" s="149" t="s">
        <v>557</v>
      </c>
    </row>
    <row r="171" spans="2:5">
      <c r="B171" s="149" t="s">
        <v>360</v>
      </c>
      <c r="C171" s="152">
        <v>4</v>
      </c>
      <c r="D171" s="149" t="s">
        <v>558</v>
      </c>
    </row>
    <row r="172" spans="2:5">
      <c r="B172" s="149" t="s">
        <v>361</v>
      </c>
      <c r="C172" s="152">
        <v>3.4</v>
      </c>
      <c r="D172" s="149" t="s">
        <v>559</v>
      </c>
    </row>
    <row r="173" spans="2:5">
      <c r="B173" s="149" t="s">
        <v>551</v>
      </c>
      <c r="C173" s="152">
        <v>13.5</v>
      </c>
      <c r="D173" s="149" t="s">
        <v>554</v>
      </c>
      <c r="E173" s="168" t="s">
        <v>585</v>
      </c>
    </row>
    <row r="174" spans="2:5">
      <c r="B174" s="149" t="s">
        <v>552</v>
      </c>
      <c r="C174" s="152">
        <v>10</v>
      </c>
      <c r="D174" s="149" t="s">
        <v>555</v>
      </c>
    </row>
    <row r="175" spans="2:5">
      <c r="B175" s="149" t="s">
        <v>553</v>
      </c>
      <c r="C175" s="152">
        <v>8</v>
      </c>
      <c r="D175" s="149" t="s">
        <v>556</v>
      </c>
    </row>
    <row r="176" spans="2:5">
      <c r="B176" s="149"/>
      <c r="C176" s="152"/>
      <c r="D176" s="149"/>
    </row>
    <row r="177" spans="2:5">
      <c r="B177" s="149" t="s">
        <v>419</v>
      </c>
      <c r="C177" s="152" t="s">
        <v>414</v>
      </c>
      <c r="D177" s="149" t="s">
        <v>407</v>
      </c>
      <c r="E177" s="148" t="s">
        <v>411</v>
      </c>
    </row>
    <row r="178" spans="2:5">
      <c r="B178" s="149" t="s">
        <v>420</v>
      </c>
      <c r="C178" s="152" t="s">
        <v>415</v>
      </c>
      <c r="D178" s="149" t="s">
        <v>408</v>
      </c>
      <c r="E178" s="148" t="s">
        <v>412</v>
      </c>
    </row>
    <row r="179" spans="2:5">
      <c r="B179" s="149" t="s">
        <v>421</v>
      </c>
      <c r="C179" s="152" t="s">
        <v>416</v>
      </c>
      <c r="D179" s="149" t="s">
        <v>409</v>
      </c>
      <c r="E179" s="148" t="s">
        <v>413</v>
      </c>
    </row>
    <row r="180" spans="2:5">
      <c r="B180" s="149"/>
      <c r="C180" s="152"/>
      <c r="D180" s="149"/>
    </row>
    <row r="181" spans="2:5">
      <c r="B181" s="149" t="s">
        <v>428</v>
      </c>
      <c r="C181" s="152" t="s">
        <v>915</v>
      </c>
      <c r="D181" s="197" t="s">
        <v>916</v>
      </c>
      <c r="E181" s="148" t="s">
        <v>436</v>
      </c>
    </row>
    <row r="182" spans="2:5">
      <c r="B182" s="149" t="s">
        <v>427</v>
      </c>
      <c r="C182" s="152" t="s">
        <v>917</v>
      </c>
      <c r="D182" s="197" t="s">
        <v>918</v>
      </c>
      <c r="E182" s="148" t="s">
        <v>451</v>
      </c>
    </row>
    <row r="183" spans="2:5">
      <c r="B183" s="149" t="s">
        <v>425</v>
      </c>
      <c r="C183" s="152" t="s">
        <v>919</v>
      </c>
      <c r="D183" s="197" t="s">
        <v>920</v>
      </c>
      <c r="E183" s="148" t="s">
        <v>437</v>
      </c>
    </row>
    <row r="184" spans="2:5">
      <c r="B184" s="149" t="s">
        <v>426</v>
      </c>
      <c r="C184" s="152" t="s">
        <v>921</v>
      </c>
      <c r="D184" s="197" t="s">
        <v>922</v>
      </c>
      <c r="E184" s="148" t="s">
        <v>435</v>
      </c>
    </row>
    <row r="185" spans="2:5" ht="13.5">
      <c r="B185" s="149" t="s">
        <v>923</v>
      </c>
      <c r="C185" s="152" t="s">
        <v>924</v>
      </c>
      <c r="D185" s="197" t="s">
        <v>925</v>
      </c>
      <c r="E185" s="148" t="s">
        <v>926</v>
      </c>
    </row>
    <row r="186" spans="2:5" ht="13.5">
      <c r="B186" s="149" t="s">
        <v>795</v>
      </c>
      <c r="C186" s="152" t="s">
        <v>795</v>
      </c>
      <c r="D186" s="187" t="s">
        <v>927</v>
      </c>
      <c r="E186" s="148" t="s">
        <v>796</v>
      </c>
    </row>
    <row r="187" spans="2:5">
      <c r="B187" s="149" t="s">
        <v>928</v>
      </c>
      <c r="C187" s="152" t="s">
        <v>928</v>
      </c>
      <c r="D187" s="149"/>
      <c r="E187" s="148" t="s">
        <v>929</v>
      </c>
    </row>
    <row r="188" spans="2:5">
      <c r="B188" s="149"/>
      <c r="C188" s="152"/>
      <c r="D188" s="149"/>
    </row>
    <row r="189" spans="2:5">
      <c r="B189" s="149" t="s">
        <v>439</v>
      </c>
      <c r="C189" s="152" t="s">
        <v>438</v>
      </c>
      <c r="D189" s="149" t="s">
        <v>440</v>
      </c>
      <c r="E189" s="148" t="s">
        <v>441</v>
      </c>
    </row>
    <row r="190" spans="2:5">
      <c r="B190" s="149" t="s">
        <v>442</v>
      </c>
      <c r="C190" s="152" t="s">
        <v>442</v>
      </c>
      <c r="D190" s="149" t="s">
        <v>452</v>
      </c>
      <c r="E190" s="148" t="s">
        <v>443</v>
      </c>
    </row>
    <row r="191" spans="2:5">
      <c r="B191" s="149" t="s">
        <v>930</v>
      </c>
      <c r="C191" s="152" t="s">
        <v>931</v>
      </c>
      <c r="D191" s="149"/>
    </row>
    <row r="192" spans="2:5">
      <c r="B192" s="149"/>
      <c r="C192" s="152"/>
      <c r="D192" s="149"/>
    </row>
    <row r="193" spans="2:5">
      <c r="B193" s="149" t="s">
        <v>462</v>
      </c>
      <c r="C193" s="152" t="s">
        <v>444</v>
      </c>
      <c r="D193" s="149" t="s">
        <v>457</v>
      </c>
    </row>
    <row r="194" spans="2:5">
      <c r="B194" s="149" t="s">
        <v>463</v>
      </c>
      <c r="C194" s="152" t="s">
        <v>445</v>
      </c>
      <c r="D194" s="149" t="s">
        <v>457</v>
      </c>
      <c r="E194" s="148" t="s">
        <v>450</v>
      </c>
    </row>
    <row r="195" spans="2:5">
      <c r="B195" s="149" t="s">
        <v>464</v>
      </c>
      <c r="C195" s="152" t="s">
        <v>446</v>
      </c>
      <c r="D195" s="149" t="s">
        <v>722</v>
      </c>
    </row>
    <row r="196" spans="2:5">
      <c r="B196" s="149" t="s">
        <v>448</v>
      </c>
      <c r="C196" s="152" t="s">
        <v>447</v>
      </c>
      <c r="D196" s="149" t="s">
        <v>449</v>
      </c>
    </row>
    <row r="197" spans="2:5">
      <c r="B197" s="149" t="s">
        <v>459</v>
      </c>
      <c r="C197" s="152" t="s">
        <v>458</v>
      </c>
      <c r="D197" s="149" t="s">
        <v>456</v>
      </c>
      <c r="E197" s="148" t="s">
        <v>454</v>
      </c>
    </row>
    <row r="198" spans="2:5">
      <c r="B198" s="149" t="s">
        <v>461</v>
      </c>
      <c r="C198" s="152" t="s">
        <v>460</v>
      </c>
      <c r="D198" s="149" t="s">
        <v>453</v>
      </c>
      <c r="E198" s="148" t="s">
        <v>455</v>
      </c>
    </row>
    <row r="199" spans="2:5">
      <c r="B199" s="149"/>
      <c r="C199" s="152"/>
      <c r="D199" s="149"/>
    </row>
    <row r="200" spans="2:5">
      <c r="B200" s="149" t="s">
        <v>498</v>
      </c>
      <c r="C200" s="152" t="s">
        <v>495</v>
      </c>
      <c r="D200" s="149" t="s">
        <v>534</v>
      </c>
    </row>
    <row r="201" spans="2:5">
      <c r="B201" s="149" t="s">
        <v>496</v>
      </c>
      <c r="C201" s="152" t="s">
        <v>497</v>
      </c>
      <c r="D201" s="149" t="s">
        <v>533</v>
      </c>
    </row>
    <row r="202" spans="2:5">
      <c r="B202" s="149" t="s">
        <v>531</v>
      </c>
      <c r="C202" s="152" t="s">
        <v>526</v>
      </c>
      <c r="D202" s="149" t="s">
        <v>529</v>
      </c>
      <c r="E202" s="148" t="s">
        <v>695</v>
      </c>
    </row>
    <row r="203" spans="2:5">
      <c r="B203" s="149" t="s">
        <v>530</v>
      </c>
      <c r="C203" s="152" t="s">
        <v>527</v>
      </c>
      <c r="D203" s="149" t="s">
        <v>528</v>
      </c>
      <c r="E203" s="148" t="s">
        <v>524</v>
      </c>
    </row>
    <row r="204" spans="2:5">
      <c r="B204" s="149" t="s">
        <v>493</v>
      </c>
      <c r="C204" s="152" t="s">
        <v>494</v>
      </c>
      <c r="D204" s="149" t="s">
        <v>587</v>
      </c>
    </row>
    <row r="205" spans="2:5">
      <c r="B205" s="149"/>
      <c r="C205" s="152"/>
      <c r="D205" s="149"/>
    </row>
    <row r="206" spans="2:5">
      <c r="B206" s="149" t="s">
        <v>547</v>
      </c>
      <c r="C206" s="152" t="s">
        <v>577</v>
      </c>
      <c r="D206" s="149" t="s">
        <v>549</v>
      </c>
    </row>
    <row r="207" spans="2:5">
      <c r="B207" s="149" t="s">
        <v>548</v>
      </c>
      <c r="C207" s="152" t="s">
        <v>576</v>
      </c>
      <c r="D207" s="149" t="s">
        <v>589</v>
      </c>
    </row>
    <row r="208" spans="2:5">
      <c r="B208" s="149" t="s">
        <v>550</v>
      </c>
      <c r="C208" s="152" t="s">
        <v>724</v>
      </c>
      <c r="D208" s="149" t="s">
        <v>723</v>
      </c>
    </row>
    <row r="209" spans="2:5">
      <c r="B209" s="149"/>
      <c r="C209" s="152"/>
      <c r="D209" s="149"/>
    </row>
    <row r="210" spans="2:5">
      <c r="B210" s="149" t="s">
        <v>779</v>
      </c>
      <c r="C210" s="152" t="s">
        <v>932</v>
      </c>
      <c r="D210" s="149" t="s">
        <v>578</v>
      </c>
    </row>
    <row r="211" spans="2:5">
      <c r="B211" s="149" t="s">
        <v>600</v>
      </c>
      <c r="C211" s="152" t="s">
        <v>599</v>
      </c>
      <c r="D211" s="149" t="s">
        <v>601</v>
      </c>
      <c r="E211" s="148" t="s">
        <v>602</v>
      </c>
    </row>
    <row r="212" spans="2:5">
      <c r="B212" s="149"/>
      <c r="C212" s="152"/>
      <c r="D212" s="149"/>
    </row>
    <row r="213" spans="2:5">
      <c r="B213" s="149" t="s">
        <v>604</v>
      </c>
      <c r="C213" s="152" t="s">
        <v>603</v>
      </c>
      <c r="D213" s="149" t="s">
        <v>605</v>
      </c>
    </row>
    <row r="214" spans="2:5">
      <c r="B214" s="149"/>
      <c r="C214" s="152"/>
      <c r="D214" s="149"/>
    </row>
    <row r="215" spans="2:5">
      <c r="B215" s="149" t="s">
        <v>698</v>
      </c>
      <c r="C215" s="152" t="s">
        <v>704</v>
      </c>
      <c r="D215" s="149" t="s">
        <v>708</v>
      </c>
      <c r="E215" s="148" t="s">
        <v>710</v>
      </c>
    </row>
    <row r="216" spans="2:5">
      <c r="B216" s="149" t="s">
        <v>699</v>
      </c>
      <c r="C216" s="152" t="s">
        <v>705</v>
      </c>
      <c r="D216" s="149" t="s">
        <v>707</v>
      </c>
      <c r="E216" s="148" t="s">
        <v>711</v>
      </c>
    </row>
    <row r="217" spans="2:5">
      <c r="B217" s="149" t="s">
        <v>700</v>
      </c>
      <c r="C217" s="152" t="s">
        <v>703</v>
      </c>
      <c r="D217" s="149" t="s">
        <v>706</v>
      </c>
      <c r="E217" s="148" t="s">
        <v>712</v>
      </c>
    </row>
    <row r="218" spans="2:5">
      <c r="B218" s="149" t="s">
        <v>701</v>
      </c>
      <c r="C218" s="152" t="s">
        <v>702</v>
      </c>
      <c r="D218" s="149" t="s">
        <v>709</v>
      </c>
      <c r="E218" s="148" t="s">
        <v>713</v>
      </c>
    </row>
    <row r="219" spans="2:5">
      <c r="B219" s="149"/>
      <c r="C219" s="152"/>
      <c r="D219" s="149"/>
    </row>
    <row r="220" spans="2:5">
      <c r="B220" s="149" t="s">
        <v>746</v>
      </c>
      <c r="C220" s="152" t="s">
        <v>745</v>
      </c>
      <c r="D220" s="149" t="s">
        <v>933</v>
      </c>
    </row>
    <row r="221" spans="2:5" ht="13.15" customHeight="1">
      <c r="B221" s="149" t="s">
        <v>607</v>
      </c>
      <c r="C221" s="152" t="s">
        <v>608</v>
      </c>
      <c r="D221" s="149" t="s">
        <v>934</v>
      </c>
    </row>
    <row r="222" spans="2:5">
      <c r="B222" s="149"/>
      <c r="C222" s="152"/>
      <c r="D222" s="149"/>
    </row>
    <row r="223" spans="2:5">
      <c r="B223" s="149" t="s">
        <v>609</v>
      </c>
      <c r="C223" s="152" t="s">
        <v>610</v>
      </c>
      <c r="D223" s="149" t="s">
        <v>611</v>
      </c>
    </row>
    <row r="224" spans="2:5">
      <c r="B224" s="149" t="s">
        <v>612</v>
      </c>
      <c r="C224" s="152" t="s">
        <v>613</v>
      </c>
      <c r="D224" s="149" t="s">
        <v>614</v>
      </c>
    </row>
    <row r="225" spans="2:5">
      <c r="B225" s="149" t="s">
        <v>935</v>
      </c>
      <c r="C225" s="152" t="s">
        <v>795</v>
      </c>
      <c r="D225" s="149"/>
    </row>
    <row r="226" spans="2:5">
      <c r="B226" s="149"/>
      <c r="C226" s="152"/>
      <c r="D226" s="149"/>
    </row>
    <row r="227" spans="2:5">
      <c r="B227" s="149" t="s">
        <v>740</v>
      </c>
      <c r="C227" s="152" t="s">
        <v>936</v>
      </c>
      <c r="D227" s="149" t="s">
        <v>767</v>
      </c>
    </row>
    <row r="228" spans="2:5">
      <c r="B228" s="149" t="s">
        <v>615</v>
      </c>
      <c r="C228" s="152" t="s">
        <v>616</v>
      </c>
      <c r="D228" s="149" t="s">
        <v>662</v>
      </c>
    </row>
    <row r="229" spans="2:5">
      <c r="B229" s="149" t="s">
        <v>617</v>
      </c>
      <c r="C229" s="152" t="s">
        <v>618</v>
      </c>
      <c r="D229" s="149" t="s">
        <v>663</v>
      </c>
    </row>
    <row r="230" spans="2:5">
      <c r="B230" s="149"/>
      <c r="C230" s="152"/>
      <c r="D230" s="149"/>
    </row>
    <row r="231" spans="2:5">
      <c r="B231" s="149" t="s">
        <v>619</v>
      </c>
      <c r="C231" s="152" t="s">
        <v>620</v>
      </c>
      <c r="D231" s="149" t="s">
        <v>664</v>
      </c>
    </row>
    <row r="232" spans="2:5">
      <c r="B232" s="149" t="s">
        <v>621</v>
      </c>
      <c r="C232" s="152" t="s">
        <v>622</v>
      </c>
      <c r="D232" s="149" t="s">
        <v>623</v>
      </c>
    </row>
    <row r="233" spans="2:5">
      <c r="B233" s="149"/>
      <c r="C233" s="152"/>
      <c r="D233" s="149"/>
    </row>
    <row r="234" spans="2:5">
      <c r="B234" s="149" t="s">
        <v>937</v>
      </c>
      <c r="C234" s="152" t="s">
        <v>938</v>
      </c>
      <c r="D234" s="149" t="s">
        <v>939</v>
      </c>
    </row>
    <row r="235" spans="2:5">
      <c r="B235" s="149"/>
      <c r="C235" s="152"/>
      <c r="D235" s="149"/>
    </row>
    <row r="236" spans="2:5">
      <c r="B236" s="149" t="s">
        <v>624</v>
      </c>
      <c r="C236" s="152" t="s">
        <v>625</v>
      </c>
      <c r="D236" s="149" t="s">
        <v>665</v>
      </c>
    </row>
    <row r="237" spans="2:5">
      <c r="B237" s="149" t="s">
        <v>626</v>
      </c>
      <c r="C237" s="152" t="s">
        <v>627</v>
      </c>
      <c r="D237" s="149" t="s">
        <v>666</v>
      </c>
    </row>
    <row r="238" spans="2:5">
      <c r="B238" s="149" t="s">
        <v>628</v>
      </c>
      <c r="C238" s="152" t="s">
        <v>629</v>
      </c>
      <c r="D238" s="149" t="s">
        <v>667</v>
      </c>
    </row>
    <row r="239" spans="2:5">
      <c r="B239" s="149"/>
      <c r="C239" s="152"/>
      <c r="D239" s="149"/>
    </row>
    <row r="240" spans="2:5">
      <c r="B240" s="149" t="s">
        <v>940</v>
      </c>
      <c r="C240" s="152" t="s">
        <v>941</v>
      </c>
      <c r="D240" s="149" t="s">
        <v>942</v>
      </c>
      <c r="E240" s="148" t="s">
        <v>943</v>
      </c>
    </row>
    <row r="241" spans="2:5">
      <c r="B241" s="149" t="s">
        <v>944</v>
      </c>
      <c r="C241" s="152" t="s">
        <v>945</v>
      </c>
      <c r="D241" s="149"/>
      <c r="E241" s="148" t="s">
        <v>946</v>
      </c>
    </row>
    <row r="242" spans="2:5">
      <c r="B242" s="149" t="s">
        <v>947</v>
      </c>
      <c r="C242" s="152" t="s">
        <v>948</v>
      </c>
      <c r="D242" s="149"/>
      <c r="E242" s="148" t="s">
        <v>949</v>
      </c>
    </row>
    <row r="243" spans="2:5">
      <c r="B243" s="149" t="s">
        <v>950</v>
      </c>
      <c r="C243" s="152" t="s">
        <v>951</v>
      </c>
      <c r="D243" s="149"/>
      <c r="E243" s="148" t="s">
        <v>952</v>
      </c>
    </row>
    <row r="244" spans="2:5">
      <c r="B244" s="149" t="s">
        <v>953</v>
      </c>
      <c r="C244" s="152" t="s">
        <v>954</v>
      </c>
      <c r="D244" s="149"/>
      <c r="E244" s="148" t="s">
        <v>955</v>
      </c>
    </row>
    <row r="245" spans="2:5">
      <c r="B245" s="149" t="s">
        <v>956</v>
      </c>
      <c r="C245" s="152" t="s">
        <v>957</v>
      </c>
      <c r="D245" s="149"/>
      <c r="E245" s="148" t="s">
        <v>958</v>
      </c>
    </row>
    <row r="246" spans="2:5">
      <c r="B246" s="149" t="s">
        <v>959</v>
      </c>
      <c r="C246" s="152" t="s">
        <v>960</v>
      </c>
      <c r="D246" s="149"/>
      <c r="E246" s="148" t="s">
        <v>961</v>
      </c>
    </row>
    <row r="247" spans="2:5">
      <c r="B247" s="149" t="s">
        <v>962</v>
      </c>
      <c r="C247" s="152" t="s">
        <v>963</v>
      </c>
      <c r="D247" s="149"/>
      <c r="E247" s="148" t="s">
        <v>964</v>
      </c>
    </row>
    <row r="248" spans="2:5">
      <c r="B248" s="149" t="s">
        <v>965</v>
      </c>
      <c r="C248" s="152" t="s">
        <v>966</v>
      </c>
      <c r="D248" s="149"/>
      <c r="E248" s="148" t="s">
        <v>949</v>
      </c>
    </row>
    <row r="249" spans="2:5">
      <c r="B249" s="149" t="s">
        <v>967</v>
      </c>
      <c r="C249" s="152" t="s">
        <v>968</v>
      </c>
      <c r="D249" s="149"/>
      <c r="E249" s="148" t="s">
        <v>969</v>
      </c>
    </row>
    <row r="250" spans="2:5">
      <c r="B250" s="149" t="s">
        <v>970</v>
      </c>
      <c r="C250" s="152" t="s">
        <v>971</v>
      </c>
      <c r="D250" s="149"/>
      <c r="E250" s="148" t="s">
        <v>972</v>
      </c>
    </row>
    <row r="251" spans="2:5">
      <c r="B251" s="149" t="s">
        <v>973</v>
      </c>
      <c r="C251" s="152" t="s">
        <v>974</v>
      </c>
      <c r="D251" s="149"/>
      <c r="E251" s="148" t="s">
        <v>975</v>
      </c>
    </row>
    <row r="252" spans="2:5">
      <c r="B252" s="149"/>
      <c r="C252" s="152"/>
      <c r="D252" s="149"/>
    </row>
    <row r="253" spans="2:5">
      <c r="B253" s="149" t="s">
        <v>976</v>
      </c>
      <c r="C253" s="152" t="s">
        <v>977</v>
      </c>
      <c r="D253" s="149" t="s">
        <v>978</v>
      </c>
      <c r="E253" s="148" t="s">
        <v>979</v>
      </c>
    </row>
    <row r="254" spans="2:5">
      <c r="B254" s="149"/>
      <c r="C254" s="152"/>
      <c r="D254" s="149"/>
    </row>
    <row r="255" spans="2:5">
      <c r="B255" s="149" t="s">
        <v>630</v>
      </c>
      <c r="C255" s="152" t="s">
        <v>631</v>
      </c>
      <c r="D255" s="149" t="s">
        <v>632</v>
      </c>
    </row>
    <row r="256" spans="2:5">
      <c r="B256" s="149" t="s">
        <v>633</v>
      </c>
      <c r="C256" s="152" t="s">
        <v>634</v>
      </c>
      <c r="D256" s="149" t="s">
        <v>635</v>
      </c>
    </row>
    <row r="257" spans="2:4">
      <c r="B257" s="149"/>
      <c r="C257" s="152"/>
      <c r="D257" s="149"/>
    </row>
    <row r="258" spans="2:4">
      <c r="B258" s="149" t="s">
        <v>636</v>
      </c>
      <c r="C258" s="152" t="s">
        <v>637</v>
      </c>
      <c r="D258" s="149" t="s">
        <v>638</v>
      </c>
    </row>
    <row r="259" spans="2:4">
      <c r="B259" s="149"/>
      <c r="C259" s="152"/>
      <c r="D259" s="149"/>
    </row>
    <row r="260" spans="2:4">
      <c r="B260" s="149" t="s">
        <v>639</v>
      </c>
      <c r="C260" s="152" t="s">
        <v>640</v>
      </c>
      <c r="D260" s="149" t="s">
        <v>668</v>
      </c>
    </row>
    <row r="261" spans="2:4">
      <c r="B261" s="149"/>
      <c r="C261" s="152"/>
      <c r="D261" s="149"/>
    </row>
    <row r="262" spans="2:4">
      <c r="B262" s="149" t="s">
        <v>641</v>
      </c>
      <c r="C262" s="152" t="s">
        <v>642</v>
      </c>
      <c r="D262" s="149" t="s">
        <v>669</v>
      </c>
    </row>
    <row r="263" spans="2:4">
      <c r="B263" s="149" t="s">
        <v>643</v>
      </c>
      <c r="C263" s="152" t="s">
        <v>644</v>
      </c>
      <c r="D263" s="149" t="s">
        <v>670</v>
      </c>
    </row>
    <row r="264" spans="2:4">
      <c r="B264" s="149"/>
      <c r="C264" s="152"/>
      <c r="D264" s="149"/>
    </row>
    <row r="265" spans="2:4">
      <c r="B265" s="149" t="s">
        <v>980</v>
      </c>
      <c r="C265" s="152" t="s">
        <v>981</v>
      </c>
      <c r="D265" s="149"/>
    </row>
    <row r="266" spans="2:4">
      <c r="B266" s="149" t="s">
        <v>982</v>
      </c>
      <c r="C266" s="152" t="s">
        <v>983</v>
      </c>
      <c r="D266" s="149"/>
    </row>
    <row r="267" spans="2:4">
      <c r="B267" s="149"/>
      <c r="C267" s="152"/>
      <c r="D267" s="149"/>
    </row>
    <row r="268" spans="2:4">
      <c r="B268" s="149" t="s">
        <v>645</v>
      </c>
      <c r="C268" s="152" t="s">
        <v>737</v>
      </c>
      <c r="D268" s="149" t="s">
        <v>725</v>
      </c>
    </row>
    <row r="269" spans="2:4">
      <c r="B269" s="149" t="s">
        <v>646</v>
      </c>
      <c r="C269" s="152" t="s">
        <v>738</v>
      </c>
      <c r="D269" s="149" t="s">
        <v>725</v>
      </c>
    </row>
    <row r="270" spans="2:4">
      <c r="B270" s="149"/>
      <c r="C270" s="152"/>
      <c r="D270" s="149"/>
    </row>
    <row r="271" spans="2:4">
      <c r="B271" s="149" t="s">
        <v>647</v>
      </c>
      <c r="C271" s="152" t="s">
        <v>648</v>
      </c>
      <c r="D271" s="149" t="s">
        <v>671</v>
      </c>
    </row>
    <row r="272" spans="2:4">
      <c r="B272" s="149" t="s">
        <v>649</v>
      </c>
      <c r="C272" s="152" t="s">
        <v>650</v>
      </c>
      <c r="D272" s="149" t="s">
        <v>672</v>
      </c>
    </row>
    <row r="273" spans="2:5">
      <c r="B273" s="149" t="s">
        <v>651</v>
      </c>
      <c r="C273" s="152" t="s">
        <v>652</v>
      </c>
      <c r="D273" s="149" t="s">
        <v>673</v>
      </c>
    </row>
    <row r="274" spans="2:5">
      <c r="B274" s="149"/>
      <c r="C274" s="152"/>
      <c r="D274" s="149"/>
    </row>
    <row r="275" spans="2:5">
      <c r="B275" s="149" t="s">
        <v>747</v>
      </c>
      <c r="C275" s="152" t="s">
        <v>748</v>
      </c>
      <c r="D275" s="149"/>
      <c r="E275" s="148" t="s">
        <v>455</v>
      </c>
    </row>
    <row r="276" spans="2:5">
      <c r="B276" s="149" t="s">
        <v>749</v>
      </c>
      <c r="C276" s="152" t="s">
        <v>750</v>
      </c>
      <c r="D276" s="149"/>
      <c r="E276" s="148" t="s">
        <v>751</v>
      </c>
    </row>
    <row r="277" spans="2:5">
      <c r="B277" s="149" t="s">
        <v>653</v>
      </c>
      <c r="C277" s="152" t="s">
        <v>654</v>
      </c>
      <c r="D277" s="149" t="s">
        <v>674</v>
      </c>
    </row>
    <row r="278" spans="2:5" ht="13.5">
      <c r="B278" s="149" t="s">
        <v>655</v>
      </c>
      <c r="C278" s="152" t="s">
        <v>656</v>
      </c>
      <c r="D278" s="149" t="s">
        <v>675</v>
      </c>
    </row>
    <row r="279" spans="2:5">
      <c r="B279" s="149" t="s">
        <v>984</v>
      </c>
      <c r="C279" s="152" t="s">
        <v>985</v>
      </c>
      <c r="D279" s="149" t="s">
        <v>986</v>
      </c>
    </row>
    <row r="280" spans="2:5">
      <c r="B280" s="149" t="s">
        <v>657</v>
      </c>
      <c r="C280" s="152" t="s">
        <v>658</v>
      </c>
      <c r="D280" s="149" t="s">
        <v>676</v>
      </c>
    </row>
    <row r="281" spans="2:5">
      <c r="B281" s="149" t="s">
        <v>659</v>
      </c>
      <c r="C281" s="152" t="s">
        <v>660</v>
      </c>
      <c r="D281" s="149" t="s">
        <v>661</v>
      </c>
    </row>
    <row r="282" spans="2:5">
      <c r="B282" s="149" t="s">
        <v>752</v>
      </c>
      <c r="C282" s="152" t="s">
        <v>753</v>
      </c>
      <c r="D282" s="149"/>
    </row>
    <row r="283" spans="2:5">
      <c r="B283" s="149"/>
      <c r="C283" s="152"/>
      <c r="D283" s="149"/>
    </row>
    <row r="284" spans="2:5">
      <c r="B284" s="169" t="s">
        <v>677</v>
      </c>
      <c r="C284" s="170" t="s">
        <v>696</v>
      </c>
      <c r="D284" s="169" t="s">
        <v>768</v>
      </c>
      <c r="E284" s="148" t="s">
        <v>697</v>
      </c>
    </row>
    <row r="285" spans="2:5">
      <c r="B285" s="169" t="s">
        <v>678</v>
      </c>
      <c r="C285" s="170" t="s">
        <v>679</v>
      </c>
      <c r="D285" s="169" t="s">
        <v>769</v>
      </c>
      <c r="E285" s="148" t="s">
        <v>697</v>
      </c>
    </row>
    <row r="286" spans="2:5">
      <c r="B286" s="169" t="s">
        <v>680</v>
      </c>
      <c r="C286" s="170" t="s">
        <v>726</v>
      </c>
      <c r="D286" s="169" t="s">
        <v>770</v>
      </c>
      <c r="E286" s="148" t="s">
        <v>754</v>
      </c>
    </row>
    <row r="287" spans="2:5">
      <c r="B287" s="169" t="s">
        <v>681</v>
      </c>
      <c r="C287" s="170" t="s">
        <v>682</v>
      </c>
      <c r="D287" s="169" t="s">
        <v>771</v>
      </c>
      <c r="E287" s="148" t="s">
        <v>727</v>
      </c>
    </row>
    <row r="288" spans="2:5">
      <c r="B288" s="169" t="s">
        <v>694</v>
      </c>
      <c r="C288" s="170" t="s">
        <v>683</v>
      </c>
      <c r="D288" s="198" t="s">
        <v>780</v>
      </c>
      <c r="E288" s="148" t="s">
        <v>728</v>
      </c>
    </row>
    <row r="289" spans="2:5">
      <c r="B289" s="169" t="s">
        <v>684</v>
      </c>
      <c r="C289" s="170" t="s">
        <v>685</v>
      </c>
      <c r="D289" s="169" t="s">
        <v>772</v>
      </c>
      <c r="E289" s="148" t="s">
        <v>729</v>
      </c>
    </row>
    <row r="290" spans="2:5">
      <c r="B290" s="169" t="s">
        <v>686</v>
      </c>
      <c r="C290" s="170" t="s">
        <v>687</v>
      </c>
      <c r="D290" s="169" t="s">
        <v>773</v>
      </c>
      <c r="E290" s="148" t="s">
        <v>730</v>
      </c>
    </row>
    <row r="291" spans="2:5">
      <c r="B291" s="169" t="s">
        <v>688</v>
      </c>
      <c r="C291" s="170" t="s">
        <v>689</v>
      </c>
      <c r="D291" s="169" t="s">
        <v>774</v>
      </c>
      <c r="E291" s="148" t="s">
        <v>731</v>
      </c>
    </row>
    <row r="292" spans="2:5">
      <c r="B292" s="169" t="s">
        <v>690</v>
      </c>
      <c r="C292" s="170" t="s">
        <v>691</v>
      </c>
      <c r="D292" s="169" t="s">
        <v>774</v>
      </c>
      <c r="E292" s="148" t="s">
        <v>731</v>
      </c>
    </row>
    <row r="293" spans="2:5">
      <c r="B293" s="169" t="s">
        <v>692</v>
      </c>
      <c r="C293" s="170" t="s">
        <v>693</v>
      </c>
      <c r="D293" s="169" t="s">
        <v>774</v>
      </c>
      <c r="E293" s="148" t="s">
        <v>732</v>
      </c>
    </row>
    <row r="294" spans="2:5">
      <c r="B294" s="149"/>
      <c r="C294" s="152"/>
      <c r="D294" s="149"/>
    </row>
    <row r="295" spans="2:5">
      <c r="B295" s="149" t="s">
        <v>987</v>
      </c>
      <c r="C295" s="152" t="s">
        <v>988</v>
      </c>
      <c r="D295" s="149"/>
      <c r="E295" s="148" t="s">
        <v>988</v>
      </c>
    </row>
    <row r="296" spans="2:5">
      <c r="B296" s="149" t="s">
        <v>989</v>
      </c>
      <c r="C296" s="152" t="s">
        <v>990</v>
      </c>
      <c r="D296" s="149"/>
    </row>
    <row r="297" spans="2:5">
      <c r="B297" s="149"/>
      <c r="C297" s="152"/>
      <c r="D297" s="149"/>
    </row>
    <row r="298" spans="2:5">
      <c r="B298" s="149" t="s">
        <v>991</v>
      </c>
      <c r="C298" s="152" t="s">
        <v>992</v>
      </c>
      <c r="D298" s="149" t="s">
        <v>993</v>
      </c>
    </row>
    <row r="299" spans="2:5">
      <c r="B299" s="149" t="s">
        <v>940</v>
      </c>
      <c r="C299" s="152" t="s">
        <v>941</v>
      </c>
      <c r="D299" s="167" t="s">
        <v>942</v>
      </c>
      <c r="E299" s="148" t="s">
        <v>994</v>
      </c>
    </row>
    <row r="300" spans="2:5">
      <c r="B300" s="149" t="s">
        <v>995</v>
      </c>
      <c r="C300" s="152" t="s">
        <v>996</v>
      </c>
      <c r="D300" s="149"/>
    </row>
    <row r="301" spans="2:5">
      <c r="B301" s="149" t="s">
        <v>997</v>
      </c>
      <c r="C301" s="152" t="s">
        <v>998</v>
      </c>
      <c r="D301" s="149"/>
    </row>
    <row r="302" spans="2:5">
      <c r="B302" s="149" t="s">
        <v>944</v>
      </c>
      <c r="C302" s="152" t="s">
        <v>945</v>
      </c>
      <c r="D302" s="167"/>
      <c r="E302" s="148" t="s">
        <v>946</v>
      </c>
    </row>
    <row r="303" spans="2:5">
      <c r="B303" s="149" t="s">
        <v>999</v>
      </c>
      <c r="C303" s="152" t="s">
        <v>1000</v>
      </c>
      <c r="D303" s="149" t="s">
        <v>1001</v>
      </c>
    </row>
    <row r="304" spans="2:5">
      <c r="B304" s="149" t="s">
        <v>1002</v>
      </c>
      <c r="C304" s="152" t="s">
        <v>1003</v>
      </c>
      <c r="D304" s="149" t="s">
        <v>1004</v>
      </c>
    </row>
    <row r="305" spans="2:5">
      <c r="B305" s="149" t="s">
        <v>1005</v>
      </c>
      <c r="C305" s="152" t="s">
        <v>1006</v>
      </c>
      <c r="D305" s="149" t="s">
        <v>1007</v>
      </c>
    </row>
    <row r="306" spans="2:5">
      <c r="B306" s="149" t="s">
        <v>947</v>
      </c>
      <c r="C306" s="152" t="s">
        <v>948</v>
      </c>
      <c r="D306" s="149"/>
      <c r="E306" s="148" t="s">
        <v>949</v>
      </c>
    </row>
    <row r="307" spans="2:5">
      <c r="B307" s="149" t="s">
        <v>1008</v>
      </c>
      <c r="C307" s="152" t="s">
        <v>951</v>
      </c>
      <c r="D307" s="149"/>
      <c r="E307" s="148" t="s">
        <v>952</v>
      </c>
    </row>
    <row r="308" spans="2:5">
      <c r="B308" s="149" t="s">
        <v>1009</v>
      </c>
      <c r="C308" s="152" t="s">
        <v>1010</v>
      </c>
      <c r="D308" s="149"/>
      <c r="E308" s="148" t="s">
        <v>955</v>
      </c>
    </row>
    <row r="309" spans="2:5">
      <c r="B309" s="149" t="s">
        <v>953</v>
      </c>
      <c r="C309" s="152" t="s">
        <v>954</v>
      </c>
      <c r="D309" s="149"/>
      <c r="E309" s="148" t="s">
        <v>955</v>
      </c>
    </row>
    <row r="310" spans="2:5">
      <c r="B310" s="149" t="s">
        <v>1011</v>
      </c>
      <c r="C310" s="152" t="s">
        <v>1012</v>
      </c>
      <c r="D310" s="149"/>
      <c r="E310" s="148" t="s">
        <v>964</v>
      </c>
    </row>
    <row r="311" spans="2:5">
      <c r="B311" s="149" t="s">
        <v>956</v>
      </c>
      <c r="C311" s="152" t="s">
        <v>957</v>
      </c>
      <c r="D311" s="149"/>
      <c r="E311" s="148" t="s">
        <v>958</v>
      </c>
    </row>
    <row r="312" spans="2:5">
      <c r="B312" s="149" t="s">
        <v>959</v>
      </c>
      <c r="C312" s="152" t="s">
        <v>960</v>
      </c>
      <c r="D312" s="149"/>
      <c r="E312" s="148" t="s">
        <v>961</v>
      </c>
    </row>
    <row r="313" spans="2:5">
      <c r="B313" s="149" t="s">
        <v>962</v>
      </c>
      <c r="C313" s="152" t="s">
        <v>963</v>
      </c>
      <c r="D313" s="149"/>
      <c r="E313" s="148" t="s">
        <v>964</v>
      </c>
    </row>
    <row r="314" spans="2:5">
      <c r="B314" s="149" t="s">
        <v>967</v>
      </c>
      <c r="C314" s="152" t="s">
        <v>968</v>
      </c>
      <c r="D314" s="149"/>
      <c r="E314" s="148" t="s">
        <v>969</v>
      </c>
    </row>
    <row r="315" spans="2:5">
      <c r="B315" s="149"/>
      <c r="C315" s="152"/>
      <c r="D315" s="149"/>
    </row>
    <row r="316" spans="2:5">
      <c r="B316" s="149" t="s">
        <v>1013</v>
      </c>
      <c r="C316" s="152" t="s">
        <v>1014</v>
      </c>
      <c r="D316" s="149"/>
      <c r="E316" s="148" t="s">
        <v>1015</v>
      </c>
    </row>
    <row r="317" spans="2:5">
      <c r="B317" s="149" t="s">
        <v>1016</v>
      </c>
      <c r="C317" s="152" t="s">
        <v>1017</v>
      </c>
      <c r="D317" s="149"/>
      <c r="E317" s="148" t="s">
        <v>1015</v>
      </c>
    </row>
    <row r="318" spans="2:5">
      <c r="B318" s="149" t="s">
        <v>1018</v>
      </c>
      <c r="C318" s="152" t="s">
        <v>1019</v>
      </c>
      <c r="D318" s="149"/>
      <c r="E318" s="148" t="s">
        <v>1020</v>
      </c>
    </row>
    <row r="319" spans="2:5">
      <c r="B319" s="149" t="s">
        <v>1021</v>
      </c>
      <c r="C319" s="152" t="s">
        <v>1022</v>
      </c>
      <c r="D319" s="149"/>
      <c r="E319" s="148" t="s">
        <v>1020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8" t="s">
        <v>1023</v>
      </c>
      <c r="C326" s="219"/>
      <c r="D326" s="220"/>
    </row>
    <row r="327" spans="2:5">
      <c r="B327" s="149" t="s">
        <v>1024</v>
      </c>
      <c r="C327" s="152" t="s">
        <v>1025</v>
      </c>
      <c r="D327" s="149"/>
      <c r="E327" s="148" t="s">
        <v>842</v>
      </c>
    </row>
    <row r="328" spans="2:5">
      <c r="B328" s="149"/>
      <c r="C328" s="152"/>
      <c r="D328" s="149"/>
    </row>
    <row r="329" spans="2:5" ht="13.5">
      <c r="B329" s="149" t="s">
        <v>1026</v>
      </c>
      <c r="C329" s="152" t="s">
        <v>1027</v>
      </c>
      <c r="D329" s="149" t="s">
        <v>1028</v>
      </c>
      <c r="E329" s="199"/>
    </row>
    <row r="330" spans="2:5">
      <c r="B330" s="149" t="s">
        <v>1029</v>
      </c>
      <c r="C330" s="152" t="s">
        <v>1030</v>
      </c>
      <c r="D330" s="149"/>
      <c r="E330" s="199" t="s">
        <v>1031</v>
      </c>
    </row>
    <row r="331" spans="2:5">
      <c r="B331" s="149" t="s">
        <v>1032</v>
      </c>
      <c r="C331" s="152" t="s">
        <v>1033</v>
      </c>
      <c r="D331" s="149"/>
      <c r="E331" s="148" t="s">
        <v>1034</v>
      </c>
    </row>
    <row r="332" spans="2:5">
      <c r="B332" s="149"/>
      <c r="C332" s="152"/>
      <c r="D332" s="149"/>
    </row>
    <row r="333" spans="2:5" ht="13.5">
      <c r="B333" s="149" t="s">
        <v>1035</v>
      </c>
      <c r="C333" s="152" t="s">
        <v>1036</v>
      </c>
      <c r="D333" s="187" t="s">
        <v>1037</v>
      </c>
      <c r="E333" s="148" t="s">
        <v>1038</v>
      </c>
    </row>
    <row r="334" spans="2:5">
      <c r="B334" s="149"/>
      <c r="C334" s="152"/>
      <c r="D334" s="149"/>
    </row>
    <row r="335" spans="2:5" ht="13.5">
      <c r="B335" s="149" t="s">
        <v>1039</v>
      </c>
      <c r="C335" s="152" t="s">
        <v>1040</v>
      </c>
      <c r="D335" s="149" t="s">
        <v>1041</v>
      </c>
      <c r="E335" s="148" t="s">
        <v>1042</v>
      </c>
    </row>
    <row r="336" spans="2:5">
      <c r="B336" s="149" t="s">
        <v>1043</v>
      </c>
      <c r="C336" s="152" t="s">
        <v>1044</v>
      </c>
      <c r="D336" s="149" t="s">
        <v>1045</v>
      </c>
    </row>
    <row r="337" spans="2:6">
      <c r="B337" s="149"/>
      <c r="C337" s="152"/>
      <c r="D337" s="149"/>
    </row>
    <row r="338" spans="2:6" ht="13.5">
      <c r="B338" s="149" t="s">
        <v>1046</v>
      </c>
      <c r="C338" s="152" t="s">
        <v>1047</v>
      </c>
      <c r="D338" s="187" t="s">
        <v>1048</v>
      </c>
      <c r="E338" s="148" t="s">
        <v>1049</v>
      </c>
    </row>
    <row r="339" spans="2:6" ht="13.5">
      <c r="B339" s="149" t="s">
        <v>1050</v>
      </c>
      <c r="C339" s="152" t="s">
        <v>1051</v>
      </c>
      <c r="D339" s="149"/>
      <c r="E339" s="148" t="s">
        <v>1052</v>
      </c>
    </row>
    <row r="340" spans="2:6">
      <c r="B340" s="149"/>
      <c r="C340" s="152"/>
      <c r="D340" s="149"/>
    </row>
    <row r="341" spans="2:6">
      <c r="B341" s="149" t="s">
        <v>1053</v>
      </c>
      <c r="C341" s="152" t="s">
        <v>1054</v>
      </c>
      <c r="D341" s="149"/>
    </row>
    <row r="342" spans="2:6">
      <c r="B342" s="149" t="s">
        <v>1055</v>
      </c>
      <c r="C342" s="152" t="s">
        <v>1056</v>
      </c>
      <c r="D342" s="149"/>
    </row>
    <row r="343" spans="2:6">
      <c r="B343" s="149"/>
      <c r="C343" s="152"/>
      <c r="D343" s="149"/>
    </row>
    <row r="344" spans="2:6" ht="13.5">
      <c r="B344" s="149" t="s">
        <v>1057</v>
      </c>
      <c r="C344" s="152" t="s">
        <v>1058</v>
      </c>
      <c r="D344" s="187" t="s">
        <v>1059</v>
      </c>
      <c r="E344" s="148" t="s">
        <v>1060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5" t="s">
        <v>1061</v>
      </c>
    </row>
    <row r="347" spans="2:6" ht="13.5">
      <c r="B347" s="149" t="s">
        <v>1062</v>
      </c>
      <c r="C347" s="152" t="s">
        <v>1063</v>
      </c>
      <c r="D347" s="149" t="s">
        <v>1064</v>
      </c>
      <c r="E347" s="200">
        <v>6027</v>
      </c>
      <c r="F347" s="195" t="s">
        <v>1065</v>
      </c>
    </row>
    <row r="348" spans="2:6">
      <c r="B348" s="149" t="s">
        <v>1066</v>
      </c>
      <c r="C348" s="152" t="s">
        <v>1067</v>
      </c>
      <c r="D348" s="149" t="s">
        <v>1068</v>
      </c>
      <c r="E348" s="168">
        <v>0</v>
      </c>
    </row>
    <row r="349" spans="2:6">
      <c r="B349" s="149" t="s">
        <v>1069</v>
      </c>
      <c r="C349" s="152" t="s">
        <v>1070</v>
      </c>
      <c r="D349" s="149" t="s">
        <v>1071</v>
      </c>
      <c r="E349" s="168">
        <v>0</v>
      </c>
    </row>
    <row r="350" spans="2:6">
      <c r="B350" s="149" t="s">
        <v>1072</v>
      </c>
      <c r="C350" s="152" t="s">
        <v>1073</v>
      </c>
      <c r="D350" s="149" t="s">
        <v>1074</v>
      </c>
      <c r="E350" s="168">
        <v>0</v>
      </c>
    </row>
    <row r="351" spans="2:6" ht="13.5">
      <c r="B351" s="149" t="s">
        <v>1075</v>
      </c>
      <c r="C351" s="152" t="s">
        <v>1076</v>
      </c>
      <c r="D351" s="149" t="s">
        <v>1064</v>
      </c>
      <c r="E351" s="148" t="s">
        <v>1077</v>
      </c>
    </row>
    <row r="352" spans="2:6">
      <c r="B352" s="149" t="s">
        <v>1078</v>
      </c>
      <c r="C352" s="152" t="s">
        <v>1079</v>
      </c>
      <c r="D352" s="149" t="s">
        <v>1064</v>
      </c>
    </row>
    <row r="353" spans="2:5">
      <c r="B353" s="149" t="s">
        <v>1080</v>
      </c>
      <c r="C353" s="152" t="s">
        <v>1081</v>
      </c>
      <c r="D353" s="149" t="s">
        <v>1068</v>
      </c>
    </row>
    <row r="354" spans="2:5">
      <c r="B354" s="149" t="s">
        <v>1082</v>
      </c>
      <c r="C354" s="152" t="s">
        <v>1083</v>
      </c>
      <c r="D354" s="149" t="s">
        <v>1068</v>
      </c>
    </row>
    <row r="355" spans="2:5">
      <c r="B355" s="149" t="s">
        <v>1084</v>
      </c>
      <c r="C355" s="152" t="s">
        <v>1085</v>
      </c>
      <c r="D355" s="149" t="s">
        <v>1071</v>
      </c>
    </row>
    <row r="356" spans="2:5">
      <c r="B356" s="149" t="s">
        <v>1086</v>
      </c>
      <c r="C356" s="152" t="s">
        <v>1087</v>
      </c>
      <c r="D356" s="149" t="s">
        <v>1071</v>
      </c>
    </row>
    <row r="357" spans="2:5">
      <c r="B357" s="149" t="s">
        <v>1088</v>
      </c>
      <c r="C357" s="152" t="s">
        <v>1088</v>
      </c>
      <c r="D357" s="149" t="s">
        <v>1074</v>
      </c>
    </row>
    <row r="358" spans="2:5">
      <c r="B358" s="149" t="s">
        <v>1089</v>
      </c>
      <c r="C358" s="152" t="s">
        <v>1090</v>
      </c>
      <c r="D358" s="149" t="s">
        <v>1074</v>
      </c>
    </row>
    <row r="359" spans="2:5">
      <c r="B359" s="149"/>
      <c r="C359" s="152"/>
      <c r="D359" s="149"/>
    </row>
    <row r="360" spans="2:5" ht="13.5">
      <c r="B360" s="149" t="s">
        <v>1091</v>
      </c>
      <c r="C360" s="152" t="s">
        <v>1092</v>
      </c>
      <c r="D360" s="149" t="s">
        <v>1093</v>
      </c>
      <c r="E360" s="195" t="s">
        <v>1094</v>
      </c>
    </row>
    <row r="361" spans="2:5">
      <c r="B361" s="149"/>
      <c r="C361" s="152"/>
      <c r="D361" s="149"/>
    </row>
    <row r="362" spans="2:5" ht="13.5">
      <c r="B362" s="149" t="s">
        <v>1095</v>
      </c>
      <c r="C362" s="152" t="s">
        <v>1096</v>
      </c>
      <c r="D362" s="149"/>
      <c r="E362" s="148" t="s">
        <v>1097</v>
      </c>
    </row>
    <row r="363" spans="2:5">
      <c r="B363" s="149" t="s">
        <v>1098</v>
      </c>
      <c r="C363" s="152" t="s">
        <v>1099</v>
      </c>
      <c r="D363" s="149" t="s">
        <v>1100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5"/>
    </row>
    <row r="366" spans="2:5">
      <c r="B366" s="149" t="s">
        <v>1101</v>
      </c>
      <c r="C366" s="152" t="s">
        <v>1102</v>
      </c>
      <c r="D366" s="167"/>
      <c r="E366" s="148" t="s">
        <v>975</v>
      </c>
    </row>
    <row r="367" spans="2:5" ht="13.5">
      <c r="B367" s="149" t="s">
        <v>1103</v>
      </c>
      <c r="C367" s="152" t="s">
        <v>1104</v>
      </c>
      <c r="D367" s="187" t="s">
        <v>1105</v>
      </c>
    </row>
    <row r="368" spans="2:5">
      <c r="B368" s="149" t="s">
        <v>1106</v>
      </c>
      <c r="C368" s="152" t="s">
        <v>1107</v>
      </c>
      <c r="D368" s="149"/>
    </row>
    <row r="369" spans="2:5">
      <c r="B369" s="149" t="s">
        <v>1108</v>
      </c>
      <c r="C369" s="152" t="s">
        <v>1109</v>
      </c>
      <c r="D369" s="149"/>
    </row>
    <row r="370" spans="2:5">
      <c r="B370" s="149" t="s">
        <v>1110</v>
      </c>
      <c r="C370" s="152" t="s">
        <v>1111</v>
      </c>
      <c r="D370" s="149"/>
    </row>
    <row r="371" spans="2:5">
      <c r="B371" s="149" t="s">
        <v>1112</v>
      </c>
      <c r="C371" s="152" t="s">
        <v>1113</v>
      </c>
      <c r="D371" s="149"/>
    </row>
    <row r="372" spans="2:5">
      <c r="B372" s="149" t="s">
        <v>1114</v>
      </c>
      <c r="C372" s="152" t="s">
        <v>1115</v>
      </c>
      <c r="D372" s="149"/>
    </row>
    <row r="373" spans="2:5">
      <c r="B373" s="149" t="s">
        <v>1116</v>
      </c>
      <c r="C373" s="152" t="s">
        <v>1117</v>
      </c>
      <c r="D373" s="149"/>
    </row>
    <row r="374" spans="2:5">
      <c r="B374" s="149" t="s">
        <v>1118</v>
      </c>
      <c r="C374" s="152" t="s">
        <v>1119</v>
      </c>
      <c r="D374" s="149"/>
    </row>
    <row r="375" spans="2:5">
      <c r="B375" s="149" t="s">
        <v>1120</v>
      </c>
      <c r="C375" s="152" t="s">
        <v>1121</v>
      </c>
      <c r="D375" s="149"/>
    </row>
    <row r="376" spans="2:5">
      <c r="B376" s="149"/>
      <c r="C376" s="152"/>
      <c r="D376" s="149"/>
    </row>
    <row r="377" spans="2:5" ht="13.5">
      <c r="B377" s="149" t="s">
        <v>1122</v>
      </c>
      <c r="C377" s="152" t="s">
        <v>1123</v>
      </c>
      <c r="D377" s="149" t="s">
        <v>1124</v>
      </c>
      <c r="E377" s="148" t="s">
        <v>1125</v>
      </c>
    </row>
    <row r="378" spans="2:5">
      <c r="B378" s="149" t="s">
        <v>1126</v>
      </c>
      <c r="C378" s="152" t="s">
        <v>1127</v>
      </c>
      <c r="D378" s="149"/>
    </row>
    <row r="379" spans="2:5">
      <c r="B379" s="149"/>
      <c r="C379" s="152"/>
      <c r="D379" s="149"/>
    </row>
    <row r="380" spans="2:5" ht="13.5">
      <c r="B380" s="201" t="s">
        <v>1128</v>
      </c>
      <c r="C380" s="202" t="s">
        <v>1129</v>
      </c>
      <c r="D380" s="203" t="s">
        <v>1130</v>
      </c>
      <c r="E380" s="148" t="s">
        <v>1131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1132</v>
      </c>
      <c r="C388" s="152" t="s">
        <v>1133</v>
      </c>
      <c r="D388" s="204" t="s">
        <v>1134</v>
      </c>
      <c r="E388" s="148" t="s">
        <v>1135</v>
      </c>
    </row>
    <row r="389" spans="2:5" ht="13.5">
      <c r="B389" s="149" t="s">
        <v>1136</v>
      </c>
      <c r="C389" s="152" t="s">
        <v>1137</v>
      </c>
      <c r="D389" s="204" t="s">
        <v>1134</v>
      </c>
    </row>
    <row r="390" spans="2:5" ht="13.5">
      <c r="B390" s="149" t="s">
        <v>1138</v>
      </c>
      <c r="C390" s="152" t="s">
        <v>1115</v>
      </c>
      <c r="D390" s="204" t="s">
        <v>1134</v>
      </c>
    </row>
    <row r="391" spans="2:5" ht="13.5">
      <c r="B391" s="149" t="s">
        <v>1139</v>
      </c>
      <c r="C391" s="152" t="s">
        <v>1117</v>
      </c>
      <c r="D391" s="204" t="s">
        <v>1134</v>
      </c>
    </row>
    <row r="392" spans="2:5">
      <c r="B392" s="149" t="s">
        <v>1140</v>
      </c>
      <c r="C392" s="152" t="s">
        <v>1141</v>
      </c>
      <c r="D392" s="149" t="s">
        <v>1142</v>
      </c>
    </row>
    <row r="393" spans="2:5">
      <c r="B393" s="149" t="s">
        <v>1143</v>
      </c>
      <c r="C393" s="152" t="s">
        <v>1144</v>
      </c>
      <c r="D393" s="149" t="s">
        <v>1142</v>
      </c>
    </row>
    <row r="394" spans="2:5" ht="13.5">
      <c r="B394" s="149" t="s">
        <v>1145</v>
      </c>
      <c r="C394" s="152" t="s">
        <v>1146</v>
      </c>
      <c r="D394" s="149" t="s">
        <v>1142</v>
      </c>
      <c r="E394" s="195" t="s">
        <v>1147</v>
      </c>
    </row>
    <row r="395" spans="2:5">
      <c r="B395" s="149" t="s">
        <v>1148</v>
      </c>
      <c r="C395" s="152" t="s">
        <v>1149</v>
      </c>
      <c r="D395" s="149"/>
    </row>
    <row r="396" spans="2:5">
      <c r="B396" s="149" t="s">
        <v>1150</v>
      </c>
      <c r="C396" s="152" t="s">
        <v>1151</v>
      </c>
      <c r="D396" s="149"/>
    </row>
    <row r="397" spans="2:5">
      <c r="B397" s="149" t="s">
        <v>1152</v>
      </c>
      <c r="C397" s="152" t="s">
        <v>1153</v>
      </c>
      <c r="D397" s="149"/>
    </row>
    <row r="398" spans="2:5">
      <c r="B398" s="149" t="s">
        <v>1154</v>
      </c>
      <c r="C398" s="152" t="s">
        <v>1155</v>
      </c>
      <c r="D398" s="149"/>
    </row>
    <row r="399" spans="2:5" ht="13.5">
      <c r="B399" s="149" t="s">
        <v>1156</v>
      </c>
      <c r="C399" s="152" t="s">
        <v>1157</v>
      </c>
      <c r="D399" s="204" t="s">
        <v>1158</v>
      </c>
    </row>
    <row r="400" spans="2:5" ht="13.5">
      <c r="B400" s="149" t="s">
        <v>1159</v>
      </c>
      <c r="C400" s="152" t="s">
        <v>1160</v>
      </c>
      <c r="D400" s="149" t="s">
        <v>1161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6" customFormat="1">
      <c r="A1" s="226" t="s">
        <v>304</v>
      </c>
      <c r="B1" s="226"/>
      <c r="C1" s="226"/>
      <c r="I1" s="226" t="s">
        <v>305</v>
      </c>
      <c r="J1" s="226"/>
      <c r="K1" s="226"/>
      <c r="Q1" s="226" t="s">
        <v>306</v>
      </c>
      <c r="R1" s="226"/>
      <c r="S1" s="226"/>
      <c r="Y1" s="226" t="s">
        <v>307</v>
      </c>
      <c r="Z1" s="226"/>
      <c r="AA1" s="226"/>
      <c r="AG1" s="226" t="s">
        <v>367</v>
      </c>
      <c r="AH1" s="226"/>
      <c r="AI1" s="226"/>
    </row>
    <row r="2" spans="1:39" ht="13.5" thickBot="1">
      <c r="A2" s="227"/>
      <c r="B2" s="227"/>
      <c r="C2" s="227"/>
      <c r="I2" s="227"/>
      <c r="J2" s="227"/>
      <c r="K2" s="227"/>
      <c r="Q2" s="227"/>
      <c r="R2" s="227"/>
      <c r="S2" s="227"/>
      <c r="Y2" s="227"/>
      <c r="Z2" s="227"/>
      <c r="AA2" s="227"/>
      <c r="AG2" s="227"/>
      <c r="AH2" s="227"/>
      <c r="AI2" s="227"/>
    </row>
    <row r="3" spans="1:39" ht="14.25" thickTop="1">
      <c r="A3" s="109" t="s">
        <v>763</v>
      </c>
      <c r="B3" s="110" t="s">
        <v>764</v>
      </c>
      <c r="C3" s="111" t="s">
        <v>301</v>
      </c>
      <c r="I3" s="109" t="s">
        <v>763</v>
      </c>
      <c r="J3" s="110" t="s">
        <v>764</v>
      </c>
      <c r="K3" s="111" t="s">
        <v>301</v>
      </c>
      <c r="Q3" s="109" t="s">
        <v>763</v>
      </c>
      <c r="R3" s="110" t="s">
        <v>764</v>
      </c>
      <c r="S3" s="111" t="s">
        <v>301</v>
      </c>
      <c r="Y3" s="109" t="s">
        <v>763</v>
      </c>
      <c r="Z3" s="110" t="s">
        <v>764</v>
      </c>
      <c r="AA3" s="111" t="s">
        <v>301</v>
      </c>
      <c r="AG3" s="109" t="s">
        <v>763</v>
      </c>
      <c r="AH3" s="110" t="s">
        <v>764</v>
      </c>
      <c r="AI3" s="111" t="s">
        <v>301</v>
      </c>
    </row>
    <row r="4" spans="1:39" ht="14.25" thickBot="1">
      <c r="A4" s="112" t="s">
        <v>765</v>
      </c>
      <c r="B4" s="113" t="s">
        <v>302</v>
      </c>
      <c r="C4" s="114" t="s">
        <v>303</v>
      </c>
      <c r="I4" s="112" t="s">
        <v>765</v>
      </c>
      <c r="J4" s="113" t="s">
        <v>302</v>
      </c>
      <c r="K4" s="114" t="s">
        <v>303</v>
      </c>
      <c r="Q4" s="112" t="s">
        <v>765</v>
      </c>
      <c r="R4" s="113" t="s">
        <v>302</v>
      </c>
      <c r="S4" s="114" t="s">
        <v>303</v>
      </c>
      <c r="Y4" s="112" t="s">
        <v>765</v>
      </c>
      <c r="Z4" s="113" t="s">
        <v>302</v>
      </c>
      <c r="AA4" s="114" t="s">
        <v>303</v>
      </c>
      <c r="AG4" s="112" t="s">
        <v>765</v>
      </c>
      <c r="AH4" s="113" t="s">
        <v>302</v>
      </c>
      <c r="AI4" s="114" t="s">
        <v>303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21">
        <v>58.5</v>
      </c>
      <c r="J8" s="122">
        <v>8</v>
      </c>
      <c r="K8" s="123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3">
        <v>25</v>
      </c>
      <c r="J75" s="134">
        <v>30</v>
      </c>
      <c r="K75" s="135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4">
        <v>40</v>
      </c>
      <c r="Z95" s="125">
        <v>1.5958078428260545</v>
      </c>
      <c r="AA95" s="126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6">
        <v>25</v>
      </c>
      <c r="Z125" s="137">
        <v>3</v>
      </c>
      <c r="AA125" s="138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21">
        <v>-5</v>
      </c>
      <c r="J135" s="122">
        <v>122.2</v>
      </c>
      <c r="K135" s="123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6" customFormat="1" ht="13.5">
      <c r="A1" s="207" t="s">
        <v>760</v>
      </c>
      <c r="B1" s="207" t="s">
        <v>242</v>
      </c>
      <c r="C1" s="206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6" t="s">
        <v>794</v>
      </c>
    </row>
    <row r="19" spans="1:3">
      <c r="A19" s="53" t="s">
        <v>370</v>
      </c>
      <c r="B19" s="53" t="s">
        <v>761</v>
      </c>
    </row>
    <row r="20" spans="1:3">
      <c r="A20" s="53" t="s">
        <v>522</v>
      </c>
      <c r="B20" s="53" t="s">
        <v>762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