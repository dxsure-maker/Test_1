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3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L11" i="31"/>
  <c r="L12" i="31" s="1"/>
  <c r="L13" i="31" s="1"/>
  <c r="L14" i="31" s="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L35" i="31" s="1"/>
  <c r="L36" i="31" s="1"/>
  <c r="L37" i="31" s="1"/>
  <c r="L38" i="31" s="1"/>
  <c r="L39" i="31" s="1"/>
  <c r="L40" i="31" s="1"/>
  <c r="L41" i="31" s="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3" i="31" s="1"/>
  <c r="M44" i="31" s="1"/>
  <c r="M45" i="31" s="1"/>
  <c r="M46" i="31" s="1"/>
  <c r="M47" i="31" s="1"/>
  <c r="M48" i="31" s="1"/>
  <c r="M49" i="31" s="1"/>
  <c r="U11" i="31"/>
  <c r="F68" i="22" s="1"/>
  <c r="K12" i="3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3" i="31" s="1"/>
  <c r="K44" i="31" s="1"/>
  <c r="K45" i="31" s="1"/>
  <c r="K46" i="31" s="1"/>
  <c r="K47" i="31" s="1"/>
  <c r="K48" i="31" s="1"/>
  <c r="K49" i="31" s="1"/>
  <c r="T13" i="31"/>
  <c r="E84" i="22" s="1"/>
  <c r="T14" i="31"/>
  <c r="E89" i="22" s="1"/>
  <c r="T15" i="31"/>
  <c r="T16" i="31"/>
  <c r="E99" i="22" s="1"/>
  <c r="T17" i="31"/>
  <c r="CD17" i="31"/>
  <c r="CG17" i="31"/>
  <c r="T18" i="31"/>
  <c r="CD18" i="31"/>
  <c r="CG18" i="31"/>
  <c r="T19" i="31"/>
  <c r="CD19" i="31"/>
  <c r="CG19" i="31"/>
  <c r="T20" i="31"/>
  <c r="CD20" i="31"/>
  <c r="CG20" i="31"/>
  <c r="T21" i="31"/>
  <c r="CD21" i="31"/>
  <c r="CD22" i="31" s="1"/>
  <c r="CG21" i="31"/>
  <c r="CG22" i="31" s="1"/>
  <c r="CD23" i="31"/>
  <c r="CD24" i="31" s="1"/>
  <c r="CD25" i="31" s="1"/>
  <c r="CG23" i="31"/>
  <c r="T24" i="31"/>
  <c r="CG24" i="31"/>
  <c r="CG25" i="31" s="1"/>
  <c r="CD26" i="31"/>
  <c r="CG26" i="31"/>
  <c r="CG27" i="31" s="1"/>
  <c r="CG28" i="31" s="1"/>
  <c r="T27" i="31"/>
  <c r="E154" i="22" s="1"/>
  <c r="CD27" i="31"/>
  <c r="CD28" i="31" s="1"/>
  <c r="CD29" i="31"/>
  <c r="CD30" i="31" s="1"/>
  <c r="CD31" i="31" s="1"/>
  <c r="CG29" i="31"/>
  <c r="CG30" i="31" s="1"/>
  <c r="CG31" i="31" s="1"/>
  <c r="T30" i="31"/>
  <c r="CD32" i="31"/>
  <c r="CG32" i="31"/>
  <c r="T34" i="31"/>
  <c r="E185" i="22" s="1"/>
  <c r="T36" i="31"/>
  <c r="E199" i="22" s="1"/>
  <c r="T37" i="31"/>
  <c r="T39" i="31"/>
  <c r="E217" i="22" s="1"/>
  <c r="T40" i="31"/>
  <c r="U43" i="31"/>
  <c r="F240" i="22" s="1"/>
  <c r="L44" i="31"/>
  <c r="L45" i="31" s="1"/>
  <c r="L46" i="31" s="1"/>
  <c r="L47" i="31" s="1"/>
  <c r="L48" i="31" s="1"/>
  <c r="L49" i="31" s="1"/>
  <c r="T45" i="31"/>
  <c r="T46" i="31"/>
  <c r="T47" i="31"/>
  <c r="T48" i="31"/>
  <c r="U88" i="31"/>
  <c r="K89" i="31"/>
  <c r="K90" i="31" s="1"/>
  <c r="K91" i="31" s="1"/>
  <c r="K92" i="31" s="1"/>
  <c r="L89" i="31"/>
  <c r="L90" i="31" s="1"/>
  <c r="L91" i="31" s="1"/>
  <c r="L92" i="31" s="1"/>
  <c r="M89" i="31"/>
  <c r="M90" i="31" s="1"/>
  <c r="M91" i="31" s="1"/>
  <c r="M92" i="31" s="1"/>
  <c r="T90" i="31"/>
  <c r="CD90" i="31"/>
  <c r="CD91" i="31" s="1"/>
  <c r="CD92" i="31" s="1"/>
  <c r="T91" i="31"/>
  <c r="T92" i="31"/>
  <c r="T93" i="31"/>
  <c r="T94" i="31"/>
  <c r="T95" i="31"/>
  <c r="CG95" i="31"/>
  <c r="T96" i="31"/>
  <c r="CG96" i="31"/>
  <c r="T97" i="31"/>
  <c r="CG97" i="31"/>
  <c r="T98" i="31"/>
  <c r="CG98" i="31"/>
  <c r="T99" i="31"/>
  <c r="CG99" i="31"/>
  <c r="K104" i="31"/>
  <c r="K105" i="31" s="1"/>
  <c r="K106" i="31" s="1"/>
  <c r="L104" i="31"/>
  <c r="M104" i="31"/>
  <c r="L105" i="31"/>
  <c r="L106" i="31" s="1"/>
  <c r="M105" i="31"/>
  <c r="M106" i="31" s="1"/>
  <c r="T105" i="31"/>
  <c r="K109" i="31"/>
  <c r="L109" i="31"/>
  <c r="M109" i="31"/>
  <c r="K110" i="31"/>
  <c r="L110" i="31"/>
  <c r="M110" i="31"/>
  <c r="D2" i="22"/>
  <c r="E8" i="22"/>
  <c r="E9" i="22"/>
  <c r="E13" i="22"/>
  <c r="F19" i="22"/>
  <c r="E27" i="22"/>
  <c r="E28" i="22"/>
  <c r="E29" i="22"/>
  <c r="E30" i="22"/>
  <c r="E31" i="22"/>
  <c r="E32" i="22"/>
  <c r="E33" i="22"/>
  <c r="E35" i="22"/>
  <c r="E36" i="22"/>
  <c r="E37" i="22"/>
  <c r="E38" i="22"/>
  <c r="E39" i="22"/>
  <c r="E40" i="22"/>
  <c r="E41" i="22"/>
  <c r="E42" i="22"/>
  <c r="E45" i="22"/>
  <c r="E46" i="22"/>
  <c r="E47" i="22"/>
  <c r="E48" i="22"/>
  <c r="F58" i="22"/>
  <c r="D64" i="22"/>
  <c r="E66" i="22"/>
  <c r="E67" i="22"/>
  <c r="E68" i="22"/>
  <c r="F69" i="22"/>
  <c r="G70" i="22"/>
  <c r="I70" i="22"/>
  <c r="G71" i="22"/>
  <c r="G72" i="22"/>
  <c r="I72" i="22"/>
  <c r="G73" i="22"/>
  <c r="H73" i="22"/>
  <c r="I73" i="22" s="1"/>
  <c r="G74" i="22"/>
  <c r="I74" i="22"/>
  <c r="G75" i="22"/>
  <c r="I75" i="22"/>
  <c r="E77" i="22"/>
  <c r="F77" i="22"/>
  <c r="F78" i="22"/>
  <c r="G79" i="22"/>
  <c r="I79" i="22"/>
  <c r="G80" i="22"/>
  <c r="H80" i="22"/>
  <c r="I80" i="22" s="1"/>
  <c r="G81" i="22"/>
  <c r="I81" i="22"/>
  <c r="G82" i="22"/>
  <c r="I82" i="22"/>
  <c r="F84" i="22"/>
  <c r="F85" i="22"/>
  <c r="G86" i="22"/>
  <c r="I86" i="22"/>
  <c r="G87" i="22"/>
  <c r="I87" i="22"/>
  <c r="F89" i="22"/>
  <c r="F90" i="22"/>
  <c r="G91" i="22"/>
  <c r="I91" i="22"/>
  <c r="G92" i="22"/>
  <c r="I92" i="22"/>
  <c r="E94" i="22"/>
  <c r="F94" i="22"/>
  <c r="F95" i="22"/>
  <c r="G96" i="22"/>
  <c r="I96" i="22"/>
  <c r="G97" i="22"/>
  <c r="I97" i="22"/>
  <c r="F99" i="22"/>
  <c r="F100" i="22"/>
  <c r="G101" i="22"/>
  <c r="I101" i="22"/>
  <c r="G102" i="22"/>
  <c r="I102" i="22"/>
  <c r="E104" i="22"/>
  <c r="F104" i="22"/>
  <c r="F105" i="22"/>
  <c r="G106" i="22"/>
  <c r="I106" i="22"/>
  <c r="G107" i="22"/>
  <c r="I107" i="22"/>
  <c r="E109" i="22"/>
  <c r="F109" i="22"/>
  <c r="F110" i="22"/>
  <c r="G111" i="22"/>
  <c r="I111" i="22"/>
  <c r="G112" i="22"/>
  <c r="I112" i="22"/>
  <c r="E114" i="22"/>
  <c r="F114" i="22"/>
  <c r="F115" i="22"/>
  <c r="G116" i="22"/>
  <c r="I116" i="22"/>
  <c r="G117" i="22"/>
  <c r="I117" i="22"/>
  <c r="E119" i="22"/>
  <c r="F119" i="22"/>
  <c r="F120" i="22"/>
  <c r="G121" i="22"/>
  <c r="I121" i="22"/>
  <c r="G122" i="22"/>
  <c r="I122" i="22"/>
  <c r="E124" i="22"/>
  <c r="F124" i="22"/>
  <c r="F125" i="22"/>
  <c r="G126" i="22"/>
  <c r="I126" i="22"/>
  <c r="G127" i="22"/>
  <c r="I127" i="22"/>
  <c r="E129" i="22"/>
  <c r="F129" i="22"/>
  <c r="F130" i="22"/>
  <c r="G131" i="22"/>
  <c r="I131" i="22"/>
  <c r="G132" i="22"/>
  <c r="I132" i="22"/>
  <c r="E134" i="22"/>
  <c r="F134" i="22"/>
  <c r="F135" i="22"/>
  <c r="G136" i="22"/>
  <c r="I136" i="22"/>
  <c r="G137" i="22"/>
  <c r="I137" i="22"/>
  <c r="E139" i="22"/>
  <c r="F139" i="22"/>
  <c r="F140" i="22"/>
  <c r="G141" i="22"/>
  <c r="I141" i="22"/>
  <c r="G142" i="22"/>
  <c r="I142" i="22"/>
  <c r="E144" i="22"/>
  <c r="F144" i="22"/>
  <c r="F145" i="22"/>
  <c r="G146" i="22"/>
  <c r="I146" i="22"/>
  <c r="G147" i="22"/>
  <c r="I147" i="22"/>
  <c r="E149" i="22"/>
  <c r="F149" i="22"/>
  <c r="F150" i="22"/>
  <c r="G151" i="22"/>
  <c r="I151" i="22"/>
  <c r="G152" i="22"/>
  <c r="I152" i="22"/>
  <c r="F154" i="22"/>
  <c r="F155" i="22"/>
  <c r="G156" i="22"/>
  <c r="I156" i="22"/>
  <c r="G157" i="22"/>
  <c r="I157" i="22"/>
  <c r="E159" i="22"/>
  <c r="F159" i="22"/>
  <c r="F160" i="22"/>
  <c r="G161" i="22"/>
  <c r="I161" i="22"/>
  <c r="G162" i="22"/>
  <c r="I162" i="22"/>
  <c r="E164" i="22"/>
  <c r="F164" i="22"/>
  <c r="F165" i="22"/>
  <c r="G166" i="22"/>
  <c r="I166" i="22"/>
  <c r="G167" i="22"/>
  <c r="I167" i="22"/>
  <c r="E169" i="22"/>
  <c r="F169" i="22"/>
  <c r="F170" i="22"/>
  <c r="G171" i="22"/>
  <c r="I171" i="22"/>
  <c r="G172" i="22"/>
  <c r="I172" i="22"/>
  <c r="E174" i="22"/>
  <c r="F174" i="22"/>
  <c r="F175" i="22"/>
  <c r="G176" i="22"/>
  <c r="I176" i="22"/>
  <c r="G177" i="22"/>
  <c r="I177" i="22"/>
  <c r="E179" i="22"/>
  <c r="F179" i="22"/>
  <c r="F180" i="22"/>
  <c r="G181" i="22"/>
  <c r="I181" i="22"/>
  <c r="G182" i="22"/>
  <c r="I182" i="22"/>
  <c r="D183" i="22"/>
  <c r="F185" i="22"/>
  <c r="F186" i="22"/>
  <c r="G187" i="22"/>
  <c r="I187" i="22"/>
  <c r="G188" i="22"/>
  <c r="H188" i="22"/>
  <c r="I188" i="22" s="1"/>
  <c r="G189" i="22"/>
  <c r="I189" i="22"/>
  <c r="G190" i="22"/>
  <c r="I190" i="22"/>
  <c r="E192" i="22"/>
  <c r="F192" i="22"/>
  <c r="F193" i="22"/>
  <c r="G194" i="22"/>
  <c r="I194" i="22"/>
  <c r="G195" i="22"/>
  <c r="H195" i="22"/>
  <c r="I195" i="22" s="1"/>
  <c r="G196" i="22"/>
  <c r="I196" i="22"/>
  <c r="G197" i="22"/>
  <c r="I197" i="22"/>
  <c r="F199" i="22"/>
  <c r="F200" i="22"/>
  <c r="G201" i="22"/>
  <c r="H201" i="22"/>
  <c r="I201" i="22" s="1"/>
  <c r="G202" i="22"/>
  <c r="I202" i="22"/>
  <c r="G203" i="22"/>
  <c r="I203" i="22"/>
  <c r="E205" i="22"/>
  <c r="F205" i="22"/>
  <c r="F206" i="22"/>
  <c r="G207" i="22"/>
  <c r="H207" i="22"/>
  <c r="I207" i="22" s="1"/>
  <c r="G208" i="22"/>
  <c r="I208" i="22"/>
  <c r="G209" i="22"/>
  <c r="I209" i="22"/>
  <c r="E211" i="22"/>
  <c r="F211" i="22"/>
  <c r="F212" i="22"/>
  <c r="G213" i="22"/>
  <c r="H213" i="22"/>
  <c r="I213" i="22" s="1"/>
  <c r="G214" i="22"/>
  <c r="I214" i="22"/>
  <c r="G215" i="22"/>
  <c r="I215" i="22"/>
  <c r="F217" i="22"/>
  <c r="F218" i="22"/>
  <c r="G219" i="22"/>
  <c r="H219" i="22"/>
  <c r="I219" i="22" s="1"/>
  <c r="G220" i="22"/>
  <c r="I220" i="22"/>
  <c r="G221" i="22"/>
  <c r="I221" i="22"/>
  <c r="E223" i="22"/>
  <c r="F223" i="22"/>
  <c r="F224" i="22"/>
  <c r="G225" i="22"/>
  <c r="H225" i="22"/>
  <c r="I225" i="22" s="1"/>
  <c r="G226" i="22"/>
  <c r="I226" i="22"/>
  <c r="G227" i="22"/>
  <c r="I227" i="22"/>
  <c r="E229" i="22"/>
  <c r="F229" i="22"/>
  <c r="F230" i="22"/>
  <c r="G231" i="22"/>
  <c r="H231" i="22"/>
  <c r="I231" i="22" s="1"/>
  <c r="G232" i="22"/>
  <c r="I232" i="22"/>
  <c r="G233" i="22"/>
  <c r="I233" i="22"/>
  <c r="D234" i="22"/>
  <c r="E236" i="22"/>
  <c r="E237" i="22"/>
  <c r="E238" i="22"/>
  <c r="E239" i="22"/>
  <c r="E240" i="22"/>
  <c r="F242" i="22"/>
  <c r="G243" i="22"/>
  <c r="I243" i="22"/>
  <c r="G244" i="22"/>
  <c r="H244" i="22"/>
  <c r="I244" i="22" s="1"/>
  <c r="G245" i="22"/>
  <c r="I245" i="22"/>
  <c r="G246" i="22"/>
  <c r="I246" i="22"/>
  <c r="E248" i="22"/>
  <c r="F248" i="22"/>
  <c r="F249" i="22"/>
  <c r="G250" i="22"/>
  <c r="I250" i="22"/>
  <c r="G251" i="22"/>
  <c r="H251" i="22"/>
  <c r="I251" i="22" s="1"/>
  <c r="G252" i="22"/>
  <c r="I252" i="22"/>
  <c r="G253" i="22"/>
  <c r="I253" i="22"/>
  <c r="E255" i="22"/>
  <c r="F255" i="22"/>
  <c r="F256" i="22"/>
  <c r="G257" i="22"/>
  <c r="I257" i="22"/>
  <c r="G258" i="22"/>
  <c r="H258" i="22"/>
  <c r="I258" i="22" s="1"/>
  <c r="G259" i="22"/>
  <c r="I259" i="22"/>
  <c r="G260" i="22"/>
  <c r="I260" i="22"/>
  <c r="E262" i="22"/>
  <c r="F262" i="22"/>
  <c r="F263" i="22"/>
  <c r="G264" i="22"/>
  <c r="I264" i="22"/>
  <c r="G265" i="22"/>
  <c r="H265" i="22"/>
  <c r="I265" i="22" s="1"/>
  <c r="G266" i="22"/>
  <c r="I266" i="22"/>
  <c r="G267" i="22"/>
  <c r="I267" i="22"/>
  <c r="E269" i="22"/>
  <c r="F269" i="22"/>
  <c r="F270" i="22"/>
  <c r="G271" i="22"/>
  <c r="I271" i="22"/>
  <c r="G272" i="22"/>
  <c r="H272" i="22"/>
  <c r="I272" i="22" s="1"/>
  <c r="G273" i="22"/>
  <c r="I273" i="22"/>
  <c r="G274" i="22"/>
  <c r="I274" i="22"/>
  <c r="E276" i="22"/>
  <c r="F276" i="22"/>
  <c r="F277" i="22"/>
  <c r="G278" i="22"/>
  <c r="I278" i="22"/>
  <c r="G279" i="22"/>
  <c r="H279" i="22"/>
  <c r="I279" i="22" s="1"/>
  <c r="G280" i="22"/>
  <c r="I280" i="22"/>
  <c r="G281" i="22"/>
  <c r="I281" i="22"/>
  <c r="E283" i="22"/>
  <c r="F283" i="22"/>
  <c r="F284" i="22"/>
  <c r="G285" i="22"/>
  <c r="I285" i="22"/>
  <c r="G286" i="22"/>
  <c r="H286" i="22"/>
  <c r="I286" i="22" s="1"/>
  <c r="G287" i="22"/>
  <c r="I287" i="22"/>
  <c r="G288" i="22"/>
  <c r="I288" i="22"/>
  <c r="D289" i="22"/>
  <c r="E295" i="22"/>
  <c r="E296" i="22"/>
  <c r="E300" i="22"/>
  <c r="F306" i="22"/>
  <c r="E314" i="22"/>
  <c r="E315" i="22"/>
  <c r="E316" i="22"/>
  <c r="E317" i="22"/>
  <c r="E318" i="22"/>
  <c r="E319" i="22"/>
  <c r="E320" i="22"/>
  <c r="E322" i="22"/>
  <c r="E323" i="22"/>
  <c r="E324" i="22"/>
  <c r="E325" i="22"/>
  <c r="E326" i="22"/>
  <c r="E327" i="22"/>
  <c r="E328" i="22"/>
  <c r="E329" i="22"/>
  <c r="E332" i="22"/>
  <c r="E333" i="22"/>
  <c r="E334" i="22"/>
  <c r="E335" i="22"/>
  <c r="F345" i="22"/>
  <c r="D351" i="22"/>
  <c r="E353" i="22"/>
  <c r="E354" i="22"/>
  <c r="E355" i="22"/>
  <c r="F355" i="22"/>
  <c r="F356" i="22"/>
  <c r="G357" i="22"/>
  <c r="I357" i="22"/>
  <c r="G358" i="22"/>
  <c r="I358" i="22"/>
  <c r="G359" i="22"/>
  <c r="I359" i="22"/>
  <c r="G360" i="22"/>
  <c r="H360" i="22"/>
  <c r="I360" i="22" s="1"/>
  <c r="G361" i="22"/>
  <c r="I361" i="22"/>
  <c r="G362" i="22"/>
  <c r="I362" i="22"/>
  <c r="E364" i="22"/>
  <c r="F364" i="22"/>
  <c r="F365" i="22"/>
  <c r="G366" i="22"/>
  <c r="I366" i="22"/>
  <c r="G367" i="22"/>
  <c r="H367" i="22"/>
  <c r="I367" i="22" s="1"/>
  <c r="G368" i="22"/>
  <c r="I368" i="22"/>
  <c r="G369" i="22"/>
  <c r="I369" i="22"/>
  <c r="E371" i="22"/>
  <c r="F371" i="22"/>
  <c r="F372" i="22"/>
  <c r="G373" i="22"/>
  <c r="I373" i="22"/>
  <c r="G374" i="22"/>
  <c r="I374" i="22"/>
  <c r="E376" i="22"/>
  <c r="F376" i="22"/>
  <c r="F377" i="22"/>
  <c r="G378" i="22"/>
  <c r="I378" i="22"/>
  <c r="G379" i="22"/>
  <c r="I379" i="22"/>
  <c r="E381" i="22"/>
  <c r="F381" i="22"/>
  <c r="F382" i="22"/>
  <c r="G383" i="22"/>
  <c r="I383" i="22"/>
  <c r="G384" i="22"/>
  <c r="I384" i="22"/>
  <c r="E386" i="22"/>
  <c r="F386" i="22"/>
  <c r="F387" i="22"/>
  <c r="G388" i="22"/>
  <c r="I388" i="22"/>
  <c r="G389" i="22"/>
  <c r="I389" i="22"/>
  <c r="E391" i="22"/>
  <c r="F391" i="22"/>
  <c r="F392" i="22"/>
  <c r="G393" i="22"/>
  <c r="I393" i="22"/>
  <c r="G394" i="22"/>
  <c r="I394" i="22"/>
  <c r="E396" i="22"/>
  <c r="F396" i="22"/>
  <c r="F397" i="22"/>
  <c r="G398" i="22"/>
  <c r="I398" i="22"/>
  <c r="G399" i="22"/>
  <c r="I399" i="22"/>
  <c r="E401" i="22"/>
  <c r="F401" i="22"/>
  <c r="F402" i="22"/>
  <c r="G403" i="22"/>
  <c r="I403" i="22"/>
  <c r="G404" i="22"/>
  <c r="I404" i="22"/>
  <c r="E406" i="22"/>
  <c r="F406" i="22"/>
  <c r="F407" i="22"/>
  <c r="G408" i="22"/>
  <c r="I408" i="22"/>
  <c r="G409" i="22"/>
  <c r="I409" i="22"/>
  <c r="E411" i="22"/>
  <c r="F411" i="22"/>
  <c r="F412" i="22"/>
  <c r="G413" i="22"/>
  <c r="I413" i="22"/>
  <c r="G414" i="22"/>
  <c r="I414" i="22"/>
  <c r="E416" i="22"/>
  <c r="F416" i="22"/>
  <c r="F417" i="22"/>
  <c r="G418" i="22"/>
  <c r="I418" i="22"/>
  <c r="G419" i="22"/>
  <c r="I419" i="22"/>
  <c r="E421" i="22"/>
  <c r="F421" i="22"/>
  <c r="F422" i="22"/>
  <c r="G423" i="22"/>
  <c r="I423" i="22"/>
  <c r="G424" i="22"/>
  <c r="I424" i="22"/>
  <c r="E426" i="22"/>
  <c r="F426" i="22"/>
  <c r="F427" i="22"/>
  <c r="G428" i="22"/>
  <c r="I428" i="22"/>
  <c r="G429" i="22"/>
  <c r="I429" i="22"/>
  <c r="E431" i="22"/>
  <c r="F431" i="22"/>
  <c r="F432" i="22"/>
  <c r="G433" i="22"/>
  <c r="I433" i="22"/>
  <c r="G434" i="22"/>
  <c r="I434" i="22"/>
  <c r="E436" i="22"/>
  <c r="F436" i="22"/>
  <c r="F437" i="22"/>
  <c r="G438" i="22"/>
  <c r="I438" i="22"/>
  <c r="G439" i="22"/>
  <c r="I439" i="22"/>
  <c r="E441" i="22"/>
  <c r="F441" i="22"/>
  <c r="F442" i="22"/>
  <c r="G443" i="22"/>
  <c r="I443" i="22"/>
  <c r="G444" i="22"/>
  <c r="I444" i="22"/>
  <c r="E446" i="22"/>
  <c r="F446" i="22"/>
  <c r="F447" i="22"/>
  <c r="G448" i="22"/>
  <c r="I448" i="22"/>
  <c r="G449" i="22"/>
  <c r="I449" i="22"/>
  <c r="E451" i="22"/>
  <c r="F451" i="22"/>
  <c r="F452" i="22"/>
  <c r="G453" i="22"/>
  <c r="I453" i="22"/>
  <c r="G454" i="22"/>
  <c r="I454" i="22"/>
  <c r="E456" i="22"/>
  <c r="F456" i="22"/>
  <c r="F457" i="22"/>
  <c r="G458" i="22"/>
  <c r="I458" i="22"/>
  <c r="G459" i="22"/>
  <c r="I459" i="22"/>
  <c r="E461" i="22"/>
  <c r="F461" i="22"/>
  <c r="F462" i="22"/>
  <c r="G463" i="22"/>
  <c r="I463" i="22"/>
  <c r="G464" i="22"/>
  <c r="I464" i="22"/>
  <c r="E466" i="22"/>
  <c r="F466" i="22"/>
  <c r="F467" i="22"/>
  <c r="G468" i="22"/>
  <c r="I468" i="22"/>
  <c r="G469" i="22"/>
  <c r="I469" i="22"/>
  <c r="D470" i="22"/>
  <c r="E472" i="22"/>
  <c r="F472" i="22"/>
  <c r="F473" i="22"/>
  <c r="G474" i="22"/>
  <c r="I474" i="22"/>
  <c r="G475" i="22"/>
  <c r="H475" i="22"/>
  <c r="I475" i="22"/>
  <c r="G476" i="22"/>
  <c r="I476" i="22"/>
  <c r="G477" i="22"/>
  <c r="I477" i="22"/>
  <c r="E479" i="22"/>
  <c r="F479" i="22"/>
  <c r="F480" i="22"/>
  <c r="G481" i="22"/>
  <c r="I481" i="22"/>
  <c r="G482" i="22"/>
  <c r="H482" i="22"/>
  <c r="I482" i="22" s="1"/>
  <c r="G483" i="22"/>
  <c r="I483" i="22"/>
  <c r="G484" i="22"/>
  <c r="I484" i="22"/>
  <c r="E486" i="22"/>
  <c r="F486" i="22"/>
  <c r="F487" i="22"/>
  <c r="G488" i="22"/>
  <c r="H488" i="22"/>
  <c r="I488" i="22" s="1"/>
  <c r="G489" i="22"/>
  <c r="I489" i="22"/>
  <c r="G490" i="22"/>
  <c r="I490" i="22"/>
  <c r="E492" i="22"/>
  <c r="F492" i="22"/>
  <c r="F493" i="22"/>
  <c r="G494" i="22"/>
  <c r="H494" i="22"/>
  <c r="I494" i="22" s="1"/>
  <c r="G495" i="22"/>
  <c r="I495" i="22"/>
  <c r="G496" i="22"/>
  <c r="I496" i="22"/>
  <c r="E498" i="22"/>
  <c r="F498" i="22"/>
  <c r="F499" i="22"/>
  <c r="G500" i="22"/>
  <c r="H500" i="22"/>
  <c r="I500" i="22" s="1"/>
  <c r="G501" i="22"/>
  <c r="I501" i="22"/>
  <c r="G502" i="22"/>
  <c r="I502" i="22"/>
  <c r="E504" i="22"/>
  <c r="F504" i="22"/>
  <c r="F505" i="22"/>
  <c r="G506" i="22"/>
  <c r="H506" i="22"/>
  <c r="I506" i="22" s="1"/>
  <c r="G507" i="22"/>
  <c r="I507" i="22"/>
  <c r="G508" i="22"/>
  <c r="I508" i="22"/>
  <c r="E510" i="22"/>
  <c r="F510" i="22"/>
  <c r="F511" i="22"/>
  <c r="G512" i="22"/>
  <c r="H512" i="22"/>
  <c r="I512" i="22" s="1"/>
  <c r="G513" i="22"/>
  <c r="I513" i="22"/>
  <c r="G514" i="22"/>
  <c r="I514" i="22"/>
  <c r="E516" i="22"/>
  <c r="F516" i="22"/>
  <c r="F517" i="22"/>
  <c r="G518" i="22"/>
  <c r="H518" i="22"/>
  <c r="I518" i="22" s="1"/>
  <c r="G519" i="22"/>
  <c r="I519" i="22"/>
  <c r="G520" i="22"/>
  <c r="I520" i="22"/>
  <c r="D521" i="22"/>
  <c r="E523" i="22"/>
  <c r="E524" i="22"/>
  <c r="E525" i="22"/>
  <c r="E526" i="22"/>
  <c r="E527" i="22"/>
  <c r="F527" i="22"/>
  <c r="F529" i="22"/>
  <c r="G530" i="22"/>
  <c r="I530" i="22"/>
  <c r="G531" i="22"/>
  <c r="H531" i="22"/>
  <c r="I531" i="22" s="1"/>
  <c r="G532" i="22"/>
  <c r="I532" i="22"/>
  <c r="G533" i="22"/>
  <c r="I533" i="22"/>
  <c r="E535" i="22"/>
  <c r="F535" i="22"/>
  <c r="F536" i="22"/>
  <c r="G537" i="22"/>
  <c r="I537" i="22"/>
  <c r="G538" i="22"/>
  <c r="H538" i="22"/>
  <c r="I538" i="22" s="1"/>
  <c r="G539" i="22"/>
  <c r="I539" i="22"/>
  <c r="G540" i="22"/>
  <c r="I540" i="22"/>
  <c r="E542" i="22"/>
  <c r="F542" i="22"/>
  <c r="F543" i="22"/>
  <c r="G544" i="22"/>
  <c r="I544" i="22"/>
  <c r="G545" i="22"/>
  <c r="H545" i="22"/>
  <c r="I545" i="22" s="1"/>
  <c r="G546" i="22"/>
  <c r="I546" i="22"/>
  <c r="G547" i="22"/>
  <c r="I547" i="22"/>
  <c r="E549" i="22"/>
  <c r="F549" i="22"/>
  <c r="F550" i="22"/>
  <c r="G551" i="22"/>
  <c r="I551" i="22"/>
  <c r="G552" i="22"/>
  <c r="H552" i="22"/>
  <c r="I552" i="22" s="1"/>
  <c r="G553" i="22"/>
  <c r="I553" i="22"/>
  <c r="G554" i="22"/>
  <c r="I554" i="22"/>
  <c r="E556" i="22"/>
  <c r="F556" i="22"/>
  <c r="F557" i="22"/>
  <c r="G558" i="22"/>
  <c r="I558" i="22"/>
  <c r="G559" i="22"/>
  <c r="H559" i="22"/>
  <c r="I559" i="22" s="1"/>
  <c r="G560" i="22"/>
  <c r="I560" i="22"/>
  <c r="G561" i="22"/>
  <c r="I561" i="22"/>
  <c r="E563" i="22"/>
  <c r="F563" i="22"/>
  <c r="F564" i="22"/>
  <c r="G565" i="22"/>
  <c r="I565" i="22"/>
  <c r="G566" i="22"/>
  <c r="H566" i="22"/>
  <c r="I566" i="22" s="1"/>
  <c r="G567" i="22"/>
  <c r="I567" i="22"/>
  <c r="G568" i="22"/>
  <c r="I568" i="22"/>
  <c r="E570" i="22"/>
  <c r="F570" i="22"/>
  <c r="F571" i="22"/>
  <c r="G572" i="22"/>
  <c r="I572" i="22"/>
  <c r="G573" i="22"/>
  <c r="H573" i="22"/>
  <c r="I573" i="22" s="1"/>
  <c r="G574" i="22"/>
  <c r="I574" i="22"/>
  <c r="G575" i="22"/>
  <c r="I575" i="22"/>
  <c r="F39" i="22"/>
  <c r="F322" i="22"/>
  <c r="F523" i="22"/>
  <c r="F35" i="22"/>
  <c r="F323" i="22"/>
  <c r="F324" i="22"/>
  <c r="F236" i="22"/>
  <c r="F326" i="22"/>
  <c r="F36" i="22"/>
  <c r="F37" i="22"/>
  <c r="D191" i="22" l="1"/>
  <c r="I71" i="22"/>
  <c r="K93" i="31"/>
  <c r="K95" i="31" s="1"/>
  <c r="K94" i="31"/>
  <c r="K96" i="31" s="1"/>
  <c r="K97" i="31" s="1"/>
  <c r="K98" i="31" s="1"/>
  <c r="K99" i="31" s="1"/>
  <c r="CD93" i="31"/>
  <c r="CD95" i="31" s="1"/>
  <c r="CD94" i="31"/>
  <c r="CD96" i="31" s="1"/>
  <c r="CD97" i="31" s="1"/>
  <c r="CD98" i="31" s="1"/>
  <c r="CD99" i="31" s="1"/>
  <c r="M94" i="31"/>
  <c r="M96" i="31" s="1"/>
  <c r="M97" i="31" s="1"/>
  <c r="M98" i="31" s="1"/>
  <c r="M99" i="31" s="1"/>
  <c r="M93" i="31"/>
  <c r="M95" i="31" s="1"/>
  <c r="L94" i="31"/>
  <c r="L96" i="31" s="1"/>
  <c r="L97" i="31" s="1"/>
  <c r="L98" i="31" s="1"/>
  <c r="L99" i="31" s="1"/>
  <c r="L93" i="31"/>
  <c r="L95" i="31" s="1"/>
  <c r="D541" i="22"/>
  <c r="D410" i="22"/>
  <c r="D143" i="22"/>
  <c r="D555" i="22"/>
  <c r="D497" i="22"/>
  <c r="D282" i="22"/>
  <c r="D123" i="22"/>
  <c r="D425" i="22"/>
  <c r="D515" i="22"/>
  <c r="D491" i="22"/>
  <c r="D158" i="22"/>
  <c r="D562" i="22"/>
  <c r="D534" i="22"/>
  <c r="D478" i="22"/>
  <c r="D455" i="22"/>
  <c r="D450" i="22"/>
  <c r="D430" i="22"/>
  <c r="D400" i="22"/>
  <c r="D395" i="22"/>
  <c r="D390" i="22"/>
  <c r="D363" i="22"/>
  <c r="D254" i="22"/>
  <c r="D216" i="22"/>
  <c r="D204" i="22"/>
  <c r="D153" i="22"/>
  <c r="D113" i="22"/>
  <c r="D98" i="22"/>
  <c r="D465" i="22"/>
  <c r="D247" i="22"/>
  <c r="D128" i="22"/>
  <c r="D548" i="22"/>
  <c r="D228" i="22"/>
  <c r="D405" i="22"/>
  <c r="D83" i="22"/>
  <c r="D435" i="22"/>
  <c r="D420" i="22"/>
  <c r="D168" i="22"/>
  <c r="D268" i="22"/>
  <c r="D138" i="22"/>
  <c r="D375" i="22"/>
  <c r="D509" i="22"/>
  <c r="D108" i="22"/>
  <c r="D76" i="22"/>
  <c r="D460" i="22"/>
  <c r="D485" i="22"/>
  <c r="D445" i="22"/>
  <c r="D93" i="22"/>
  <c r="D569" i="22"/>
  <c r="D178" i="22"/>
  <c r="D415" i="22"/>
  <c r="D210" i="22"/>
  <c r="D163" i="22"/>
  <c r="D148" i="22"/>
  <c r="D385" i="22"/>
  <c r="D133" i="22"/>
  <c r="D370" i="22"/>
  <c r="D275" i="22"/>
  <c r="D118" i="22"/>
  <c r="D103" i="22"/>
  <c r="D440" i="22"/>
  <c r="D222" i="22"/>
  <c r="D88" i="22"/>
  <c r="D380" i="22"/>
  <c r="D261" i="22"/>
  <c r="D198" i="22"/>
  <c r="D173" i="22"/>
  <c r="D50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<sst xmlns="http://schemas.openxmlformats.org/spreadsheetml/2006/main" count="1897" uniqueCount="1328">
  <si>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</si>
  <si>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</si>
  <si>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</si>
  <si>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</si>
  <si>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</si>
  <si>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</si>
  <si>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</si>
  <si>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</si>
  <si>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</si>
  <si>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</si>
  <si>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</si>
  <si>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</si>
  <si>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</si>
  <si>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</si>
  <si>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</si>
  <si>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</si>
  <si>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</si>
  <si>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</si>
  <si>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</si>
  <si>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</si>
  <si>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</si>
  <si>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</si>
  <si>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</si>
  <si>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</si>
  <si>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</si>
  <si>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</si>
  <si>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</si>
  <si>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</si>
  <si>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</si>
  <si>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</si>
  <si>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</si>
  <si>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</si>
  <si>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</si>
  <si>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</si>
  <si>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</si>
  <si>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</si>
  <si>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</si>
  <si>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</si>
  <si>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</si>
  <si>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</si>
  <si>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</si>
  <si>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</si>
  <si>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</si>
  <si>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</si>
  <si>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</si>
  <si>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</si>
  <si>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</si>
  <si>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</si>
  <si>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</si>
  <si>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</si>
  <si>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</si>
  <si>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</si>
  <si>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</si>
  <si>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</si>
  <si>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</si>
  <si>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</si>
  <si>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</si>
  <si>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</si>
  <si>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</si>
  <si>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</si>
  <si>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</si>
  <si>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</si>
  <si>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</si>
  <si>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</si>
  <si>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</si>
  <si>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</si>
  <si>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</si>
  <si>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</si>
  <si>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</si>
  <si>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</si>
  <si>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</si>
  <si>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</si>
  <si>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</si>
  <si>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</si>
  <si>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</si>
  <si>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</si>
  <si>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</si>
  <si>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</si>
  <si>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</si>
  <si>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</si>
  <si>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</si>
  <si>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</si>
  <si>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</si>
  <si>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</si>
  <si>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</si>
  <si>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</si>
  <si>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</si>
  <si>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</si>
  <si>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</si>
  <si>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</si>
  <si>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</si>
  <si>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</si>
  <si>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</si>
  <si>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</si>
  <si>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</si>
  <si>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</si>
  <si>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</si>
  <si>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</si>
  <si>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</si>
  <si>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</si>
  <si>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</si>
  <si>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</si>
  <si>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</si>
  <si>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</si>
  <si>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</si>
  <si>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</si>
  <si>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</si>
  <si>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</si>
  <si>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</si>
  <si>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</si>
  <si>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</si>
  <si>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</si>
  <si>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</si>
  <si>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</si>
  <si>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</si>
  <si>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</si>
  <si>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</si>
  <si>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</si>
  <si>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</si>
  <si>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</si>
  <si>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</si>
  <si>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</si>
  <si>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</si>
  <si>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</si>
  <si>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</si>
  <si>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</si>
  <si>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</si>
  <si>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</si>
  <si>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</si>
  <si>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</si>
  <si>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</si>
  <si>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</si>
  <si>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</si>
  <si>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</si>
  <si>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</si>
  <si>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</si>
  <si>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</si>
  <si>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</si>
  <si>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</si>
  <si>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</si>
  <si>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</si>
  <si>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</si>
  <si>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</si>
  <si>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</si>
  <si>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</si>
  <si>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</si>
  <si>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</si>
  <si>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</si>
  <si>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</si>
  <si>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</si>
  <si>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</si>
  <si>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</si>
  <si>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</si>
  <si>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</si>
  <si>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</si>
  <si>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</si>
  <si>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</si>
  <si>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</si>
  <si>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</si>
  <si>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</si>
  <si>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</si>
  <si>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</si>
  <si>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</si>
  <si>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</si>
  <si>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</si>
  <si>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</si>
  <si>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</si>
  <si>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</si>
  <si>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</si>
  <si>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</si>
  <si>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</si>
  <si>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</si>
  <si>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</si>
  <si>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</si>
  <si>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</si>
  <si>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</si>
  <si>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</si>
  <si>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</si>
  <si>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</si>
  <si>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</si>
  <si>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</si>
  <si>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</si>
  <si>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</si>
  <si>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</si>
  <si>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</si>
  <si>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</si>
  <si>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</si>
  <si>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</si>
  <si>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</si>
  <si>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</si>
  <si>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</si>
  <si>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</si>
  <si>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</si>
  <si>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</si>
  <si>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</si>
  <si>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</si>
  <si>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</si>
  <si>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</si>
  <si>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</si>
  <si>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</si>
  <si>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</si>
  <si>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</si>
  <si>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</si>
  <si>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</si>
  <si>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</si>
  <si>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</si>
  <si>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</si>
  <si>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</si>
  <si>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</si>
  <si>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</si>
  <si>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</si>
  <si>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</si>
  <si>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</si>
  <si>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</si>
  <si>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</si>
  <si>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</si>
  <si>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</si>
  <si>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</si>
  <si>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</si>
  <si>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</si>
  <si>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</si>
  <si>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</si>
  <si>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</si>
  <si>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</si>
  <si>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</si>
  <si>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</si>
  <si>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</si>
  <si>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</si>
  <si>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</si>
  <si>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</si>
  <si>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</si>
  <si>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</si>
  <si>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</si>
  <si>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</si>
  <si>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</si>
  <si>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</si>
  <si>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</si>
  <si>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</si>
  <si>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</si>
  <si>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</si>
  <si>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</si>
  <si>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</si>
  <si>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</si>
  <si>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</si>
  <si>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</si>
  <si>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</si>
  <si>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</si>
  <si>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</si>
  <si>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</si>
  <si>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</si>
  <si>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</si>
  <si>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</si>
  <si>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</si>
  <si>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</si>
  <si>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</si>
  <si>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</si>
  <si>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</si>
  <si>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</si>
  <si>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</si>
  <si>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</si>
  <si>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</si>
  <si>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</si>
  <si>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</si>
  <si>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</si>
  <si>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</si>
  <si>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</si>
  <si>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</si>
  <si>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</si>
  <si>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</si>
  <si>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</si>
  <si>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</si>
  <si>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</si>
  <si>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</si>
  <si>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</si>
  <si>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</si>
  <si>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</si>
  <si>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</si>
  <si>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</si>
  <si>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</si>
  <si>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</si>
  <si>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</si>
  <si>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</si>
  <si>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</si>
  <si>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</si>
  <si>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</si>
  <si>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</si>
  <si>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</si>
  <si>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</si>
  <si>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</si>
  <si>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</si>
  <si>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</si>
  <si>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</si>
  <si>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</si>
  <si>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</si>
  <si>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</si>
  <si>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</si>
  <si>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</si>
  <si>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</si>
  <si>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</si>
  <si>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</si>
  <si>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</si>
  <si>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</si>
  <si>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</si>
  <si>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</si>
  <si>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</si>
  <si>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</si>
  <si>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</si>
  <si>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</si>
  <si>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</si>
  <si>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</si>
  <si>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</si>
  <si>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</si>
  <si>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</si>
  <si>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</si>
  <si>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</si>
  <si>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</si>
  <si>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</si>
  <si>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</si>
  <si>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</si>
  <si>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</si>
  <si>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</si>
  <si>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</si>
  <si>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</si>
  <si>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</si>
  <si>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</si>
  <si>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</si>
  <si>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</si>
  <si>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</si>
  <si>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</si>
  <si>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</si>
  <si>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</si>
  <si>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</si>
  <si>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</si>
  <si>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</si>
  <si>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</si>
  <si>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</si>
  <si>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</si>
  <si>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</si>
  <si>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</si>
  <si>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</si>
  <si>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</si>
  <si>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</si>
  <si>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</si>
  <si>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</si>
  <si>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</si>
  <si>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</si>
  <si>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</si>
  <si>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</si>
  <si>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</si>
  <si>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</si>
  <si>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</si>
  <si>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</si>
  <si>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</si>
  <si>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</si>
  <si>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</si>
  <si>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</si>
  <si>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</si>
  <si>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</si>
  <si>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</si>
  <si>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</si>
  <si>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</si>
  <si>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</si>
  <si>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</si>
  <si>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</si>
  <si>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</si>
  <si>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</si>
  <si>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</si>
  <si>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</si>
  <si>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</si>
  <si>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</si>
  <si>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</si>
  <si>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</si>
  <si>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</si>
  <si>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</si>
  <si>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</si>
  <si>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</si>
  <si>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</si>
  <si>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</si>
  <si>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</si>
  <si>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</si>
  <si>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</si>
  <si>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</si>
  <si>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</si>
  <si>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</si>
  <si>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</si>
  <si>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</si>
  <si>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</si>
  <si>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</si>
  <si>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</si>
  <si>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</si>
  <si>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</si>
  <si>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</si>
  <si>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</si>
  <si>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</si>
  <si>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</si>
  <si>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</si>
  <si>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</si>
  <si>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</si>
  <si>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</si>
  <si>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</si>
  <si>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</si>
  <si>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</si>
  <si>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</si>
  <si>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</si>
  <si>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</si>
  <si>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</si>
  <si>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</si>
  <si>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</si>
  <si>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</si>
  <si>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</si>
  <si>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</si>
  <si>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</si>
  <si>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</si>
  <si>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</si>
  <si>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</si>
  <si>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</si>
  <si>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</si>
  <si>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</si>
  <si>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</si>
  <si>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</si>
  <si>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</si>
  <si>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</si>
  <si>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</si>
  <si>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</si>
  <si>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</si>
  <si>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</si>
  <si>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</si>
  <si>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</si>
  <si>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</si>
  <si>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</si>
  <si>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</si>
  <si>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</si>
  <si>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</si>
  <si>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</si>
  <si>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</si>
  <si>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</si>
  <si>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</si>
  <si>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</si>
  <si>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</si>
  <si>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</si>
  <si>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</si>
  <si>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</si>
  <si>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</si>
  <si>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</si>
  <si>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</si>
  <si>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</si>
  <si>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</si>
  <si>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</si>
  <si>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</si>
  <si>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</si>
  <si>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</si>
  <si>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</si>
  <si>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</si>
  <si>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</si>
  <si>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</si>
  <si>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</si>
  <si>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</si>
  <si>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</si>
  <si>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</si>
  <si>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</si>
  <si>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</si>
  <si>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</si>
  <si>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</si>
  <si>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</si>
  <si>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</si>
  <si>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</si>
  <si>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</si>
  <si>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</si>
  <si>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</si>
  <si>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</si>
  <si>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</si>
  <si>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</si>
  <si>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Title40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</si>
  <si>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</si>
  <si>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</si>
  <si>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</si>
  <si>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</si>
  <si>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</si>
  <si>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</si>
  <si>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</si>
  <si>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</si>
  <si>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</si>
  <si>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</si>
  <si>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</si>
  <si>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</si>
  <si>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</si>
  <si>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</si>
  <si>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</si>
  <si>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</si>
  <si>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</si>
  <si>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</si>
  <si>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</si>
  <si>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</si>
  <si>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</si>
  <si>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</si>
  <si>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</si>
  <si>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</si>
  <si>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</si>
  <si>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</si>
  <si>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</si>
  <si>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</si>
  <si>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</si>
  <si>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</si>
  <si>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</si>
  <si>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</si>
  <si>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</si>
  <si>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</si>
  <si>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</si>
  <si>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</si>
  <si>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</si>
  <si>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</si>
  <si>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</si>
  <si>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</si>
  <si>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</si>
  <si>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</si>
  <si>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</si>
  <si>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</si>
  <si>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</si>
  <si>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</si>
  <si>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</si>
  <si>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</si>
  <si>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</si>
  <si>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</si>
  <si>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</si>
  <si>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</si>
  <si>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</si>
  <si>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</si>
  <si>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</si>
  <si>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</si>
  <si>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</si>
  <si>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</si>
  <si>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</si>
  <si>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</si>
  <si>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</si>
  <si>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</si>
  <si>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T40.1</t>
  </si>
  <si>
    <t>P40.1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</si>
  <si>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</si>
  <si>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</si>
  <si>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</si>
  <si>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</si>
  <si>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</si>
  <si>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</si>
  <si>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</si>
  <si>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</si>
  <si>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</si>
  <si>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</si>
  <si>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</si>
  <si>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</si>
  <si>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</si>
  <si>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</si>
  <si>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</si>
  <si>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</si>
  <si>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</si>
  <si>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</si>
  <si>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</si>
  <si>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</si>
  <si>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</si>
  <si>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</si>
  <si>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</si>
  <si>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</si>
  <si>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</si>
  <si>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</si>
  <si>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</si>
  <si>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</si>
  <si>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</si>
  <si>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</si>
  <si>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</si>
  <si>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</si>
  <si>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</si>
  <si>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</si>
  <si>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</si>
  <si>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</si>
  <si>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</si>
  <si>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</si>
  <si>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</si>
  <si>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</si>
  <si>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</si>
  <si>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</si>
  <si>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</si>
  <si>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</si>
  <si>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</si>
  <si>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</si>
  <si>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</si>
  <si>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</si>
  <si>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</si>
  <si>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</si>
  <si>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</si>
  <si>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</si>
  <si>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</si>
  <si>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</si>
  <si>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</si>
  <si>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</si>
  <si>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</si>
  <si>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</si>
  <si>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</si>
  <si>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</si>
  <si>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</si>
  <si>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</si>
  <si>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</si>
  <si>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</si>
  <si>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</si>
  <si>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</si>
  <si>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</si>
  <si>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</si>
  <si>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</si>
  <si>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</si>
  <si>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</si>
  <si>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</si>
  <si>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</si>
  <si>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</si>
  <si>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</si>
  <si>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</si>
  <si>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</si>
  <si>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</si>
  <si>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</si>
  <si>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</si>
  <si>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</si>
  <si>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</si>
  <si>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</si>
  <si>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</si>
  <si>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</si>
  <si>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</si>
  <si>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</si>
  <si>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</si>
  <si>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</si>
  <si>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</si>
  <si>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</si>
  <si>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</si>
  <si>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</si>
  <si>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</si>
  <si>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</si>
  <si>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</si>
  <si>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</si>
  <si>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</si>
  <si>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</si>
  <si>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</si>
  <si>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</si>
  <si>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</si>
  <si>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</si>
  <si>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</si>
  <si>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</si>
  <si>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</si>
  <si>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</si>
  <si>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</si>
  <si>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</si>
  <si>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</si>
  <si>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</si>
  <si>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</si>
  <si>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</si>
  <si>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</si>
  <si>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</si>
  <si>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</si>
  <si>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</si>
  <si>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</si>
  <si>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</si>
  <si>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</si>
  <si>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</si>
  <si>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</si>
  <si>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</si>
  <si>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</si>
  <si>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</si>
  <si>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</si>
  <si>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</si>
  <si>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</si>
  <si>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</si>
  <si>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</si>
  <si>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</si>
  <si>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</si>
  <si>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</si>
  <si>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</si>
  <si>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</si>
  <si>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</si>
  <si>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</si>
  <si>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</si>
  <si>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</si>
  <si>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</si>
  <si>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</si>
  <si>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</si>
  <si>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</si>
  <si>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</si>
  <si>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</si>
  <si>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</si>
  <si>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</si>
  <si>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</si>
  <si>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</si>
  <si>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</si>
  <si>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</si>
  <si>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</si>
  <si>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</si>
  <si>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</si>
  <si>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</si>
  <si>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</si>
  <si>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</si>
  <si>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</si>
  <si>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</si>
  <si>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</si>
  <si>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</si>
  <si>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</si>
  <si>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</si>
  <si>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</si>
  <si>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</si>
  <si>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</si>
  <si>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</si>
  <si>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</si>
  <si>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</si>
  <si>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</si>
  <si>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</si>
  <si>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</si>
  <si>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</si>
  <si>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</si>
  <si>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</si>
  <si>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</si>
  <si>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</si>
  <si>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</si>
  <si>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</si>
  <si>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</si>
  <si>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</si>
  <si>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</si>
  <si>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</si>
  <si>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</si>
  <si>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</si>
  <si>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</si>
  <si>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</si>
  <si>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</si>
  <si>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</si>
  <si>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</si>
  <si>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</si>
  <si>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</si>
  <si>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</si>
  <si>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</si>
  <si>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</si>
  <si>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</si>
  <si>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</si>
  <si>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</si>
  <si>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</si>
  <si>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</si>
  <si>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</si>
  <si>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</si>
  <si>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</si>
  <si>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</si>
  <si>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</si>
  <si>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</si>
  <si>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</si>
  <si>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</si>
  <si>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</si>
  <si>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</si>
  <si>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</si>
  <si>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</si>
  <si>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</si>
  <si>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</si>
  <si>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</si>
  <si>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</si>
  <si>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</si>
  <si>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</si>
  <si>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</si>
  <si>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</si>
  <si>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</si>
  <si>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</si>
  <si>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</si>
  <si>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</si>
  <si>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</si>
  <si>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</si>
  <si>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</si>
  <si>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</si>
  <si>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</si>
  <si>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</si>
  <si>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</si>
  <si>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</si>
  <si>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</si>
  <si>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</si>
  <si>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</si>
  <si>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</si>
  <si>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</si>
  <si>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</si>
  <si>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</si>
  <si>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</si>
  <si>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</si>
  <si>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</si>
  <si>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</si>
  <si>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</si>
  <si>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</si>
  <si>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</si>
  <si>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</si>
  <si>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</si>
  <si>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</si>
  <si>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</si>
  <si>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</si>
  <si>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</si>
  <si>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T1.1.3</t>
  </si>
  <si>
    <t>T1</t>
  </si>
  <si>
    <t>T2.1</t>
  </si>
  <si>
    <t>P2.1</t>
  </si>
  <si>
    <t>T2.1.1</t>
  </si>
  <si>
    <t>T2.1.2</t>
  </si>
  <si>
    <t>T2.1.3</t>
  </si>
  <si>
    <t>T2.1.4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</si>
  <si>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</si>
  <si>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</si>
  <si>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</si>
  <si>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</si>
  <si>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</si>
  <si>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</si>
  <si>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</si>
  <si>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</si>
  <si>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</si>
  <si>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</si>
  <si>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</si>
  <si>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</si>
  <si>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</si>
  <si>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</si>
  <si>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</si>
  <si>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</si>
  <si>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</si>
  <si>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</si>
  <si>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</si>
  <si>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</si>
  <si>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</si>
  <si>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</si>
  <si>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</si>
  <si>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</si>
  <si>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</si>
  <si>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</si>
  <si>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</si>
  <si>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</si>
  <si>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</si>
  <si>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</si>
  <si>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</si>
  <si>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</si>
  <si>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</si>
  <si>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</si>
  <si>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</si>
  <si>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</si>
  <si>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</si>
  <si>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</si>
  <si>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</si>
  <si>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</si>
  <si>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</si>
  <si>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</si>
  <si>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</si>
  <si>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</si>
  <si>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</si>
  <si>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</si>
  <si>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</si>
  <si>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</si>
  <si>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</si>
  <si>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</si>
  <si>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</si>
  <si>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</si>
  <si>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</si>
  <si>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</si>
  <si>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</si>
  <si>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</si>
  <si>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</si>
  <si>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</si>
  <si>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</si>
  <si>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</si>
  <si>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</si>
  <si>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</si>
  <si>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</si>
  <si>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</si>
  <si>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</si>
  <si>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</si>
  <si>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</si>
  <si>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</si>
  <si>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</si>
  <si>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</si>
  <si>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</si>
  <si>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</si>
  <si>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</si>
  <si>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</si>
  <si>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</si>
  <si>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</si>
  <si>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</si>
  <si>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</si>
  <si>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</si>
  <si>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</si>
  <si>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</si>
  <si>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</si>
  <si>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</si>
  <si>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</si>
  <si>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</si>
  <si>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</si>
  <si>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</si>
  <si>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</si>
  <si>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</si>
  <si>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</si>
  <si>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</si>
  <si>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</si>
  <si>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</si>
  <si>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</si>
  <si>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</si>
  <si>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</si>
  <si>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</si>
  <si>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</si>
  <si>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</si>
  <si>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</si>
  <si>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</si>
  <si>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</si>
  <si>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</si>
  <si>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</si>
  <si>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</si>
  <si>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</si>
  <si>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</si>
  <si>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</si>
  <si>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</si>
  <si>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</si>
  <si>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</si>
  <si>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</si>
  <si>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</si>
  <si>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</si>
  <si>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</si>
  <si>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</si>
  <si>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</si>
  <si>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</si>
  <si>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</si>
  <si>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</si>
  <si>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</si>
  <si>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</si>
  <si>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</si>
  <si>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</si>
  <si>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</si>
  <si>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</si>
  <si>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</si>
  <si>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</si>
  <si>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</si>
  <si>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</si>
  <si>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</si>
  <si>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</si>
  <si>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</si>
  <si>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</si>
  <si>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</si>
  <si>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</si>
  <si>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</si>
  <si>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</si>
  <si>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</si>
  <si>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</si>
  <si>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</si>
  <si>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</si>
  <si>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</si>
  <si>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</si>
  <si>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</si>
  <si>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</si>
  <si>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</si>
  <si>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</si>
  <si>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</si>
  <si>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</si>
  <si>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</si>
  <si>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</si>
  <si>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</si>
  <si>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</si>
  <si>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</si>
  <si>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</si>
  <si>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</si>
  <si>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</si>
  <si>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</si>
  <si>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</si>
  <si>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</si>
  <si>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</si>
  <si>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</si>
  <si>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</si>
  <si>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</si>
  <si>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</si>
  <si>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</si>
  <si>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</si>
  <si>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</si>
  <si>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</si>
  <si>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</si>
  <si>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</si>
  <si>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</si>
  <si>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</si>
  <si>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</si>
  <si>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</si>
  <si>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</si>
  <si>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</si>
  <si>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</si>
  <si>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</si>
  <si>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</si>
  <si>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</si>
  <si>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</si>
  <si>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</si>
  <si>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</si>
  <si>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</si>
  <si>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</si>
  <si>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</si>
  <si>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</si>
  <si>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</si>
  <si>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</si>
  <si>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</si>
  <si>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</si>
  <si>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</si>
  <si>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</si>
  <si>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</si>
  <si>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</si>
  <si>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</si>
  <si>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</si>
  <si>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</si>
  <si>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</si>
  <si>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</si>
  <si>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</si>
  <si>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</si>
  <si>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</si>
  <si>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</si>
  <si>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</si>
  <si>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</si>
  <si>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</si>
  <si>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</si>
  <si>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</si>
  <si>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</si>
  <si>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</si>
  <si>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</si>
  <si>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</si>
  <si>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</si>
  <si>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</si>
  <si>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</si>
  <si>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</si>
  <si>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</si>
  <si>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</si>
  <si>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</si>
  <si>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</si>
  <si>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</si>
  <si>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</si>
  <si>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</si>
  <si>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</si>
  <si>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</si>
  <si>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</si>
  <si>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</si>
  <si>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</si>
  <si>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</si>
  <si>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</si>
  <si>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</si>
  <si>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</si>
  <si>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</si>
  <si>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</si>
  <si>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</si>
  <si>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</si>
  <si>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</si>
  <si>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</si>
  <si>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</si>
  <si>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</si>
  <si>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</si>
  <si>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</si>
  <si>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</si>
  <si>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</si>
  <si>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</si>
  <si>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</si>
  <si>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</si>
  <si>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</si>
  <si>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</si>
  <si>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</si>
  <si>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</si>
  <si>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</si>
  <si>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</si>
  <si>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</si>
  <si>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</si>
  <si>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</si>
  <si>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</si>
  <si>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</si>
  <si>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</si>
  <si>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</si>
  <si>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</si>
  <si>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</si>
  <si>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</si>
  <si>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</si>
  <si>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</si>
  <si>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</si>
  <si>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</si>
  <si>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</si>
  <si>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</si>
  <si>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</si>
  <si>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</si>
  <si>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</si>
  <si>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</si>
  <si>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</si>
  <si>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</si>
  <si>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</si>
  <si>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</si>
  <si>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</si>
  <si>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</si>
  <si>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</si>
  <si>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</si>
  <si>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</si>
  <si>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</si>
  <si>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</si>
  <si>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</si>
  <si>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</si>
  <si>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</si>
  <si>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</si>
  <si>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</si>
  <si>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</si>
  <si>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</si>
  <si>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</si>
  <si>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</si>
  <si>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</si>
  <si>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</si>
  <si>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</si>
  <si>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</si>
  <si>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</si>
  <si>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</si>
  <si>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</si>
  <si>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</si>
  <si>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</si>
  <si>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</si>
  <si>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</si>
  <si>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</si>
  <si>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</si>
  <si>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</si>
  <si>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</si>
  <si>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</si>
  <si>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</si>
  <si>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</si>
  <si>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</si>
  <si>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</si>
  <si>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</si>
  <si>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</si>
  <si>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</si>
  <si>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</si>
  <si>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</si>
  <si>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</si>
  <si>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</si>
  <si>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</si>
  <si>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</si>
  <si>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</si>
  <si>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</si>
  <si>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</si>
  <si>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</si>
  <si>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</si>
  <si>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</si>
  <si>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</si>
  <si>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</si>
  <si>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</si>
  <si>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</si>
  <si>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</si>
  <si>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</si>
  <si>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</si>
  <si>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</si>
  <si>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</si>
  <si>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</si>
  <si>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</si>
  <si>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</si>
  <si>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</si>
  <si>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</si>
  <si>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</si>
  <si>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</si>
  <si>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</si>
  <si>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</si>
  <si>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</si>
  <si>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</si>
  <si>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</si>
  <si>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</si>
  <si>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</si>
  <si>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</si>
  <si>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</si>
  <si>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</si>
  <si>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</si>
  <si>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</si>
  <si>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</si>
  <si>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</si>
  <si>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</si>
  <si>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</si>
  <si>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</si>
  <si>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</si>
  <si>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</si>
  <si>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</si>
  <si>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</si>
  <si>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</si>
  <si>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</si>
  <si>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</si>
  <si>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</si>
  <si>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</si>
  <si>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</si>
  <si>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</si>
  <si>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</si>
  <si>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</si>
  <si>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</si>
  <si>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</si>
  <si>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</si>
  <si>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</si>
  <si>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</si>
  <si>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</si>
  <si>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</si>
  <si>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</si>
  <si>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</si>
  <si>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</si>
  <si>
    <t>P1.2</t>
  </si>
  <si>
    <t>T1.2.1</t>
  </si>
  <si>
    <t>T1.2.2</t>
  </si>
  <si>
    <t>T1.2.3</t>
  </si>
  <si>
    <t>T1.2.4</t>
  </si>
  <si>
    <t>T1.2.5</t>
  </si>
  <si>
    <t>T1.2.6</t>
  </si>
  <si>
    <t>T1.2.7</t>
  </si>
  <si>
    <t>T1.3</t>
  </si>
  <si>
    <t>P1.3</t>
  </si>
  <si>
    <t>T1.3.1</t>
  </si>
  <si>
    <t>T1.3.2</t>
  </si>
  <si>
    <t>T1.3.3</t>
  </si>
  <si>
    <t>T1.3.4</t>
  </si>
  <si>
    <t>T1.3.5</t>
  </si>
  <si>
    <t>T1.3.6</t>
  </si>
  <si>
    <t>I2.1.1</t>
  </si>
  <si>
    <t>I2.1.2</t>
  </si>
  <si>
    <t>I2.1.3</t>
  </si>
  <si>
    <t>I2.1.4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</si>
  <si>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</si>
  <si>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</si>
  <si>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</si>
  <si>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</si>
  <si>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</si>
  <si>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</si>
  <si>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</si>
  <si>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</si>
  <si>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</si>
  <si>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</si>
  <si>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</si>
  <si>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</si>
  <si>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</si>
  <si>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</si>
  <si>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</si>
  <si>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</si>
  <si>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</si>
  <si>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</si>
  <si>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P2.2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</si>
  <si>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</si>
  <si>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</si>
  <si>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</si>
  <si>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</si>
  <si>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</si>
  <si>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</si>
  <si>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</si>
  <si>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</si>
  <si>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P2.3</t>
  </si>
  <si>
    <t>T2.3.1</t>
  </si>
  <si>
    <t>T2.3.2</t>
  </si>
  <si>
    <t>T2.3.3</t>
  </si>
  <si>
    <t>T2.3.4</t>
  </si>
  <si>
    <t>T2.3.5</t>
  </si>
  <si>
    <t>T2.3.6</t>
  </si>
  <si>
    <t>검증 차종에 맞춰 Initialization 수정 필요</t>
    <phoneticPr fontId="4" type="noConversion"/>
  </si>
  <si>
    <t>VCU_FatcPermPwrVal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</si>
  <si>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</si>
  <si>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</si>
  <si>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</si>
  <si>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</si>
  <si>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</si>
  <si>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</si>
  <si>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</si>
  <si>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</si>
  <si>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</si>
  <si>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</si>
  <si>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</si>
  <si>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</si>
  <si>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</si>
  <si>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</si>
  <si>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Pre-condition check : 차속 DRIVE 상태</t>
    <phoneticPr fontId="4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</si>
  <si>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</si>
  <si>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</si>
  <si>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</si>
  <si>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</si>
  <si>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</si>
  <si>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</si>
  <si>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</si>
  <si>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</si>
  <si>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</si>
  <si>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</si>
  <si>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</si>
  <si>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</si>
  <si>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</si>
  <si>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</si>
  <si>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</si>
  <si>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</si>
  <si>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</si>
  <si>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</si>
  <si>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</si>
  <si>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Power_Reset</t>
    <phoneticPr fontId="4" type="noConversion"/>
  </si>
  <si>
    <t xml:space="preserve"> </t>
    <phoneticPr fontId="4" type="noConversion"/>
  </si>
  <si>
    <t>T1.3.5</t>
    <phoneticPr fontId="4" type="noConversion"/>
  </si>
  <si>
    <t>T1.3.6</t>
    <phoneticPr fontId="4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</si>
  <si>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</si>
  <si>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</si>
  <si>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</si>
  <si>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</si>
  <si>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</si>
  <si>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</si>
  <si>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</si>
  <si>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</si>
  <si>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</si>
  <si>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</si>
  <si>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</si>
  <si>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</si>
  <si>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</si>
  <si>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</si>
  <si>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</si>
  <si>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T40.2</t>
  </si>
  <si>
    <t>P40.2</t>
  </si>
  <si>
    <t>T40.2.1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</si>
  <si>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</si>
  <si>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</si>
  <si>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</si>
  <si>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</si>
  <si>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</si>
  <si>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</si>
  <si>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</si>
  <si>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</si>
  <si>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EWP 협조 에어 &lt;H/P 사양&gt;</t>
    <phoneticPr fontId="9" type="noConversion"/>
  </si>
  <si>
    <t>A/C 모드 or 배터리 쿨링 요청시 작동 사양 - ①, ③ 냉매압 조건에 따른 전장용 요청 EWP RPM(DATC_PeEwpRPMReq / DATC_BattEwpOpReq) 을 CAN으로 송부</t>
    <phoneticPr fontId="9" type="noConversion"/>
  </si>
  <si>
    <t>System_Off_to_On</t>
    <phoneticPr fontId="9" type="noConversion"/>
  </si>
  <si>
    <t>IGN2,3_Off_to_On</t>
    <phoneticPr fontId="9" type="noConversion"/>
  </si>
  <si>
    <t>T1.2</t>
    <phoneticPr fontId="9" type="noConversion"/>
  </si>
  <si>
    <t>진입 / 해제 조건 - A/C 모드 or 배터리 쿨링 요청시 / A/C 모드외 and 배터리 쿨링 미요청시</t>
    <phoneticPr fontId="9" type="noConversion"/>
  </si>
  <si>
    <t>SW_OFF</t>
    <phoneticPr fontId="9" type="noConversion"/>
  </si>
  <si>
    <t>진입 / 해제 조건 - H/P B, H/P B-1 모드 / 배터리 쿨링 요청시 또는 A/C, H/P 이외 모드</t>
    <phoneticPr fontId="9" type="noConversion"/>
  </si>
  <si>
    <t>Depth.3</t>
    <phoneticPr fontId="9" type="noConversion"/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</si>
  <si>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</si>
  <si>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</si>
  <si>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</si>
  <si>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</si>
  <si>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EWP 협조 제어 로직 동작 확인 - A/C 모드일 경우</t>
    <phoneticPr fontId="9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</si>
  <si>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</si>
  <si>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</si>
  <si>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</si>
  <si>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EWP 협조 제어 로직 동작 확인 - H/P 모드일 경우</t>
    <phoneticPr fontId="9" type="noConversion"/>
  </si>
  <si>
    <t>T40.2.2</t>
    <phoneticPr fontId="9" type="noConversion"/>
  </si>
  <si>
    <t>Depth.2_EV_내수_EWP 협조제어_v0.1</t>
    <phoneticPr fontId="5" type="noConversion"/>
  </si>
  <si>
    <t>작성자</t>
    <phoneticPr fontId="5" type="noConversion"/>
  </si>
  <si>
    <t>관리자</t>
    <phoneticPr fontId="5" type="noConversion"/>
  </si>
  <si>
    <t xml:space="preserve"> ~ 2025-04-04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</si>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</sst>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4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6" fillId="6" borderId="9" xfId="0" applyFont="1" applyFill="1" applyBorder="1" applyAlignment="1">
      <alignment wrapText="1"/>
    </xf>
    <xf numFmtId="0" fontId="57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9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8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3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0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4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4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4" fillId="20" borderId="14" xfId="23" applyFont="1" applyFill="1" applyBorder="1" applyAlignment="1" applyProtection="1">
      <alignment horizontal="center" vertical="center" wrapText="1"/>
      <protection hidden="1"/>
    </xf>
    <xf numFmtId="0" fontId="54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17" fillId="0" borderId="0" xfId="17" applyFont="1" applyAlignment="1">
      <alignment horizontal="left" vertical="center"/>
    </xf>
    <xf numFmtId="0" fontId="29" fillId="0" borderId="0" xfId="17" applyFont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3" fillId="12" borderId="16" xfId="2" applyFont="1" applyFill="1" applyBorder="1">
      <alignment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273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114</v>
      </c>
      <c r="C2" s="205" t="s">
        <v>1323</v>
      </c>
      <c r="D2" s="206"/>
      <c r="E2" s="207"/>
    </row>
    <row r="3" spans="2:5" ht="15" customHeight="1" thickBot="1">
      <c r="B3" s="26" t="s">
        <v>1324</v>
      </c>
      <c r="C3" s="208" t="s">
        <v>607</v>
      </c>
      <c r="D3" s="209"/>
      <c r="E3" s="210"/>
    </row>
    <row r="4" spans="2:5" ht="15" customHeight="1">
      <c r="B4" s="50" t="s">
        <v>0</v>
      </c>
      <c r="C4" s="51" t="s">
        <v>1</v>
      </c>
      <c r="D4" s="51" t="s">
        <v>1325</v>
      </c>
      <c r="E4" s="52" t="s">
        <v>113</v>
      </c>
    </row>
    <row r="5" spans="2:5" ht="16.5" customHeight="1">
      <c r="B5" s="17">
        <v>0.1</v>
      </c>
      <c r="C5" s="18" t="s">
        <v>1326</v>
      </c>
      <c r="D5" s="27" t="s">
        <v>115</v>
      </c>
      <c r="E5" s="19" t="s">
        <v>1327</v>
      </c>
    </row>
    <row r="6" spans="2:5" ht="16.5" customHeight="1">
      <c r="B6" s="17"/>
      <c r="C6" s="18"/>
      <c r="D6" s="27"/>
      <c r="E6" s="169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85" zoomScaleNormal="85" workbookViewId="0">
      <pane ySplit="7" topLeftCell="A8" activePane="bottomLeft" state="frozen"/>
      <selection pane="bottomLeft" sqref="A1:DP111"/>
    </sheetView>
  </sheetViews>
  <sheetFormatPr defaultColWidth="9.28515625" defaultRowHeight="12.75"/>
  <cols>
    <col min="1" max="2" width="2.7109375" customWidth="1"/>
    <col min="3" max="3" width="7.5703125" bestFit="1" customWidth="1"/>
    <col min="4" max="4" width="12.28515625" customWidth="1"/>
    <col min="9" max="9" width="5.7109375" bestFit="1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6" width="0" hidden="1" customWidth="1"/>
    <col min="27" max="27" width="11.28515625" hidden="1" customWidth="1"/>
    <col min="28" max="28" width="0" hidden="1" customWidth="1"/>
    <col min="29" max="29" width="9.28515625" hidden="1" customWidth="1"/>
    <col min="30" max="30" width="10" hidden="1" customWidth="1"/>
    <col min="31" max="31" width="0" hidden="1" customWidth="1"/>
    <col min="32" max="33" width="9.28515625" customWidth="1"/>
    <col min="34" max="39" width="0" hidden="1" customWidth="1"/>
    <col min="40" max="41" width="9.28515625" customWidth="1"/>
    <col min="42" max="42" width="9.140625" customWidth="1"/>
    <col min="43" max="53" width="0" hidden="1" customWidth="1"/>
    <col min="54" max="56" width="10.5703125" hidden="1" customWidth="1"/>
    <col min="57" max="79" width="0" hidden="1" customWidth="1"/>
    <col min="80" max="85" width="10.5703125" customWidth="1"/>
    <col min="86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0"/>
      <c r="B1" s="230"/>
      <c r="C1" s="230"/>
      <c r="D1" s="230"/>
      <c r="E1" s="230"/>
      <c r="F1" s="230"/>
      <c r="G1" s="230"/>
      <c r="H1" s="230"/>
      <c r="I1" s="230"/>
      <c r="J1" s="230">
        <v>1</v>
      </c>
      <c r="K1" s="230">
        <v>2</v>
      </c>
      <c r="L1" s="230">
        <v>3</v>
      </c>
      <c r="M1" s="230">
        <v>4</v>
      </c>
      <c r="N1" s="230">
        <v>5</v>
      </c>
      <c r="O1" s="230">
        <v>6</v>
      </c>
      <c r="P1" s="230">
        <v>7</v>
      </c>
      <c r="Q1" s="230">
        <v>8</v>
      </c>
      <c r="R1" s="230">
        <v>9</v>
      </c>
      <c r="S1" s="230">
        <v>10</v>
      </c>
      <c r="T1" s="230">
        <v>11</v>
      </c>
      <c r="U1" s="230">
        <v>12</v>
      </c>
      <c r="V1" s="230">
        <v>13</v>
      </c>
      <c r="W1" s="230">
        <v>14</v>
      </c>
      <c r="X1" s="230">
        <v>15</v>
      </c>
      <c r="Y1" s="230">
        <v>16</v>
      </c>
      <c r="Z1" s="230">
        <v>17</v>
      </c>
      <c r="AA1" s="230">
        <v>18</v>
      </c>
      <c r="AB1" s="230">
        <v>19</v>
      </c>
      <c r="AC1" s="230">
        <v>20</v>
      </c>
      <c r="AD1" s="230">
        <v>21</v>
      </c>
      <c r="AE1" s="230">
        <v>22</v>
      </c>
      <c r="AF1" s="230">
        <v>23</v>
      </c>
      <c r="AG1" s="230">
        <v>24</v>
      </c>
      <c r="AH1" s="230">
        <v>25</v>
      </c>
      <c r="AI1" s="230">
        <v>26</v>
      </c>
      <c r="AJ1" s="230">
        <v>27</v>
      </c>
      <c r="AK1" s="230">
        <v>28</v>
      </c>
      <c r="AL1" s="230">
        <v>29</v>
      </c>
      <c r="AM1" s="230">
        <v>30</v>
      </c>
      <c r="AN1" s="230">
        <v>31</v>
      </c>
      <c r="AO1" s="230">
        <v>32</v>
      </c>
      <c r="AP1" s="230">
        <v>33</v>
      </c>
      <c r="AQ1" s="230">
        <v>34</v>
      </c>
      <c r="AR1" s="230">
        <v>35</v>
      </c>
      <c r="AS1" s="230">
        <v>36</v>
      </c>
      <c r="AT1" s="230">
        <v>37</v>
      </c>
      <c r="AU1" s="230">
        <v>38</v>
      </c>
      <c r="AV1" s="230">
        <v>39</v>
      </c>
      <c r="AW1" s="230">
        <v>40</v>
      </c>
      <c r="AX1" s="230">
        <v>41</v>
      </c>
      <c r="AY1" s="230">
        <v>42</v>
      </c>
      <c r="AZ1" s="230">
        <v>43</v>
      </c>
      <c r="BA1" s="230">
        <v>44</v>
      </c>
      <c r="BB1" s="230">
        <v>45</v>
      </c>
      <c r="BC1" s="230">
        <v>46</v>
      </c>
      <c r="BD1" s="230">
        <v>47</v>
      </c>
      <c r="BE1" s="230">
        <v>48</v>
      </c>
      <c r="BF1" s="230">
        <v>49</v>
      </c>
      <c r="BG1" s="230">
        <v>50</v>
      </c>
      <c r="BH1" s="230">
        <v>51</v>
      </c>
      <c r="BI1" s="230">
        <v>52</v>
      </c>
      <c r="BJ1" s="230">
        <v>53</v>
      </c>
      <c r="BK1" s="230">
        <v>54</v>
      </c>
      <c r="BL1" s="230">
        <v>55</v>
      </c>
      <c r="BM1" s="230">
        <v>56</v>
      </c>
      <c r="BN1" s="230">
        <v>57</v>
      </c>
      <c r="BO1" s="230">
        <v>58</v>
      </c>
      <c r="BP1" s="230">
        <v>59</v>
      </c>
      <c r="BQ1" s="230">
        <v>60</v>
      </c>
      <c r="BR1" s="230">
        <v>61</v>
      </c>
      <c r="BS1" s="230">
        <v>62</v>
      </c>
      <c r="BT1" s="230">
        <v>63</v>
      </c>
      <c r="BU1" s="230">
        <v>64</v>
      </c>
      <c r="BV1" s="230">
        <v>65</v>
      </c>
      <c r="BW1" s="230">
        <v>66</v>
      </c>
      <c r="BX1" s="230">
        <v>67</v>
      </c>
      <c r="BY1" s="230">
        <v>68</v>
      </c>
      <c r="BZ1" s="230">
        <v>69</v>
      </c>
      <c r="CA1" s="230">
        <v>70</v>
      </c>
      <c r="CB1" s="230">
        <v>71</v>
      </c>
      <c r="CC1" s="230">
        <v>72</v>
      </c>
      <c r="CD1" s="230">
        <v>73</v>
      </c>
      <c r="CE1" s="230">
        <v>74</v>
      </c>
      <c r="CF1" s="230">
        <v>75</v>
      </c>
      <c r="CG1" s="230">
        <v>76</v>
      </c>
      <c r="CH1" s="230">
        <v>77</v>
      </c>
      <c r="CI1" s="230">
        <v>78</v>
      </c>
      <c r="CJ1" s="230">
        <v>79</v>
      </c>
      <c r="CK1" s="230">
        <v>80</v>
      </c>
      <c r="CL1" s="230">
        <v>81</v>
      </c>
      <c r="CM1" s="230">
        <v>82</v>
      </c>
      <c r="CN1" s="230">
        <v>83</v>
      </c>
      <c r="CO1" s="230">
        <v>84</v>
      </c>
      <c r="CP1" s="230">
        <v>85</v>
      </c>
      <c r="CQ1" s="230">
        <v>86</v>
      </c>
      <c r="CR1" s="230">
        <v>87</v>
      </c>
      <c r="CS1" s="230">
        <v>88</v>
      </c>
      <c r="CT1" s="230">
        <v>89</v>
      </c>
      <c r="CU1" s="230">
        <v>90</v>
      </c>
      <c r="CV1" s="230">
        <v>91</v>
      </c>
      <c r="CW1" s="230">
        <v>92</v>
      </c>
      <c r="CX1" s="230">
        <v>93</v>
      </c>
      <c r="CY1" s="230">
        <v>94</v>
      </c>
      <c r="CZ1" s="230">
        <v>95</v>
      </c>
      <c r="DA1" s="230">
        <v>96</v>
      </c>
      <c r="DB1" s="230">
        <v>97</v>
      </c>
      <c r="DC1" s="230">
        <v>98</v>
      </c>
      <c r="DD1" s="230">
        <v>99</v>
      </c>
      <c r="DE1" s="230">
        <v>100</v>
      </c>
      <c r="DF1" s="230">
        <v>101</v>
      </c>
      <c r="DG1" s="230">
        <v>102</v>
      </c>
      <c r="DH1" s="230">
        <v>103</v>
      </c>
      <c r="DI1" s="230">
        <v>104</v>
      </c>
      <c r="DJ1" s="230">
        <v>105</v>
      </c>
      <c r="DK1" s="230">
        <v>106</v>
      </c>
      <c r="DL1" s="230">
        <v>107</v>
      </c>
      <c r="DM1" s="230">
        <v>108</v>
      </c>
      <c r="DN1" s="230">
        <v>109</v>
      </c>
      <c r="DO1" s="230">
        <v>110</v>
      </c>
      <c r="DP1" s="230">
        <v>111</v>
      </c>
    </row>
    <row r="2" spans="1:120" ht="12.75" customHeight="1">
      <c r="A2" s="2"/>
      <c r="B2" s="2"/>
      <c r="C2" s="2"/>
      <c r="D2" s="212" t="s">
        <v>85</v>
      </c>
      <c r="E2" s="213"/>
      <c r="F2" s="213"/>
      <c r="G2" s="214"/>
      <c r="H2" s="2"/>
      <c r="I2" s="174" t="s">
        <v>139</v>
      </c>
      <c r="J2" s="48" t="s">
        <v>141</v>
      </c>
      <c r="K2" s="2"/>
      <c r="L2" s="2"/>
      <c r="M2" s="2"/>
      <c r="N2" s="174"/>
      <c r="O2" s="174"/>
      <c r="P2" s="174"/>
      <c r="Q2" s="174"/>
      <c r="R2" s="174"/>
      <c r="S2" s="174"/>
      <c r="T2" s="174"/>
      <c r="U2" s="40"/>
      <c r="V2" s="175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1" t="s">
        <v>1296</v>
      </c>
      <c r="F3" s="211"/>
      <c r="G3" s="211"/>
      <c r="H3" s="2"/>
      <c r="I3" s="174" t="s">
        <v>144</v>
      </c>
      <c r="J3" s="48" t="s">
        <v>116</v>
      </c>
      <c r="K3" s="2"/>
      <c r="L3" s="2"/>
      <c r="M3" s="2"/>
      <c r="N3" s="174"/>
      <c r="O3" s="174"/>
      <c r="P3" s="174"/>
      <c r="Q3" s="174"/>
      <c r="R3" s="174"/>
      <c r="S3" s="174"/>
      <c r="T3" s="174"/>
      <c r="U3" s="40"/>
      <c r="V3" s="175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1" t="s">
        <v>1297</v>
      </c>
      <c r="F4" s="211"/>
      <c r="G4" s="211"/>
      <c r="H4" s="2"/>
      <c r="I4" s="174" t="s">
        <v>119</v>
      </c>
      <c r="J4" s="176" t="s">
        <v>117</v>
      </c>
      <c r="K4" s="2"/>
      <c r="L4" s="2"/>
      <c r="M4" s="2"/>
      <c r="N4" s="174"/>
      <c r="O4" s="174"/>
      <c r="P4" s="174"/>
      <c r="Q4" s="174"/>
      <c r="R4" s="174"/>
      <c r="S4" s="174"/>
      <c r="T4" s="174"/>
      <c r="U4" s="40"/>
      <c r="V4" s="175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1298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1" t="s">
        <v>1299</v>
      </c>
      <c r="E5" s="211" t="s">
        <v>1300</v>
      </c>
      <c r="F5" s="211"/>
      <c r="G5" s="211"/>
      <c r="H5" s="2"/>
      <c r="I5" s="174" t="s">
        <v>120</v>
      </c>
      <c r="J5" s="48" t="s">
        <v>118</v>
      </c>
      <c r="K5" s="2"/>
      <c r="L5" s="2"/>
      <c r="M5" s="2"/>
      <c r="N5" s="174"/>
      <c r="O5" s="174"/>
      <c r="P5" s="174"/>
      <c r="Q5" s="174"/>
      <c r="R5" s="174"/>
      <c r="S5" s="174"/>
      <c r="T5" s="174"/>
      <c r="U5" s="40"/>
      <c r="V5" s="175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 t="s">
        <v>1028</v>
      </c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2"/>
      <c r="E6" s="211" t="s">
        <v>1301</v>
      </c>
      <c r="F6" s="211"/>
      <c r="G6" s="211"/>
      <c r="H6" s="2"/>
      <c r="I6" s="177"/>
      <c r="J6" s="178"/>
      <c r="K6" s="179"/>
      <c r="L6" s="180"/>
      <c r="M6" s="180"/>
      <c r="N6" s="180"/>
      <c r="O6" s="180"/>
      <c r="P6" s="180"/>
      <c r="Q6" s="180"/>
      <c r="R6" s="180"/>
      <c r="S6" s="180"/>
      <c r="T6" s="180"/>
      <c r="U6" s="181"/>
      <c r="V6" s="181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39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1302</v>
      </c>
      <c r="S7" s="94"/>
      <c r="T7" s="94" t="s">
        <v>86</v>
      </c>
      <c r="U7" s="94" t="s">
        <v>158</v>
      </c>
      <c r="V7" s="94" t="s">
        <v>186</v>
      </c>
      <c r="W7" s="94" t="s">
        <v>40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1303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41</v>
      </c>
      <c r="AO7" s="94" t="s">
        <v>42</v>
      </c>
      <c r="AP7" s="94" t="s">
        <v>43</v>
      </c>
      <c r="AQ7" s="94" t="s">
        <v>183</v>
      </c>
      <c r="AR7" s="94" t="s">
        <v>44</v>
      </c>
      <c r="AS7" s="94" t="s">
        <v>264</v>
      </c>
      <c r="AT7" s="94" t="s">
        <v>263</v>
      </c>
      <c r="AU7" s="94" t="s">
        <v>321</v>
      </c>
      <c r="AV7" s="94" t="s">
        <v>45</v>
      </c>
      <c r="AW7" s="94" t="s">
        <v>46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tr">
        <f>PeEwpRPMReq</f>
        <v>DATC_PeEwpRPMReq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3.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784</v>
      </c>
      <c r="K8" s="95" t="s">
        <v>1304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8" t="s">
        <v>309</v>
      </c>
      <c r="J9" s="88" t="s">
        <v>308</v>
      </c>
      <c r="K9" s="90">
        <v>10</v>
      </c>
      <c r="L9" s="90">
        <v>15</v>
      </c>
      <c r="M9" s="90">
        <v>10</v>
      </c>
      <c r="N9" s="90">
        <v>80.25</v>
      </c>
      <c r="O9" s="90">
        <v>0</v>
      </c>
      <c r="P9" s="90">
        <v>50</v>
      </c>
      <c r="Q9" s="90">
        <v>400</v>
      </c>
      <c r="R9" s="90">
        <v>55</v>
      </c>
      <c r="S9" s="91"/>
      <c r="T9" s="86"/>
      <c r="U9" s="87"/>
      <c r="V9" s="87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2"/>
    </row>
    <row r="10" spans="1:120" ht="13.5" customHeight="1">
      <c r="A10" s="2"/>
      <c r="B10" s="2"/>
      <c r="C10" s="4"/>
      <c r="D10" s="4"/>
      <c r="E10" s="4"/>
      <c r="F10" s="4"/>
      <c r="G10" s="2"/>
      <c r="H10" s="2"/>
      <c r="I10" s="97" t="s">
        <v>7</v>
      </c>
      <c r="J10" s="97" t="s">
        <v>785</v>
      </c>
      <c r="K10" s="233" t="s">
        <v>1305</v>
      </c>
      <c r="L10" s="97"/>
      <c r="M10" s="97"/>
      <c r="N10" s="97"/>
      <c r="O10" s="97"/>
      <c r="P10" s="97"/>
      <c r="Q10" s="97"/>
      <c r="R10" s="97"/>
      <c r="S10" s="97"/>
      <c r="T10" s="97"/>
      <c r="U10" s="234"/>
      <c r="V10" s="234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  <c r="BG10" s="97"/>
      <c r="BH10" s="97"/>
      <c r="BI10" s="97"/>
      <c r="BJ10" s="97"/>
      <c r="BK10" s="97"/>
      <c r="BL10" s="97"/>
      <c r="BM10" s="97"/>
      <c r="BN10" s="97"/>
      <c r="BO10" s="97"/>
      <c r="BP10" s="97"/>
      <c r="BQ10" s="97"/>
      <c r="BR10" s="97"/>
      <c r="BS10" s="97"/>
      <c r="BT10" s="97"/>
      <c r="BU10" s="97"/>
      <c r="BV10" s="97"/>
      <c r="BW10" s="97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7"/>
      <c r="CM10" s="97"/>
      <c r="CN10" s="97"/>
      <c r="CO10" s="97"/>
      <c r="CP10" s="97"/>
      <c r="CQ10" s="97"/>
      <c r="CR10" s="97"/>
      <c r="CS10" s="97"/>
      <c r="CT10" s="97"/>
      <c r="CU10" s="97"/>
      <c r="CV10" s="97"/>
      <c r="CW10" s="97"/>
      <c r="CX10" s="97"/>
      <c r="CY10" s="97"/>
      <c r="CZ10" s="97"/>
      <c r="DA10" s="97"/>
      <c r="DB10" s="97"/>
      <c r="DC10" s="97"/>
      <c r="DD10" s="97"/>
      <c r="DE10" s="97"/>
      <c r="DF10" s="97"/>
      <c r="DG10" s="97"/>
      <c r="DH10" s="97"/>
      <c r="DI10" s="97"/>
      <c r="DJ10" s="97"/>
      <c r="DK10" s="97"/>
      <c r="DL10" s="97"/>
      <c r="DM10" s="97"/>
      <c r="DN10" s="97"/>
      <c r="DO10" s="97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182" t="s">
        <v>47</v>
      </c>
      <c r="J11" s="182" t="s">
        <v>786</v>
      </c>
      <c r="K11" s="183">
        <f>K9</f>
        <v>10</v>
      </c>
      <c r="L11" s="183">
        <f>L9</f>
        <v>15</v>
      </c>
      <c r="M11" s="183">
        <f>M9</f>
        <v>10</v>
      </c>
      <c r="N11" s="91"/>
      <c r="O11" s="91"/>
      <c r="P11" s="91"/>
      <c r="Q11" s="91"/>
      <c r="R11" s="91"/>
      <c r="S11" s="91"/>
      <c r="T11" s="98" t="s">
        <v>188</v>
      </c>
      <c r="U11" s="90" t="e">
        <f>IF(FLAG_Country&lt;&gt;"USA","설정 온도 22 degC, AUTO ON (SYNC ON) + OFF 선택 상태 설정","설정 온도 72 degF, AUTO ON (SYNC ON) + OFF 선택 상태 설정")</f>
        <v>#NAME?</v>
      </c>
      <c r="V11" s="89">
        <v>10</v>
      </c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0" t="s">
        <v>88</v>
      </c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0">
        <v>7</v>
      </c>
      <c r="CC11" s="91"/>
      <c r="CD11" s="90">
        <v>0</v>
      </c>
      <c r="CE11" s="91"/>
      <c r="CF11" s="91"/>
      <c r="CG11" s="90">
        <v>0</v>
      </c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2" t="s">
        <v>537</v>
      </c>
      <c r="J12" s="182" t="s">
        <v>787</v>
      </c>
      <c r="K12" s="183">
        <f>K11</f>
        <v>10</v>
      </c>
      <c r="L12" s="183">
        <f>L11</f>
        <v>15</v>
      </c>
      <c r="M12" s="183">
        <f>M11</f>
        <v>10</v>
      </c>
      <c r="N12" s="91"/>
      <c r="O12" s="91"/>
      <c r="P12" s="91"/>
      <c r="Q12" s="91"/>
      <c r="R12" s="91"/>
      <c r="S12" s="91"/>
      <c r="T12" s="98" t="s">
        <v>220</v>
      </c>
      <c r="U12" s="89">
        <v>1</v>
      </c>
      <c r="V12" s="89">
        <v>2</v>
      </c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0" t="s">
        <v>48</v>
      </c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0">
        <v>0</v>
      </c>
      <c r="CC12" s="91"/>
      <c r="CD12" s="90">
        <v>4200</v>
      </c>
      <c r="CE12" s="91"/>
      <c r="CF12" s="91"/>
      <c r="CG12" s="90">
        <v>5700</v>
      </c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2" t="s">
        <v>537</v>
      </c>
      <c r="J13" s="182" t="s">
        <v>788</v>
      </c>
      <c r="K13" s="183">
        <f>K12</f>
        <v>10</v>
      </c>
      <c r="L13" s="183">
        <f>L12</f>
        <v>15</v>
      </c>
      <c r="M13" s="183">
        <f>M12</f>
        <v>10</v>
      </c>
      <c r="N13" s="91"/>
      <c r="O13" s="91"/>
      <c r="P13" s="91"/>
      <c r="Q13" s="91"/>
      <c r="R13" s="91"/>
      <c r="S13" s="91"/>
      <c r="T13" s="98" t="str">
        <f>P_SIGNAL_COMP_OUT</f>
        <v>Snr_P SIGNAL_COMP OUT(PSI)_IN</v>
      </c>
      <c r="U13" s="90">
        <v>213</v>
      </c>
      <c r="V13" s="89">
        <v>5</v>
      </c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0">
        <v>0</v>
      </c>
      <c r="CC13" s="91"/>
      <c r="CD13" s="90">
        <v>3200</v>
      </c>
      <c r="CE13" s="91"/>
      <c r="CF13" s="91"/>
      <c r="CG13" s="90">
        <v>4500</v>
      </c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2" t="s">
        <v>537</v>
      </c>
      <c r="J14" s="182" t="s">
        <v>789</v>
      </c>
      <c r="K14" s="183">
        <f>K13</f>
        <v>10</v>
      </c>
      <c r="L14" s="183">
        <f>L13</f>
        <v>15</v>
      </c>
      <c r="M14" s="183">
        <f>M13</f>
        <v>10</v>
      </c>
      <c r="N14" s="91"/>
      <c r="O14" s="91"/>
      <c r="P14" s="91"/>
      <c r="Q14" s="91"/>
      <c r="R14" s="91"/>
      <c r="S14" s="91"/>
      <c r="T14" s="98" t="str">
        <f>P_SIGNAL_COMP_OUT</f>
        <v>Snr_P SIGNAL_COMP OUT(PSI)_IN</v>
      </c>
      <c r="U14" s="90">
        <v>155</v>
      </c>
      <c r="V14" s="89">
        <v>5</v>
      </c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0">
        <v>0</v>
      </c>
      <c r="CC14" s="91"/>
      <c r="CD14" s="90">
        <v>2700</v>
      </c>
      <c r="CE14" s="91"/>
      <c r="CF14" s="91"/>
      <c r="CG14" s="90">
        <v>3500</v>
      </c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2" t="s">
        <v>537</v>
      </c>
      <c r="J15" s="182" t="s">
        <v>1165</v>
      </c>
      <c r="K15" s="183">
        <f>K14</f>
        <v>10</v>
      </c>
      <c r="L15" s="183">
        <f>L14</f>
        <v>15</v>
      </c>
      <c r="M15" s="183">
        <f>M14</f>
        <v>10</v>
      </c>
      <c r="N15" s="91"/>
      <c r="O15" s="91"/>
      <c r="P15" s="91"/>
      <c r="Q15" s="91"/>
      <c r="R15" s="91"/>
      <c r="S15" s="91"/>
      <c r="T15" s="98" t="str">
        <f>P_SIGNAL_COMP_OUT</f>
        <v>Snr_P SIGNAL_COMP OUT(PSI)_IN</v>
      </c>
      <c r="U15" s="90">
        <v>109</v>
      </c>
      <c r="V15" s="89">
        <v>5</v>
      </c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0">
        <v>0</v>
      </c>
      <c r="CC15" s="91"/>
      <c r="CD15" s="90">
        <v>1700</v>
      </c>
      <c r="CE15" s="91"/>
      <c r="CF15" s="91"/>
      <c r="CG15" s="90">
        <v>2000</v>
      </c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2" t="s">
        <v>537</v>
      </c>
      <c r="J16" s="182" t="s">
        <v>1166</v>
      </c>
      <c r="K16" s="183">
        <f>K15</f>
        <v>10</v>
      </c>
      <c r="L16" s="183">
        <f>L15</f>
        <v>15</v>
      </c>
      <c r="M16" s="183">
        <f>M15</f>
        <v>10</v>
      </c>
      <c r="N16" s="91"/>
      <c r="O16" s="91"/>
      <c r="P16" s="91"/>
      <c r="Q16" s="91"/>
      <c r="R16" s="91"/>
      <c r="S16" s="91"/>
      <c r="T16" s="98" t="str">
        <f>P_SIGNAL_COMP_OUT</f>
        <v>Snr_P SIGNAL_COMP OUT(PSI)_IN</v>
      </c>
      <c r="U16" s="90">
        <v>56</v>
      </c>
      <c r="V16" s="89">
        <v>5</v>
      </c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0">
        <v>0</v>
      </c>
      <c r="CC16" s="91"/>
      <c r="CD16" s="90">
        <v>600</v>
      </c>
      <c r="CE16" s="91"/>
      <c r="CF16" s="91"/>
      <c r="CG16" s="90">
        <v>1100</v>
      </c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2" t="s">
        <v>537</v>
      </c>
      <c r="J17" s="182" t="s">
        <v>1167</v>
      </c>
      <c r="K17" s="183">
        <f>K16</f>
        <v>10</v>
      </c>
      <c r="L17" s="183">
        <f>L16</f>
        <v>15</v>
      </c>
      <c r="M17" s="183">
        <f>M16</f>
        <v>10</v>
      </c>
      <c r="N17" s="91"/>
      <c r="O17" s="91"/>
      <c r="P17" s="91"/>
      <c r="Q17" s="91"/>
      <c r="R17" s="91"/>
      <c r="S17" s="91"/>
      <c r="T17" s="98" t="str">
        <f>P_SIGNAL_COMP_OUT</f>
        <v>Snr_P SIGNAL_COMP OUT(PSI)_IN</v>
      </c>
      <c r="U17" s="90">
        <v>71</v>
      </c>
      <c r="V17" s="89">
        <v>5</v>
      </c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0">
        <v>0</v>
      </c>
      <c r="CC17" s="91"/>
      <c r="CD17" s="183">
        <f>CD15</f>
        <v>1700</v>
      </c>
      <c r="CE17" s="91"/>
      <c r="CF17" s="91"/>
      <c r="CG17" s="183">
        <f>CG15</f>
        <v>2000</v>
      </c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2" t="s">
        <v>537</v>
      </c>
      <c r="J18" s="182" t="s">
        <v>1168</v>
      </c>
      <c r="K18" s="183">
        <f>K17</f>
        <v>10</v>
      </c>
      <c r="L18" s="183">
        <f>L17</f>
        <v>15</v>
      </c>
      <c r="M18" s="183">
        <f>M17</f>
        <v>10</v>
      </c>
      <c r="N18" s="91"/>
      <c r="O18" s="91"/>
      <c r="P18" s="91"/>
      <c r="Q18" s="91"/>
      <c r="R18" s="91"/>
      <c r="S18" s="91"/>
      <c r="T18" s="98" t="str">
        <f>P_SIGNAL_COMP_OUT</f>
        <v>Snr_P SIGNAL_COMP OUT(PSI)_IN</v>
      </c>
      <c r="U18" s="90">
        <v>130</v>
      </c>
      <c r="V18" s="89">
        <v>5</v>
      </c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0">
        <v>0</v>
      </c>
      <c r="CC18" s="91"/>
      <c r="CD18" s="183">
        <f>CD14</f>
        <v>2700</v>
      </c>
      <c r="CE18" s="91"/>
      <c r="CF18" s="91"/>
      <c r="CG18" s="183">
        <f>CG14</f>
        <v>3500</v>
      </c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2" t="s">
        <v>537</v>
      </c>
      <c r="J19" s="182" t="s">
        <v>1169</v>
      </c>
      <c r="K19" s="183">
        <f>K18</f>
        <v>10</v>
      </c>
      <c r="L19" s="183">
        <f>L18</f>
        <v>15</v>
      </c>
      <c r="M19" s="183">
        <f>M18</f>
        <v>10</v>
      </c>
      <c r="N19" s="91"/>
      <c r="O19" s="91"/>
      <c r="P19" s="91"/>
      <c r="Q19" s="91"/>
      <c r="R19" s="91"/>
      <c r="S19" s="91"/>
      <c r="T19" s="98" t="str">
        <f>P_SIGNAL_COMP_OUT</f>
        <v>Snr_P SIGNAL_COMP OUT(PSI)_IN</v>
      </c>
      <c r="U19" s="90">
        <v>174</v>
      </c>
      <c r="V19" s="89">
        <v>5</v>
      </c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0">
        <v>0</v>
      </c>
      <c r="CC19" s="91"/>
      <c r="CD19" s="183">
        <f>CD13</f>
        <v>3200</v>
      </c>
      <c r="CE19" s="91"/>
      <c r="CF19" s="91"/>
      <c r="CG19" s="183">
        <f>CG13</f>
        <v>4500</v>
      </c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2" t="s">
        <v>537</v>
      </c>
      <c r="J20" s="182" t="s">
        <v>1170</v>
      </c>
      <c r="K20" s="183">
        <f>K19</f>
        <v>10</v>
      </c>
      <c r="L20" s="183">
        <f>L19</f>
        <v>15</v>
      </c>
      <c r="M20" s="183">
        <f>M19</f>
        <v>10</v>
      </c>
      <c r="N20" s="91"/>
      <c r="O20" s="91"/>
      <c r="P20" s="91"/>
      <c r="Q20" s="91"/>
      <c r="R20" s="91"/>
      <c r="S20" s="91"/>
      <c r="T20" s="98" t="str">
        <f>P_SIGNAL_COMP_OUT</f>
        <v>Snr_P SIGNAL_COMP OUT(PSI)_IN</v>
      </c>
      <c r="U20" s="90">
        <v>232</v>
      </c>
      <c r="V20" s="89">
        <v>5</v>
      </c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0">
        <v>0</v>
      </c>
      <c r="CC20" s="91"/>
      <c r="CD20" s="183">
        <f>CD12</f>
        <v>4200</v>
      </c>
      <c r="CE20" s="91"/>
      <c r="CF20" s="91"/>
      <c r="CG20" s="183">
        <f>CG12</f>
        <v>5700</v>
      </c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2" t="s">
        <v>537</v>
      </c>
      <c r="J21" s="182" t="s">
        <v>1171</v>
      </c>
      <c r="K21" s="183">
        <f>K20</f>
        <v>10</v>
      </c>
      <c r="L21" s="183">
        <f>L20</f>
        <v>15</v>
      </c>
      <c r="M21" s="183">
        <f>M20</f>
        <v>10</v>
      </c>
      <c r="N21" s="91"/>
      <c r="O21" s="91"/>
      <c r="P21" s="91"/>
      <c r="Q21" s="91"/>
      <c r="R21" s="91"/>
      <c r="S21" s="91"/>
      <c r="T21" s="98" t="str">
        <f>P_SIGNAL_COMP_OUT</f>
        <v>Snr_P SIGNAL_COMP OUT(PSI)_IN</v>
      </c>
      <c r="U21" s="90">
        <v>220</v>
      </c>
      <c r="V21" s="89">
        <v>5</v>
      </c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0">
        <v>0</v>
      </c>
      <c r="CC21" s="91"/>
      <c r="CD21" s="183">
        <f>CD20</f>
        <v>4200</v>
      </c>
      <c r="CE21" s="91"/>
      <c r="CF21" s="91"/>
      <c r="CG21" s="183">
        <f>CG20</f>
        <v>5700</v>
      </c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2" t="s">
        <v>537</v>
      </c>
      <c r="J22" s="182" t="s">
        <v>1172</v>
      </c>
      <c r="K22" s="183">
        <f>K21</f>
        <v>10</v>
      </c>
      <c r="L22" s="183">
        <f>L21</f>
        <v>15</v>
      </c>
      <c r="M22" s="183">
        <f>M21</f>
        <v>10</v>
      </c>
      <c r="N22" s="91"/>
      <c r="O22" s="91"/>
      <c r="P22" s="91"/>
      <c r="Q22" s="91"/>
      <c r="R22" s="91"/>
      <c r="S22" s="91"/>
      <c r="T22" s="98" t="s">
        <v>1306</v>
      </c>
      <c r="U22" s="87" t="s">
        <v>371</v>
      </c>
      <c r="V22" s="89">
        <v>5</v>
      </c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0">
        <v>0</v>
      </c>
      <c r="CC22" s="91"/>
      <c r="CD22" s="183">
        <f>CD21</f>
        <v>4200</v>
      </c>
      <c r="CE22" s="91"/>
      <c r="CF22" s="91"/>
      <c r="CG22" s="183">
        <f>CG21</f>
        <v>5700</v>
      </c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2" t="s">
        <v>537</v>
      </c>
      <c r="J23" s="182" t="s">
        <v>1173</v>
      </c>
      <c r="K23" s="183">
        <f>K22</f>
        <v>10</v>
      </c>
      <c r="L23" s="183">
        <f>L22</f>
        <v>15</v>
      </c>
      <c r="M23" s="183">
        <f>M22</f>
        <v>10</v>
      </c>
      <c r="N23" s="91"/>
      <c r="O23" s="91"/>
      <c r="P23" s="91"/>
      <c r="Q23" s="91"/>
      <c r="R23" s="91"/>
      <c r="S23" s="91"/>
      <c r="T23" s="86" t="s">
        <v>1307</v>
      </c>
      <c r="U23" s="87" t="s">
        <v>371</v>
      </c>
      <c r="V23" s="89">
        <v>5</v>
      </c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0">
        <v>0</v>
      </c>
      <c r="CC23" s="91"/>
      <c r="CD23" s="183">
        <f>CD13</f>
        <v>3200</v>
      </c>
      <c r="CE23" s="91"/>
      <c r="CF23" s="91"/>
      <c r="CG23" s="183">
        <f>CG13</f>
        <v>4500</v>
      </c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2" t="s">
        <v>537</v>
      </c>
      <c r="J24" s="182" t="s">
        <v>1174</v>
      </c>
      <c r="K24" s="183">
        <f>K23</f>
        <v>10</v>
      </c>
      <c r="L24" s="183">
        <f>L23</f>
        <v>15</v>
      </c>
      <c r="M24" s="183">
        <f>M23</f>
        <v>10</v>
      </c>
      <c r="N24" s="91"/>
      <c r="O24" s="91"/>
      <c r="P24" s="91"/>
      <c r="Q24" s="91"/>
      <c r="R24" s="91"/>
      <c r="S24" s="91"/>
      <c r="T24" s="98" t="str">
        <f>P_SIGNAL_COMP_OUT</f>
        <v>Snr_P SIGNAL_COMP OUT(PSI)_IN</v>
      </c>
      <c r="U24" s="90">
        <v>165</v>
      </c>
      <c r="V24" s="89">
        <v>5</v>
      </c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0">
        <v>0</v>
      </c>
      <c r="CC24" s="91"/>
      <c r="CD24" s="183">
        <f>CD23</f>
        <v>3200</v>
      </c>
      <c r="CE24" s="91"/>
      <c r="CF24" s="91"/>
      <c r="CG24" s="183">
        <f>CG23</f>
        <v>4500</v>
      </c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2" t="s">
        <v>537</v>
      </c>
      <c r="J25" s="182" t="s">
        <v>1175</v>
      </c>
      <c r="K25" s="183">
        <f>K24</f>
        <v>10</v>
      </c>
      <c r="L25" s="183">
        <f>L24</f>
        <v>15</v>
      </c>
      <c r="M25" s="183">
        <f>M24</f>
        <v>10</v>
      </c>
      <c r="N25" s="91"/>
      <c r="O25" s="91"/>
      <c r="P25" s="91"/>
      <c r="Q25" s="91"/>
      <c r="R25" s="91"/>
      <c r="S25" s="91"/>
      <c r="T25" s="98" t="s">
        <v>1306</v>
      </c>
      <c r="U25" s="87" t="s">
        <v>371</v>
      </c>
      <c r="V25" s="89">
        <v>5</v>
      </c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0">
        <v>0</v>
      </c>
      <c r="CC25" s="91"/>
      <c r="CD25" s="183">
        <f>CD24</f>
        <v>3200</v>
      </c>
      <c r="CE25" s="91"/>
      <c r="CF25" s="91"/>
      <c r="CG25" s="183">
        <f>CG24</f>
        <v>4500</v>
      </c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2" t="s">
        <v>537</v>
      </c>
      <c r="J26" s="182" t="s">
        <v>1176</v>
      </c>
      <c r="K26" s="183">
        <f>K25</f>
        <v>10</v>
      </c>
      <c r="L26" s="183">
        <f>L25</f>
        <v>15</v>
      </c>
      <c r="M26" s="183">
        <f>M25</f>
        <v>10</v>
      </c>
      <c r="N26" s="91"/>
      <c r="O26" s="91"/>
      <c r="P26" s="91"/>
      <c r="Q26" s="91"/>
      <c r="R26" s="91"/>
      <c r="S26" s="91"/>
      <c r="T26" s="86" t="s">
        <v>1307</v>
      </c>
      <c r="U26" s="87" t="s">
        <v>371</v>
      </c>
      <c r="V26" s="89">
        <v>5</v>
      </c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0">
        <v>0</v>
      </c>
      <c r="CC26" s="91"/>
      <c r="CD26" s="183">
        <f>CD14</f>
        <v>2700</v>
      </c>
      <c r="CE26" s="91"/>
      <c r="CF26" s="91"/>
      <c r="CG26" s="183">
        <f>CG14</f>
        <v>3500</v>
      </c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2" t="s">
        <v>537</v>
      </c>
      <c r="J27" s="182" t="s">
        <v>1177</v>
      </c>
      <c r="K27" s="183">
        <f>K26</f>
        <v>10</v>
      </c>
      <c r="L27" s="183">
        <f>L26</f>
        <v>15</v>
      </c>
      <c r="M27" s="183">
        <f>M26</f>
        <v>10</v>
      </c>
      <c r="N27" s="91"/>
      <c r="O27" s="91"/>
      <c r="P27" s="91"/>
      <c r="Q27" s="91"/>
      <c r="R27" s="91"/>
      <c r="S27" s="91"/>
      <c r="T27" s="98" t="str">
        <f>P_SIGNAL_COMP_OUT</f>
        <v>Snr_P SIGNAL_COMP OUT(PSI)_IN</v>
      </c>
      <c r="U27" s="90">
        <v>120</v>
      </c>
      <c r="V27" s="89">
        <v>5</v>
      </c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0">
        <v>0</v>
      </c>
      <c r="CC27" s="91"/>
      <c r="CD27" s="183">
        <f>CD26</f>
        <v>2700</v>
      </c>
      <c r="CE27" s="91"/>
      <c r="CF27" s="91"/>
      <c r="CG27" s="183">
        <f>CG26</f>
        <v>3500</v>
      </c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2" t="s">
        <v>537</v>
      </c>
      <c r="J28" s="182" t="s">
        <v>1178</v>
      </c>
      <c r="K28" s="183">
        <f>K27</f>
        <v>10</v>
      </c>
      <c r="L28" s="183">
        <f>L27</f>
        <v>15</v>
      </c>
      <c r="M28" s="183">
        <f>M27</f>
        <v>10</v>
      </c>
      <c r="N28" s="91"/>
      <c r="O28" s="91"/>
      <c r="P28" s="91"/>
      <c r="Q28" s="91"/>
      <c r="R28" s="91"/>
      <c r="S28" s="91"/>
      <c r="T28" s="98" t="s">
        <v>1306</v>
      </c>
      <c r="U28" s="87" t="s">
        <v>371</v>
      </c>
      <c r="V28" s="89">
        <v>5</v>
      </c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0">
        <v>0</v>
      </c>
      <c r="CC28" s="91"/>
      <c r="CD28" s="183">
        <f>CD27</f>
        <v>2700</v>
      </c>
      <c r="CE28" s="91"/>
      <c r="CF28" s="91"/>
      <c r="CG28" s="183">
        <f>CG27</f>
        <v>3500</v>
      </c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2" t="s">
        <v>537</v>
      </c>
      <c r="J29" s="182" t="s">
        <v>1179</v>
      </c>
      <c r="K29" s="183">
        <f>K28</f>
        <v>10</v>
      </c>
      <c r="L29" s="183">
        <f>L28</f>
        <v>15</v>
      </c>
      <c r="M29" s="183">
        <f>M28</f>
        <v>10</v>
      </c>
      <c r="N29" s="91"/>
      <c r="O29" s="91"/>
      <c r="P29" s="91"/>
      <c r="Q29" s="91"/>
      <c r="R29" s="91"/>
      <c r="S29" s="91"/>
      <c r="T29" s="86" t="s">
        <v>1307</v>
      </c>
      <c r="U29" s="87" t="s">
        <v>371</v>
      </c>
      <c r="V29" s="89">
        <v>5</v>
      </c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0">
        <v>0</v>
      </c>
      <c r="CC29" s="91"/>
      <c r="CD29" s="183">
        <f>CD15</f>
        <v>1700</v>
      </c>
      <c r="CE29" s="91"/>
      <c r="CF29" s="91"/>
      <c r="CG29" s="183">
        <f>CG15</f>
        <v>2000</v>
      </c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2" t="s">
        <v>537</v>
      </c>
      <c r="J30" s="182" t="s">
        <v>1180</v>
      </c>
      <c r="K30" s="183">
        <f>K29</f>
        <v>10</v>
      </c>
      <c r="L30" s="183">
        <f>L29</f>
        <v>15</v>
      </c>
      <c r="M30" s="183">
        <f>M29</f>
        <v>10</v>
      </c>
      <c r="N30" s="91"/>
      <c r="O30" s="91"/>
      <c r="P30" s="91"/>
      <c r="Q30" s="91"/>
      <c r="R30" s="91"/>
      <c r="S30" s="91"/>
      <c r="T30" s="98" t="str">
        <f>P_SIGNAL_COMP_OUT</f>
        <v>Snr_P SIGNAL_COMP OUT(PSI)_IN</v>
      </c>
      <c r="U30" s="90">
        <v>65</v>
      </c>
      <c r="V30" s="89">
        <v>5</v>
      </c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0">
        <v>0</v>
      </c>
      <c r="CC30" s="91"/>
      <c r="CD30" s="183">
        <f>CD29</f>
        <v>1700</v>
      </c>
      <c r="CE30" s="91"/>
      <c r="CF30" s="91"/>
      <c r="CG30" s="183">
        <f>CG29</f>
        <v>2000</v>
      </c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2" t="s">
        <v>537</v>
      </c>
      <c r="J31" s="182" t="s">
        <v>1181</v>
      </c>
      <c r="K31" s="183">
        <f>K30</f>
        <v>10</v>
      </c>
      <c r="L31" s="183">
        <f>L30</f>
        <v>15</v>
      </c>
      <c r="M31" s="183">
        <f>M30</f>
        <v>10</v>
      </c>
      <c r="N31" s="91"/>
      <c r="O31" s="91"/>
      <c r="P31" s="91"/>
      <c r="Q31" s="91"/>
      <c r="R31" s="91"/>
      <c r="S31" s="91"/>
      <c r="T31" s="98" t="s">
        <v>1306</v>
      </c>
      <c r="U31" s="87" t="s">
        <v>371</v>
      </c>
      <c r="V31" s="89">
        <v>5</v>
      </c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0">
        <v>0</v>
      </c>
      <c r="CC31" s="91"/>
      <c r="CD31" s="183">
        <f>CD30</f>
        <v>1700</v>
      </c>
      <c r="CE31" s="91"/>
      <c r="CF31" s="91"/>
      <c r="CG31" s="183">
        <f>CG30</f>
        <v>2000</v>
      </c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2" t="s">
        <v>537</v>
      </c>
      <c r="J32" s="182" t="s">
        <v>1182</v>
      </c>
      <c r="K32" s="183">
        <f>K31</f>
        <v>10</v>
      </c>
      <c r="L32" s="183">
        <f>L31</f>
        <v>15</v>
      </c>
      <c r="M32" s="183">
        <f>M31</f>
        <v>10</v>
      </c>
      <c r="N32" s="91"/>
      <c r="O32" s="91"/>
      <c r="P32" s="91"/>
      <c r="Q32" s="91"/>
      <c r="R32" s="91"/>
      <c r="S32" s="91"/>
      <c r="T32" s="86" t="s">
        <v>1307</v>
      </c>
      <c r="U32" s="87" t="s">
        <v>371</v>
      </c>
      <c r="V32" s="89">
        <v>5</v>
      </c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0">
        <v>0</v>
      </c>
      <c r="CC32" s="91"/>
      <c r="CD32" s="183">
        <f>CD16</f>
        <v>600</v>
      </c>
      <c r="CE32" s="91"/>
      <c r="CF32" s="91"/>
      <c r="CG32" s="183">
        <f>CG16</f>
        <v>1100</v>
      </c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2"/>
    </row>
    <row r="33" spans="1:120" ht="13.5" customHeight="1">
      <c r="A33" s="2"/>
      <c r="B33" s="2"/>
      <c r="C33" s="2"/>
      <c r="D33" s="2"/>
      <c r="E33" s="2"/>
      <c r="F33" s="2"/>
      <c r="G33" s="2"/>
      <c r="H33" s="2"/>
      <c r="I33" s="97" t="s">
        <v>7</v>
      </c>
      <c r="J33" s="97" t="s">
        <v>1308</v>
      </c>
      <c r="K33" s="233" t="s">
        <v>1309</v>
      </c>
      <c r="L33" s="97"/>
      <c r="M33" s="97"/>
      <c r="N33" s="97"/>
      <c r="O33" s="97"/>
      <c r="P33" s="97"/>
      <c r="Q33" s="97"/>
      <c r="R33" s="97"/>
      <c r="S33" s="97"/>
      <c r="T33" s="97"/>
      <c r="U33" s="234"/>
      <c r="V33" s="234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2" t="s">
        <v>47</v>
      </c>
      <c r="J34" s="182" t="s">
        <v>1184</v>
      </c>
      <c r="K34" s="183">
        <f>K32</f>
        <v>10</v>
      </c>
      <c r="L34" s="183">
        <f>L32</f>
        <v>15</v>
      </c>
      <c r="M34" s="183">
        <f>M32</f>
        <v>10</v>
      </c>
      <c r="N34" s="91"/>
      <c r="O34" s="91"/>
      <c r="P34" s="91"/>
      <c r="Q34" s="91"/>
      <c r="R34" s="91"/>
      <c r="S34" s="91"/>
      <c r="T34" s="98" t="str">
        <f>P_SIGNAL_COMP_OUT</f>
        <v>Snr_P SIGNAL_COMP OUT(PSI)_IN</v>
      </c>
      <c r="U34" s="90">
        <v>235</v>
      </c>
      <c r="V34" s="89">
        <v>10</v>
      </c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0" t="s">
        <v>48</v>
      </c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0">
        <v>0</v>
      </c>
      <c r="CC34" s="91"/>
      <c r="CD34" s="90">
        <v>4200</v>
      </c>
      <c r="CE34" s="91"/>
      <c r="CF34" s="91"/>
      <c r="CG34" s="90">
        <v>5700</v>
      </c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2" t="s">
        <v>537</v>
      </c>
      <c r="J35" s="182" t="s">
        <v>1185</v>
      </c>
      <c r="K35" s="183">
        <f>K34</f>
        <v>10</v>
      </c>
      <c r="L35" s="183">
        <f>L34</f>
        <v>15</v>
      </c>
      <c r="M35" s="183">
        <f>M34</f>
        <v>10</v>
      </c>
      <c r="N35" s="91"/>
      <c r="O35" s="91"/>
      <c r="P35" s="91"/>
      <c r="Q35" s="91"/>
      <c r="R35" s="91"/>
      <c r="S35" s="91"/>
      <c r="T35" s="98" t="s">
        <v>220</v>
      </c>
      <c r="U35" s="89">
        <v>1</v>
      </c>
      <c r="V35" s="89">
        <v>2</v>
      </c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0" t="s">
        <v>88</v>
      </c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0">
        <v>5</v>
      </c>
      <c r="CC35" s="91"/>
      <c r="CD35" s="90">
        <v>0</v>
      </c>
      <c r="CE35" s="91"/>
      <c r="CF35" s="91"/>
      <c r="CG35" s="90">
        <v>0</v>
      </c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2" t="s">
        <v>537</v>
      </c>
      <c r="J36" s="182" t="s">
        <v>1186</v>
      </c>
      <c r="K36" s="183">
        <f>K35</f>
        <v>10</v>
      </c>
      <c r="L36" s="183">
        <f>L35</f>
        <v>15</v>
      </c>
      <c r="M36" s="183">
        <f>M35</f>
        <v>10</v>
      </c>
      <c r="N36" s="91"/>
      <c r="O36" s="91"/>
      <c r="P36" s="91"/>
      <c r="Q36" s="91"/>
      <c r="R36" s="91"/>
      <c r="S36" s="91"/>
      <c r="T36" s="98" t="str">
        <f>BatChllrTgtRpm</f>
        <v>VCU_BatChllrTgtRpm</v>
      </c>
      <c r="U36" s="90">
        <v>1000</v>
      </c>
      <c r="V36" s="89">
        <v>5</v>
      </c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0" t="s">
        <v>88</v>
      </c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0">
        <v>10</v>
      </c>
      <c r="CC36" s="91"/>
      <c r="CD36" s="90">
        <v>4200</v>
      </c>
      <c r="CE36" s="91"/>
      <c r="CF36" s="91"/>
      <c r="CG36" s="90">
        <v>5700</v>
      </c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2" t="s">
        <v>537</v>
      </c>
      <c r="J37" s="182" t="s">
        <v>1187</v>
      </c>
      <c r="K37" s="183">
        <f>K36</f>
        <v>10</v>
      </c>
      <c r="L37" s="183">
        <f>L36</f>
        <v>15</v>
      </c>
      <c r="M37" s="183">
        <f>M36</f>
        <v>10</v>
      </c>
      <c r="N37" s="91"/>
      <c r="O37" s="91"/>
      <c r="P37" s="91"/>
      <c r="Q37" s="91"/>
      <c r="R37" s="91"/>
      <c r="S37" s="91"/>
      <c r="T37" s="98" t="str">
        <f>BatChllrTgtRpm</f>
        <v>VCU_BatChllrTgtRpm</v>
      </c>
      <c r="U37" s="90">
        <v>0</v>
      </c>
      <c r="V37" s="89">
        <v>5</v>
      </c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0" t="s">
        <v>88</v>
      </c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0">
        <v>5</v>
      </c>
      <c r="CC37" s="91"/>
      <c r="CD37" s="90">
        <v>0</v>
      </c>
      <c r="CE37" s="91"/>
      <c r="CF37" s="91"/>
      <c r="CG37" s="90">
        <v>0</v>
      </c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2" t="s">
        <v>537</v>
      </c>
      <c r="J38" s="182" t="s">
        <v>1188</v>
      </c>
      <c r="K38" s="183">
        <f>K37</f>
        <v>10</v>
      </c>
      <c r="L38" s="183">
        <f>L37</f>
        <v>15</v>
      </c>
      <c r="M38" s="183">
        <f>M37</f>
        <v>10</v>
      </c>
      <c r="N38" s="91"/>
      <c r="O38" s="91"/>
      <c r="P38" s="91"/>
      <c r="Q38" s="91"/>
      <c r="R38" s="91"/>
      <c r="S38" s="91"/>
      <c r="T38" s="98" t="s">
        <v>220</v>
      </c>
      <c r="U38" s="89">
        <v>1</v>
      </c>
      <c r="V38" s="89">
        <v>2</v>
      </c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0" t="s">
        <v>48</v>
      </c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0">
        <v>0</v>
      </c>
      <c r="CC38" s="91"/>
      <c r="CD38" s="90">
        <v>4200</v>
      </c>
      <c r="CE38" s="91"/>
      <c r="CF38" s="91"/>
      <c r="CG38" s="90">
        <v>5700</v>
      </c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2" t="s">
        <v>537</v>
      </c>
      <c r="J39" s="182" t="s">
        <v>1189</v>
      </c>
      <c r="K39" s="183">
        <f>K38</f>
        <v>10</v>
      </c>
      <c r="L39" s="183">
        <f>L38</f>
        <v>15</v>
      </c>
      <c r="M39" s="183">
        <f>M38</f>
        <v>10</v>
      </c>
      <c r="N39" s="91"/>
      <c r="O39" s="91"/>
      <c r="P39" s="91"/>
      <c r="Q39" s="91"/>
      <c r="R39" s="91"/>
      <c r="S39" s="91"/>
      <c r="T39" s="98" t="str">
        <f>BatChllrTgtRpm</f>
        <v>VCU_BatChllrTgtRpm</v>
      </c>
      <c r="U39" s="90">
        <v>1000</v>
      </c>
      <c r="V39" s="89">
        <v>5</v>
      </c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0" t="s">
        <v>48</v>
      </c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0">
        <v>9</v>
      </c>
      <c r="CC39" s="91"/>
      <c r="CD39" s="90">
        <v>4200</v>
      </c>
      <c r="CE39" s="91"/>
      <c r="CF39" s="91"/>
      <c r="CG39" s="90">
        <v>5700</v>
      </c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2" t="s">
        <v>537</v>
      </c>
      <c r="J40" s="182" t="s">
        <v>1190</v>
      </c>
      <c r="K40" s="183">
        <f>K39</f>
        <v>10</v>
      </c>
      <c r="L40" s="183">
        <f>L39</f>
        <v>15</v>
      </c>
      <c r="M40" s="183">
        <f>M39</f>
        <v>10</v>
      </c>
      <c r="N40" s="91"/>
      <c r="O40" s="91"/>
      <c r="P40" s="91"/>
      <c r="Q40" s="91"/>
      <c r="R40" s="91"/>
      <c r="S40" s="91"/>
      <c r="T40" s="98" t="str">
        <f>BatChllrTgtRpm</f>
        <v>VCU_BatChllrTgtRpm</v>
      </c>
      <c r="U40" s="90">
        <v>0</v>
      </c>
      <c r="V40" s="89">
        <v>5</v>
      </c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0" t="s">
        <v>48</v>
      </c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0">
        <v>0</v>
      </c>
      <c r="CC40" s="91"/>
      <c r="CD40" s="90">
        <v>4200</v>
      </c>
      <c r="CE40" s="91"/>
      <c r="CF40" s="91"/>
      <c r="CG40" s="90">
        <v>5700</v>
      </c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2" t="s">
        <v>537</v>
      </c>
      <c r="J41" s="182" t="s">
        <v>1191</v>
      </c>
      <c r="K41" s="183">
        <f>K40</f>
        <v>10</v>
      </c>
      <c r="L41" s="183">
        <f>L40</f>
        <v>15</v>
      </c>
      <c r="M41" s="183">
        <f>M40</f>
        <v>10</v>
      </c>
      <c r="N41" s="91"/>
      <c r="O41" s="91"/>
      <c r="P41" s="91"/>
      <c r="Q41" s="91"/>
      <c r="R41" s="91"/>
      <c r="S41" s="91"/>
      <c r="T41" s="98" t="s">
        <v>1310</v>
      </c>
      <c r="U41" s="89">
        <v>1</v>
      </c>
      <c r="V41" s="89">
        <v>5</v>
      </c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0" t="s">
        <v>88</v>
      </c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0">
        <v>7</v>
      </c>
      <c r="CC41" s="91"/>
      <c r="CD41" s="90">
        <v>0</v>
      </c>
      <c r="CE41" s="91"/>
      <c r="CF41" s="91"/>
      <c r="CG41" s="90">
        <v>0</v>
      </c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2"/>
    </row>
    <row r="42" spans="1:120" ht="13.5" customHeight="1">
      <c r="A42" s="2"/>
      <c r="B42" s="2"/>
      <c r="C42" s="2"/>
      <c r="D42" s="2"/>
      <c r="E42" s="2"/>
      <c r="F42" s="2"/>
      <c r="G42" s="2"/>
      <c r="H42" s="2"/>
      <c r="I42" s="97" t="s">
        <v>7</v>
      </c>
      <c r="J42" s="97" t="s">
        <v>1192</v>
      </c>
      <c r="K42" s="233" t="s">
        <v>1311</v>
      </c>
      <c r="L42" s="97"/>
      <c r="M42" s="97"/>
      <c r="N42" s="97"/>
      <c r="O42" s="97"/>
      <c r="P42" s="97"/>
      <c r="Q42" s="97"/>
      <c r="R42" s="97"/>
      <c r="S42" s="97"/>
      <c r="T42" s="97"/>
      <c r="U42" s="234"/>
      <c r="V42" s="234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7"/>
      <c r="DH42" s="97"/>
      <c r="DI42" s="97"/>
      <c r="DJ42" s="97"/>
      <c r="DK42" s="97"/>
      <c r="DL42" s="97"/>
      <c r="DM42" s="97"/>
      <c r="DN42" s="97"/>
      <c r="DO42" s="97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2" t="s">
        <v>47</v>
      </c>
      <c r="J43" s="182" t="s">
        <v>1193</v>
      </c>
      <c r="K43" s="183">
        <f>K41</f>
        <v>10</v>
      </c>
      <c r="L43" s="90">
        <v>-2</v>
      </c>
      <c r="M43" s="183">
        <f>M41</f>
        <v>10</v>
      </c>
      <c r="N43" s="91"/>
      <c r="O43" s="91"/>
      <c r="P43" s="91"/>
      <c r="Q43" s="91"/>
      <c r="R43" s="91"/>
      <c r="S43" s="91"/>
      <c r="T43" s="98" t="s">
        <v>188</v>
      </c>
      <c r="U43" s="90" t="e">
        <f>IF(FLAG_Country&lt;&gt;"USA","설정 온도 22 degC, AUTO ON (SYNC ON) + OFF 선택 상태 설정","설정 온도 72 degF, AUTO ON (SYNC ON) + OFF 선택 상태 설정")</f>
        <v>#NAME?</v>
      </c>
      <c r="V43" s="89">
        <v>10</v>
      </c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0">
        <v>7</v>
      </c>
      <c r="CC43" s="91"/>
      <c r="CD43" s="90">
        <v>0</v>
      </c>
      <c r="CE43" s="91"/>
      <c r="CF43" s="91"/>
      <c r="CG43" s="90">
        <v>0</v>
      </c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182" t="s">
        <v>537</v>
      </c>
      <c r="J44" s="182" t="s">
        <v>1194</v>
      </c>
      <c r="K44" s="183">
        <f>K43</f>
        <v>10</v>
      </c>
      <c r="L44" s="183">
        <f>L43</f>
        <v>-2</v>
      </c>
      <c r="M44" s="183">
        <f>M43</f>
        <v>10</v>
      </c>
      <c r="N44" s="91"/>
      <c r="O44" s="91"/>
      <c r="P44" s="91"/>
      <c r="Q44" s="91"/>
      <c r="R44" s="91"/>
      <c r="S44" s="91"/>
      <c r="T44" s="98" t="s">
        <v>217</v>
      </c>
      <c r="U44" s="89">
        <v>1</v>
      </c>
      <c r="V44" s="89">
        <v>2</v>
      </c>
      <c r="W44" s="91"/>
      <c r="X44" s="91"/>
      <c r="Y44" s="91"/>
      <c r="Z44" s="91"/>
      <c r="AA44" s="91"/>
      <c r="AB44" s="91"/>
      <c r="AC44" s="91"/>
      <c r="AD44" s="91"/>
      <c r="AE44" s="91"/>
      <c r="AF44" s="90">
        <v>1</v>
      </c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0">
        <v>4</v>
      </c>
      <c r="CC44" s="91"/>
      <c r="CD44" s="90">
        <v>4200</v>
      </c>
      <c r="CE44" s="91"/>
      <c r="CF44" s="91"/>
      <c r="CG44" s="90">
        <v>4300</v>
      </c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2"/>
    </row>
    <row r="45" spans="1:120" ht="12.75" customHeight="1">
      <c r="A45" s="2"/>
      <c r="B45" s="2"/>
      <c r="C45" s="2"/>
      <c r="D45" s="2"/>
      <c r="E45" s="2"/>
      <c r="F45" s="2"/>
      <c r="G45" s="2"/>
      <c r="H45" s="2"/>
      <c r="I45" s="182" t="s">
        <v>537</v>
      </c>
      <c r="J45" s="182" t="s">
        <v>1195</v>
      </c>
      <c r="K45" s="183">
        <f>K44</f>
        <v>10</v>
      </c>
      <c r="L45" s="183">
        <f>L44</f>
        <v>-2</v>
      </c>
      <c r="M45" s="183">
        <f>M44</f>
        <v>10</v>
      </c>
      <c r="N45" s="91"/>
      <c r="O45" s="91"/>
      <c r="P45" s="91"/>
      <c r="Q45" s="91"/>
      <c r="R45" s="91"/>
      <c r="S45" s="91"/>
      <c r="T45" s="98" t="str">
        <f>BatChllrTgtRpm</f>
        <v>VCU_BatChllrTgtRpm</v>
      </c>
      <c r="U45" s="90">
        <v>1000</v>
      </c>
      <c r="V45" s="89">
        <v>5</v>
      </c>
      <c r="W45" s="91"/>
      <c r="X45" s="91"/>
      <c r="Y45" s="91"/>
      <c r="Z45" s="91"/>
      <c r="AA45" s="91"/>
      <c r="AB45" s="91"/>
      <c r="AC45" s="91"/>
      <c r="AD45" s="91"/>
      <c r="AE45" s="91"/>
      <c r="AF45" s="90">
        <v>1</v>
      </c>
      <c r="AG45" s="91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0">
        <v>10</v>
      </c>
      <c r="CC45" s="91"/>
      <c r="CD45" s="90">
        <v>1700</v>
      </c>
      <c r="CE45" s="91"/>
      <c r="CF45" s="91"/>
      <c r="CG45" s="90">
        <v>2000</v>
      </c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2" t="s">
        <v>537</v>
      </c>
      <c r="J46" s="182" t="s">
        <v>1196</v>
      </c>
      <c r="K46" s="183">
        <f>K45</f>
        <v>10</v>
      </c>
      <c r="L46" s="183">
        <f>L45</f>
        <v>-2</v>
      </c>
      <c r="M46" s="183">
        <f>M45</f>
        <v>10</v>
      </c>
      <c r="N46" s="91"/>
      <c r="O46" s="91"/>
      <c r="P46" s="91"/>
      <c r="Q46" s="91"/>
      <c r="R46" s="91"/>
      <c r="S46" s="91"/>
      <c r="T46" s="98" t="str">
        <f>BatChllrTgtRpm</f>
        <v>VCU_BatChllrTgtRpm</v>
      </c>
      <c r="U46" s="90">
        <v>0</v>
      </c>
      <c r="V46" s="89">
        <v>2</v>
      </c>
      <c r="W46" s="91"/>
      <c r="X46" s="91"/>
      <c r="Y46" s="91"/>
      <c r="Z46" s="91"/>
      <c r="AA46" s="91"/>
      <c r="AB46" s="91"/>
      <c r="AC46" s="91"/>
      <c r="AD46" s="91"/>
      <c r="AE46" s="91"/>
      <c r="AF46" s="90">
        <v>1</v>
      </c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0">
        <v>4</v>
      </c>
      <c r="CC46" s="91"/>
      <c r="CD46" s="90">
        <v>4200</v>
      </c>
      <c r="CE46" s="91"/>
      <c r="CF46" s="91"/>
      <c r="CG46" s="90">
        <v>4300</v>
      </c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2" t="s">
        <v>537</v>
      </c>
      <c r="J47" s="182" t="s">
        <v>1197</v>
      </c>
      <c r="K47" s="183">
        <f>K46</f>
        <v>10</v>
      </c>
      <c r="L47" s="183">
        <f>L46</f>
        <v>-2</v>
      </c>
      <c r="M47" s="183">
        <f>M46</f>
        <v>10</v>
      </c>
      <c r="N47" s="91"/>
      <c r="O47" s="91"/>
      <c r="P47" s="91"/>
      <c r="Q47" s="91"/>
      <c r="R47" s="91"/>
      <c r="S47" s="91"/>
      <c r="T47" s="98" t="str">
        <f>Main_Relay_Sta</f>
        <v>xEV_MainRlyOnSta</v>
      </c>
      <c r="U47" s="90">
        <v>0</v>
      </c>
      <c r="V47" s="89">
        <v>5</v>
      </c>
      <c r="W47" s="91"/>
      <c r="X47" s="91"/>
      <c r="Y47" s="91"/>
      <c r="Z47" s="91"/>
      <c r="AA47" s="91"/>
      <c r="AB47" s="91"/>
      <c r="AC47" s="91"/>
      <c r="AD47" s="91"/>
      <c r="AE47" s="91"/>
      <c r="AF47" s="90">
        <v>1</v>
      </c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1"/>
      <c r="BN47" s="91"/>
      <c r="BO47" s="91"/>
      <c r="BP47" s="91"/>
      <c r="BQ47" s="91"/>
      <c r="BR47" s="91"/>
      <c r="BS47" s="91"/>
      <c r="BT47" s="91"/>
      <c r="BU47" s="91"/>
      <c r="BV47" s="91"/>
      <c r="BW47" s="91"/>
      <c r="BX47" s="91"/>
      <c r="BY47" s="91"/>
      <c r="BZ47" s="91"/>
      <c r="CA47" s="91"/>
      <c r="CB47" s="90">
        <v>4</v>
      </c>
      <c r="CC47" s="91"/>
      <c r="CD47" s="90">
        <v>0</v>
      </c>
      <c r="CE47" s="91"/>
      <c r="CF47" s="91"/>
      <c r="CG47" s="90">
        <v>0</v>
      </c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2" t="s">
        <v>537</v>
      </c>
      <c r="J48" s="182" t="s">
        <v>1198</v>
      </c>
      <c r="K48" s="183">
        <f>K47</f>
        <v>10</v>
      </c>
      <c r="L48" s="183">
        <f>L47</f>
        <v>-2</v>
      </c>
      <c r="M48" s="183">
        <f>M47</f>
        <v>10</v>
      </c>
      <c r="N48" s="91"/>
      <c r="O48" s="91"/>
      <c r="P48" s="91"/>
      <c r="Q48" s="91"/>
      <c r="R48" s="91"/>
      <c r="S48" s="91"/>
      <c r="T48" s="98" t="str">
        <f>Main_Relay_Sta</f>
        <v>xEV_MainRlyOnSta</v>
      </c>
      <c r="U48" s="90">
        <v>1</v>
      </c>
      <c r="V48" s="89">
        <v>2</v>
      </c>
      <c r="W48" s="91"/>
      <c r="X48" s="91"/>
      <c r="Y48" s="91"/>
      <c r="Z48" s="91"/>
      <c r="AA48" s="91"/>
      <c r="AB48" s="91"/>
      <c r="AC48" s="91"/>
      <c r="AD48" s="91"/>
      <c r="AE48" s="91"/>
      <c r="AF48" s="90">
        <v>1</v>
      </c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0">
        <v>4</v>
      </c>
      <c r="CC48" s="91"/>
      <c r="CD48" s="90">
        <v>4200</v>
      </c>
      <c r="CE48" s="91"/>
      <c r="CF48" s="91"/>
      <c r="CG48" s="90">
        <v>4300</v>
      </c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182" t="s">
        <v>537</v>
      </c>
      <c r="J49" s="182" t="s">
        <v>1199</v>
      </c>
      <c r="K49" s="183">
        <f>K48</f>
        <v>10</v>
      </c>
      <c r="L49" s="183">
        <f>L48</f>
        <v>-2</v>
      </c>
      <c r="M49" s="183">
        <f>M48</f>
        <v>10</v>
      </c>
      <c r="N49" s="91"/>
      <c r="O49" s="91"/>
      <c r="P49" s="91"/>
      <c r="Q49" s="91"/>
      <c r="R49" s="91"/>
      <c r="S49" s="91"/>
      <c r="T49" s="98" t="s">
        <v>192</v>
      </c>
      <c r="U49" s="89">
        <v>1</v>
      </c>
      <c r="V49" s="89">
        <v>5</v>
      </c>
      <c r="W49" s="91"/>
      <c r="X49" s="91"/>
      <c r="Y49" s="91"/>
      <c r="Z49" s="91"/>
      <c r="AA49" s="91"/>
      <c r="AB49" s="91"/>
      <c r="AC49" s="91"/>
      <c r="AD49" s="91"/>
      <c r="AE49" s="91"/>
      <c r="AF49" s="90" t="s">
        <v>88</v>
      </c>
      <c r="AG49" s="91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1"/>
      <c r="BN49" s="91"/>
      <c r="BO49" s="91"/>
      <c r="BP49" s="91"/>
      <c r="BQ49" s="91"/>
      <c r="BR49" s="91"/>
      <c r="BS49" s="91"/>
      <c r="BT49" s="91"/>
      <c r="BU49" s="91"/>
      <c r="BV49" s="91"/>
      <c r="BW49" s="91"/>
      <c r="BX49" s="91"/>
      <c r="BY49" s="91"/>
      <c r="BZ49" s="91"/>
      <c r="CA49" s="91"/>
      <c r="CB49" s="90">
        <v>7</v>
      </c>
      <c r="CC49" s="91"/>
      <c r="CD49" s="90">
        <v>0</v>
      </c>
      <c r="CE49" s="91"/>
      <c r="CF49" s="91"/>
      <c r="CG49" s="90">
        <v>0</v>
      </c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182"/>
      <c r="J50" s="182"/>
      <c r="K50" s="183"/>
      <c r="L50" s="183"/>
      <c r="M50" s="183"/>
      <c r="N50" s="91"/>
      <c r="O50" s="91"/>
      <c r="P50" s="91"/>
      <c r="Q50" s="91"/>
      <c r="R50" s="91"/>
      <c r="S50" s="91"/>
      <c r="T50" s="86"/>
      <c r="U50" s="87"/>
      <c r="V50" s="87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182"/>
      <c r="J51" s="182"/>
      <c r="K51" s="183"/>
      <c r="L51" s="183"/>
      <c r="M51" s="183"/>
      <c r="N51" s="91"/>
      <c r="O51" s="91"/>
      <c r="P51" s="91"/>
      <c r="Q51" s="91"/>
      <c r="R51" s="91"/>
      <c r="S51" s="91"/>
      <c r="T51" s="86"/>
      <c r="U51" s="87"/>
      <c r="V51" s="87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1"/>
      <c r="BN51" s="91"/>
      <c r="BO51" s="91"/>
      <c r="BP51" s="91"/>
      <c r="BQ51" s="91"/>
      <c r="BR51" s="91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182"/>
      <c r="J52" s="182"/>
      <c r="K52" s="183"/>
      <c r="L52" s="183"/>
      <c r="M52" s="183"/>
      <c r="N52" s="91"/>
      <c r="O52" s="91"/>
      <c r="P52" s="91"/>
      <c r="Q52" s="91"/>
      <c r="R52" s="91"/>
      <c r="S52" s="91"/>
      <c r="T52" s="86"/>
      <c r="U52" s="87"/>
      <c r="V52" s="87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  <c r="BJ52" s="91"/>
      <c r="BK52" s="91"/>
      <c r="BL52" s="91"/>
      <c r="BM52" s="91"/>
      <c r="BN52" s="91"/>
      <c r="BO52" s="91"/>
      <c r="BP52" s="91"/>
      <c r="BQ52" s="91"/>
      <c r="BR52" s="91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182"/>
      <c r="J53" s="182"/>
      <c r="K53" s="183"/>
      <c r="L53" s="183"/>
      <c r="M53" s="183"/>
      <c r="N53" s="91"/>
      <c r="O53" s="91"/>
      <c r="P53" s="91"/>
      <c r="Q53" s="91"/>
      <c r="R53" s="91"/>
      <c r="S53" s="91"/>
      <c r="T53" s="86"/>
      <c r="U53" s="87"/>
      <c r="V53" s="87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182"/>
      <c r="J54" s="182"/>
      <c r="K54" s="183"/>
      <c r="L54" s="183"/>
      <c r="M54" s="183"/>
      <c r="N54" s="91"/>
      <c r="O54" s="91"/>
      <c r="P54" s="91"/>
      <c r="Q54" s="91"/>
      <c r="R54" s="91"/>
      <c r="S54" s="91"/>
      <c r="T54" s="86"/>
      <c r="U54" s="87"/>
      <c r="V54" s="87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  <c r="BJ54" s="91"/>
      <c r="BK54" s="91"/>
      <c r="BL54" s="91"/>
      <c r="BM54" s="91"/>
      <c r="BN54" s="91"/>
      <c r="BO54" s="91"/>
      <c r="BP54" s="91"/>
      <c r="BQ54" s="91"/>
      <c r="BR54" s="91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182"/>
      <c r="J55" s="182"/>
      <c r="K55" s="183"/>
      <c r="L55" s="183"/>
      <c r="M55" s="183"/>
      <c r="N55" s="91"/>
      <c r="O55" s="91"/>
      <c r="P55" s="91"/>
      <c r="Q55" s="91"/>
      <c r="R55" s="91"/>
      <c r="S55" s="91"/>
      <c r="T55" s="86"/>
      <c r="U55" s="87"/>
      <c r="V55" s="87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182"/>
      <c r="J56" s="182"/>
      <c r="K56" s="183"/>
      <c r="L56" s="183"/>
      <c r="M56" s="183"/>
      <c r="N56" s="91"/>
      <c r="O56" s="91"/>
      <c r="P56" s="91"/>
      <c r="Q56" s="91"/>
      <c r="R56" s="91"/>
      <c r="S56" s="91"/>
      <c r="T56" s="86"/>
      <c r="U56" s="87"/>
      <c r="V56" s="87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  <c r="BC56" s="91"/>
      <c r="BD56" s="91"/>
      <c r="BE56" s="91"/>
      <c r="BF56" s="91"/>
      <c r="BG56" s="91"/>
      <c r="BH56" s="91"/>
      <c r="BI56" s="91"/>
      <c r="BJ56" s="91"/>
      <c r="BK56" s="91"/>
      <c r="BL56" s="91"/>
      <c r="BM56" s="91"/>
      <c r="BN56" s="91"/>
      <c r="BO56" s="91"/>
      <c r="BP56" s="91"/>
      <c r="BQ56" s="91"/>
      <c r="BR56" s="91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182"/>
      <c r="J57" s="182"/>
      <c r="K57" s="183"/>
      <c r="L57" s="183"/>
      <c r="M57" s="183"/>
      <c r="N57" s="91"/>
      <c r="O57" s="91"/>
      <c r="P57" s="91"/>
      <c r="Q57" s="91"/>
      <c r="R57" s="91"/>
      <c r="S57" s="91"/>
      <c r="T57" s="86"/>
      <c r="U57" s="87"/>
      <c r="V57" s="87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182"/>
      <c r="J58" s="182"/>
      <c r="K58" s="183"/>
      <c r="L58" s="183"/>
      <c r="M58" s="183"/>
      <c r="N58" s="91"/>
      <c r="O58" s="91"/>
      <c r="P58" s="91"/>
      <c r="Q58" s="91"/>
      <c r="R58" s="91"/>
      <c r="S58" s="91"/>
      <c r="T58" s="86"/>
      <c r="U58" s="87"/>
      <c r="V58" s="87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182"/>
      <c r="J59" s="182"/>
      <c r="K59" s="183"/>
      <c r="L59" s="183"/>
      <c r="M59" s="183"/>
      <c r="N59" s="91"/>
      <c r="O59" s="91"/>
      <c r="P59" s="91"/>
      <c r="Q59" s="91"/>
      <c r="R59" s="91"/>
      <c r="S59" s="91"/>
      <c r="T59" s="86"/>
      <c r="U59" s="87"/>
      <c r="V59" s="87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2"/>
    </row>
    <row r="60" spans="1:120" ht="12.75" customHeight="1">
      <c r="A60" s="2"/>
      <c r="B60" s="2"/>
      <c r="C60" s="2"/>
      <c r="D60" s="2"/>
      <c r="E60" s="2"/>
      <c r="F60" s="2"/>
      <c r="G60" s="2"/>
      <c r="H60" s="2"/>
      <c r="I60" s="182"/>
      <c r="J60" s="182"/>
      <c r="K60" s="183"/>
      <c r="L60" s="183"/>
      <c r="M60" s="183"/>
      <c r="N60" s="91"/>
      <c r="O60" s="91"/>
      <c r="P60" s="91"/>
      <c r="Q60" s="91"/>
      <c r="R60" s="91"/>
      <c r="S60" s="91"/>
      <c r="T60" s="86"/>
      <c r="U60" s="87"/>
      <c r="V60" s="87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  <c r="BC60" s="91"/>
      <c r="BD60" s="91"/>
      <c r="BE60" s="91"/>
      <c r="BF60" s="91"/>
      <c r="BG60" s="91"/>
      <c r="BH60" s="91"/>
      <c r="BI60" s="91"/>
      <c r="BJ60" s="91"/>
      <c r="BK60" s="91"/>
      <c r="BL60" s="91"/>
      <c r="BM60" s="91"/>
      <c r="BN60" s="91"/>
      <c r="BO60" s="91"/>
      <c r="BP60" s="91"/>
      <c r="BQ60" s="91"/>
      <c r="BR60" s="91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182"/>
      <c r="J61" s="182"/>
      <c r="K61" s="183"/>
      <c r="L61" s="183"/>
      <c r="M61" s="183"/>
      <c r="N61" s="91"/>
      <c r="O61" s="91"/>
      <c r="P61" s="91"/>
      <c r="Q61" s="91"/>
      <c r="R61" s="91"/>
      <c r="S61" s="91"/>
      <c r="T61" s="86"/>
      <c r="U61" s="87"/>
      <c r="V61" s="87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91"/>
      <c r="BI61" s="91"/>
      <c r="BJ61" s="91"/>
      <c r="BK61" s="91"/>
      <c r="BL61" s="91"/>
      <c r="BM61" s="91"/>
      <c r="BN61" s="91"/>
      <c r="BO61" s="91"/>
      <c r="BP61" s="91"/>
      <c r="BQ61" s="91"/>
      <c r="BR61" s="91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182"/>
      <c r="J62" s="182"/>
      <c r="K62" s="183"/>
      <c r="L62" s="183"/>
      <c r="M62" s="183"/>
      <c r="N62" s="91"/>
      <c r="O62" s="91"/>
      <c r="P62" s="91"/>
      <c r="Q62" s="91"/>
      <c r="R62" s="91"/>
      <c r="S62" s="91"/>
      <c r="T62" s="86"/>
      <c r="U62" s="87"/>
      <c r="V62" s="87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91"/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182"/>
      <c r="J63" s="182"/>
      <c r="K63" s="183"/>
      <c r="L63" s="183"/>
      <c r="M63" s="183"/>
      <c r="N63" s="91"/>
      <c r="O63" s="91"/>
      <c r="P63" s="91"/>
      <c r="Q63" s="91"/>
      <c r="R63" s="91"/>
      <c r="S63" s="91"/>
      <c r="T63" s="86"/>
      <c r="U63" s="87"/>
      <c r="V63" s="87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182"/>
      <c r="J64" s="182"/>
      <c r="K64" s="183"/>
      <c r="L64" s="183"/>
      <c r="M64" s="183"/>
      <c r="N64" s="91"/>
      <c r="O64" s="91"/>
      <c r="P64" s="91"/>
      <c r="Q64" s="91"/>
      <c r="R64" s="91"/>
      <c r="S64" s="91"/>
      <c r="T64" s="86"/>
      <c r="U64" s="87"/>
      <c r="V64" s="87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182"/>
      <c r="J65" s="182"/>
      <c r="K65" s="183"/>
      <c r="L65" s="183"/>
      <c r="M65" s="183"/>
      <c r="N65" s="91"/>
      <c r="O65" s="91"/>
      <c r="P65" s="91"/>
      <c r="Q65" s="91"/>
      <c r="R65" s="91"/>
      <c r="S65" s="91"/>
      <c r="T65" s="86"/>
      <c r="U65" s="87"/>
      <c r="V65" s="87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91"/>
      <c r="BE65" s="91"/>
      <c r="BF65" s="91"/>
      <c r="BG65" s="91"/>
      <c r="BH65" s="91"/>
      <c r="BI65" s="91"/>
      <c r="BJ65" s="91"/>
      <c r="BK65" s="91"/>
      <c r="BL65" s="91"/>
      <c r="BM65" s="91"/>
      <c r="BN65" s="91"/>
      <c r="BO65" s="91"/>
      <c r="BP65" s="91"/>
      <c r="BQ65" s="91"/>
      <c r="BR65" s="91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182"/>
      <c r="J66" s="182"/>
      <c r="K66" s="183"/>
      <c r="L66" s="183"/>
      <c r="M66" s="183"/>
      <c r="N66" s="91"/>
      <c r="O66" s="91"/>
      <c r="P66" s="91"/>
      <c r="Q66" s="91"/>
      <c r="R66" s="91"/>
      <c r="S66" s="91"/>
      <c r="T66" s="86"/>
      <c r="U66" s="87"/>
      <c r="V66" s="87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91"/>
      <c r="BE66" s="91"/>
      <c r="BF66" s="91"/>
      <c r="BG66" s="91"/>
      <c r="BH66" s="91"/>
      <c r="BI66" s="91"/>
      <c r="BJ66" s="91"/>
      <c r="BK66" s="91"/>
      <c r="BL66" s="91"/>
      <c r="BM66" s="91"/>
      <c r="BN66" s="91"/>
      <c r="BO66" s="91"/>
      <c r="BP66" s="91"/>
      <c r="BQ66" s="91"/>
      <c r="BR66" s="91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2"/>
    </row>
    <row r="67" spans="1:120" ht="12.75" customHeight="1">
      <c r="A67" s="2"/>
      <c r="B67" s="2"/>
      <c r="C67" s="2"/>
      <c r="D67" s="2"/>
      <c r="E67" s="2"/>
      <c r="F67" s="2"/>
      <c r="G67" s="2"/>
      <c r="H67" s="2"/>
      <c r="I67" s="182"/>
      <c r="J67" s="182"/>
      <c r="K67" s="183"/>
      <c r="L67" s="183"/>
      <c r="M67" s="183"/>
      <c r="N67" s="91"/>
      <c r="O67" s="91"/>
      <c r="P67" s="91"/>
      <c r="Q67" s="91"/>
      <c r="R67" s="91"/>
      <c r="S67" s="91"/>
      <c r="T67" s="86"/>
      <c r="U67" s="87"/>
      <c r="V67" s="87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91"/>
      <c r="BE67" s="91"/>
      <c r="BF67" s="91"/>
      <c r="BG67" s="91"/>
      <c r="BH67" s="91"/>
      <c r="BI67" s="91"/>
      <c r="BJ67" s="91"/>
      <c r="BK67" s="91"/>
      <c r="BL67" s="91"/>
      <c r="BM67" s="91"/>
      <c r="BN67" s="91"/>
      <c r="BO67" s="91"/>
      <c r="BP67" s="91"/>
      <c r="BQ67" s="91"/>
      <c r="BR67" s="91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182"/>
      <c r="J68" s="182"/>
      <c r="K68" s="183"/>
      <c r="L68" s="183"/>
      <c r="M68" s="183"/>
      <c r="N68" s="91"/>
      <c r="O68" s="91"/>
      <c r="P68" s="91"/>
      <c r="Q68" s="91"/>
      <c r="R68" s="91"/>
      <c r="S68" s="91"/>
      <c r="T68" s="86"/>
      <c r="U68" s="87"/>
      <c r="V68" s="87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91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182"/>
      <c r="J69" s="182"/>
      <c r="K69" s="183"/>
      <c r="L69" s="183"/>
      <c r="M69" s="183"/>
      <c r="N69" s="91"/>
      <c r="O69" s="91"/>
      <c r="P69" s="91"/>
      <c r="Q69" s="91"/>
      <c r="R69" s="91"/>
      <c r="S69" s="91"/>
      <c r="T69" s="86"/>
      <c r="U69" s="87"/>
      <c r="V69" s="87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91"/>
      <c r="BE69" s="91"/>
      <c r="BF69" s="91"/>
      <c r="BG69" s="91"/>
      <c r="BH69" s="91"/>
      <c r="BI69" s="91"/>
      <c r="BJ69" s="91"/>
      <c r="BK69" s="91"/>
      <c r="BL69" s="91"/>
      <c r="BM69" s="91"/>
      <c r="BN69" s="91"/>
      <c r="BO69" s="91"/>
      <c r="BP69" s="91"/>
      <c r="BQ69" s="91"/>
      <c r="BR69" s="91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182"/>
      <c r="J70" s="182"/>
      <c r="K70" s="183"/>
      <c r="L70" s="183"/>
      <c r="M70" s="183"/>
      <c r="N70" s="91"/>
      <c r="O70" s="91"/>
      <c r="P70" s="91"/>
      <c r="Q70" s="91"/>
      <c r="R70" s="91"/>
      <c r="S70" s="91"/>
      <c r="T70" s="86"/>
      <c r="U70" s="87"/>
      <c r="V70" s="87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182"/>
      <c r="J71" s="182"/>
      <c r="K71" s="183"/>
      <c r="L71" s="183"/>
      <c r="M71" s="183"/>
      <c r="N71" s="91"/>
      <c r="O71" s="91"/>
      <c r="P71" s="91"/>
      <c r="Q71" s="91"/>
      <c r="R71" s="91"/>
      <c r="S71" s="91"/>
      <c r="T71" s="86"/>
      <c r="U71" s="87"/>
      <c r="V71" s="87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91"/>
      <c r="BI71" s="91"/>
      <c r="BJ71" s="91"/>
      <c r="BK71" s="91"/>
      <c r="BL71" s="91"/>
      <c r="BM71" s="91"/>
      <c r="BN71" s="91"/>
      <c r="BO71" s="91"/>
      <c r="BP71" s="91"/>
      <c r="BQ71" s="91"/>
      <c r="BR71" s="91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2"/>
    </row>
    <row r="72" spans="1:120" ht="12.75" customHeight="1">
      <c r="A72" s="2"/>
      <c r="B72" s="2"/>
      <c r="C72" s="2"/>
      <c r="D72" s="2"/>
      <c r="E72" s="2"/>
      <c r="F72" s="2"/>
      <c r="G72" s="2"/>
      <c r="H72" s="2"/>
      <c r="I72" s="182"/>
      <c r="J72" s="182"/>
      <c r="K72" s="183"/>
      <c r="L72" s="183"/>
      <c r="M72" s="183"/>
      <c r="N72" s="91"/>
      <c r="O72" s="91"/>
      <c r="P72" s="91"/>
      <c r="Q72" s="91"/>
      <c r="R72" s="91"/>
      <c r="S72" s="91"/>
      <c r="T72" s="86"/>
      <c r="U72" s="87"/>
      <c r="V72" s="87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  <c r="BC72" s="91"/>
      <c r="BD72" s="91"/>
      <c r="BE72" s="91"/>
      <c r="BF72" s="91"/>
      <c r="BG72" s="91"/>
      <c r="BH72" s="91"/>
      <c r="BI72" s="91"/>
      <c r="BJ72" s="91"/>
      <c r="BK72" s="91"/>
      <c r="BL72" s="91"/>
      <c r="BM72" s="91"/>
      <c r="BN72" s="91"/>
      <c r="BO72" s="91"/>
      <c r="BP72" s="91"/>
      <c r="BQ72" s="91"/>
      <c r="BR72" s="91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182"/>
      <c r="J73" s="182"/>
      <c r="K73" s="183"/>
      <c r="L73" s="183"/>
      <c r="M73" s="183"/>
      <c r="N73" s="91"/>
      <c r="O73" s="91"/>
      <c r="P73" s="91"/>
      <c r="Q73" s="91"/>
      <c r="R73" s="91"/>
      <c r="S73" s="91"/>
      <c r="T73" s="86"/>
      <c r="U73" s="87"/>
      <c r="V73" s="87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  <c r="BC73" s="91"/>
      <c r="BD73" s="91"/>
      <c r="BE73" s="91"/>
      <c r="BF73" s="91"/>
      <c r="BG73" s="91"/>
      <c r="BH73" s="91"/>
      <c r="BI73" s="91"/>
      <c r="BJ73" s="91"/>
      <c r="BK73" s="91"/>
      <c r="BL73" s="91"/>
      <c r="BM73" s="91"/>
      <c r="BN73" s="91"/>
      <c r="BO73" s="91"/>
      <c r="BP73" s="91"/>
      <c r="BQ73" s="91"/>
      <c r="BR73" s="91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182"/>
      <c r="J74" s="182"/>
      <c r="K74" s="183"/>
      <c r="L74" s="183"/>
      <c r="M74" s="183"/>
      <c r="N74" s="91"/>
      <c r="O74" s="91"/>
      <c r="P74" s="91"/>
      <c r="Q74" s="91"/>
      <c r="R74" s="91"/>
      <c r="S74" s="91"/>
      <c r="T74" s="86"/>
      <c r="U74" s="87"/>
      <c r="V74" s="87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1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  <c r="BC74" s="91"/>
      <c r="BD74" s="91"/>
      <c r="BE74" s="91"/>
      <c r="BF74" s="91"/>
      <c r="BG74" s="91"/>
      <c r="BH74" s="91"/>
      <c r="BI74" s="91"/>
      <c r="BJ74" s="91"/>
      <c r="BK74" s="91"/>
      <c r="BL74" s="91"/>
      <c r="BM74" s="91"/>
      <c r="BN74" s="91"/>
      <c r="BO74" s="91"/>
      <c r="BP74" s="91"/>
      <c r="BQ74" s="91"/>
      <c r="BR74" s="91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182"/>
      <c r="J75" s="182"/>
      <c r="K75" s="183"/>
      <c r="L75" s="183"/>
      <c r="M75" s="183"/>
      <c r="N75" s="91"/>
      <c r="O75" s="91"/>
      <c r="P75" s="91"/>
      <c r="Q75" s="91"/>
      <c r="R75" s="91"/>
      <c r="S75" s="91"/>
      <c r="T75" s="86"/>
      <c r="U75" s="87"/>
      <c r="V75" s="87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91"/>
      <c r="BI75" s="91"/>
      <c r="BJ75" s="91"/>
      <c r="BK75" s="91"/>
      <c r="BL75" s="91"/>
      <c r="BM75" s="91"/>
      <c r="BN75" s="91"/>
      <c r="BO75" s="91"/>
      <c r="BP75" s="91"/>
      <c r="BQ75" s="91"/>
      <c r="BR75" s="91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182"/>
      <c r="J76" s="182"/>
      <c r="K76" s="183"/>
      <c r="L76" s="183"/>
      <c r="M76" s="183"/>
      <c r="N76" s="91"/>
      <c r="O76" s="91"/>
      <c r="P76" s="91"/>
      <c r="Q76" s="91"/>
      <c r="R76" s="91"/>
      <c r="S76" s="91"/>
      <c r="T76" s="86"/>
      <c r="U76" s="87"/>
      <c r="V76" s="87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2"/>
    </row>
    <row r="77" spans="1:120" ht="12.75" customHeight="1">
      <c r="A77" s="2"/>
      <c r="B77" s="2"/>
      <c r="C77" s="2"/>
      <c r="D77" s="2"/>
      <c r="E77" s="2"/>
      <c r="F77" s="2"/>
      <c r="G77" s="2"/>
      <c r="H77" s="2"/>
      <c r="I77" s="182"/>
      <c r="J77" s="182"/>
      <c r="K77" s="183"/>
      <c r="L77" s="183"/>
      <c r="M77" s="183"/>
      <c r="N77" s="91"/>
      <c r="O77" s="91"/>
      <c r="P77" s="91"/>
      <c r="Q77" s="91"/>
      <c r="R77" s="91"/>
      <c r="S77" s="91"/>
      <c r="T77" s="86"/>
      <c r="U77" s="87"/>
      <c r="V77" s="87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91"/>
      <c r="BF77" s="91"/>
      <c r="BG77" s="91"/>
      <c r="BH77" s="91"/>
      <c r="BI77" s="91"/>
      <c r="BJ77" s="91"/>
      <c r="BK77" s="91"/>
      <c r="BL77" s="91"/>
      <c r="BM77" s="91"/>
      <c r="BN77" s="91"/>
      <c r="BO77" s="91"/>
      <c r="BP77" s="91"/>
      <c r="BQ77" s="91"/>
      <c r="BR77" s="91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2"/>
    </row>
    <row r="78" spans="1:120" ht="12.75" customHeight="1">
      <c r="A78" s="2"/>
      <c r="B78" s="2"/>
      <c r="C78" s="2"/>
      <c r="D78" s="2"/>
      <c r="E78" s="2"/>
      <c r="F78" s="2"/>
      <c r="G78" s="2"/>
      <c r="H78" s="2"/>
      <c r="I78" s="182"/>
      <c r="J78" s="182"/>
      <c r="K78" s="183"/>
      <c r="L78" s="183"/>
      <c r="M78" s="183"/>
      <c r="N78" s="91"/>
      <c r="O78" s="91"/>
      <c r="P78" s="91"/>
      <c r="Q78" s="91"/>
      <c r="R78" s="91"/>
      <c r="S78" s="91"/>
      <c r="T78" s="86"/>
      <c r="U78" s="87"/>
      <c r="V78" s="87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  <c r="BC78" s="91"/>
      <c r="BD78" s="91"/>
      <c r="BE78" s="91"/>
      <c r="BF78" s="91"/>
      <c r="BG78" s="91"/>
      <c r="BH78" s="91"/>
      <c r="BI78" s="91"/>
      <c r="BJ78" s="91"/>
      <c r="BK78" s="91"/>
      <c r="BL78" s="91"/>
      <c r="BM78" s="91"/>
      <c r="BN78" s="91"/>
      <c r="BO78" s="91"/>
      <c r="BP78" s="91"/>
      <c r="BQ78" s="91"/>
      <c r="BR78" s="91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2"/>
    </row>
    <row r="79" spans="1:120" ht="12.75" customHeight="1">
      <c r="A79" s="2"/>
      <c r="B79" s="2"/>
      <c r="C79" s="2"/>
      <c r="D79" s="2"/>
      <c r="E79" s="2"/>
      <c r="F79" s="2"/>
      <c r="G79" s="2"/>
      <c r="H79" s="2"/>
      <c r="I79" s="182"/>
      <c r="J79" s="182"/>
      <c r="K79" s="183"/>
      <c r="L79" s="183"/>
      <c r="M79" s="183"/>
      <c r="N79" s="91"/>
      <c r="O79" s="91"/>
      <c r="P79" s="91"/>
      <c r="Q79" s="91"/>
      <c r="R79" s="91"/>
      <c r="S79" s="91"/>
      <c r="T79" s="86"/>
      <c r="U79" s="87"/>
      <c r="V79" s="87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2"/>
    </row>
    <row r="80" spans="1:120" ht="12.75" customHeight="1">
      <c r="A80" s="2"/>
      <c r="B80" s="2"/>
      <c r="C80" s="2"/>
      <c r="D80" s="2"/>
      <c r="E80" s="2"/>
      <c r="F80" s="2"/>
      <c r="G80" s="2"/>
      <c r="H80" s="2"/>
      <c r="I80" s="182"/>
      <c r="J80" s="182"/>
      <c r="K80" s="183"/>
      <c r="L80" s="183"/>
      <c r="M80" s="183"/>
      <c r="N80" s="91"/>
      <c r="O80" s="91"/>
      <c r="P80" s="91"/>
      <c r="Q80" s="91"/>
      <c r="R80" s="91"/>
      <c r="S80" s="91"/>
      <c r="T80" s="86"/>
      <c r="U80" s="87"/>
      <c r="V80" s="87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  <c r="BC80" s="91"/>
      <c r="BD80" s="91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2"/>
    </row>
    <row r="81" spans="1:120" ht="12.75" customHeight="1">
      <c r="A81" s="2"/>
      <c r="B81" s="2"/>
      <c r="C81" s="2"/>
      <c r="D81" s="2"/>
      <c r="E81" s="2"/>
      <c r="F81" s="2"/>
      <c r="G81" s="2"/>
      <c r="H81" s="2"/>
      <c r="I81" s="182"/>
      <c r="J81" s="182"/>
      <c r="K81" s="183"/>
      <c r="L81" s="183"/>
      <c r="M81" s="183"/>
      <c r="N81" s="91"/>
      <c r="O81" s="91"/>
      <c r="P81" s="91"/>
      <c r="Q81" s="91"/>
      <c r="R81" s="91"/>
      <c r="S81" s="91"/>
      <c r="T81" s="86"/>
      <c r="U81" s="87"/>
      <c r="V81" s="87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2"/>
    </row>
    <row r="82" spans="1:120" ht="12.75" customHeight="1">
      <c r="A82" s="2"/>
      <c r="B82" s="2"/>
      <c r="C82" s="2"/>
      <c r="D82" s="2"/>
      <c r="E82" s="2"/>
      <c r="F82" s="2"/>
      <c r="G82" s="2"/>
      <c r="H82" s="2"/>
      <c r="I82" s="182"/>
      <c r="J82" s="182"/>
      <c r="K82" s="183"/>
      <c r="L82" s="183"/>
      <c r="M82" s="183"/>
      <c r="N82" s="91"/>
      <c r="O82" s="91"/>
      <c r="P82" s="91"/>
      <c r="Q82" s="91"/>
      <c r="R82" s="91"/>
      <c r="S82" s="91"/>
      <c r="T82" s="86"/>
      <c r="U82" s="87"/>
      <c r="V82" s="87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2"/>
    </row>
    <row r="83" spans="1:120" ht="12.75" customHeight="1">
      <c r="A83" s="2"/>
      <c r="B83" s="2"/>
      <c r="C83" s="2"/>
      <c r="D83" s="2"/>
      <c r="E83" s="2"/>
      <c r="F83" s="2"/>
      <c r="G83" s="2"/>
      <c r="H83" s="2"/>
      <c r="I83" s="182"/>
      <c r="J83" s="182"/>
      <c r="K83" s="183"/>
      <c r="L83" s="183"/>
      <c r="M83" s="183"/>
      <c r="N83" s="91"/>
      <c r="O83" s="91"/>
      <c r="P83" s="91"/>
      <c r="Q83" s="91"/>
      <c r="R83" s="91"/>
      <c r="S83" s="91"/>
      <c r="T83" s="86"/>
      <c r="U83" s="87"/>
      <c r="V83" s="87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  <c r="BC83" s="91"/>
      <c r="BD83" s="91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2"/>
    </row>
    <row r="84" spans="1:120" ht="12.75" customHeight="1">
      <c r="A84" s="2"/>
      <c r="B84" s="2"/>
      <c r="C84" s="2"/>
      <c r="D84" s="2"/>
      <c r="E84" s="2"/>
      <c r="F84" s="2"/>
      <c r="G84" s="2"/>
      <c r="H84" s="2"/>
      <c r="I84" s="182"/>
      <c r="J84" s="182"/>
      <c r="K84" s="183"/>
      <c r="L84" s="183"/>
      <c r="M84" s="183"/>
      <c r="N84" s="91"/>
      <c r="O84" s="91"/>
      <c r="P84" s="91"/>
      <c r="Q84" s="91"/>
      <c r="R84" s="91"/>
      <c r="S84" s="91"/>
      <c r="T84" s="86"/>
      <c r="U84" s="87"/>
      <c r="V84" s="87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  <c r="BC84" s="91"/>
      <c r="BD84" s="91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2"/>
    </row>
    <row r="85" spans="1:120" ht="13.5" customHeight="1">
      <c r="A85" s="2"/>
      <c r="B85" s="2"/>
      <c r="C85" s="2"/>
      <c r="D85" s="2"/>
      <c r="E85" s="2"/>
      <c r="F85" s="2"/>
      <c r="G85" s="2"/>
      <c r="H85" s="2"/>
      <c r="I85" s="97" t="s">
        <v>7</v>
      </c>
      <c r="J85" s="97" t="s">
        <v>1312</v>
      </c>
      <c r="K85" s="233" t="s">
        <v>1313</v>
      </c>
      <c r="L85" s="97"/>
      <c r="M85" s="97"/>
      <c r="N85" s="97"/>
      <c r="O85" s="97"/>
      <c r="P85" s="97"/>
      <c r="Q85" s="97"/>
      <c r="R85" s="97"/>
      <c r="S85" s="97"/>
      <c r="T85" s="97"/>
      <c r="U85" s="234"/>
      <c r="V85" s="234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7"/>
      <c r="DB85" s="97"/>
      <c r="DC85" s="97"/>
      <c r="DD85" s="97"/>
      <c r="DE85" s="97"/>
      <c r="DF85" s="97"/>
      <c r="DG85" s="97"/>
      <c r="DH85" s="97"/>
      <c r="DI85" s="97"/>
      <c r="DJ85" s="97"/>
      <c r="DK85" s="97"/>
      <c r="DL85" s="97"/>
      <c r="DM85" s="97"/>
      <c r="DN85" s="97"/>
      <c r="DO85" s="97"/>
      <c r="DP85" s="2"/>
    </row>
    <row r="86" spans="1:120" ht="13.5" customHeight="1">
      <c r="A86" s="2"/>
      <c r="B86" s="2"/>
      <c r="C86" s="2"/>
      <c r="D86" s="2"/>
      <c r="E86" s="2"/>
      <c r="F86" s="2"/>
      <c r="G86" s="2"/>
      <c r="H86" s="2"/>
      <c r="I86" s="97" t="s">
        <v>7</v>
      </c>
      <c r="J86" s="97" t="s">
        <v>1312</v>
      </c>
      <c r="K86" s="233" t="s">
        <v>1314</v>
      </c>
      <c r="L86" s="97"/>
      <c r="M86" s="97"/>
      <c r="N86" s="97"/>
      <c r="O86" s="97"/>
      <c r="P86" s="97"/>
      <c r="Q86" s="97"/>
      <c r="R86" s="97"/>
      <c r="S86" s="97"/>
      <c r="T86" s="97"/>
      <c r="U86" s="234"/>
      <c r="V86" s="234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7"/>
      <c r="DB86" s="97"/>
      <c r="DC86" s="97"/>
      <c r="DD86" s="97"/>
      <c r="DE86" s="97"/>
      <c r="DF86" s="97"/>
      <c r="DG86" s="97"/>
      <c r="DH86" s="97"/>
      <c r="DI86" s="97"/>
      <c r="DJ86" s="97"/>
      <c r="DK86" s="97"/>
      <c r="DL86" s="97"/>
      <c r="DM86" s="97"/>
      <c r="DN86" s="97"/>
      <c r="DO86" s="97"/>
      <c r="DP86" s="2"/>
    </row>
    <row r="87" spans="1:120" ht="13.5" customHeight="1">
      <c r="A87" s="2"/>
      <c r="B87" s="2"/>
      <c r="C87" s="2"/>
      <c r="D87" s="2"/>
      <c r="E87" s="2"/>
      <c r="F87" s="2"/>
      <c r="G87" s="2"/>
      <c r="H87" s="2"/>
      <c r="I87" s="97" t="s">
        <v>7</v>
      </c>
      <c r="J87" s="97" t="s">
        <v>1312</v>
      </c>
      <c r="K87" s="233" t="s">
        <v>1315</v>
      </c>
      <c r="L87" s="97"/>
      <c r="M87" s="97"/>
      <c r="N87" s="97"/>
      <c r="O87" s="97"/>
      <c r="P87" s="97"/>
      <c r="Q87" s="97"/>
      <c r="R87" s="97"/>
      <c r="S87" s="97"/>
      <c r="T87" s="97"/>
      <c r="U87" s="234"/>
      <c r="V87" s="234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7"/>
      <c r="DB87" s="97"/>
      <c r="DC87" s="97"/>
      <c r="DD87" s="97"/>
      <c r="DE87" s="97"/>
      <c r="DF87" s="97"/>
      <c r="DG87" s="97"/>
      <c r="DH87" s="97"/>
      <c r="DI87" s="97"/>
      <c r="DJ87" s="97"/>
      <c r="DK87" s="97"/>
      <c r="DL87" s="97"/>
      <c r="DM87" s="97"/>
      <c r="DN87" s="97"/>
      <c r="DO87" s="97"/>
      <c r="DP87" s="2"/>
    </row>
    <row r="88" spans="1:120" ht="12.75" customHeight="1">
      <c r="A88" s="2"/>
      <c r="B88" s="2"/>
      <c r="C88" s="2"/>
      <c r="D88" s="2"/>
      <c r="E88" s="2"/>
      <c r="F88" s="2"/>
      <c r="G88" s="2"/>
      <c r="H88" s="2"/>
      <c r="I88" s="182" t="s">
        <v>47</v>
      </c>
      <c r="J88" s="182" t="s">
        <v>1281</v>
      </c>
      <c r="K88" s="90">
        <v>10</v>
      </c>
      <c r="L88" s="90">
        <v>-2</v>
      </c>
      <c r="M88" s="90">
        <v>10</v>
      </c>
      <c r="N88" s="91"/>
      <c r="O88" s="91"/>
      <c r="P88" s="91"/>
      <c r="Q88" s="91"/>
      <c r="R88" s="91"/>
      <c r="S88" s="91"/>
      <c r="T88" s="98" t="s">
        <v>188</v>
      </c>
      <c r="U88" s="90" t="e">
        <f>IF(FLAG_Country&lt;&gt;"USA","설정 온도 22 degC, AUTO ON (SYNC ON) + OFF 선택 상태 설정","설정 온도 72 degF, AUTO ON (SYNC ON) + OFF 선택 상태 설정")</f>
        <v>#NAME?</v>
      </c>
      <c r="V88" s="89">
        <v>10</v>
      </c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0" t="s">
        <v>88</v>
      </c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C88" s="91"/>
      <c r="BD88" s="91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W88" s="91"/>
      <c r="BX88" s="91"/>
      <c r="BY88" s="91"/>
      <c r="BZ88" s="91"/>
      <c r="CA88" s="91"/>
      <c r="CB88" s="90">
        <v>7</v>
      </c>
      <c r="CC88" s="91"/>
      <c r="CD88" s="90" t="s">
        <v>88</v>
      </c>
      <c r="CE88" s="91"/>
      <c r="CF88" s="91"/>
      <c r="CG88" s="90" t="s">
        <v>88</v>
      </c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2"/>
    </row>
    <row r="89" spans="1:120" ht="12.75" customHeight="1">
      <c r="A89" s="2"/>
      <c r="B89" s="2"/>
      <c r="C89" s="2"/>
      <c r="D89" s="2"/>
      <c r="E89" s="2"/>
      <c r="F89" s="2"/>
      <c r="G89" s="2"/>
      <c r="H89" s="2"/>
      <c r="I89" s="182" t="s">
        <v>537</v>
      </c>
      <c r="J89" s="182" t="s">
        <v>1282</v>
      </c>
      <c r="K89" s="183">
        <f>K88</f>
        <v>10</v>
      </c>
      <c r="L89" s="183">
        <f>L88</f>
        <v>-2</v>
      </c>
      <c r="M89" s="183">
        <f>M88</f>
        <v>10</v>
      </c>
      <c r="N89" s="91"/>
      <c r="O89" s="91"/>
      <c r="P89" s="91"/>
      <c r="Q89" s="91"/>
      <c r="R89" s="91"/>
      <c r="S89" s="91"/>
      <c r="T89" s="98" t="s">
        <v>217</v>
      </c>
      <c r="U89" s="89">
        <v>1</v>
      </c>
      <c r="V89" s="89">
        <v>2</v>
      </c>
      <c r="W89" s="91"/>
      <c r="X89" s="91"/>
      <c r="Y89" s="91"/>
      <c r="Z89" s="91"/>
      <c r="AA89" s="91"/>
      <c r="AB89" s="91"/>
      <c r="AC89" s="91"/>
      <c r="AD89" s="91"/>
      <c r="AE89" s="91"/>
      <c r="AF89" s="90">
        <v>1</v>
      </c>
      <c r="AG89" s="91"/>
      <c r="AH89" s="91"/>
      <c r="AI89" s="91"/>
      <c r="AJ89" s="91"/>
      <c r="AK89" s="91"/>
      <c r="AL89" s="91"/>
      <c r="AM89" s="91"/>
      <c r="AN89" s="90" t="s">
        <v>88</v>
      </c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C89" s="91"/>
      <c r="BD89" s="91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W89" s="91"/>
      <c r="BX89" s="91"/>
      <c r="BY89" s="91"/>
      <c r="BZ89" s="91"/>
      <c r="CA89" s="91"/>
      <c r="CB89" s="90">
        <v>4</v>
      </c>
      <c r="CC89" s="91"/>
      <c r="CD89" s="90">
        <v>4200</v>
      </c>
      <c r="CE89" s="91"/>
      <c r="CF89" s="91"/>
      <c r="CG89" s="90">
        <v>5400</v>
      </c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2"/>
    </row>
    <row r="90" spans="1:120" ht="12.75" customHeight="1">
      <c r="A90" s="2"/>
      <c r="B90" s="2"/>
      <c r="C90" s="2"/>
      <c r="D90" s="2"/>
      <c r="E90" s="2"/>
      <c r="F90" s="2"/>
      <c r="G90" s="2"/>
      <c r="H90" s="2"/>
      <c r="I90" s="182" t="s">
        <v>537</v>
      </c>
      <c r="J90" s="182" t="s">
        <v>1283</v>
      </c>
      <c r="K90" s="183">
        <f>K89</f>
        <v>10</v>
      </c>
      <c r="L90" s="183">
        <f>L89</f>
        <v>-2</v>
      </c>
      <c r="M90" s="183">
        <f>M89</f>
        <v>10</v>
      </c>
      <c r="N90" s="91"/>
      <c r="O90" s="91"/>
      <c r="P90" s="91"/>
      <c r="Q90" s="91"/>
      <c r="R90" s="91"/>
      <c r="S90" s="91"/>
      <c r="T90" s="98" t="e">
        <f>VS_VehSpd_Kmh</f>
        <v>#NAME?</v>
      </c>
      <c r="U90" s="90">
        <v>70</v>
      </c>
      <c r="V90" s="89">
        <v>5</v>
      </c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C90" s="91"/>
      <c r="BD90" s="91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W90" s="91"/>
      <c r="BX90" s="91"/>
      <c r="BY90" s="91"/>
      <c r="BZ90" s="91"/>
      <c r="CA90" s="91"/>
      <c r="CB90" s="90">
        <v>0</v>
      </c>
      <c r="CC90" s="91"/>
      <c r="CD90" s="183">
        <f>CD89</f>
        <v>4200</v>
      </c>
      <c r="CE90" s="91"/>
      <c r="CF90" s="91"/>
      <c r="CG90" s="90">
        <v>4700</v>
      </c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2"/>
    </row>
    <row r="91" spans="1:120" ht="12.75" customHeight="1">
      <c r="A91" s="2"/>
      <c r="B91" s="2"/>
      <c r="C91" s="2"/>
      <c r="D91" s="2"/>
      <c r="E91" s="2"/>
      <c r="F91" s="2"/>
      <c r="G91" s="2"/>
      <c r="H91" s="2"/>
      <c r="I91" s="182" t="s">
        <v>537</v>
      </c>
      <c r="J91" s="182" t="s">
        <v>1284</v>
      </c>
      <c r="K91" s="183">
        <f>K90</f>
        <v>10</v>
      </c>
      <c r="L91" s="183">
        <f>L90</f>
        <v>-2</v>
      </c>
      <c r="M91" s="183">
        <f>M90</f>
        <v>10</v>
      </c>
      <c r="N91" s="91"/>
      <c r="O91" s="91"/>
      <c r="P91" s="91"/>
      <c r="Q91" s="91"/>
      <c r="R91" s="91"/>
      <c r="S91" s="91"/>
      <c r="T91" s="98" t="e">
        <f>VS_VehSpd_Kmh</f>
        <v>#NAME?</v>
      </c>
      <c r="U91" s="90">
        <v>50</v>
      </c>
      <c r="V91" s="89">
        <v>5</v>
      </c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C91" s="91"/>
      <c r="BD91" s="91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W91" s="91"/>
      <c r="BX91" s="91"/>
      <c r="BY91" s="91"/>
      <c r="BZ91" s="91"/>
      <c r="CA91" s="91"/>
      <c r="CB91" s="90">
        <v>0</v>
      </c>
      <c r="CC91" s="91"/>
      <c r="CD91" s="183">
        <f>CD90</f>
        <v>4200</v>
      </c>
      <c r="CE91" s="91"/>
      <c r="CF91" s="91"/>
      <c r="CG91" s="90">
        <v>4300</v>
      </c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2"/>
    </row>
    <row r="92" spans="1:120" ht="12.75" customHeight="1">
      <c r="A92" s="2"/>
      <c r="B92" s="2"/>
      <c r="C92" s="2"/>
      <c r="D92" s="2"/>
      <c r="E92" s="2"/>
      <c r="F92" s="2"/>
      <c r="G92" s="2"/>
      <c r="H92" s="2"/>
      <c r="I92" s="182" t="s">
        <v>537</v>
      </c>
      <c r="J92" s="182" t="s">
        <v>1285</v>
      </c>
      <c r="K92" s="183">
        <f>K91</f>
        <v>10</v>
      </c>
      <c r="L92" s="183">
        <f>L91</f>
        <v>-2</v>
      </c>
      <c r="M92" s="183">
        <f>M91</f>
        <v>10</v>
      </c>
      <c r="N92" s="91"/>
      <c r="O92" s="91"/>
      <c r="P92" s="91"/>
      <c r="Q92" s="91"/>
      <c r="R92" s="91"/>
      <c r="S92" s="91"/>
      <c r="T92" s="98" t="e">
        <f>VS_VehSpd_Kmh</f>
        <v>#NAME?</v>
      </c>
      <c r="U92" s="90">
        <v>30</v>
      </c>
      <c r="V92" s="89">
        <v>5</v>
      </c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C92" s="91"/>
      <c r="BD92" s="91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W92" s="91"/>
      <c r="BX92" s="91"/>
      <c r="BY92" s="91"/>
      <c r="BZ92" s="91"/>
      <c r="CA92" s="91"/>
      <c r="CB92" s="90">
        <v>0</v>
      </c>
      <c r="CC92" s="91"/>
      <c r="CD92" s="183">
        <f>CD91</f>
        <v>4200</v>
      </c>
      <c r="CE92" s="91"/>
      <c r="CF92" s="91"/>
      <c r="CG92" s="90">
        <v>4300</v>
      </c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2"/>
    </row>
    <row r="93" spans="1:120" ht="12.75" customHeight="1">
      <c r="A93" s="2"/>
      <c r="B93" s="2"/>
      <c r="C93" s="2"/>
      <c r="D93" s="2"/>
      <c r="E93" s="2"/>
      <c r="F93" s="2"/>
      <c r="G93" s="2"/>
      <c r="H93" s="2"/>
      <c r="I93" s="182" t="s">
        <v>537</v>
      </c>
      <c r="J93" s="182" t="s">
        <v>1286</v>
      </c>
      <c r="K93" s="183">
        <f>K92</f>
        <v>10</v>
      </c>
      <c r="L93" s="183">
        <f>L92</f>
        <v>-2</v>
      </c>
      <c r="M93" s="183">
        <f>M92</f>
        <v>10</v>
      </c>
      <c r="N93" s="91"/>
      <c r="O93" s="91"/>
      <c r="P93" s="91"/>
      <c r="Q93" s="91"/>
      <c r="R93" s="91"/>
      <c r="S93" s="91"/>
      <c r="T93" s="98" t="e">
        <f>VS_VehSpd_Kmh</f>
        <v>#NAME?</v>
      </c>
      <c r="U93" s="90">
        <v>15</v>
      </c>
      <c r="V93" s="89">
        <v>5</v>
      </c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C93" s="91"/>
      <c r="BD93" s="91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W93" s="91"/>
      <c r="BX93" s="91"/>
      <c r="BY93" s="91"/>
      <c r="BZ93" s="91"/>
      <c r="CA93" s="91"/>
      <c r="CB93" s="90">
        <v>0</v>
      </c>
      <c r="CC93" s="91"/>
      <c r="CD93" s="183">
        <f>CD92</f>
        <v>4200</v>
      </c>
      <c r="CE93" s="91"/>
      <c r="CF93" s="91"/>
      <c r="CG93" s="90">
        <v>4300</v>
      </c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2"/>
    </row>
    <row r="94" spans="1:120" ht="12.75" customHeight="1">
      <c r="A94" s="2"/>
      <c r="B94" s="2"/>
      <c r="C94" s="2"/>
      <c r="D94" s="2"/>
      <c r="E94" s="2"/>
      <c r="F94" s="2"/>
      <c r="G94" s="2"/>
      <c r="H94" s="2"/>
      <c r="I94" s="182" t="s">
        <v>537</v>
      </c>
      <c r="J94" s="182" t="s">
        <v>1287</v>
      </c>
      <c r="K94" s="183">
        <f>K92</f>
        <v>10</v>
      </c>
      <c r="L94" s="183">
        <f>L92</f>
        <v>-2</v>
      </c>
      <c r="M94" s="183">
        <f>M92</f>
        <v>10</v>
      </c>
      <c r="N94" s="91"/>
      <c r="O94" s="91"/>
      <c r="P94" s="91"/>
      <c r="Q94" s="91"/>
      <c r="R94" s="91"/>
      <c r="S94" s="91"/>
      <c r="T94" s="98" t="e">
        <f>VS_VehSpd_Kmh</f>
        <v>#NAME?</v>
      </c>
      <c r="U94" s="90">
        <v>5</v>
      </c>
      <c r="V94" s="89">
        <v>5</v>
      </c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  <c r="BC94" s="91"/>
      <c r="BD94" s="91"/>
      <c r="BE94" s="91"/>
      <c r="BF94" s="91"/>
      <c r="BG94" s="91"/>
      <c r="BH94" s="91"/>
      <c r="BI94" s="91"/>
      <c r="BJ94" s="91"/>
      <c r="BK94" s="91"/>
      <c r="BL94" s="91"/>
      <c r="BM94" s="91"/>
      <c r="BN94" s="91"/>
      <c r="BO94" s="91"/>
      <c r="BP94" s="91"/>
      <c r="BQ94" s="91"/>
      <c r="BR94" s="91"/>
      <c r="BS94" s="91"/>
      <c r="BT94" s="91"/>
      <c r="BU94" s="91"/>
      <c r="BV94" s="91"/>
      <c r="BW94" s="91"/>
      <c r="BX94" s="91"/>
      <c r="BY94" s="91"/>
      <c r="BZ94" s="91"/>
      <c r="CA94" s="91"/>
      <c r="CB94" s="90">
        <v>0</v>
      </c>
      <c r="CC94" s="91"/>
      <c r="CD94" s="183">
        <f>CD92</f>
        <v>4200</v>
      </c>
      <c r="CE94" s="91"/>
      <c r="CF94" s="91"/>
      <c r="CG94" s="90">
        <v>2500</v>
      </c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2"/>
    </row>
    <row r="95" spans="1:120" ht="12.75" customHeight="1">
      <c r="A95" s="2"/>
      <c r="B95" s="2"/>
      <c r="C95" s="2"/>
      <c r="D95" s="2"/>
      <c r="E95" s="2"/>
      <c r="F95" s="2"/>
      <c r="G95" s="2"/>
      <c r="H95" s="2"/>
      <c r="I95" s="182" t="s">
        <v>537</v>
      </c>
      <c r="J95" s="182" t="s">
        <v>1288</v>
      </c>
      <c r="K95" s="183">
        <f>K93</f>
        <v>10</v>
      </c>
      <c r="L95" s="183">
        <f>L93</f>
        <v>-2</v>
      </c>
      <c r="M95" s="183">
        <f>M93</f>
        <v>10</v>
      </c>
      <c r="N95" s="91"/>
      <c r="O95" s="91"/>
      <c r="P95" s="91"/>
      <c r="Q95" s="91"/>
      <c r="R95" s="91"/>
      <c r="S95" s="91"/>
      <c r="T95" s="98" t="e">
        <f>VS_VehSpd_Kmh</f>
        <v>#NAME?</v>
      </c>
      <c r="U95" s="90">
        <v>15</v>
      </c>
      <c r="V95" s="89">
        <v>5</v>
      </c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  <c r="BC95" s="91"/>
      <c r="BD95" s="91"/>
      <c r="BE95" s="91"/>
      <c r="BF95" s="91"/>
      <c r="BG95" s="91"/>
      <c r="BH95" s="91"/>
      <c r="BI95" s="91"/>
      <c r="BJ95" s="91"/>
      <c r="BK95" s="91"/>
      <c r="BL95" s="91"/>
      <c r="BM95" s="91"/>
      <c r="BN95" s="91"/>
      <c r="BO95" s="91"/>
      <c r="BP95" s="91"/>
      <c r="BQ95" s="91"/>
      <c r="BR95" s="91"/>
      <c r="BS95" s="91"/>
      <c r="BT95" s="91"/>
      <c r="BU95" s="91"/>
      <c r="BV95" s="91"/>
      <c r="BW95" s="91"/>
      <c r="BX95" s="91"/>
      <c r="BY95" s="91"/>
      <c r="BZ95" s="91"/>
      <c r="CA95" s="91"/>
      <c r="CB95" s="90">
        <v>0</v>
      </c>
      <c r="CC95" s="91"/>
      <c r="CD95" s="183">
        <f>CD93</f>
        <v>4200</v>
      </c>
      <c r="CE95" s="91"/>
      <c r="CF95" s="91"/>
      <c r="CG95" s="183">
        <f>CG93</f>
        <v>4300</v>
      </c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2"/>
    </row>
    <row r="96" spans="1:120" ht="12.75" customHeight="1">
      <c r="A96" s="2"/>
      <c r="B96" s="2"/>
      <c r="C96" s="2"/>
      <c r="D96" s="2"/>
      <c r="E96" s="2"/>
      <c r="F96" s="2"/>
      <c r="G96" s="2"/>
      <c r="H96" s="2"/>
      <c r="I96" s="182" t="s">
        <v>537</v>
      </c>
      <c r="J96" s="182" t="s">
        <v>1289</v>
      </c>
      <c r="K96" s="183">
        <f>K94</f>
        <v>10</v>
      </c>
      <c r="L96" s="183">
        <f>L94</f>
        <v>-2</v>
      </c>
      <c r="M96" s="183">
        <f>M94</f>
        <v>10</v>
      </c>
      <c r="N96" s="91"/>
      <c r="O96" s="91"/>
      <c r="P96" s="91"/>
      <c r="Q96" s="91"/>
      <c r="R96" s="91"/>
      <c r="S96" s="91"/>
      <c r="T96" s="98" t="e">
        <f>VS_VehSpd_Kmh</f>
        <v>#NAME?</v>
      </c>
      <c r="U96" s="90">
        <v>25</v>
      </c>
      <c r="V96" s="89">
        <v>5</v>
      </c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91"/>
      <c r="AV96" s="91"/>
      <c r="AW96" s="91"/>
      <c r="AX96" s="91"/>
      <c r="AY96" s="91"/>
      <c r="AZ96" s="91"/>
      <c r="BA96" s="91"/>
      <c r="BB96" s="91"/>
      <c r="BC96" s="91"/>
      <c r="BD96" s="91"/>
      <c r="BE96" s="91"/>
      <c r="BF96" s="91"/>
      <c r="BG96" s="91"/>
      <c r="BH96" s="91"/>
      <c r="BI96" s="91"/>
      <c r="BJ96" s="91"/>
      <c r="BK96" s="91"/>
      <c r="BL96" s="91"/>
      <c r="BM96" s="91"/>
      <c r="BN96" s="91"/>
      <c r="BO96" s="91"/>
      <c r="BP96" s="91"/>
      <c r="BQ96" s="91"/>
      <c r="BR96" s="91"/>
      <c r="BS96" s="91"/>
      <c r="BT96" s="91"/>
      <c r="BU96" s="91"/>
      <c r="BV96" s="91"/>
      <c r="BW96" s="91"/>
      <c r="BX96" s="91"/>
      <c r="BY96" s="91"/>
      <c r="BZ96" s="91"/>
      <c r="CA96" s="91"/>
      <c r="CB96" s="90">
        <v>0</v>
      </c>
      <c r="CC96" s="91"/>
      <c r="CD96" s="183">
        <f>CD94</f>
        <v>4200</v>
      </c>
      <c r="CE96" s="91"/>
      <c r="CF96" s="91"/>
      <c r="CG96" s="183">
        <f>CG92</f>
        <v>4300</v>
      </c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2"/>
    </row>
    <row r="97" spans="1:120" ht="12.75" customHeight="1">
      <c r="A97" s="2"/>
      <c r="B97" s="2"/>
      <c r="C97" s="2"/>
      <c r="D97" s="2"/>
      <c r="E97" s="2"/>
      <c r="F97" s="2"/>
      <c r="G97" s="2"/>
      <c r="H97" s="2"/>
      <c r="I97" s="182" t="s">
        <v>537</v>
      </c>
      <c r="J97" s="182" t="s">
        <v>1290</v>
      </c>
      <c r="K97" s="183">
        <f>K96</f>
        <v>10</v>
      </c>
      <c r="L97" s="183">
        <f>L96</f>
        <v>-2</v>
      </c>
      <c r="M97" s="183">
        <f>M96</f>
        <v>10</v>
      </c>
      <c r="N97" s="91"/>
      <c r="O97" s="91"/>
      <c r="P97" s="91"/>
      <c r="Q97" s="91"/>
      <c r="R97" s="91"/>
      <c r="S97" s="91"/>
      <c r="T97" s="98" t="e">
        <f>VS_VehSpd_Kmh</f>
        <v>#NAME?</v>
      </c>
      <c r="U97" s="90">
        <v>40</v>
      </c>
      <c r="V97" s="89">
        <v>5</v>
      </c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  <c r="BC97" s="91"/>
      <c r="BD97" s="91"/>
      <c r="BE97" s="91"/>
      <c r="BF97" s="91"/>
      <c r="BG97" s="91"/>
      <c r="BH97" s="91"/>
      <c r="BI97" s="91"/>
      <c r="BJ97" s="91"/>
      <c r="BK97" s="91"/>
      <c r="BL97" s="91"/>
      <c r="BM97" s="91"/>
      <c r="BN97" s="91"/>
      <c r="BO97" s="91"/>
      <c r="BP97" s="91"/>
      <c r="BQ97" s="91"/>
      <c r="BR97" s="91"/>
      <c r="BS97" s="91"/>
      <c r="BT97" s="91"/>
      <c r="BU97" s="91"/>
      <c r="BV97" s="91"/>
      <c r="BW97" s="91"/>
      <c r="BX97" s="91"/>
      <c r="BY97" s="91"/>
      <c r="BZ97" s="91"/>
      <c r="CA97" s="91"/>
      <c r="CB97" s="90">
        <v>0</v>
      </c>
      <c r="CC97" s="91"/>
      <c r="CD97" s="183">
        <f>CD96</f>
        <v>4200</v>
      </c>
      <c r="CE97" s="91"/>
      <c r="CF97" s="91"/>
      <c r="CG97" s="183">
        <f>CG91</f>
        <v>4300</v>
      </c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2"/>
    </row>
    <row r="98" spans="1:120" ht="12.75" customHeight="1">
      <c r="A98" s="2"/>
      <c r="B98" s="2"/>
      <c r="C98" s="2"/>
      <c r="D98" s="2"/>
      <c r="E98" s="2"/>
      <c r="F98" s="2"/>
      <c r="G98" s="2"/>
      <c r="H98" s="2"/>
      <c r="I98" s="182" t="s">
        <v>537</v>
      </c>
      <c r="J98" s="182" t="s">
        <v>1291</v>
      </c>
      <c r="K98" s="183">
        <f>K97</f>
        <v>10</v>
      </c>
      <c r="L98" s="183">
        <f>L97</f>
        <v>-2</v>
      </c>
      <c r="M98" s="183">
        <f>M97</f>
        <v>10</v>
      </c>
      <c r="N98" s="91"/>
      <c r="O98" s="91"/>
      <c r="P98" s="91"/>
      <c r="Q98" s="91"/>
      <c r="R98" s="91"/>
      <c r="S98" s="91"/>
      <c r="T98" s="98" t="e">
        <f>VS_VehSpd_Kmh</f>
        <v>#NAME?</v>
      </c>
      <c r="U98" s="90">
        <v>60</v>
      </c>
      <c r="V98" s="89">
        <v>5</v>
      </c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91"/>
      <c r="AV98" s="91"/>
      <c r="AW98" s="91"/>
      <c r="AX98" s="91"/>
      <c r="AY98" s="91"/>
      <c r="AZ98" s="91"/>
      <c r="BA98" s="91"/>
      <c r="BB98" s="91"/>
      <c r="BC98" s="91"/>
      <c r="BD98" s="91"/>
      <c r="BE98" s="91"/>
      <c r="BF98" s="91"/>
      <c r="BG98" s="91"/>
      <c r="BH98" s="91"/>
      <c r="BI98" s="91"/>
      <c r="BJ98" s="91"/>
      <c r="BK98" s="91"/>
      <c r="BL98" s="91"/>
      <c r="BM98" s="91"/>
      <c r="BN98" s="91"/>
      <c r="BO98" s="91"/>
      <c r="BP98" s="91"/>
      <c r="BQ98" s="91"/>
      <c r="BR98" s="91"/>
      <c r="BS98" s="91"/>
      <c r="BT98" s="91"/>
      <c r="BU98" s="91"/>
      <c r="BV98" s="91"/>
      <c r="BW98" s="91"/>
      <c r="BX98" s="91"/>
      <c r="BY98" s="91"/>
      <c r="BZ98" s="91"/>
      <c r="CA98" s="91"/>
      <c r="CB98" s="90">
        <v>0</v>
      </c>
      <c r="CC98" s="91"/>
      <c r="CD98" s="183">
        <f>CD97</f>
        <v>4200</v>
      </c>
      <c r="CE98" s="91"/>
      <c r="CF98" s="91"/>
      <c r="CG98" s="183">
        <f>CG90</f>
        <v>4700</v>
      </c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2"/>
    </row>
    <row r="99" spans="1:120" ht="12.75" customHeight="1">
      <c r="A99" s="2"/>
      <c r="B99" s="2"/>
      <c r="C99" s="2"/>
      <c r="D99" s="2"/>
      <c r="E99" s="2"/>
      <c r="F99" s="2"/>
      <c r="G99" s="2"/>
      <c r="H99" s="2"/>
      <c r="I99" s="182" t="s">
        <v>537</v>
      </c>
      <c r="J99" s="182" t="s">
        <v>1292</v>
      </c>
      <c r="K99" s="183">
        <f>K98</f>
        <v>10</v>
      </c>
      <c r="L99" s="183">
        <f>L98</f>
        <v>-2</v>
      </c>
      <c r="M99" s="183">
        <f>M98</f>
        <v>10</v>
      </c>
      <c r="N99" s="91"/>
      <c r="O99" s="91"/>
      <c r="P99" s="91"/>
      <c r="Q99" s="91"/>
      <c r="R99" s="91"/>
      <c r="S99" s="91"/>
      <c r="T99" s="98" t="e">
        <f>VS_VehSpd_Kmh</f>
        <v>#NAME?</v>
      </c>
      <c r="U99" s="90">
        <v>80</v>
      </c>
      <c r="V99" s="89">
        <v>5</v>
      </c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1"/>
      <c r="BP99" s="91"/>
      <c r="BQ99" s="91"/>
      <c r="BR99" s="91"/>
      <c r="BS99" s="91"/>
      <c r="BT99" s="91"/>
      <c r="BU99" s="91"/>
      <c r="BV99" s="91"/>
      <c r="BW99" s="91"/>
      <c r="BX99" s="91"/>
      <c r="BY99" s="91"/>
      <c r="BZ99" s="91"/>
      <c r="CA99" s="91"/>
      <c r="CB99" s="90">
        <v>0</v>
      </c>
      <c r="CC99" s="91"/>
      <c r="CD99" s="183">
        <f>CD98</f>
        <v>4200</v>
      </c>
      <c r="CE99" s="91"/>
      <c r="CF99" s="91"/>
      <c r="CG99" s="183">
        <f>CG89</f>
        <v>5400</v>
      </c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2"/>
    </row>
    <row r="100" spans="1:120" ht="13.5" customHeight="1">
      <c r="A100" s="2"/>
      <c r="B100" s="2"/>
      <c r="C100" s="2"/>
      <c r="D100" s="2"/>
      <c r="E100" s="2"/>
      <c r="F100" s="2"/>
      <c r="G100" s="2"/>
      <c r="H100" s="2"/>
      <c r="I100" s="97" t="s">
        <v>7</v>
      </c>
      <c r="J100" s="97" t="s">
        <v>1312</v>
      </c>
      <c r="K100" s="233" t="s">
        <v>1316</v>
      </c>
      <c r="L100" s="97"/>
      <c r="M100" s="97"/>
      <c r="N100" s="97"/>
      <c r="O100" s="97"/>
      <c r="P100" s="97"/>
      <c r="Q100" s="97"/>
      <c r="R100" s="97"/>
      <c r="S100" s="97"/>
      <c r="T100" s="97"/>
      <c r="U100" s="234"/>
      <c r="V100" s="234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7"/>
      <c r="DB100" s="97"/>
      <c r="DC100" s="97"/>
      <c r="DD100" s="97"/>
      <c r="DE100" s="97"/>
      <c r="DF100" s="97"/>
      <c r="DG100" s="97"/>
      <c r="DH100" s="97"/>
      <c r="DI100" s="97"/>
      <c r="DJ100" s="97"/>
      <c r="DK100" s="97"/>
      <c r="DL100" s="97"/>
      <c r="DM100" s="97"/>
      <c r="DN100" s="97"/>
      <c r="DO100" s="97"/>
      <c r="DP100" s="2"/>
    </row>
    <row r="101" spans="1:120" ht="13.5" customHeight="1">
      <c r="A101" s="2"/>
      <c r="B101" s="2"/>
      <c r="C101" s="2"/>
      <c r="D101" s="2"/>
      <c r="E101" s="2"/>
      <c r="F101" s="2"/>
      <c r="G101" s="2"/>
      <c r="H101" s="2"/>
      <c r="I101" s="49"/>
      <c r="J101" s="95" t="s">
        <v>472</v>
      </c>
      <c r="K101" s="95" t="s">
        <v>1304</v>
      </c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/>
      <c r="CH101" s="95"/>
      <c r="CI101" s="95"/>
      <c r="CJ101" s="95"/>
      <c r="CK101" s="95"/>
      <c r="CL101" s="95"/>
      <c r="CM101" s="95"/>
      <c r="CN101" s="95"/>
      <c r="CO101" s="95"/>
      <c r="CP101" s="95"/>
      <c r="CQ101" s="95"/>
      <c r="CR101" s="95"/>
      <c r="CS101" s="95"/>
      <c r="CT101" s="95"/>
      <c r="CU101" s="95"/>
      <c r="CV101" s="95"/>
      <c r="CW101" s="95"/>
      <c r="CX101" s="95"/>
      <c r="CY101" s="95"/>
      <c r="CZ101" s="95"/>
      <c r="DA101" s="95"/>
      <c r="DB101" s="95"/>
      <c r="DC101" s="95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2"/>
    </row>
    <row r="102" spans="1:120" ht="12.75" customHeight="1">
      <c r="A102" s="2"/>
      <c r="B102" s="2"/>
      <c r="C102" s="2"/>
      <c r="D102" s="2"/>
      <c r="E102" s="2"/>
      <c r="F102" s="2"/>
      <c r="G102" s="2"/>
      <c r="H102" s="2"/>
      <c r="I102" s="97" t="s">
        <v>7</v>
      </c>
      <c r="J102" s="97" t="s">
        <v>535</v>
      </c>
      <c r="K102" s="97" t="s">
        <v>1317</v>
      </c>
      <c r="L102" s="97"/>
      <c r="M102" s="97"/>
      <c r="N102" s="97"/>
      <c r="O102" s="97"/>
      <c r="P102" s="97"/>
      <c r="Q102" s="97"/>
      <c r="R102" s="97"/>
      <c r="S102" s="97"/>
      <c r="T102" s="97"/>
      <c r="U102" s="234"/>
      <c r="V102" s="234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7"/>
      <c r="DB102" s="97"/>
      <c r="DC102" s="97"/>
      <c r="DD102" s="97"/>
      <c r="DE102" s="97"/>
      <c r="DF102" s="97"/>
      <c r="DG102" s="97"/>
      <c r="DH102" s="97"/>
      <c r="DI102" s="97"/>
      <c r="DJ102" s="97"/>
      <c r="DK102" s="97"/>
      <c r="DL102" s="97"/>
      <c r="DM102" s="97"/>
      <c r="DN102" s="97"/>
      <c r="DO102" s="97"/>
      <c r="DP102" s="2"/>
    </row>
    <row r="103" spans="1:120" ht="12.75" customHeight="1">
      <c r="A103" s="2"/>
      <c r="B103" s="2"/>
      <c r="C103" s="2"/>
      <c r="D103" s="2"/>
      <c r="E103" s="2"/>
      <c r="F103" s="2"/>
      <c r="G103" s="2"/>
      <c r="H103" s="2"/>
      <c r="I103" s="182" t="s">
        <v>47</v>
      </c>
      <c r="J103" s="182" t="s">
        <v>536</v>
      </c>
      <c r="K103" s="90">
        <v>10</v>
      </c>
      <c r="L103" s="90">
        <v>15</v>
      </c>
      <c r="M103" s="90">
        <v>10</v>
      </c>
      <c r="N103" s="91"/>
      <c r="O103" s="91"/>
      <c r="P103" s="91"/>
      <c r="Q103" s="91"/>
      <c r="R103" s="91"/>
      <c r="S103" s="91"/>
      <c r="T103" s="98" t="s">
        <v>185</v>
      </c>
      <c r="U103" s="89" t="s">
        <v>371</v>
      </c>
      <c r="V103" s="89">
        <v>10</v>
      </c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0" t="s">
        <v>88</v>
      </c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C103" s="91"/>
      <c r="BD103" s="91"/>
      <c r="BE103" s="91"/>
      <c r="BF103" s="91"/>
      <c r="BG103" s="91"/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W103" s="91"/>
      <c r="BX103" s="91"/>
      <c r="BY103" s="91"/>
      <c r="BZ103" s="91"/>
      <c r="CA103" s="91"/>
      <c r="CB103" s="90">
        <v>7</v>
      </c>
      <c r="CC103" s="91"/>
      <c r="CD103" s="90" t="s">
        <v>88</v>
      </c>
      <c r="CE103" s="91"/>
      <c r="CF103" s="91"/>
      <c r="CG103" s="90" t="s">
        <v>88</v>
      </c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2"/>
    </row>
    <row r="104" spans="1:120" ht="12.75" customHeight="1">
      <c r="A104" s="2"/>
      <c r="B104" s="2"/>
      <c r="C104" s="2"/>
      <c r="D104" s="2"/>
      <c r="E104" s="2"/>
      <c r="F104" s="2"/>
      <c r="G104" s="2"/>
      <c r="H104" s="2"/>
      <c r="I104" s="182" t="s">
        <v>537</v>
      </c>
      <c r="J104" s="182" t="s">
        <v>1318</v>
      </c>
      <c r="K104" s="183">
        <f>K103</f>
        <v>10</v>
      </c>
      <c r="L104" s="183">
        <f>L103</f>
        <v>15</v>
      </c>
      <c r="M104" s="183">
        <f>M103</f>
        <v>10</v>
      </c>
      <c r="N104" s="91"/>
      <c r="O104" s="91"/>
      <c r="P104" s="91"/>
      <c r="Q104" s="91"/>
      <c r="R104" s="91"/>
      <c r="S104" s="91"/>
      <c r="T104" s="98" t="s">
        <v>220</v>
      </c>
      <c r="U104" s="89">
        <v>1</v>
      </c>
      <c r="V104" s="89">
        <v>2</v>
      </c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0" t="s">
        <v>48</v>
      </c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C104" s="91"/>
      <c r="BD104" s="91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W104" s="91"/>
      <c r="BX104" s="91"/>
      <c r="BY104" s="91"/>
      <c r="BZ104" s="91"/>
      <c r="CA104" s="91"/>
      <c r="CB104" s="90">
        <v>0</v>
      </c>
      <c r="CC104" s="91"/>
      <c r="CD104" s="90">
        <v>4200</v>
      </c>
      <c r="CE104" s="91"/>
      <c r="CF104" s="91"/>
      <c r="CG104" s="90">
        <v>5700</v>
      </c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2"/>
    </row>
    <row r="105" spans="1:120" ht="12.75" customHeight="1">
      <c r="A105" s="2"/>
      <c r="B105" s="2"/>
      <c r="C105" s="2"/>
      <c r="D105" s="2"/>
      <c r="E105" s="2"/>
      <c r="F105" s="2"/>
      <c r="G105" s="2"/>
      <c r="H105" s="2"/>
      <c r="I105" s="182" t="s">
        <v>537</v>
      </c>
      <c r="J105" s="182" t="s">
        <v>1319</v>
      </c>
      <c r="K105" s="183">
        <f>K104</f>
        <v>10</v>
      </c>
      <c r="L105" s="183">
        <f>L104</f>
        <v>15</v>
      </c>
      <c r="M105" s="183">
        <f>M104</f>
        <v>10</v>
      </c>
      <c r="N105" s="91"/>
      <c r="O105" s="91"/>
      <c r="P105" s="91"/>
      <c r="Q105" s="91"/>
      <c r="R105" s="91"/>
      <c r="S105" s="91"/>
      <c r="T105" s="98" t="str">
        <f>P_SIGNAL_COMP_OUT</f>
        <v>Snr_P SIGNAL_COMP OUT(PSI)_IN</v>
      </c>
      <c r="U105" s="90">
        <v>80</v>
      </c>
      <c r="V105" s="89">
        <v>5</v>
      </c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1"/>
      <c r="BZ105" s="91"/>
      <c r="CA105" s="91"/>
      <c r="CB105" s="90">
        <v>0</v>
      </c>
      <c r="CC105" s="91"/>
      <c r="CD105" s="90">
        <v>1700</v>
      </c>
      <c r="CE105" s="91"/>
      <c r="CF105" s="91"/>
      <c r="CG105" s="90">
        <v>2000</v>
      </c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2"/>
    </row>
    <row r="106" spans="1:120" ht="12.75" customHeight="1">
      <c r="A106" s="2"/>
      <c r="B106" s="2"/>
      <c r="C106" s="2"/>
      <c r="D106" s="2"/>
      <c r="E106" s="2"/>
      <c r="F106" s="2"/>
      <c r="G106" s="2"/>
      <c r="H106" s="2"/>
      <c r="I106" s="182" t="s">
        <v>537</v>
      </c>
      <c r="J106" s="182" t="s">
        <v>1320</v>
      </c>
      <c r="K106" s="183">
        <f>K105</f>
        <v>10</v>
      </c>
      <c r="L106" s="183">
        <f>L105</f>
        <v>15</v>
      </c>
      <c r="M106" s="183">
        <f>M105</f>
        <v>10</v>
      </c>
      <c r="N106" s="91"/>
      <c r="O106" s="91"/>
      <c r="P106" s="91"/>
      <c r="Q106" s="91"/>
      <c r="R106" s="91"/>
      <c r="S106" s="91"/>
      <c r="T106" s="98" t="s">
        <v>192</v>
      </c>
      <c r="U106" s="89">
        <v>1</v>
      </c>
      <c r="V106" s="89">
        <v>5</v>
      </c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C106" s="91"/>
      <c r="BD106" s="91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W106" s="91"/>
      <c r="BX106" s="91"/>
      <c r="BY106" s="91"/>
      <c r="BZ106" s="91"/>
      <c r="CA106" s="91"/>
      <c r="CB106" s="90">
        <v>7</v>
      </c>
      <c r="CC106" s="91"/>
      <c r="CD106" s="90" t="s">
        <v>88</v>
      </c>
      <c r="CE106" s="91"/>
      <c r="CF106" s="91"/>
      <c r="CG106" s="90" t="s">
        <v>88</v>
      </c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2"/>
    </row>
    <row r="107" spans="1:120" ht="12.75" customHeight="1">
      <c r="A107" s="2"/>
      <c r="B107" s="2"/>
      <c r="C107" s="2"/>
      <c r="D107" s="2"/>
      <c r="E107" s="2"/>
      <c r="F107" s="2"/>
      <c r="G107" s="2"/>
      <c r="H107" s="2"/>
      <c r="I107" s="97" t="s">
        <v>7</v>
      </c>
      <c r="J107" s="97" t="s">
        <v>1293</v>
      </c>
      <c r="K107" s="97" t="s">
        <v>1321</v>
      </c>
      <c r="L107" s="97"/>
      <c r="M107" s="97"/>
      <c r="N107" s="97"/>
      <c r="O107" s="97"/>
      <c r="P107" s="97"/>
      <c r="Q107" s="97"/>
      <c r="R107" s="97"/>
      <c r="S107" s="97"/>
      <c r="T107" s="97"/>
      <c r="U107" s="234"/>
      <c r="V107" s="234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7"/>
      <c r="DB107" s="97"/>
      <c r="DC107" s="97"/>
      <c r="DD107" s="97"/>
      <c r="DE107" s="97"/>
      <c r="DF107" s="97"/>
      <c r="DG107" s="97"/>
      <c r="DH107" s="97"/>
      <c r="DI107" s="97"/>
      <c r="DJ107" s="97"/>
      <c r="DK107" s="97"/>
      <c r="DL107" s="97"/>
      <c r="DM107" s="97"/>
      <c r="DN107" s="97"/>
      <c r="DO107" s="97"/>
      <c r="DP107" s="2"/>
    </row>
    <row r="108" spans="1:120" ht="12.75" customHeight="1">
      <c r="A108" s="2"/>
      <c r="B108" s="2"/>
      <c r="C108" s="2"/>
      <c r="D108" s="2"/>
      <c r="E108" s="2"/>
      <c r="F108" s="2"/>
      <c r="G108" s="2"/>
      <c r="H108" s="2"/>
      <c r="I108" s="182" t="s">
        <v>47</v>
      </c>
      <c r="J108" s="182" t="s">
        <v>1294</v>
      </c>
      <c r="K108" s="90">
        <v>10</v>
      </c>
      <c r="L108" s="90">
        <v>-2</v>
      </c>
      <c r="M108" s="90">
        <v>10</v>
      </c>
      <c r="N108" s="91"/>
      <c r="O108" s="91"/>
      <c r="P108" s="91"/>
      <c r="Q108" s="91"/>
      <c r="R108" s="91"/>
      <c r="S108" s="91"/>
      <c r="T108" s="98" t="s">
        <v>185</v>
      </c>
      <c r="U108" s="89" t="s">
        <v>371</v>
      </c>
      <c r="V108" s="89">
        <v>10</v>
      </c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C108" s="91"/>
      <c r="BD108" s="91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W108" s="91"/>
      <c r="BX108" s="91"/>
      <c r="BY108" s="91"/>
      <c r="BZ108" s="91"/>
      <c r="CA108" s="91"/>
      <c r="CB108" s="90">
        <v>7</v>
      </c>
      <c r="CC108" s="91"/>
      <c r="CD108" s="90" t="s">
        <v>88</v>
      </c>
      <c r="CE108" s="91"/>
      <c r="CF108" s="91"/>
      <c r="CG108" s="90" t="s">
        <v>88</v>
      </c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2"/>
    </row>
    <row r="109" spans="1:120" ht="12.75" customHeight="1">
      <c r="A109" s="2"/>
      <c r="B109" s="2"/>
      <c r="C109" s="2"/>
      <c r="D109" s="2"/>
      <c r="E109" s="2"/>
      <c r="F109" s="2"/>
      <c r="G109" s="2"/>
      <c r="H109" s="2"/>
      <c r="I109" s="182" t="s">
        <v>537</v>
      </c>
      <c r="J109" s="182" t="s">
        <v>1295</v>
      </c>
      <c r="K109" s="183">
        <f>K108</f>
        <v>10</v>
      </c>
      <c r="L109" s="183">
        <f>L108</f>
        <v>-2</v>
      </c>
      <c r="M109" s="183">
        <f>M108</f>
        <v>10</v>
      </c>
      <c r="N109" s="91"/>
      <c r="O109" s="91"/>
      <c r="P109" s="91"/>
      <c r="Q109" s="91"/>
      <c r="R109" s="91"/>
      <c r="S109" s="91"/>
      <c r="T109" s="98" t="s">
        <v>217</v>
      </c>
      <c r="U109" s="89">
        <v>1</v>
      </c>
      <c r="V109" s="89">
        <v>5</v>
      </c>
      <c r="W109" s="91"/>
      <c r="X109" s="91"/>
      <c r="Y109" s="91"/>
      <c r="Z109" s="91"/>
      <c r="AA109" s="91"/>
      <c r="AB109" s="91"/>
      <c r="AC109" s="91"/>
      <c r="AD109" s="91"/>
      <c r="AE109" s="91"/>
      <c r="AF109" s="90">
        <v>1</v>
      </c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C109" s="91"/>
      <c r="BD109" s="91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W109" s="91"/>
      <c r="BX109" s="91"/>
      <c r="BY109" s="91"/>
      <c r="BZ109" s="91"/>
      <c r="CA109" s="91"/>
      <c r="CB109" s="90">
        <v>4</v>
      </c>
      <c r="CC109" s="91"/>
      <c r="CD109" s="90">
        <v>4200</v>
      </c>
      <c r="CE109" s="91"/>
      <c r="CF109" s="91"/>
      <c r="CG109" s="90">
        <v>4300</v>
      </c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2"/>
    </row>
    <row r="110" spans="1:120" ht="12.75" customHeight="1">
      <c r="A110" s="2"/>
      <c r="B110" s="2"/>
      <c r="C110" s="2"/>
      <c r="D110" s="2"/>
      <c r="E110" s="2"/>
      <c r="F110" s="2"/>
      <c r="G110" s="2"/>
      <c r="H110" s="2"/>
      <c r="I110" s="182" t="s">
        <v>537</v>
      </c>
      <c r="J110" s="182" t="s">
        <v>1322</v>
      </c>
      <c r="K110" s="183">
        <f>K108</f>
        <v>10</v>
      </c>
      <c r="L110" s="183">
        <f>L108</f>
        <v>-2</v>
      </c>
      <c r="M110" s="183">
        <f>M108</f>
        <v>10</v>
      </c>
      <c r="N110" s="91"/>
      <c r="O110" s="91"/>
      <c r="P110" s="91"/>
      <c r="Q110" s="91"/>
      <c r="R110" s="91"/>
      <c r="S110" s="91"/>
      <c r="T110" s="98" t="s">
        <v>192</v>
      </c>
      <c r="U110" s="89">
        <v>1</v>
      </c>
      <c r="V110" s="89">
        <v>5</v>
      </c>
      <c r="W110" s="91"/>
      <c r="X110" s="91"/>
      <c r="Y110" s="91"/>
      <c r="Z110" s="91"/>
      <c r="AA110" s="91"/>
      <c r="AB110" s="91"/>
      <c r="AC110" s="91"/>
      <c r="AD110" s="91"/>
      <c r="AE110" s="91"/>
      <c r="AF110" s="90" t="s">
        <v>88</v>
      </c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C110" s="91"/>
      <c r="BD110" s="91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W110" s="91"/>
      <c r="BX110" s="91"/>
      <c r="BY110" s="91"/>
      <c r="BZ110" s="91"/>
      <c r="CA110" s="91"/>
      <c r="CB110" s="90">
        <v>7</v>
      </c>
      <c r="CC110" s="91"/>
      <c r="CD110" s="90" t="s">
        <v>88</v>
      </c>
      <c r="CE110" s="91"/>
      <c r="CF110" s="91"/>
      <c r="CG110" s="90" t="s">
        <v>88</v>
      </c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2"/>
    </row>
    <row r="111" spans="1:120" ht="12.75" customHeight="1">
      <c r="A111" s="2"/>
      <c r="B111" s="2"/>
      <c r="C111" s="2"/>
      <c r="D111" s="2"/>
      <c r="E111" s="2"/>
      <c r="F111" s="2"/>
      <c r="G111" s="2"/>
      <c r="H111" s="2"/>
      <c r="I111" s="49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/>
      <c r="CH111" s="95"/>
      <c r="CI111" s="95"/>
      <c r="CJ111" s="95"/>
      <c r="CK111" s="95"/>
      <c r="CL111" s="95"/>
      <c r="CM111" s="95"/>
      <c r="CN111" s="95"/>
      <c r="CO111" s="95"/>
      <c r="CP111" s="95"/>
      <c r="CQ111" s="95"/>
      <c r="CR111" s="95"/>
      <c r="CS111" s="95"/>
      <c r="CT111" s="95"/>
      <c r="CU111" s="95"/>
      <c r="CV111" s="95"/>
      <c r="CW111" s="95"/>
      <c r="CX111" s="95"/>
      <c r="CY111" s="95"/>
      <c r="CZ111" s="95"/>
      <c r="DA111" s="95"/>
      <c r="DB111" s="95"/>
      <c r="DC111" s="95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576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bestFit="1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customWidth="1"/>
    <col min="9" max="9" width="10.5703125" customWidth="1"/>
    <col min="10" max="10" width="10.7109375" customWidth="1"/>
    <col min="11" max="11" width="7.7109375" bestFit="1" customWidth="1"/>
    <col min="12" max="12" width="31" customWidth="1"/>
  </cols>
  <sheetData>
    <row r="1" spans="1:12" ht="42.75" customHeight="1">
      <c r="A1" s="225" t="s">
        <v>310</v>
      </c>
      <c r="B1" s="225" t="s">
        <v>23</v>
      </c>
      <c r="C1" s="225" t="s">
        <v>91</v>
      </c>
      <c r="D1" s="225" t="s">
        <v>24</v>
      </c>
      <c r="E1" s="225" t="s">
        <v>25</v>
      </c>
      <c r="F1" s="226" t="s">
        <v>26</v>
      </c>
      <c r="G1" s="225" t="s">
        <v>27</v>
      </c>
      <c r="H1" s="225" t="s">
        <v>92</v>
      </c>
      <c r="I1" s="225" t="s">
        <v>28</v>
      </c>
      <c r="J1" s="225" t="s">
        <v>29</v>
      </c>
      <c r="K1" s="225" t="s">
        <v>30</v>
      </c>
      <c r="L1" s="225" t="s">
        <v>90</v>
      </c>
    </row>
    <row r="2" spans="1:12" ht="15" customHeight="1">
      <c r="A2" s="64">
        <v>1</v>
      </c>
      <c r="B2" s="39" t="s">
        <v>784</v>
      </c>
      <c r="C2" s="39" t="s">
        <v>790</v>
      </c>
      <c r="D2" s="39" t="str">
        <f>VLOOKUP(B2,Tbl_Button_Display_ASSTS,2,FALSE)</f>
        <v>EWP 협조 에어 &lt;H/P 사양&gt;</v>
      </c>
      <c r="E2" s="39"/>
      <c r="F2" s="79"/>
      <c r="G2" s="39"/>
      <c r="H2" s="39"/>
      <c r="I2" s="39"/>
      <c r="J2" s="39"/>
      <c r="K2" s="39"/>
      <c r="L2" s="39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140</v>
      </c>
      <c r="E3" s="36"/>
      <c r="F3" s="80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121</v>
      </c>
      <c r="E4" s="5"/>
      <c r="F4" s="81"/>
      <c r="G4" s="5"/>
      <c r="H4" s="5"/>
      <c r="I4" s="5"/>
      <c r="J4" s="5"/>
      <c r="K4" s="5"/>
      <c r="L4" s="5"/>
    </row>
    <row r="5" spans="1:12" ht="14.25" hidden="1" outlineLevel="2">
      <c r="A5" s="67">
        <v>1</v>
      </c>
      <c r="B5" s="7"/>
      <c r="C5" s="7"/>
      <c r="D5" s="7" t="s">
        <v>98</v>
      </c>
      <c r="E5" s="7" t="s">
        <v>132</v>
      </c>
      <c r="F5" s="9">
        <v>14</v>
      </c>
      <c r="G5" s="168" t="s">
        <v>1238</v>
      </c>
      <c r="H5" s="7"/>
      <c r="I5" s="7"/>
      <c r="J5" s="7"/>
      <c r="K5" s="7"/>
      <c r="L5" s="7"/>
    </row>
    <row r="6" spans="1:12" ht="14.25" hidden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hidden="1" outlineLevel="2">
      <c r="A7" s="67">
        <v>1</v>
      </c>
      <c r="B7" s="7"/>
      <c r="C7" s="7"/>
      <c r="D7" s="7" t="s">
        <v>122</v>
      </c>
      <c r="E7" s="7"/>
      <c r="F7" s="7"/>
      <c r="G7" s="7"/>
      <c r="H7" s="7"/>
      <c r="I7" s="7"/>
      <c r="J7" s="7"/>
      <c r="K7" s="7"/>
      <c r="L7" s="7"/>
    </row>
    <row r="8" spans="1:12" ht="14.25" hidden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hidden="1" outlineLevel="2">
      <c r="A9" s="68">
        <v>1</v>
      </c>
      <c r="B9" s="10"/>
      <c r="C9" s="10"/>
      <c r="D9" s="10"/>
      <c r="E9" s="99" t="e">
        <f>User_Profile</f>
        <v>#NAME?</v>
      </c>
      <c r="F9" s="82">
        <v>0</v>
      </c>
      <c r="G9" s="10"/>
      <c r="H9" s="10"/>
      <c r="I9" s="10"/>
      <c r="J9" s="14"/>
      <c r="K9" s="10"/>
      <c r="L9" s="10"/>
    </row>
    <row r="10" spans="1:12" ht="14.25" hidden="1" outlineLevel="2">
      <c r="A10" s="67">
        <v>1</v>
      </c>
      <c r="B10" s="7"/>
      <c r="C10" s="7"/>
      <c r="D10" s="28" t="s">
        <v>772</v>
      </c>
      <c r="E10" s="28" t="s">
        <v>1239</v>
      </c>
      <c r="F10" s="9">
        <v>2000</v>
      </c>
      <c r="G10" s="28" t="s">
        <v>773</v>
      </c>
      <c r="H10" s="7"/>
      <c r="I10" s="7"/>
      <c r="J10" s="7"/>
      <c r="K10" s="7"/>
      <c r="L10" s="7"/>
    </row>
    <row r="11" spans="1:12" ht="14.25" hidden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hidden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hidden="1" outlineLevel="2">
      <c r="A13" s="67">
        <v>1</v>
      </c>
      <c r="B13" s="7"/>
      <c r="C13" s="7"/>
      <c r="D13" s="7"/>
      <c r="E13" s="7" t="str">
        <f>EV_Ready</f>
        <v>VCU_EvDrvRdySta</v>
      </c>
      <c r="F13" s="9">
        <v>1</v>
      </c>
      <c r="G13" s="7"/>
      <c r="H13" s="7"/>
      <c r="I13" s="7"/>
      <c r="J13" s="7"/>
      <c r="K13" s="7"/>
      <c r="L13" s="7"/>
    </row>
    <row r="14" spans="1:12" ht="14.25" hidden="1" outlineLevel="2">
      <c r="A14" s="67">
        <v>1</v>
      </c>
      <c r="B14" s="7"/>
      <c r="C14" s="7"/>
      <c r="D14" s="28" t="s">
        <v>1240</v>
      </c>
      <c r="E14" s="7" t="s">
        <v>106</v>
      </c>
      <c r="F14" s="9">
        <v>35</v>
      </c>
      <c r="G14" s="28"/>
      <c r="H14" s="7"/>
      <c r="I14" s="7"/>
      <c r="J14" s="7"/>
      <c r="K14" s="7"/>
      <c r="L14" s="7"/>
    </row>
    <row r="15" spans="1:12" ht="14.25" hidden="1" outlineLevel="2">
      <c r="A15" s="67">
        <v>1</v>
      </c>
      <c r="B15" s="7"/>
      <c r="C15" s="7"/>
      <c r="D15" s="28" t="s">
        <v>1241</v>
      </c>
      <c r="E15" s="28" t="s">
        <v>136</v>
      </c>
      <c r="F15" s="9">
        <v>35</v>
      </c>
      <c r="G15" s="7"/>
      <c r="H15" s="7"/>
      <c r="I15" s="7"/>
      <c r="J15" s="7"/>
      <c r="K15" s="7"/>
      <c r="L15" s="7"/>
    </row>
    <row r="16" spans="1:12" ht="14.25" hidden="1" outlineLevel="2">
      <c r="A16" s="67">
        <v>1</v>
      </c>
      <c r="B16" s="7"/>
      <c r="C16" s="7"/>
      <c r="D16" s="28"/>
      <c r="E16" s="28" t="s">
        <v>137</v>
      </c>
      <c r="F16" s="9">
        <v>35</v>
      </c>
      <c r="G16" s="7"/>
      <c r="H16" s="7"/>
      <c r="I16" s="7"/>
      <c r="J16" s="7"/>
      <c r="K16" s="7"/>
      <c r="L16" s="7"/>
    </row>
    <row r="17" spans="1:12" ht="14.25" hidden="1" outlineLevel="2">
      <c r="A17" s="67">
        <v>1</v>
      </c>
      <c r="B17" s="7"/>
      <c r="C17" s="7"/>
      <c r="D17" s="28"/>
      <c r="E17" s="28" t="s">
        <v>134</v>
      </c>
      <c r="F17" s="9">
        <v>35</v>
      </c>
      <c r="G17" s="7"/>
      <c r="H17" s="7"/>
      <c r="I17" s="7"/>
      <c r="J17" s="7"/>
      <c r="K17" s="7"/>
      <c r="L17" s="7"/>
    </row>
    <row r="18" spans="1:12" ht="14.25" hidden="1" outlineLevel="2">
      <c r="A18" s="67">
        <v>1</v>
      </c>
      <c r="B18" s="7"/>
      <c r="C18" s="7"/>
      <c r="D18" s="28"/>
      <c r="E18" s="28" t="s">
        <v>135</v>
      </c>
      <c r="F18" s="9">
        <v>35</v>
      </c>
      <c r="G18" s="7"/>
      <c r="H18" s="7"/>
      <c r="I18" s="7"/>
      <c r="J18" s="7"/>
      <c r="K18" s="7"/>
      <c r="L18" s="7"/>
    </row>
    <row r="19" spans="1:12" ht="14.25" hidden="1" outlineLevel="2">
      <c r="A19" s="67">
        <v>1</v>
      </c>
      <c r="B19" s="7"/>
      <c r="C19" s="7"/>
      <c r="D19" s="28" t="s">
        <v>1242</v>
      </c>
      <c r="E19" s="7" t="s">
        <v>107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hidden="1" outlineLevel="2">
      <c r="A20" s="67">
        <v>1</v>
      </c>
      <c r="B20" s="7"/>
      <c r="C20" s="7"/>
      <c r="D20" s="28" t="s">
        <v>124</v>
      </c>
      <c r="E20" s="28" t="s">
        <v>125</v>
      </c>
      <c r="F20" s="9">
        <v>1</v>
      </c>
      <c r="G20" s="28" t="s">
        <v>1243</v>
      </c>
      <c r="H20" s="7"/>
      <c r="I20" s="7"/>
      <c r="J20" s="7"/>
      <c r="K20" s="7"/>
      <c r="L20" s="7"/>
    </row>
    <row r="21" spans="1:12" ht="14.25" hidden="1" outlineLevel="2">
      <c r="A21" s="67">
        <v>1</v>
      </c>
      <c r="B21" s="7"/>
      <c r="C21" s="7"/>
      <c r="D21" s="7" t="s">
        <v>123</v>
      </c>
      <c r="E21" s="7"/>
      <c r="F21" s="7"/>
      <c r="G21" s="7"/>
      <c r="H21" s="7"/>
      <c r="I21" s="7"/>
      <c r="J21" s="7"/>
      <c r="K21" s="7"/>
      <c r="L21" s="7"/>
    </row>
    <row r="22" spans="1:12" ht="14.25" hidden="1" outlineLevel="2">
      <c r="A22" s="67">
        <v>1</v>
      </c>
      <c r="B22" s="7"/>
      <c r="C22" s="7"/>
      <c r="D22" s="28" t="s">
        <v>124</v>
      </c>
      <c r="E22" s="28" t="s">
        <v>133</v>
      </c>
      <c r="F22" s="9">
        <v>4</v>
      </c>
      <c r="G22" s="28"/>
      <c r="H22" s="7"/>
      <c r="I22" s="7"/>
      <c r="J22" s="7"/>
      <c r="K22" s="7"/>
      <c r="L22" s="7"/>
    </row>
    <row r="23" spans="1:12" ht="14.25" hidden="1" outlineLevel="2">
      <c r="A23" s="67">
        <v>1</v>
      </c>
      <c r="B23" s="7"/>
      <c r="C23" s="7"/>
      <c r="D23" s="7"/>
      <c r="E23" s="7" t="s">
        <v>103</v>
      </c>
      <c r="F23" s="9">
        <v>5000</v>
      </c>
      <c r="G23" s="7"/>
      <c r="H23" s="7"/>
      <c r="I23" s="7"/>
      <c r="J23" s="7"/>
      <c r="K23" s="7"/>
      <c r="L23" s="7"/>
    </row>
    <row r="24" spans="1:12" ht="14.25" hidden="1" outlineLevel="2">
      <c r="A24" s="67">
        <v>1</v>
      </c>
      <c r="B24" s="7"/>
      <c r="C24" s="7"/>
      <c r="D24" s="7"/>
      <c r="E24" s="7" t="s">
        <v>101</v>
      </c>
      <c r="F24" s="9">
        <v>2000</v>
      </c>
      <c r="G24" s="7"/>
      <c r="H24" s="7"/>
      <c r="I24" s="7"/>
      <c r="J24" s="7"/>
      <c r="K24" s="7"/>
      <c r="L24" s="7"/>
    </row>
    <row r="25" spans="1:12" ht="14.25" hidden="1" outlineLevel="2">
      <c r="A25" s="67">
        <v>1</v>
      </c>
      <c r="B25" s="7"/>
      <c r="C25" s="7"/>
      <c r="D25" s="7"/>
      <c r="E25" s="7" t="s">
        <v>102</v>
      </c>
      <c r="F25" s="9">
        <v>1</v>
      </c>
      <c r="G25" s="7"/>
      <c r="H25" s="7"/>
      <c r="I25" s="7"/>
      <c r="J25" s="7"/>
      <c r="K25" s="7"/>
      <c r="L25" s="7"/>
    </row>
    <row r="26" spans="1:12" ht="14.25" hidden="1" outlineLevel="2">
      <c r="A26" s="67">
        <v>1</v>
      </c>
      <c r="B26" s="7"/>
      <c r="C26" s="7"/>
      <c r="D26" s="7"/>
      <c r="E26" s="7" t="s">
        <v>103</v>
      </c>
      <c r="F26" s="9">
        <v>5000</v>
      </c>
      <c r="G26" s="7"/>
      <c r="H26" s="7"/>
      <c r="I26" s="7"/>
      <c r="J26" s="7"/>
      <c r="K26" s="7"/>
      <c r="L26" s="7"/>
    </row>
    <row r="27" spans="1:12" ht="14.25" hidden="1" outlineLevel="2">
      <c r="A27" s="68">
        <v>1</v>
      </c>
      <c r="B27" s="10"/>
      <c r="C27" s="10"/>
      <c r="D27" s="10"/>
      <c r="E27" s="28" t="str">
        <f>BatChllrTgtRpm</f>
        <v>VCU_BatChllrTgtRpm</v>
      </c>
      <c r="F27" s="9">
        <v>0</v>
      </c>
      <c r="G27" s="10"/>
      <c r="H27" s="10"/>
      <c r="I27" s="10"/>
      <c r="J27" s="14"/>
      <c r="K27" s="10"/>
      <c r="L27" s="10"/>
    </row>
    <row r="28" spans="1:12" ht="14.25" hidden="1" outlineLevel="2">
      <c r="A28" s="68">
        <v>1</v>
      </c>
      <c r="B28" s="10"/>
      <c r="C28" s="10"/>
      <c r="D28" s="10"/>
      <c r="E28" s="28" t="str">
        <f>BatEwpFltSta</f>
        <v>VCU_BatEwpFltSta</v>
      </c>
      <c r="F28" s="9">
        <v>0</v>
      </c>
      <c r="G28" s="10"/>
      <c r="H28" s="10"/>
      <c r="I28" s="10"/>
      <c r="J28" s="14"/>
      <c r="K28" s="10"/>
      <c r="L28" s="10"/>
    </row>
    <row r="29" spans="1:12" ht="14.25" hidden="1" outlineLevel="2">
      <c r="A29" s="68">
        <v>1</v>
      </c>
      <c r="B29" s="10"/>
      <c r="C29" s="10"/>
      <c r="D29" s="10"/>
      <c r="E29" s="28" t="str">
        <f>LtrEwpFltSt</f>
        <v>VCU_LtrEwpFltSt</v>
      </c>
      <c r="F29" s="9">
        <v>0</v>
      </c>
      <c r="G29" s="10"/>
      <c r="H29" s="10"/>
      <c r="I29" s="10"/>
      <c r="J29" s="14"/>
      <c r="K29" s="10"/>
      <c r="L29" s="10"/>
    </row>
    <row r="30" spans="1:12" ht="14.25" hidden="1" outlineLevel="2">
      <c r="A30" s="68">
        <v>1</v>
      </c>
      <c r="B30" s="10"/>
      <c r="C30" s="10"/>
      <c r="D30" s="10"/>
      <c r="E30" s="28" t="str">
        <f>PtcOprPrm</f>
        <v>CF_Fcu_PtcOprPrm</v>
      </c>
      <c r="F30" s="9">
        <v>1</v>
      </c>
      <c r="G30" s="10"/>
      <c r="H30" s="10"/>
      <c r="I30" s="10"/>
      <c r="J30" s="14"/>
      <c r="K30" s="10"/>
      <c r="L30" s="10"/>
    </row>
    <row r="31" spans="1:12" ht="14.25" hidden="1" outlineLevel="2">
      <c r="A31" s="68">
        <v>1</v>
      </c>
      <c r="B31" s="10"/>
      <c r="C31" s="10"/>
      <c r="D31" s="10"/>
      <c r="E31" s="28" t="str">
        <f>PtcPrmPwr_W</f>
        <v>CR_Fcu_PtcPrmPwr_W</v>
      </c>
      <c r="F31" s="9">
        <v>510</v>
      </c>
      <c r="G31" s="10"/>
      <c r="H31" s="10"/>
      <c r="I31" s="10"/>
      <c r="J31" s="14"/>
      <c r="K31" s="10"/>
      <c r="L31" s="10"/>
    </row>
    <row r="32" spans="1:12" ht="14.25" hidden="1" outlineLevel="2">
      <c r="A32" s="68">
        <v>1</v>
      </c>
      <c r="B32" s="10"/>
      <c r="C32" s="10"/>
      <c r="D32" s="10"/>
      <c r="E32" s="28" t="str">
        <f>HVPP_CstPwrDr_W</f>
        <v>HVPP_CstPwrDr_W</v>
      </c>
      <c r="F32" s="9">
        <v>250</v>
      </c>
      <c r="G32" s="10"/>
      <c r="H32" s="10"/>
      <c r="I32" s="10"/>
      <c r="J32" s="14"/>
      <c r="K32" s="10"/>
      <c r="L32" s="10"/>
    </row>
    <row r="33" spans="1:12" ht="14.25" hidden="1" outlineLevel="2">
      <c r="A33" s="68">
        <v>1</v>
      </c>
      <c r="B33" s="10"/>
      <c r="C33" s="10"/>
      <c r="D33" s="10"/>
      <c r="E33" s="28" t="str">
        <f>HVPP_CstPwrPs_W</f>
        <v>HVPP_CstPwrPs_W</v>
      </c>
      <c r="F33" s="9">
        <v>250</v>
      </c>
      <c r="G33" s="10"/>
      <c r="H33" s="10"/>
      <c r="I33" s="10"/>
      <c r="J33" s="14"/>
      <c r="K33" s="10"/>
      <c r="L33" s="10"/>
    </row>
    <row r="34" spans="1:12" ht="14.25" hidden="1" outlineLevel="2">
      <c r="A34" s="67">
        <v>1</v>
      </c>
      <c r="B34" s="7"/>
      <c r="C34" s="7"/>
      <c r="D34" s="7" t="s">
        <v>36</v>
      </c>
      <c r="E34" s="7"/>
      <c r="F34" s="7"/>
      <c r="G34" s="7"/>
      <c r="H34" s="7"/>
      <c r="I34" s="7"/>
      <c r="J34" s="7"/>
      <c r="K34" s="7"/>
      <c r="L34" s="7"/>
    </row>
    <row r="35" spans="1:12" ht="14.25" hidden="1" outlineLevel="2">
      <c r="A35" s="67">
        <v>1</v>
      </c>
      <c r="B35" s="7"/>
      <c r="C35" s="7"/>
      <c r="D35" s="7"/>
      <c r="E35" s="8" t="e">
        <f>Incar_IN</f>
        <v>#NAME?</v>
      </c>
      <c r="F35" s="63">
        <f>VINTERPOLATION(VLOOKUP(C4,Tbl_Button_Display_ASSTS,2,FALSE),Tbl_Incar_Sensor,3)</f>
        <v>3.3272756433630186</v>
      </c>
      <c r="G35" s="7"/>
      <c r="H35" s="7"/>
      <c r="I35" s="7"/>
      <c r="J35" s="7"/>
      <c r="K35" s="7"/>
      <c r="L35" s="7"/>
    </row>
    <row r="36" spans="1:12" ht="14.25" hidden="1" outlineLevel="2">
      <c r="A36" s="67">
        <v>1</v>
      </c>
      <c r="B36" s="7"/>
      <c r="C36" s="7"/>
      <c r="D36" s="7"/>
      <c r="E36" s="8" t="e">
        <f>Amb_IN</f>
        <v>#NAME?</v>
      </c>
      <c r="F36" s="63">
        <f>VINTERPOLATION(VLOOKUP(C4,Tbl_Button_Display_ASSTS,3,FALSE),Tbl_Amb_Sensor,3)</f>
        <v>3.0441755548022011</v>
      </c>
      <c r="G36" s="28" t="s">
        <v>1244</v>
      </c>
      <c r="H36" s="7"/>
      <c r="I36" s="7"/>
      <c r="J36" s="7"/>
      <c r="K36" s="7"/>
      <c r="L36" s="7"/>
    </row>
    <row r="37" spans="1:12" ht="14.25" hidden="1" outlineLevel="2">
      <c r="A37" s="67">
        <v>1</v>
      </c>
      <c r="B37" s="7"/>
      <c r="C37" s="7"/>
      <c r="D37" s="28" t="s">
        <v>1245</v>
      </c>
      <c r="E37" s="8" t="e">
        <f>EvaDr_IN</f>
        <v>#NAME?</v>
      </c>
      <c r="F37" s="63">
        <f>VINTERPOLATION(VLOOKUP(C4,Tbl_Button_Display_ASSTS,4,FALSE),Tbl_Eva_Sensor,3)</f>
        <v>1.8795506552943622</v>
      </c>
      <c r="G37" s="7"/>
      <c r="H37" s="7"/>
      <c r="I37" s="7"/>
      <c r="J37" s="7"/>
      <c r="K37" s="7"/>
      <c r="L37" s="7"/>
    </row>
    <row r="38" spans="1:12" ht="14.25" hidden="1" outlineLevel="2">
      <c r="A38" s="67">
        <v>1</v>
      </c>
      <c r="B38" s="7"/>
      <c r="C38" s="7"/>
      <c r="D38" s="7"/>
      <c r="E38" s="8" t="e">
        <f>CionDiag_V</f>
        <v>#NAME?</v>
      </c>
      <c r="F38" s="9">
        <v>2.7</v>
      </c>
      <c r="G38" s="7"/>
      <c r="H38" s="7"/>
      <c r="I38" s="7"/>
      <c r="J38" s="7"/>
      <c r="K38" s="7"/>
      <c r="L38" s="7"/>
    </row>
    <row r="39" spans="1:12" ht="14.25" hidden="1" outlineLevel="2">
      <c r="A39" s="67">
        <v>1</v>
      </c>
      <c r="B39" s="7"/>
      <c r="C39" s="7"/>
      <c r="D39" s="28" t="s">
        <v>1246</v>
      </c>
      <c r="E39" s="29" t="e">
        <f>Duct_ALL_V</f>
        <v>#NAME?</v>
      </c>
      <c r="F39" s="227">
        <f>VINTERPOLATION(VLOOKUP(C4,Tbl_Button_Display_ASSTS,9,FALSE),Tbl_Duct_Sensor,3)</f>
        <v>0.74548935050593534</v>
      </c>
      <c r="G39" s="7"/>
      <c r="H39" s="7"/>
      <c r="I39" s="7"/>
      <c r="J39" s="7"/>
      <c r="K39" s="7"/>
      <c r="L39" s="7"/>
    </row>
    <row r="40" spans="1:12" ht="14.25" hidden="1" outlineLevel="2">
      <c r="A40" s="67">
        <v>1</v>
      </c>
      <c r="B40" s="7"/>
      <c r="C40" s="7"/>
      <c r="D40" s="7"/>
      <c r="E40" s="8" t="e">
        <f>Photo_L_V</f>
        <v>#NAME?</v>
      </c>
      <c r="F40" s="9">
        <v>0</v>
      </c>
      <c r="G40" s="7"/>
      <c r="H40" s="7"/>
      <c r="I40" s="7"/>
      <c r="J40" s="7"/>
      <c r="K40" s="7"/>
      <c r="L40" s="7"/>
    </row>
    <row r="41" spans="1:12" ht="14.25" hidden="1" outlineLevel="2">
      <c r="A41" s="67">
        <v>1</v>
      </c>
      <c r="B41" s="7"/>
      <c r="C41" s="7"/>
      <c r="D41" s="7"/>
      <c r="E41" s="8" t="e">
        <f>Photo_R_V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hidden="1" outlineLevel="2">
      <c r="A42" s="67">
        <v>1</v>
      </c>
      <c r="B42" s="7"/>
      <c r="C42" s="7"/>
      <c r="D42" s="10"/>
      <c r="E42" s="13" t="e">
        <f>T_windshield</f>
        <v>#NAME?</v>
      </c>
      <c r="F42" s="11">
        <v>30</v>
      </c>
      <c r="G42" s="28" t="s">
        <v>344</v>
      </c>
      <c r="H42" s="7"/>
      <c r="I42" s="7"/>
      <c r="J42" s="7"/>
      <c r="K42" s="7"/>
      <c r="L42" s="7"/>
    </row>
    <row r="43" spans="1:12" ht="14.25" hidden="1" outlineLevel="2">
      <c r="A43" s="67">
        <v>1</v>
      </c>
      <c r="B43" s="7"/>
      <c r="C43" s="7"/>
      <c r="D43" s="28" t="s">
        <v>1247</v>
      </c>
      <c r="E43" s="28" t="s">
        <v>126</v>
      </c>
      <c r="F43" s="9">
        <v>35</v>
      </c>
      <c r="G43" s="28"/>
      <c r="H43" s="7"/>
      <c r="I43" s="7"/>
      <c r="J43" s="7"/>
      <c r="K43" s="7"/>
      <c r="L43" s="7"/>
    </row>
    <row r="44" spans="1:12" ht="14.25" hidden="1" outlineLevel="1">
      <c r="A44" s="67">
        <v>1</v>
      </c>
      <c r="B44" s="7"/>
      <c r="C44" s="7"/>
      <c r="D44" s="28" t="s">
        <v>1247</v>
      </c>
      <c r="E44" s="28" t="s">
        <v>105</v>
      </c>
      <c r="F44" s="9">
        <v>35</v>
      </c>
      <c r="G44" s="7"/>
      <c r="H44" s="7"/>
      <c r="I44" s="7"/>
      <c r="J44" s="7"/>
      <c r="K44" s="7"/>
      <c r="L44" s="7"/>
    </row>
    <row r="45" spans="1:12" ht="14.25" hidden="1" outlineLevel="2">
      <c r="A45" s="67">
        <v>1</v>
      </c>
      <c r="B45" s="7"/>
      <c r="C45" s="7"/>
      <c r="D45" s="28" t="s">
        <v>1248</v>
      </c>
      <c r="E45" s="29" t="str">
        <f>P_SIGNAL_COMP_OUT</f>
        <v>Snr_P SIGNAL_COMP OUT(PSI)_IN</v>
      </c>
      <c r="F45" s="9">
        <v>80</v>
      </c>
      <c r="G45" s="28" t="s">
        <v>1249</v>
      </c>
      <c r="H45" s="7"/>
      <c r="I45" s="7"/>
      <c r="J45" s="7"/>
      <c r="K45" s="7"/>
      <c r="L45" s="7"/>
    </row>
    <row r="46" spans="1:12" ht="14.25" hidden="1" outlineLevel="2">
      <c r="A46" s="67">
        <v>1</v>
      </c>
      <c r="B46" s="7"/>
      <c r="C46" s="7"/>
      <c r="D46" s="28"/>
      <c r="E46" s="29" t="str">
        <f>T_SIGNAL_COMP_OUT</f>
        <v>Snr_T SIGNAL_COMP OUT(degC)_IN</v>
      </c>
      <c r="F46" s="9">
        <v>40</v>
      </c>
      <c r="G46" s="28" t="s">
        <v>1250</v>
      </c>
      <c r="H46" s="7"/>
      <c r="I46" s="7"/>
      <c r="J46" s="7"/>
      <c r="K46" s="7"/>
      <c r="L46" s="7"/>
    </row>
    <row r="47" spans="1:12" ht="14.25" hidden="1" outlineLevel="2">
      <c r="A47" s="68">
        <v>1</v>
      </c>
      <c r="B47" s="10"/>
      <c r="C47" s="10"/>
      <c r="D47" s="28"/>
      <c r="E47" s="29" t="str">
        <f>P_SIGNAL_BCHILLER</f>
        <v>Snr_P SIGNAL_B/CHILLER(PSI)_IN</v>
      </c>
      <c r="F47" s="9">
        <v>40</v>
      </c>
      <c r="G47" s="7"/>
      <c r="H47" s="10"/>
      <c r="I47" s="10"/>
      <c r="J47" s="14"/>
      <c r="K47" s="10"/>
      <c r="L47" s="10"/>
    </row>
    <row r="48" spans="1:12" ht="14.25" hidden="1" outlineLevel="2">
      <c r="A48" s="67">
        <v>1</v>
      </c>
      <c r="B48" s="7"/>
      <c r="C48" s="7"/>
      <c r="D48" s="28"/>
      <c r="E48" s="29" t="str">
        <f>T_SIGNAL_BCHILLER</f>
        <v>Snr_T SIGNAL_B/CHILLER(degC)_IN</v>
      </c>
      <c r="F48" s="9">
        <v>40</v>
      </c>
      <c r="G48" s="7"/>
      <c r="H48" s="7"/>
      <c r="I48" s="7"/>
      <c r="J48" s="7"/>
      <c r="K48" s="7"/>
      <c r="L48" s="7"/>
    </row>
    <row r="49" spans="1:12" ht="15" customHeight="1" outlineLevel="2">
      <c r="A49" s="66">
        <v>1</v>
      </c>
      <c r="B49" s="5" t="s">
        <v>31</v>
      </c>
      <c r="C49" s="6" t="s">
        <v>34</v>
      </c>
      <c r="D49" s="6" t="s">
        <v>1251</v>
      </c>
      <c r="E49" s="5"/>
      <c r="F49" s="5"/>
      <c r="G49" s="5"/>
      <c r="H49" s="5"/>
      <c r="I49" s="5"/>
      <c r="J49" s="5"/>
      <c r="K49" s="5"/>
      <c r="L49" s="5"/>
    </row>
    <row r="50" spans="1:12" ht="14.25" hidden="1" outlineLevel="1">
      <c r="A50" s="68">
        <v>1</v>
      </c>
      <c r="B50" s="10"/>
      <c r="C50" s="10"/>
      <c r="D50" s="10" t="s">
        <v>384</v>
      </c>
      <c r="E50" s="10"/>
      <c r="F50" s="10"/>
      <c r="G50" s="10" t="s">
        <v>385</v>
      </c>
      <c r="H50" s="10"/>
      <c r="I50" s="7"/>
      <c r="J50" s="85"/>
      <c r="K50" s="10"/>
      <c r="L50" s="10"/>
    </row>
    <row r="51" spans="1:12" ht="14.25" hidden="1" outlineLevel="2">
      <c r="A51" s="68">
        <v>1</v>
      </c>
      <c r="B51" s="10"/>
      <c r="C51" s="10"/>
      <c r="D51" s="10" t="s">
        <v>384</v>
      </c>
      <c r="E51" s="10"/>
      <c r="F51" s="10"/>
      <c r="G51" s="10" t="s">
        <v>386</v>
      </c>
      <c r="H51" s="10"/>
      <c r="I51" s="7"/>
      <c r="J51" s="85"/>
      <c r="K51" s="10"/>
      <c r="L51" s="10"/>
    </row>
    <row r="52" spans="1:12" ht="14.25" hidden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387</v>
      </c>
      <c r="H52" s="10"/>
      <c r="I52" s="7"/>
      <c r="J52" s="85"/>
      <c r="K52" s="10"/>
      <c r="L52" s="10"/>
    </row>
    <row r="53" spans="1:12" ht="14.25" hidden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388</v>
      </c>
      <c r="H53" s="10"/>
      <c r="I53" s="7"/>
      <c r="J53" s="85"/>
      <c r="K53" s="10"/>
      <c r="L53" s="10"/>
    </row>
    <row r="54" spans="1:12" ht="14.25" hidden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389</v>
      </c>
      <c r="H54" s="10"/>
      <c r="I54" s="7"/>
      <c r="J54" s="85"/>
      <c r="K54" s="10"/>
      <c r="L54" s="10"/>
    </row>
    <row r="55" spans="1:12" ht="14.25" customHeight="1" outlineLevel="1">
      <c r="A55" s="66">
        <v>1</v>
      </c>
      <c r="B55" s="5" t="s">
        <v>31</v>
      </c>
      <c r="C55" s="6" t="s">
        <v>37</v>
      </c>
      <c r="D55" s="6" t="s">
        <v>164</v>
      </c>
      <c r="E55" s="5"/>
      <c r="F55" s="81"/>
      <c r="G55" s="5"/>
      <c r="H55" s="5"/>
      <c r="I55" s="5"/>
      <c r="J55" s="5"/>
      <c r="K55" s="5"/>
      <c r="L55" s="5"/>
    </row>
    <row r="56" spans="1:12" ht="14.25" hidden="1" outlineLevel="2">
      <c r="A56" s="68">
        <v>1</v>
      </c>
      <c r="B56" s="10"/>
      <c r="C56" s="10"/>
      <c r="D56" s="10"/>
      <c r="E56" s="10" t="s">
        <v>130</v>
      </c>
      <c r="F56" s="82" t="s">
        <v>131</v>
      </c>
      <c r="G56" s="10"/>
      <c r="H56" s="10"/>
      <c r="I56" s="30"/>
      <c r="J56" s="30"/>
      <c r="K56" s="10"/>
      <c r="L56" s="10"/>
    </row>
    <row r="57" spans="1:12" ht="14.25" hidden="1" outlineLevel="2">
      <c r="A57" s="68">
        <v>1</v>
      </c>
      <c r="B57" s="10"/>
      <c r="C57" s="10"/>
      <c r="D57" s="10"/>
      <c r="E57" s="10"/>
      <c r="F57" s="83"/>
      <c r="G57" s="10" t="s">
        <v>127</v>
      </c>
      <c r="H57" s="10"/>
      <c r="I57" s="31" t="s">
        <v>129</v>
      </c>
      <c r="J57" s="10"/>
      <c r="K57" s="10"/>
      <c r="L57" s="10"/>
    </row>
    <row r="58" spans="1:12" ht="14.25" hidden="1" outlineLevel="2">
      <c r="A58" s="68">
        <v>1</v>
      </c>
      <c r="B58" s="10"/>
      <c r="C58" s="10"/>
      <c r="D58" s="44" t="s">
        <v>1252</v>
      </c>
      <c r="E58" s="10" t="s">
        <v>89</v>
      </c>
      <c r="F58" s="9" t="e">
        <f>CONCATENATE("자가진단 진입 : ",SelfDiagCode)</f>
        <v>#NAME?</v>
      </c>
      <c r="G58" s="10"/>
      <c r="H58" s="10"/>
      <c r="I58" s="10"/>
      <c r="J58" s="30"/>
      <c r="K58" s="10"/>
      <c r="L58" s="10"/>
    </row>
    <row r="59" spans="1:12" ht="14.25" hidden="1" collapsed="1">
      <c r="A59" s="68">
        <v>1</v>
      </c>
      <c r="B59" s="10"/>
      <c r="C59" s="10"/>
      <c r="D59" s="10"/>
      <c r="E59" s="10"/>
      <c r="F59" s="83"/>
      <c r="G59" s="10" t="s">
        <v>128</v>
      </c>
      <c r="H59" s="10"/>
      <c r="I59" s="12">
        <v>0</v>
      </c>
      <c r="J59" s="30"/>
      <c r="K59" s="10"/>
      <c r="L59" s="10"/>
    </row>
    <row r="60" spans="1:12" ht="14.25" customHeight="1" outlineLevel="1">
      <c r="A60" s="66">
        <v>1</v>
      </c>
      <c r="B60" s="5" t="s">
        <v>31</v>
      </c>
      <c r="C60" s="6" t="s">
        <v>97</v>
      </c>
      <c r="D60" s="6" t="s">
        <v>112</v>
      </c>
      <c r="E60" s="5"/>
      <c r="F60" s="81"/>
      <c r="G60" s="5"/>
      <c r="H60" s="5"/>
      <c r="I60" s="5"/>
      <c r="J60" s="5"/>
      <c r="K60" s="5"/>
      <c r="L60" s="5"/>
    </row>
    <row r="61" spans="1:12" ht="14.25" hidden="1" outlineLevel="2">
      <c r="A61" s="67">
        <v>1</v>
      </c>
      <c r="B61" s="7"/>
      <c r="C61" s="7"/>
      <c r="D61" s="7" t="s">
        <v>138</v>
      </c>
      <c r="E61" s="7" t="s">
        <v>93</v>
      </c>
      <c r="F61" s="82" t="s">
        <v>373</v>
      </c>
      <c r="G61" s="7"/>
      <c r="H61" s="7"/>
      <c r="I61" s="7"/>
      <c r="J61" s="7"/>
      <c r="K61" s="7"/>
      <c r="L61" s="7"/>
    </row>
    <row r="62" spans="1:12" ht="14.25" hidden="1" outlineLevel="2">
      <c r="A62" s="68">
        <v>1</v>
      </c>
      <c r="B62" s="10"/>
      <c r="C62" s="10"/>
      <c r="D62" s="10"/>
      <c r="E62" s="7" t="s">
        <v>5</v>
      </c>
      <c r="F62" s="82">
        <v>2</v>
      </c>
      <c r="G62" s="10"/>
      <c r="H62" s="10"/>
      <c r="I62" s="10"/>
      <c r="J62" s="10"/>
      <c r="K62" s="10"/>
      <c r="L62" s="10"/>
    </row>
    <row r="63" spans="1:12" ht="14.25" hidden="1" outlineLevel="2">
      <c r="A63" s="68">
        <v>1</v>
      </c>
      <c r="B63" s="10"/>
      <c r="C63" s="10"/>
      <c r="D63" s="44"/>
      <c r="E63" s="10" t="s">
        <v>89</v>
      </c>
      <c r="F63" s="84" t="s">
        <v>1253</v>
      </c>
      <c r="G63" s="41"/>
      <c r="H63" s="41"/>
      <c r="I63" s="41"/>
      <c r="J63" s="30"/>
      <c r="K63" s="10"/>
      <c r="L63" s="10"/>
    </row>
    <row r="64" spans="1:12" ht="14.25" customHeight="1" outlineLevel="2">
      <c r="A64" s="69">
        <v>1</v>
      </c>
      <c r="B64" s="37" t="s">
        <v>143</v>
      </c>
      <c r="C64" s="37" t="s">
        <v>785</v>
      </c>
      <c r="D64" s="37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  <c r="E64" s="37"/>
      <c r="F64" s="37"/>
      <c r="G64" s="37"/>
      <c r="H64" s="37"/>
      <c r="I64" s="37"/>
      <c r="J64" s="37"/>
      <c r="K64" s="37"/>
      <c r="L64" s="37"/>
    </row>
    <row r="65" spans="1:12" ht="16.5" customHeight="1" outlineLevel="2">
      <c r="A65" s="103">
        <v>1</v>
      </c>
      <c r="B65" s="104" t="s">
        <v>38</v>
      </c>
      <c r="C65" s="104" t="s">
        <v>786</v>
      </c>
      <c r="D65" s="104" t="s">
        <v>1254</v>
      </c>
      <c r="E65" s="104"/>
      <c r="F65" s="104"/>
      <c r="G65" s="104"/>
      <c r="H65" s="104"/>
      <c r="I65" s="104"/>
      <c r="J65" s="104"/>
      <c r="K65" s="104"/>
      <c r="L65" s="104"/>
    </row>
    <row r="66" spans="1:12" ht="16.5" hidden="1" outlineLevel="2">
      <c r="A66" s="68">
        <v>1</v>
      </c>
      <c r="B66" s="10"/>
      <c r="C66" s="10"/>
      <c r="D66" s="10"/>
      <c r="E66" s="99" t="str">
        <f>P_SIGNAL_COMP_OUT</f>
        <v>Snr_P SIGNAL_COMP OUT(PSI)_IN</v>
      </c>
      <c r="F66" s="105">
        <v>235</v>
      </c>
      <c r="G66" s="185"/>
      <c r="H66" s="10"/>
      <c r="I66" s="10"/>
      <c r="J66" s="10"/>
      <c r="K66" s="10"/>
      <c r="L66" s="10"/>
    </row>
    <row r="67" spans="1:12" ht="16.5" hidden="1" outlineLevel="2">
      <c r="A67" s="68">
        <v>1</v>
      </c>
      <c r="B67" s="10"/>
      <c r="C67" s="10"/>
      <c r="D67" s="10"/>
      <c r="E67" s="99" t="str">
        <f>Main_Relay_Sta</f>
        <v>xEV_MainRlyOnSta</v>
      </c>
      <c r="F67" s="105">
        <v>1</v>
      </c>
      <c r="G67" s="185"/>
      <c r="H67" s="10"/>
      <c r="I67" s="10"/>
      <c r="J67" s="10"/>
      <c r="K67" s="10"/>
      <c r="L67" s="10"/>
    </row>
    <row r="68" spans="1:12" ht="14.25" hidden="1" outlineLevel="2">
      <c r="A68" s="68">
        <v>1</v>
      </c>
      <c r="B68" s="10"/>
      <c r="C68" s="10"/>
      <c r="D68" s="10"/>
      <c r="E68" s="99" t="str">
        <f>VLOOKUP(C65,Tbl_Button_Display_ASSTS,11,FALSE)</f>
        <v>MsgBox</v>
      </c>
      <c r="F68" s="11" t="e">
        <f>VLOOKUP(C65,Tbl_Button_Display_ASSTS,12,FALSE)</f>
        <v>#NAME?</v>
      </c>
      <c r="G68" s="10"/>
      <c r="H68" s="10"/>
      <c r="I68" s="10"/>
      <c r="J68" s="10"/>
      <c r="K68" s="10"/>
      <c r="L68" s="10"/>
    </row>
    <row r="69" spans="1:12" ht="14.25" hidden="1" outlineLevel="2">
      <c r="A69" s="68">
        <v>1</v>
      </c>
      <c r="B69" s="10"/>
      <c r="C69" s="10"/>
      <c r="D69" s="10"/>
      <c r="E69" s="14" t="s">
        <v>5</v>
      </c>
      <c r="F69" s="11">
        <f>VLOOKUP(C65,Tbl_Button_Display_ASSTS,13,FALSE)</f>
        <v>10</v>
      </c>
      <c r="G69" s="10"/>
      <c r="H69" s="10"/>
      <c r="I69" s="10"/>
      <c r="J69" s="10"/>
      <c r="K69" s="10"/>
      <c r="L69" s="10"/>
    </row>
    <row r="70" spans="1:12" ht="14.25" hidden="1" outlineLevel="2">
      <c r="A70" s="68">
        <v>1</v>
      </c>
      <c r="B70" s="10"/>
      <c r="C70" s="10"/>
      <c r="D70" s="10"/>
      <c r="E70" s="10"/>
      <c r="F70" s="83"/>
      <c r="G70" s="10" t="e">
        <f>Incar_OUT</f>
        <v>#NAME?</v>
      </c>
      <c r="H70" s="10"/>
      <c r="I70" s="12">
        <f>VLOOKUP(C65,Tbl_Button_Display_ASSTS,2,FALSE)</f>
        <v>10</v>
      </c>
      <c r="J70" s="10"/>
      <c r="K70" s="10"/>
      <c r="L70" s="10"/>
    </row>
    <row r="71" spans="1:12" ht="14.25" hidden="1" outlineLevel="2">
      <c r="A71" s="68">
        <v>1</v>
      </c>
      <c r="B71" s="10"/>
      <c r="C71" s="10"/>
      <c r="D71" s="10"/>
      <c r="E71" s="10"/>
      <c r="F71" s="83"/>
      <c r="G71" s="10" t="e">
        <f>Amb_OUT</f>
        <v>#NAME?</v>
      </c>
      <c r="H71" s="10"/>
      <c r="I71" s="12">
        <f>VLOOKUP(C65,Tbl_Button_Display_ASSTS,3,FALSE)</f>
        <v>15</v>
      </c>
      <c r="J71" s="10"/>
      <c r="K71" s="10"/>
      <c r="L71" s="10"/>
    </row>
    <row r="72" spans="1:12" ht="14.25" hidden="1" outlineLevel="2">
      <c r="A72" s="68">
        <v>1</v>
      </c>
      <c r="B72" s="10"/>
      <c r="C72" s="10"/>
      <c r="D72" s="10"/>
      <c r="E72" s="10"/>
      <c r="F72" s="10"/>
      <c r="G72" s="10" t="e">
        <f>AcDisp</f>
        <v>#NAME?</v>
      </c>
      <c r="H72" s="10"/>
      <c r="I72" s="12" t="str">
        <f>VLOOKUP(C65,Tbl_Button_Display_ASSTS,31,FALSE)</f>
        <v>Off</v>
      </c>
      <c r="J72" s="10"/>
      <c r="K72" s="10"/>
      <c r="L72" s="10"/>
    </row>
    <row r="73" spans="1:12" ht="14.25" hidden="1" outlineLevel="2">
      <c r="A73" s="68">
        <v>1</v>
      </c>
      <c r="B73" s="10"/>
      <c r="C73" s="10"/>
      <c r="D73" s="10"/>
      <c r="E73" s="10"/>
      <c r="F73" s="83"/>
      <c r="G73" s="10" t="str">
        <f>HP_ModSta</f>
        <v>DATC_HtrPmpModSta</v>
      </c>
      <c r="H73" s="47" t="e">
        <f>VLOOKUP(C65,Tbl_Button_Display_ASSTS,71,FALSE)</f>
        <v>#REF!</v>
      </c>
      <c r="I73" s="45" t="e">
        <f>(IF(H73="","",VLOOKUP(H73,Tbl_HP_Cycle,2,FALSE)))</f>
        <v>#REF!</v>
      </c>
      <c r="J73" s="10"/>
      <c r="K73" s="10"/>
      <c r="L73" s="10"/>
    </row>
    <row r="74" spans="1:12" ht="14.25" hidden="1" outlineLevel="2">
      <c r="A74" s="68">
        <v>1</v>
      </c>
      <c r="B74" s="10"/>
      <c r="C74" s="10"/>
      <c r="D74" s="10"/>
      <c r="E74" s="10"/>
      <c r="F74" s="10"/>
      <c r="G74" s="10" t="str">
        <f>PeEwpRPMReq</f>
        <v>DATC_PeEwpRPMReq</v>
      </c>
      <c r="H74" s="10"/>
      <c r="I74" s="12" t="e">
        <f>VLOOKUP(C65,Tbl_Button_Display_ASSTS,76,FALSE)</f>
        <v>#REF!</v>
      </c>
      <c r="J74" s="10"/>
      <c r="K74" s="10"/>
      <c r="L74" s="10"/>
    </row>
    <row r="75" spans="1:12" ht="14.25" hidden="1" outlineLevel="1">
      <c r="A75" s="68">
        <v>1</v>
      </c>
      <c r="B75" s="10"/>
      <c r="C75" s="10"/>
      <c r="D75" s="10"/>
      <c r="E75" s="10"/>
      <c r="F75" s="10"/>
      <c r="G75" s="10" t="str">
        <f>BatteryEWPOper</f>
        <v>DATC_BattEwpOpReq</v>
      </c>
      <c r="H75" s="10"/>
      <c r="I75" s="12" t="e">
        <f>VLOOKUP(C65,Tbl_Button_Display_ASSTS,73,FALSE)</f>
        <v>#REF!</v>
      </c>
      <c r="J75" s="10"/>
      <c r="K75" s="10"/>
      <c r="L75" s="10"/>
    </row>
    <row r="76" spans="1:12" ht="14.25" customHeight="1" outlineLevel="2">
      <c r="A76" s="70">
        <v>1</v>
      </c>
      <c r="B76" s="38" t="s">
        <v>142</v>
      </c>
      <c r="C76" s="38" t="s">
        <v>787</v>
      </c>
      <c r="D76" s="38" t="e">
        <f>CONCATENATE(I80," 모드 일 때, ",G81," = ",I81,"rpm, ",G82," = ",I82,"rpm 출력 확인")</f>
        <v>#REF!</v>
      </c>
      <c r="E76" s="38"/>
      <c r="F76" s="38"/>
      <c r="G76" s="38"/>
      <c r="H76" s="38"/>
      <c r="I76" s="38"/>
      <c r="J76" s="38"/>
      <c r="K76" s="38"/>
      <c r="L76" s="38"/>
    </row>
    <row r="77" spans="1:12" ht="14.25" hidden="1" outlineLevel="2">
      <c r="A77" s="68">
        <v>1</v>
      </c>
      <c r="B77" s="10"/>
      <c r="C77" s="10"/>
      <c r="D77" s="10"/>
      <c r="E77" s="99" t="str">
        <f>VLOOKUP(C76,Tbl_Button_Display_ASSTS,11,FALSE)</f>
        <v>Sw_AC</v>
      </c>
      <c r="F77" s="11">
        <f>VLOOKUP(C76,Tbl_Button_Display_ASSTS,12,FALSE)</f>
        <v>1</v>
      </c>
      <c r="G77" s="10"/>
      <c r="H77" s="10"/>
      <c r="I77" s="10"/>
      <c r="J77" s="14"/>
      <c r="K77" s="10"/>
      <c r="L77" s="10"/>
    </row>
    <row r="78" spans="1:12" ht="14.25" hidden="1" outlineLevel="2">
      <c r="A78" s="68">
        <v>1</v>
      </c>
      <c r="B78" s="10"/>
      <c r="C78" s="10"/>
      <c r="D78" s="10"/>
      <c r="E78" s="14" t="s">
        <v>5</v>
      </c>
      <c r="F78" s="11">
        <f>VLOOKUP(C76,Tbl_Button_Display_ASSTS,13,FALSE)</f>
        <v>2</v>
      </c>
      <c r="G78" s="10"/>
      <c r="H78" s="10"/>
      <c r="I78" s="10"/>
      <c r="J78" s="10"/>
      <c r="K78" s="10"/>
      <c r="L78" s="10"/>
    </row>
    <row r="79" spans="1:12" ht="14.25" hidden="1" outlineLevel="2">
      <c r="A79" s="68">
        <v>1</v>
      </c>
      <c r="B79" s="10"/>
      <c r="C79" s="10"/>
      <c r="D79" s="10"/>
      <c r="E79" s="10"/>
      <c r="F79" s="10"/>
      <c r="G79" s="10" t="e">
        <f>AcDisp</f>
        <v>#NAME?</v>
      </c>
      <c r="H79" s="10"/>
      <c r="I79" s="12" t="str">
        <f>VLOOKUP(C76,Tbl_Button_Display_ASSTS,31,FALSE)</f>
        <v>On</v>
      </c>
      <c r="J79" s="10"/>
      <c r="K79" s="10"/>
      <c r="L79" s="10"/>
    </row>
    <row r="80" spans="1:12" ht="14.25" hidden="1" outlineLevel="2">
      <c r="A80" s="68">
        <v>1</v>
      </c>
      <c r="B80" s="10"/>
      <c r="C80" s="10"/>
      <c r="D80" s="10"/>
      <c r="E80" s="10"/>
      <c r="F80" s="83"/>
      <c r="G80" s="10" t="str">
        <f>HP_ModSta</f>
        <v>DATC_HtrPmpModSta</v>
      </c>
      <c r="H80" s="47" t="e">
        <f>VLOOKUP(C76,Tbl_Button_Display_ASSTS,71,FALSE)</f>
        <v>#REF!</v>
      </c>
      <c r="I80" s="45" t="e">
        <f>(IF(H80="","",VLOOKUP(H80,Tbl_HP_Cycle,2,FALSE)))</f>
        <v>#REF!</v>
      </c>
      <c r="J80" s="10"/>
      <c r="K80" s="10"/>
      <c r="L80" s="10"/>
    </row>
    <row r="81" spans="1:12" ht="14.25" hidden="1" outlineLevel="2">
      <c r="A81" s="68">
        <v>1</v>
      </c>
      <c r="B81" s="10"/>
      <c r="C81" s="10"/>
      <c r="D81" s="10"/>
      <c r="E81" s="10"/>
      <c r="F81" s="10"/>
      <c r="G81" s="10" t="str">
        <f>PeEwpRPMReq</f>
        <v>DATC_PeEwpRPMReq</v>
      </c>
      <c r="H81" s="10"/>
      <c r="I81" s="46" t="e">
        <f>VLOOKUP(C76,Tbl_Button_Display_ASSTS,76,FALSE)</f>
        <v>#REF!</v>
      </c>
      <c r="J81" s="10"/>
      <c r="K81" s="10"/>
      <c r="L81" s="10"/>
    </row>
    <row r="82" spans="1:12" ht="14.25" hidden="1" outlineLevel="2">
      <c r="A82" s="68">
        <v>1</v>
      </c>
      <c r="B82" s="10"/>
      <c r="C82" s="10"/>
      <c r="D82" s="10"/>
      <c r="E82" s="10"/>
      <c r="F82" s="10"/>
      <c r="G82" s="10" t="str">
        <f>BatteryEWPOper</f>
        <v>DATC_BattEwpOpReq</v>
      </c>
      <c r="H82" s="10"/>
      <c r="I82" s="46" t="e">
        <f>VLOOKUP(C76,Tbl_Button_Display_ASSTS,73,FALSE)</f>
        <v>#REF!</v>
      </c>
      <c r="J82" s="10"/>
      <c r="K82" s="10"/>
      <c r="L82" s="10"/>
    </row>
    <row r="83" spans="1:12" ht="13.35" customHeight="1" outlineLevel="2">
      <c r="A83" s="70">
        <v>1</v>
      </c>
      <c r="B83" s="38" t="s">
        <v>142</v>
      </c>
      <c r="C83" s="38" t="s">
        <v>788</v>
      </c>
      <c r="D83" s="38" t="e">
        <f>CONCATENATE(E84," = ",F84," 설정 시, ",G86," = ",I86,"rpm, ",G87," = ",I87,"rpm 출력 확인")</f>
        <v>#REF!</v>
      </c>
      <c r="E83" s="38"/>
      <c r="F83" s="38"/>
      <c r="G83" s="38"/>
      <c r="H83" s="38"/>
      <c r="I83" s="38"/>
      <c r="J83" s="38"/>
      <c r="K83" s="38"/>
      <c r="L83" s="38"/>
    </row>
    <row r="84" spans="1:12" ht="14.25" hidden="1" outlineLevel="2">
      <c r="A84" s="68">
        <v>1</v>
      </c>
      <c r="B84" s="10"/>
      <c r="C84" s="10"/>
      <c r="D84" s="10"/>
      <c r="E84" s="99" t="str">
        <f>VLOOKUP(C83,Tbl_Button_Display_ASSTS,11,FALSE)</f>
        <v>Snr_P SIGNAL_COMP OUT(PSI)_IN</v>
      </c>
      <c r="F84" s="11">
        <f>VLOOKUP(C83,Tbl_Button_Display_ASSTS,12,FALSE)</f>
        <v>213</v>
      </c>
      <c r="G84" s="10"/>
      <c r="H84" s="10"/>
      <c r="I84" s="10"/>
      <c r="J84" s="14"/>
      <c r="K84" s="10"/>
      <c r="L84" s="10"/>
    </row>
    <row r="85" spans="1:12" ht="14.25" hidden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5</v>
      </c>
      <c r="G85" s="10"/>
      <c r="H85" s="10"/>
      <c r="I85" s="10"/>
      <c r="J85" s="14"/>
      <c r="K85" s="10"/>
      <c r="L85" s="10"/>
    </row>
    <row r="86" spans="1:12" ht="14.25" hidden="1" outlineLevel="1">
      <c r="A86" s="68">
        <v>1</v>
      </c>
      <c r="B86" s="10"/>
      <c r="C86" s="10"/>
      <c r="D86" s="10"/>
      <c r="E86" s="10"/>
      <c r="F86" s="10"/>
      <c r="G86" s="10" t="str">
        <f>PeEwpRPMReq</f>
        <v>DATC_PeEwpRPMReq</v>
      </c>
      <c r="H86" s="10"/>
      <c r="I86" s="46" t="e">
        <f>VLOOKUP(C83,Tbl_Button_Display_ASSTS,76,FALSE)</f>
        <v>#REF!</v>
      </c>
      <c r="J86" s="10"/>
      <c r="K86" s="10"/>
      <c r="L86" s="10"/>
    </row>
    <row r="87" spans="1:12" ht="14.25" hidden="1" outlineLevel="2">
      <c r="A87" s="68">
        <v>1</v>
      </c>
      <c r="B87" s="10"/>
      <c r="C87" s="10"/>
      <c r="D87" s="10"/>
      <c r="E87" s="10"/>
      <c r="F87" s="10"/>
      <c r="G87" s="10" t="str">
        <f>BatteryEWPOper</f>
        <v>DATC_BattEwpOpReq</v>
      </c>
      <c r="H87" s="10"/>
      <c r="I87" s="46" t="e">
        <f>VLOOKUP(C83,Tbl_Button_Display_ASSTS,73,FALSE)</f>
        <v>#REF!</v>
      </c>
      <c r="J87" s="10"/>
      <c r="K87" s="10"/>
      <c r="L87" s="10"/>
    </row>
    <row r="88" spans="1:12" ht="14.25" customHeight="1" outlineLevel="2">
      <c r="A88" s="70">
        <v>1</v>
      </c>
      <c r="B88" s="38" t="s">
        <v>142</v>
      </c>
      <c r="C88" s="38" t="s">
        <v>1255</v>
      </c>
      <c r="D88" s="38" t="e">
        <f>CONCATENATE(E89," = ",F89," 설정 시, ",G91," = ",I91,"rpm, ",G92," = ",I92,"rpm 출력 확인")</f>
        <v>#REF!</v>
      </c>
      <c r="E88" s="38"/>
      <c r="F88" s="38"/>
      <c r="G88" s="38"/>
      <c r="H88" s="38"/>
      <c r="I88" s="38"/>
      <c r="J88" s="38"/>
      <c r="K88" s="38"/>
      <c r="L88" s="38"/>
    </row>
    <row r="89" spans="1:12" ht="14.25" hidden="1" outlineLevel="2">
      <c r="A89" s="68">
        <v>1</v>
      </c>
      <c r="B89" s="10"/>
      <c r="C89" s="10"/>
      <c r="D89" s="10"/>
      <c r="E89" s="99" t="str">
        <f>VLOOKUP(C88,Tbl_Button_Display_ASSTS,11,FALSE)</f>
        <v>Snr_P SIGNAL_COMP OUT(PSI)_IN</v>
      </c>
      <c r="F89" s="11">
        <f>VLOOKUP(C88,Tbl_Button_Display_ASSTS,12,FALSE)</f>
        <v>155</v>
      </c>
      <c r="G89" s="10"/>
      <c r="H89" s="10"/>
      <c r="I89" s="10"/>
      <c r="J89" s="14"/>
      <c r="K89" s="10"/>
      <c r="L89" s="10"/>
    </row>
    <row r="90" spans="1:12" ht="14.25" hidden="1" outlineLevel="2">
      <c r="A90" s="68">
        <v>1</v>
      </c>
      <c r="B90" s="10"/>
      <c r="C90" s="10"/>
      <c r="D90" s="10"/>
      <c r="E90" s="14" t="s">
        <v>5</v>
      </c>
      <c r="F90" s="11">
        <f>VLOOKUP(C88,Tbl_Button_Display_ASSTS,13,FALSE)</f>
        <v>5</v>
      </c>
      <c r="G90" s="10"/>
      <c r="H90" s="10"/>
      <c r="I90" s="10"/>
      <c r="J90" s="14"/>
      <c r="K90" s="10"/>
      <c r="L90" s="10"/>
    </row>
    <row r="91" spans="1:12" ht="14.25" hidden="1" outlineLevel="2">
      <c r="A91" s="68">
        <v>1</v>
      </c>
      <c r="B91" s="10"/>
      <c r="C91" s="10"/>
      <c r="D91" s="10"/>
      <c r="E91" s="10"/>
      <c r="F91" s="10"/>
      <c r="G91" s="10" t="str">
        <f>PeEwpRPMReq</f>
        <v>DATC_PeEwpRPMReq</v>
      </c>
      <c r="H91" s="10"/>
      <c r="I91" s="46" t="e">
        <f>VLOOKUP(C88,Tbl_Button_Display_ASSTS,76,FALSE)</f>
        <v>#REF!</v>
      </c>
      <c r="J91" s="10"/>
      <c r="K91" s="10"/>
      <c r="L91" s="10"/>
    </row>
    <row r="92" spans="1:12" ht="14.25" hidden="1" outlineLevel="2">
      <c r="A92" s="68">
        <v>1</v>
      </c>
      <c r="B92" s="10"/>
      <c r="C92" s="10"/>
      <c r="D92" s="10"/>
      <c r="E92" s="10"/>
      <c r="F92" s="10"/>
      <c r="G92" s="10" t="str">
        <f>BatteryEWPOper</f>
        <v>DATC_BattEwpOpReq</v>
      </c>
      <c r="H92" s="10"/>
      <c r="I92" s="46" t="e">
        <f>VLOOKUP(C88,Tbl_Button_Display_ASSTS,73,FALSE)</f>
        <v>#REF!</v>
      </c>
      <c r="J92" s="10"/>
      <c r="K92" s="10"/>
      <c r="L92" s="10"/>
    </row>
    <row r="93" spans="1:12" ht="14.25" customHeight="1" outlineLevel="2">
      <c r="A93" s="70">
        <v>1</v>
      </c>
      <c r="B93" s="38" t="s">
        <v>142</v>
      </c>
      <c r="C93" s="38" t="s">
        <v>1256</v>
      </c>
      <c r="D93" s="38" t="e">
        <f>CONCATENATE(E94," = ",F94," 설정 시, ",G96," = ",I96,"rpm, ",G97," = ",I97,"rpm 출력 확인")</f>
        <v>#REF!</v>
      </c>
      <c r="E93" s="38"/>
      <c r="F93" s="38"/>
      <c r="G93" s="38"/>
      <c r="H93" s="38"/>
      <c r="I93" s="38"/>
      <c r="J93" s="38"/>
      <c r="K93" s="38"/>
      <c r="L93" s="38"/>
    </row>
    <row r="94" spans="1:12" ht="14.25" hidden="1" outlineLevel="2">
      <c r="A94" s="68">
        <v>1</v>
      </c>
      <c r="B94" s="10"/>
      <c r="C94" s="10"/>
      <c r="D94" s="10"/>
      <c r="E94" s="99" t="str">
        <f>VLOOKUP(C93,Tbl_Button_Display_ASSTS,11,FALSE)</f>
        <v>Snr_P SIGNAL_COMP OUT(PSI)_IN</v>
      </c>
      <c r="F94" s="11">
        <f>VLOOKUP(C93,Tbl_Button_Display_ASSTS,12,FALSE)</f>
        <v>109</v>
      </c>
      <c r="G94" s="10"/>
      <c r="H94" s="10"/>
      <c r="I94" s="10"/>
      <c r="J94" s="14"/>
      <c r="K94" s="10"/>
      <c r="L94" s="10"/>
    </row>
    <row r="95" spans="1:12" ht="14.25" hidden="1" outlineLevel="2">
      <c r="A95" s="68">
        <v>1</v>
      </c>
      <c r="B95" s="10"/>
      <c r="C95" s="10"/>
      <c r="D95" s="10"/>
      <c r="E95" s="14" t="s">
        <v>5</v>
      </c>
      <c r="F95" s="11">
        <f>VLOOKUP(C93,Tbl_Button_Display_ASSTS,13,FALSE)</f>
        <v>5</v>
      </c>
      <c r="G95" s="10"/>
      <c r="H95" s="10"/>
      <c r="I95" s="10"/>
      <c r="J95" s="14"/>
      <c r="K95" s="10"/>
      <c r="L95" s="10"/>
    </row>
    <row r="96" spans="1:12" ht="14.25" hidden="1" outlineLevel="2">
      <c r="A96" s="68">
        <v>1</v>
      </c>
      <c r="B96" s="10"/>
      <c r="C96" s="10"/>
      <c r="D96" s="10"/>
      <c r="E96" s="10"/>
      <c r="F96" s="10"/>
      <c r="G96" s="10" t="str">
        <f>PeEwpRPMReq</f>
        <v>DATC_PeEwpRPMReq</v>
      </c>
      <c r="H96" s="10"/>
      <c r="I96" s="46" t="e">
        <f>VLOOKUP(C93,Tbl_Button_Display_ASSTS,76,FALSE)</f>
        <v>#REF!</v>
      </c>
      <c r="J96" s="10"/>
      <c r="K96" s="10"/>
      <c r="L96" s="10"/>
    </row>
    <row r="97" spans="1:12" ht="14.25" hidden="1" outlineLevel="1">
      <c r="A97" s="68">
        <v>1</v>
      </c>
      <c r="B97" s="10"/>
      <c r="C97" s="10"/>
      <c r="D97" s="10"/>
      <c r="E97" s="10"/>
      <c r="F97" s="10"/>
      <c r="G97" s="10" t="str">
        <f>BatteryEWPOper</f>
        <v>DATC_BattEwpOpReq</v>
      </c>
      <c r="H97" s="10"/>
      <c r="I97" s="46" t="e">
        <f>VLOOKUP(C93,Tbl_Button_Display_ASSTS,73,FALSE)</f>
        <v>#REF!</v>
      </c>
      <c r="J97" s="10"/>
      <c r="K97" s="10"/>
      <c r="L97" s="10"/>
    </row>
    <row r="98" spans="1:12" ht="14.25" customHeight="1" outlineLevel="2">
      <c r="A98" s="70">
        <v>1</v>
      </c>
      <c r="B98" s="38" t="s">
        <v>142</v>
      </c>
      <c r="C98" s="38" t="s">
        <v>1257</v>
      </c>
      <c r="D98" s="38" t="e">
        <f>CONCATENATE(E99," = ",F99," 설정 시, ",G101," = ",I101,"rpm, ",G102," = ",I102,"rpm 출력 확인")</f>
        <v>#REF!</v>
      </c>
      <c r="E98" s="38"/>
      <c r="F98" s="38"/>
      <c r="G98" s="38"/>
      <c r="H98" s="38"/>
      <c r="I98" s="38"/>
      <c r="J98" s="38"/>
      <c r="K98" s="38"/>
      <c r="L98" s="38"/>
    </row>
    <row r="99" spans="1:12" ht="14.25" hidden="1" outlineLevel="2">
      <c r="A99" s="68">
        <v>1</v>
      </c>
      <c r="B99" s="10"/>
      <c r="C99" s="10"/>
      <c r="D99" s="10"/>
      <c r="E99" s="99" t="str">
        <f>VLOOKUP(C98,Tbl_Button_Display_ASSTS,11,FALSE)</f>
        <v>Snr_P SIGNAL_COMP OUT(PSI)_IN</v>
      </c>
      <c r="F99" s="11">
        <f>VLOOKUP(C98,Tbl_Button_Display_ASSTS,12,FALSE)</f>
        <v>56</v>
      </c>
      <c r="G99" s="10"/>
      <c r="H99" s="10"/>
      <c r="I99" s="10"/>
      <c r="J99" s="14"/>
      <c r="K99" s="10"/>
      <c r="L99" s="10"/>
    </row>
    <row r="100" spans="1:12" ht="14.25" hidden="1" outlineLevel="2">
      <c r="A100" s="68">
        <v>1</v>
      </c>
      <c r="B100" s="10"/>
      <c r="C100" s="10"/>
      <c r="D100" s="10"/>
      <c r="E100" s="14" t="s">
        <v>5</v>
      </c>
      <c r="F100" s="11">
        <f>VLOOKUP(C98,Tbl_Button_Display_ASSTS,13,FALSE)</f>
        <v>5</v>
      </c>
      <c r="G100" s="10"/>
      <c r="H100" s="10"/>
      <c r="I100" s="10"/>
      <c r="J100" s="14"/>
      <c r="K100" s="10"/>
      <c r="L100" s="10"/>
    </row>
    <row r="101" spans="1:12" ht="14.25" hidden="1" outlineLevel="2">
      <c r="A101" s="68">
        <v>1</v>
      </c>
      <c r="B101" s="10"/>
      <c r="C101" s="10"/>
      <c r="D101" s="10"/>
      <c r="E101" s="10"/>
      <c r="F101" s="10"/>
      <c r="G101" s="10" t="str">
        <f>PeEwpRPMReq</f>
        <v>DATC_PeEwpRPMReq</v>
      </c>
      <c r="H101" s="10"/>
      <c r="I101" s="46" t="e">
        <f>VLOOKUP(C98,Tbl_Button_Display_ASSTS,76,FALSE)</f>
        <v>#REF!</v>
      </c>
      <c r="J101" s="10"/>
      <c r="K101" s="10"/>
      <c r="L101" s="10"/>
    </row>
    <row r="102" spans="1:12" ht="14.25" hidden="1" outlineLevel="2">
      <c r="A102" s="68">
        <v>1</v>
      </c>
      <c r="B102" s="10"/>
      <c r="C102" s="10"/>
      <c r="D102" s="10"/>
      <c r="E102" s="10"/>
      <c r="F102" s="10"/>
      <c r="G102" s="10" t="str">
        <f>BatteryEWPOper</f>
        <v>DATC_BattEwpOpReq</v>
      </c>
      <c r="H102" s="10"/>
      <c r="I102" s="46" t="e">
        <f>VLOOKUP(C98,Tbl_Button_Display_ASSTS,73,FALSE)</f>
        <v>#REF!</v>
      </c>
      <c r="J102" s="10"/>
      <c r="K102" s="10"/>
      <c r="L102" s="10"/>
    </row>
    <row r="103" spans="1:12" ht="14.25" customHeight="1" outlineLevel="2">
      <c r="A103" s="70">
        <v>1</v>
      </c>
      <c r="B103" s="38" t="s">
        <v>142</v>
      </c>
      <c r="C103" s="38" t="s">
        <v>1258</v>
      </c>
      <c r="D103" s="38" t="e">
        <f>CONCATENATE(E104," ",F104,"회 선택 시, ",G106," = ",I106,", ",G107," = ",I107," 확인")</f>
        <v>#REF!</v>
      </c>
      <c r="E103" s="38"/>
      <c r="F103" s="38"/>
      <c r="G103" s="38"/>
      <c r="H103" s="38"/>
      <c r="I103" s="38"/>
      <c r="J103" s="38"/>
      <c r="K103" s="38"/>
      <c r="L103" s="38"/>
    </row>
    <row r="104" spans="1:12" ht="14.25" hidden="1" outlineLevel="2">
      <c r="A104" s="68">
        <v>1</v>
      </c>
      <c r="B104" s="10"/>
      <c r="C104" s="10"/>
      <c r="D104" s="10"/>
      <c r="E104" s="99" t="str">
        <f>VLOOKUP(C103,Tbl_Button_Display_ASSTS,11,FALSE)</f>
        <v>Snr_P SIGNAL_COMP OUT(PSI)_IN</v>
      </c>
      <c r="F104" s="11">
        <f>VLOOKUP(C103,Tbl_Button_Display_ASSTS,12,FALSE)</f>
        <v>71</v>
      </c>
      <c r="G104" s="10"/>
      <c r="H104" s="10"/>
      <c r="I104" s="10"/>
      <c r="J104" s="14"/>
      <c r="K104" s="10"/>
      <c r="L104" s="10"/>
    </row>
    <row r="105" spans="1:12" ht="14.25" hidden="1" outlineLevel="2">
      <c r="A105" s="68">
        <v>1</v>
      </c>
      <c r="B105" s="10"/>
      <c r="C105" s="10"/>
      <c r="D105" s="10"/>
      <c r="E105" s="14" t="s">
        <v>5</v>
      </c>
      <c r="F105" s="11">
        <f>VLOOKUP(C103,Tbl_Button_Display_ASSTS,13,FALSE)</f>
        <v>5</v>
      </c>
      <c r="G105" s="10"/>
      <c r="H105" s="10"/>
      <c r="I105" s="10"/>
      <c r="J105" s="10"/>
      <c r="K105" s="10"/>
      <c r="L105" s="10"/>
    </row>
    <row r="106" spans="1:12" ht="14.25" hidden="1" outlineLevel="2">
      <c r="A106" s="68">
        <v>1</v>
      </c>
      <c r="B106" s="10"/>
      <c r="C106" s="10"/>
      <c r="D106" s="10"/>
      <c r="E106" s="10"/>
      <c r="F106" s="10"/>
      <c r="G106" s="10" t="str">
        <f>PeEwpRPMReq</f>
        <v>DATC_PeEwpRPMReq</v>
      </c>
      <c r="H106" s="10"/>
      <c r="I106" s="46" t="e">
        <f>VLOOKUP(C103,Tbl_Button_Display_ASSTS,76,FALSE)</f>
        <v>#REF!</v>
      </c>
      <c r="J106" s="10"/>
      <c r="K106" s="10"/>
      <c r="L106" s="10"/>
    </row>
    <row r="107" spans="1:12" ht="14.25" hidden="1" outlineLevel="2">
      <c r="A107" s="68">
        <v>1</v>
      </c>
      <c r="B107" s="10"/>
      <c r="C107" s="10"/>
      <c r="D107" s="10"/>
      <c r="E107" s="10"/>
      <c r="F107" s="10"/>
      <c r="G107" s="10" t="str">
        <f>BatteryEWPOper</f>
        <v>DATC_BattEwpOpReq</v>
      </c>
      <c r="H107" s="10"/>
      <c r="I107" s="46" t="e">
        <f>VLOOKUP(C103,Tbl_Button_Display_ASSTS,73,FALSE)</f>
        <v>#REF!</v>
      </c>
      <c r="J107" s="10"/>
      <c r="K107" s="10"/>
      <c r="L107" s="10"/>
    </row>
    <row r="108" spans="1:12" ht="13.35" customHeight="1">
      <c r="A108" s="70">
        <v>1</v>
      </c>
      <c r="B108" s="38" t="s">
        <v>142</v>
      </c>
      <c r="C108" s="38" t="s">
        <v>1259</v>
      </c>
      <c r="D108" s="38" t="e">
        <f>CONCATENATE(E109," = ",F109," 설정 시, ",G111," = ",I111,"rpm, ",G112," = ",I112,"rpm 출력 확인")</f>
        <v>#REF!</v>
      </c>
      <c r="E108" s="38"/>
      <c r="F108" s="38"/>
      <c r="G108" s="38"/>
      <c r="H108" s="38"/>
      <c r="I108" s="38"/>
      <c r="J108" s="38"/>
      <c r="K108" s="38"/>
      <c r="L108" s="38"/>
    </row>
    <row r="109" spans="1:12" ht="14.25" hidden="1" collapsed="1">
      <c r="A109" s="68">
        <v>1</v>
      </c>
      <c r="B109" s="10"/>
      <c r="C109" s="10"/>
      <c r="D109" s="10"/>
      <c r="E109" s="99" t="str">
        <f>VLOOKUP(C108,Tbl_Button_Display_ASSTS,11,FALSE)</f>
        <v>Snr_P SIGNAL_COMP OUT(PSI)_IN</v>
      </c>
      <c r="F109" s="11">
        <f>VLOOKUP(C108,Tbl_Button_Display_ASSTS,12,FALSE)</f>
        <v>130</v>
      </c>
      <c r="G109" s="10"/>
      <c r="H109" s="10"/>
      <c r="I109" s="10"/>
      <c r="J109" s="14"/>
      <c r="K109" s="10"/>
      <c r="L109" s="10"/>
    </row>
    <row r="110" spans="1:12" ht="14.25" hidden="1" outlineLevel="1">
      <c r="A110" s="68">
        <v>1</v>
      </c>
      <c r="B110" s="10"/>
      <c r="C110" s="10"/>
      <c r="D110" s="10"/>
      <c r="E110" s="14" t="s">
        <v>5</v>
      </c>
      <c r="F110" s="11">
        <f>VLOOKUP(C108,Tbl_Button_Display_ASSTS,13,FALSE)</f>
        <v>5</v>
      </c>
      <c r="G110" s="10"/>
      <c r="H110" s="10"/>
      <c r="I110" s="10"/>
      <c r="J110" s="14"/>
      <c r="K110" s="10"/>
      <c r="L110" s="10"/>
    </row>
    <row r="111" spans="1:12" ht="14.25" hidden="1" outlineLevel="2">
      <c r="A111" s="68">
        <v>1</v>
      </c>
      <c r="B111" s="10"/>
      <c r="C111" s="10"/>
      <c r="D111" s="10"/>
      <c r="E111" s="10"/>
      <c r="F111" s="10"/>
      <c r="G111" s="10" t="str">
        <f>PeEwpRPMReq</f>
        <v>DATC_PeEwpRPMReq</v>
      </c>
      <c r="H111" s="10"/>
      <c r="I111" s="46" t="e">
        <f>VLOOKUP(C108,Tbl_Button_Display_ASSTS,76,FALSE)</f>
        <v>#REF!</v>
      </c>
      <c r="J111" s="10"/>
      <c r="K111" s="10"/>
      <c r="L111" s="10"/>
    </row>
    <row r="112" spans="1:12" ht="14.25" hidden="1" outlineLevel="2">
      <c r="A112" s="68">
        <v>1</v>
      </c>
      <c r="B112" s="10"/>
      <c r="C112" s="10"/>
      <c r="D112" s="10"/>
      <c r="E112" s="10"/>
      <c r="F112" s="10"/>
      <c r="G112" s="10" t="str">
        <f>BatteryEWPOper</f>
        <v>DATC_BattEwpOpReq</v>
      </c>
      <c r="H112" s="10"/>
      <c r="I112" s="46" t="e">
        <f>VLOOKUP(C108,Tbl_Button_Display_ASSTS,73,FALSE)</f>
        <v>#REF!</v>
      </c>
      <c r="J112" s="10"/>
      <c r="K112" s="10"/>
      <c r="L112" s="10"/>
    </row>
    <row r="113" spans="1:12" ht="14.25" customHeight="1" outlineLevel="2">
      <c r="A113" s="70">
        <v>1</v>
      </c>
      <c r="B113" s="38" t="s">
        <v>142</v>
      </c>
      <c r="C113" s="38" t="s">
        <v>1260</v>
      </c>
      <c r="D113" s="38" t="e">
        <f>CONCATENATE(E114," = ",F114," 설정 시, ",G116," = ",I116,"rpm, ",G117," = ",I117,"rpm 출력 확인")</f>
        <v>#REF!</v>
      </c>
      <c r="E113" s="38"/>
      <c r="F113" s="38"/>
      <c r="G113" s="38"/>
      <c r="H113" s="38"/>
      <c r="I113" s="38"/>
      <c r="J113" s="38"/>
      <c r="K113" s="38"/>
      <c r="L113" s="38"/>
    </row>
    <row r="114" spans="1:12" ht="14.25" hidden="1" outlineLevel="2">
      <c r="A114" s="68">
        <v>1</v>
      </c>
      <c r="B114" s="10"/>
      <c r="C114" s="10"/>
      <c r="D114" s="10"/>
      <c r="E114" s="99" t="str">
        <f>VLOOKUP(C113,Tbl_Button_Display_ASSTS,11,FALSE)</f>
        <v>Snr_P SIGNAL_COMP OUT(PSI)_IN</v>
      </c>
      <c r="F114" s="11">
        <f>VLOOKUP(C113,Tbl_Button_Display_ASSTS,12,FALSE)</f>
        <v>174</v>
      </c>
      <c r="G114" s="10"/>
      <c r="H114" s="10"/>
      <c r="I114" s="10"/>
      <c r="J114" s="14"/>
      <c r="K114" s="10"/>
      <c r="L114" s="10"/>
    </row>
    <row r="115" spans="1:12" ht="14.25" hidden="1" outlineLevel="2">
      <c r="A115" s="68">
        <v>1</v>
      </c>
      <c r="B115" s="10"/>
      <c r="C115" s="10"/>
      <c r="D115" s="10"/>
      <c r="E115" s="14" t="s">
        <v>5</v>
      </c>
      <c r="F115" s="11">
        <f>VLOOKUP(C113,Tbl_Button_Display_ASSTS,13,FALSE)</f>
        <v>5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8">
        <v>1</v>
      </c>
      <c r="B116" s="10"/>
      <c r="C116" s="10"/>
      <c r="D116" s="10"/>
      <c r="E116" s="10"/>
      <c r="F116" s="10"/>
      <c r="G116" s="10" t="str">
        <f>PeEwpRPMReq</f>
        <v>DATC_PeEwpRPMReq</v>
      </c>
      <c r="H116" s="10"/>
      <c r="I116" s="46" t="e">
        <f>VLOOKUP(C113,Tbl_Button_Display_ASSTS,76,FALSE)</f>
        <v>#REF!</v>
      </c>
      <c r="J116" s="10"/>
      <c r="K116" s="10"/>
      <c r="L116" s="10"/>
    </row>
    <row r="117" spans="1:12" ht="14.25" hidden="1" outlineLevel="2">
      <c r="A117" s="68">
        <v>1</v>
      </c>
      <c r="B117" s="10"/>
      <c r="C117" s="10"/>
      <c r="D117" s="10"/>
      <c r="E117" s="10"/>
      <c r="F117" s="10"/>
      <c r="G117" s="10" t="str">
        <f>BatteryEWPOper</f>
        <v>DATC_BattEwpOpReq</v>
      </c>
      <c r="H117" s="10"/>
      <c r="I117" s="46" t="e">
        <f>VLOOKUP(C113,Tbl_Button_Display_ASSTS,73,FALSE)</f>
        <v>#REF!</v>
      </c>
      <c r="J117" s="10"/>
      <c r="K117" s="10"/>
      <c r="L117" s="10"/>
    </row>
    <row r="118" spans="1:12" ht="14.25" customHeight="1" outlineLevel="2">
      <c r="A118" s="70">
        <v>1</v>
      </c>
      <c r="B118" s="38" t="s">
        <v>142</v>
      </c>
      <c r="C118" s="38" t="s">
        <v>1261</v>
      </c>
      <c r="D118" s="38" t="e">
        <f>CONCATENATE(E119," = ",F119," 설정 시, ",G121," = ",I121,"rpm, ",G122," = ",I122,"rpm 출력 확인")</f>
        <v>#REF!</v>
      </c>
      <c r="E118" s="38"/>
      <c r="F118" s="38"/>
      <c r="G118" s="38"/>
      <c r="H118" s="38"/>
      <c r="I118" s="38"/>
      <c r="J118" s="38"/>
      <c r="K118" s="38"/>
      <c r="L118" s="38"/>
    </row>
    <row r="119" spans="1:12" ht="14.25" hidden="1" outlineLevel="2">
      <c r="A119" s="68">
        <v>1</v>
      </c>
      <c r="B119" s="10"/>
      <c r="C119" s="10"/>
      <c r="D119" s="10"/>
      <c r="E119" s="99" t="str">
        <f>VLOOKUP(C118,Tbl_Button_Display_ASSTS,11,FALSE)</f>
        <v>Snr_P SIGNAL_COMP OUT(PSI)_IN</v>
      </c>
      <c r="F119" s="11">
        <f>VLOOKUP(C118,Tbl_Button_Display_ASSTS,12,FALSE)</f>
        <v>232</v>
      </c>
      <c r="G119" s="10"/>
      <c r="H119" s="10"/>
      <c r="I119" s="10"/>
      <c r="J119" s="14"/>
      <c r="K119" s="10"/>
      <c r="L119" s="10"/>
    </row>
    <row r="120" spans="1:12" ht="14.25" hidden="1" outlineLevel="2">
      <c r="A120" s="68">
        <v>1</v>
      </c>
      <c r="B120" s="10"/>
      <c r="C120" s="10"/>
      <c r="D120" s="10"/>
      <c r="E120" s="14" t="s">
        <v>5</v>
      </c>
      <c r="F120" s="11">
        <f>VLOOKUP(C118,Tbl_Button_Display_ASSTS,13,FALSE)</f>
        <v>5</v>
      </c>
      <c r="G120" s="10"/>
      <c r="H120" s="10"/>
      <c r="I120" s="10"/>
      <c r="J120" s="14"/>
      <c r="K120" s="10"/>
      <c r="L120" s="10"/>
    </row>
    <row r="121" spans="1:12" ht="14.25" hidden="1" outlineLevel="1">
      <c r="A121" s="68">
        <v>1</v>
      </c>
      <c r="B121" s="10"/>
      <c r="C121" s="10"/>
      <c r="D121" s="10"/>
      <c r="E121" s="10"/>
      <c r="F121" s="10"/>
      <c r="G121" s="10" t="str">
        <f>PeEwpRPMReq</f>
        <v>DATC_PeEwpRPMReq</v>
      </c>
      <c r="H121" s="10"/>
      <c r="I121" s="46" t="e">
        <f>VLOOKUP(C118,Tbl_Button_Display_ASSTS,76,FALSE)</f>
        <v>#REF!</v>
      </c>
      <c r="J121" s="10"/>
      <c r="K121" s="10"/>
      <c r="L121" s="10"/>
    </row>
    <row r="122" spans="1:12" ht="14.25" hidden="1" outlineLevel="2">
      <c r="A122" s="68">
        <v>1</v>
      </c>
      <c r="B122" s="10"/>
      <c r="C122" s="10"/>
      <c r="D122" s="10"/>
      <c r="E122" s="10"/>
      <c r="F122" s="10"/>
      <c r="G122" s="10" t="str">
        <f>BatteryEWPOper</f>
        <v>DATC_BattEwpOpReq</v>
      </c>
      <c r="H122" s="10"/>
      <c r="I122" s="46" t="e">
        <f>VLOOKUP(C118,Tbl_Button_Display_ASSTS,73,FALSE)</f>
        <v>#REF!</v>
      </c>
      <c r="J122" s="10"/>
      <c r="K122" s="10"/>
      <c r="L122" s="10"/>
    </row>
    <row r="123" spans="1:12" ht="14.25" customHeight="1" outlineLevel="2">
      <c r="A123" s="70">
        <v>1</v>
      </c>
      <c r="B123" s="38" t="s">
        <v>142</v>
      </c>
      <c r="C123" s="38" t="s">
        <v>1262</v>
      </c>
      <c r="D123" s="38" t="str">
        <f>CONCATENATE(E124," = ",F124," Hysterisis 설정")</f>
        <v>Snr_P SIGNAL_COMP OUT(PSI)_IN = 220 Hysterisis 설정</v>
      </c>
      <c r="E123" s="38"/>
      <c r="F123" s="38"/>
      <c r="G123" s="38"/>
      <c r="H123" s="38"/>
      <c r="I123" s="38"/>
      <c r="J123" s="38"/>
      <c r="K123" s="38"/>
      <c r="L123" s="38"/>
    </row>
    <row r="124" spans="1:12" ht="14.25" hidden="1" outlineLevel="2">
      <c r="A124" s="68">
        <v>1</v>
      </c>
      <c r="B124" s="10"/>
      <c r="C124" s="10"/>
      <c r="D124" s="10"/>
      <c r="E124" s="99" t="str">
        <f>VLOOKUP(C123,Tbl_Button_Display_ASSTS,11,FALSE)</f>
        <v>Snr_P SIGNAL_COMP OUT(PSI)_IN</v>
      </c>
      <c r="F124" s="11">
        <f>VLOOKUP(C123,Tbl_Button_Display_ASSTS,12,FALSE)</f>
        <v>220</v>
      </c>
      <c r="G124" s="10"/>
      <c r="H124" s="10"/>
      <c r="I124" s="10"/>
      <c r="J124" s="14"/>
      <c r="K124" s="10"/>
      <c r="L124" s="10"/>
    </row>
    <row r="125" spans="1:12" ht="14.25" hidden="1" outlineLevel="2">
      <c r="A125" s="68">
        <v>1</v>
      </c>
      <c r="B125" s="10"/>
      <c r="C125" s="10"/>
      <c r="D125" s="10"/>
      <c r="E125" s="14" t="s">
        <v>5</v>
      </c>
      <c r="F125" s="11">
        <f>VLOOKUP(C123,Tbl_Button_Display_ASSTS,13,FALSE)</f>
        <v>5</v>
      </c>
      <c r="G125" s="10"/>
      <c r="H125" s="10"/>
      <c r="I125" s="10"/>
      <c r="J125" s="14"/>
      <c r="K125" s="10"/>
      <c r="L125" s="10"/>
    </row>
    <row r="126" spans="1:12" ht="14.25" hidden="1" outlineLevel="2">
      <c r="A126" s="68">
        <v>1</v>
      </c>
      <c r="B126" s="10"/>
      <c r="C126" s="10"/>
      <c r="D126" s="10"/>
      <c r="E126" s="10"/>
      <c r="F126" s="10"/>
      <c r="G126" s="10" t="str">
        <f>PeEwpRPMReq</f>
        <v>DATC_PeEwpRPMReq</v>
      </c>
      <c r="H126" s="10"/>
      <c r="I126" s="46" t="e">
        <f>VLOOKUP(C123,Tbl_Button_Display_ASSTS,76,FALSE)</f>
        <v>#REF!</v>
      </c>
      <c r="J126" s="10"/>
      <c r="K126" s="10"/>
      <c r="L126" s="10"/>
    </row>
    <row r="127" spans="1:12" ht="14.25" hidden="1" outlineLevel="2">
      <c r="A127" s="68">
        <v>1</v>
      </c>
      <c r="B127" s="10"/>
      <c r="C127" s="10"/>
      <c r="D127" s="10"/>
      <c r="E127" s="10"/>
      <c r="F127" s="10"/>
      <c r="G127" s="10" t="str">
        <f>BatteryEWPOper</f>
        <v>DATC_BattEwpOpReq</v>
      </c>
      <c r="H127" s="10"/>
      <c r="I127" s="46" t="e">
        <f>VLOOKUP(C123,Tbl_Button_Display_ASSTS,73,FALSE)</f>
        <v>#REF!</v>
      </c>
      <c r="J127" s="10"/>
      <c r="K127" s="10"/>
      <c r="L127" s="10"/>
    </row>
    <row r="128" spans="1:12" ht="14.25" customHeight="1" outlineLevel="2">
      <c r="A128" s="70">
        <v>1</v>
      </c>
      <c r="B128" s="38" t="s">
        <v>142</v>
      </c>
      <c r="C128" s="38" t="s">
        <v>1263</v>
      </c>
      <c r="D128" s="38" t="e">
        <f>CONCATENATE(E129," ",F129,"시, ",G131," = ",I131,", ",G132," = ",I132," 유지 확인")</f>
        <v>#REF!</v>
      </c>
      <c r="E128" s="38"/>
      <c r="F128" s="38"/>
      <c r="G128" s="38"/>
      <c r="H128" s="38"/>
      <c r="I128" s="38"/>
      <c r="J128" s="38"/>
      <c r="K128" s="38"/>
      <c r="L128" s="38"/>
    </row>
    <row r="129" spans="1:12" ht="14.25" hidden="1" outlineLevel="2">
      <c r="A129" s="68">
        <v>1</v>
      </c>
      <c r="B129" s="10"/>
      <c r="C129" s="10"/>
      <c r="D129" s="10"/>
      <c r="E129" s="99" t="str">
        <f>VLOOKUP(C128,Tbl_Button_Display_ASSTS,11,FALSE)</f>
        <v>System_Off_to_On</v>
      </c>
      <c r="F129" s="11" t="str">
        <f>VLOOKUP(C128,Tbl_Button_Display_ASSTS,12,FALSE)</f>
        <v xml:space="preserve"> </v>
      </c>
      <c r="G129" s="10"/>
      <c r="H129" s="10"/>
      <c r="I129" s="10"/>
      <c r="J129" s="14"/>
      <c r="K129" s="10"/>
      <c r="L129" s="10"/>
    </row>
    <row r="130" spans="1:12" ht="14.25" hidden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5</v>
      </c>
      <c r="G130" s="10"/>
      <c r="H130" s="10"/>
      <c r="I130" s="10"/>
      <c r="J130" s="10"/>
      <c r="K130" s="10"/>
      <c r="L130" s="10"/>
    </row>
    <row r="131" spans="1:12" ht="14.25" hidden="1" outlineLevel="2">
      <c r="A131" s="68">
        <v>1</v>
      </c>
      <c r="B131" s="10"/>
      <c r="C131" s="10"/>
      <c r="D131" s="10"/>
      <c r="E131" s="10"/>
      <c r="F131" s="10"/>
      <c r="G131" s="10" t="str">
        <f>PeEwpRPMReq</f>
        <v>DATC_PeEwpRPMReq</v>
      </c>
      <c r="H131" s="10"/>
      <c r="I131" s="46" t="e">
        <f>VLOOKUP(C128,Tbl_Button_Display_ASSTS,76,FALSE)</f>
        <v>#REF!</v>
      </c>
      <c r="J131" s="10"/>
      <c r="K131" s="10"/>
      <c r="L131" s="10"/>
    </row>
    <row r="132" spans="1:12" ht="14.25" hidden="1" outlineLevel="1">
      <c r="A132" s="68">
        <v>1</v>
      </c>
      <c r="B132" s="10"/>
      <c r="C132" s="10"/>
      <c r="D132" s="10"/>
      <c r="E132" s="10"/>
      <c r="F132" s="10"/>
      <c r="G132" s="10" t="str">
        <f>BatteryEWPOper</f>
        <v>DATC_BattEwpOpReq</v>
      </c>
      <c r="H132" s="10"/>
      <c r="I132" s="46" t="e">
        <f>VLOOKUP(C128,Tbl_Button_Display_ASSTS,73,FALSE)</f>
        <v>#REF!</v>
      </c>
      <c r="J132" s="10"/>
      <c r="K132" s="10"/>
      <c r="L132" s="10"/>
    </row>
    <row r="133" spans="1:12" ht="13.35" customHeight="1" outlineLevel="2">
      <c r="A133" s="70">
        <v>1</v>
      </c>
      <c r="B133" s="38" t="s">
        <v>142</v>
      </c>
      <c r="C133" s="38" t="s">
        <v>1264</v>
      </c>
      <c r="D133" s="38" t="e">
        <f>CONCATENATE(E134," ",F134,"시, ",G136," = ",I136,", ",G137," = ",I137," 출력 확인")</f>
        <v>#REF!</v>
      </c>
      <c r="E133" s="38"/>
      <c r="F133" s="38"/>
      <c r="G133" s="38"/>
      <c r="H133" s="38"/>
      <c r="I133" s="38"/>
      <c r="J133" s="38"/>
      <c r="K133" s="38"/>
      <c r="L133" s="38"/>
    </row>
    <row r="134" spans="1:12" ht="14.25" hidden="1" outlineLevel="2">
      <c r="A134" s="68">
        <v>1</v>
      </c>
      <c r="B134" s="10"/>
      <c r="C134" s="10"/>
      <c r="D134" s="10"/>
      <c r="E134" s="99" t="str">
        <f>VLOOKUP(C133,Tbl_Button_Display_ASSTS,11,FALSE)</f>
        <v>IGN2,3_Off_to_On</v>
      </c>
      <c r="F134" s="11" t="str">
        <f>VLOOKUP(C133,Tbl_Button_Display_ASSTS,12,FALSE)</f>
        <v xml:space="preserve"> </v>
      </c>
      <c r="G134" s="10"/>
      <c r="H134" s="10"/>
      <c r="I134" s="10"/>
      <c r="J134" s="14"/>
      <c r="K134" s="10"/>
      <c r="L134" s="10"/>
    </row>
    <row r="135" spans="1:12" ht="14.25" hidden="1" outlineLevel="2">
      <c r="A135" s="68">
        <v>1</v>
      </c>
      <c r="B135" s="10"/>
      <c r="C135" s="10"/>
      <c r="D135" s="10"/>
      <c r="E135" s="14" t="s">
        <v>5</v>
      </c>
      <c r="F135" s="11">
        <f>VLOOKUP(C133,Tbl_Button_Display_ASSTS,13,FALSE)</f>
        <v>5</v>
      </c>
      <c r="G135" s="10"/>
      <c r="H135" s="10"/>
      <c r="I135" s="10"/>
      <c r="J135" s="14"/>
      <c r="K135" s="10"/>
      <c r="L135" s="10"/>
    </row>
    <row r="136" spans="1:12" ht="14.25" hidden="1" outlineLevel="2">
      <c r="A136" s="68">
        <v>1</v>
      </c>
      <c r="B136" s="10"/>
      <c r="C136" s="10"/>
      <c r="D136" s="10"/>
      <c r="E136" s="10"/>
      <c r="F136" s="10"/>
      <c r="G136" s="10" t="str">
        <f>PeEwpRPMReq</f>
        <v>DATC_PeEwpRPMReq</v>
      </c>
      <c r="H136" s="10"/>
      <c r="I136" s="46" t="e">
        <f>VLOOKUP(C133,Tbl_Button_Display_ASSTS,76,FALSE)</f>
        <v>#REF!</v>
      </c>
      <c r="J136" s="10"/>
      <c r="K136" s="10"/>
      <c r="L136" s="10"/>
    </row>
    <row r="137" spans="1:12" ht="14.25" hidden="1" outlineLevel="2">
      <c r="A137" s="68">
        <v>1</v>
      </c>
      <c r="B137" s="10"/>
      <c r="C137" s="10"/>
      <c r="D137" s="10"/>
      <c r="E137" s="10"/>
      <c r="F137" s="10"/>
      <c r="G137" s="10" t="str">
        <f>BatteryEWPOper</f>
        <v>DATC_BattEwpOpReq</v>
      </c>
      <c r="H137" s="10"/>
      <c r="I137" s="46" t="e">
        <f>VLOOKUP(C133,Tbl_Button_Display_ASSTS,73,FALSE)</f>
        <v>#REF!</v>
      </c>
      <c r="J137" s="10"/>
      <c r="K137" s="10"/>
      <c r="L137" s="10"/>
    </row>
    <row r="138" spans="1:12" ht="14.25" customHeight="1" outlineLevel="2">
      <c r="A138" s="70">
        <v>1</v>
      </c>
      <c r="B138" s="38" t="s">
        <v>142</v>
      </c>
      <c r="C138" s="38" t="s">
        <v>1265</v>
      </c>
      <c r="D138" s="38" t="str">
        <f>CONCATENATE(E139," = ",F139," Hysterisis 설정")</f>
        <v>Snr_P SIGNAL_COMP OUT(PSI)_IN = 165 Hysterisis 설정</v>
      </c>
      <c r="E138" s="38"/>
      <c r="F138" s="38"/>
      <c r="G138" s="38"/>
      <c r="H138" s="38"/>
      <c r="I138" s="38"/>
      <c r="J138" s="38"/>
      <c r="K138" s="38"/>
      <c r="L138" s="38"/>
    </row>
    <row r="139" spans="1:12" ht="14.25" hidden="1" outlineLevel="2">
      <c r="A139" s="68">
        <v>1</v>
      </c>
      <c r="B139" s="10"/>
      <c r="C139" s="10"/>
      <c r="D139" s="10"/>
      <c r="E139" s="99" t="str">
        <f>VLOOKUP(C138,Tbl_Button_Display_ASSTS,11,FALSE)</f>
        <v>Snr_P SIGNAL_COMP OUT(PSI)_IN</v>
      </c>
      <c r="F139" s="11">
        <f>VLOOKUP(C138,Tbl_Button_Display_ASSTS,12,FALSE)</f>
        <v>165</v>
      </c>
      <c r="G139" s="10"/>
      <c r="H139" s="10"/>
      <c r="I139" s="10"/>
      <c r="J139" s="14"/>
      <c r="K139" s="10"/>
      <c r="L139" s="10"/>
    </row>
    <row r="140" spans="1:12" ht="14.25" hidden="1" outlineLevel="2">
      <c r="A140" s="68">
        <v>1</v>
      </c>
      <c r="B140" s="10"/>
      <c r="C140" s="10"/>
      <c r="D140" s="10"/>
      <c r="E140" s="14" t="s">
        <v>5</v>
      </c>
      <c r="F140" s="11">
        <f>VLOOKUP(C138,Tbl_Button_Display_ASSTS,13,FALSE)</f>
        <v>5</v>
      </c>
      <c r="G140" s="10"/>
      <c r="H140" s="10"/>
      <c r="I140" s="10"/>
      <c r="J140" s="14"/>
      <c r="K140" s="10"/>
      <c r="L140" s="10"/>
    </row>
    <row r="141" spans="1:12" ht="14.25" hidden="1" outlineLevel="2">
      <c r="A141" s="68">
        <v>1</v>
      </c>
      <c r="B141" s="10"/>
      <c r="C141" s="10"/>
      <c r="D141" s="10"/>
      <c r="E141" s="10"/>
      <c r="F141" s="10"/>
      <c r="G141" s="10" t="str">
        <f>PeEwpRPMReq</f>
        <v>DATC_PeEwpRPMReq</v>
      </c>
      <c r="H141" s="10"/>
      <c r="I141" s="46" t="e">
        <f>VLOOKUP(C138,Tbl_Button_Display_ASSTS,76,FALSE)</f>
        <v>#REF!</v>
      </c>
      <c r="J141" s="10"/>
      <c r="K141" s="10"/>
      <c r="L141" s="10"/>
    </row>
    <row r="142" spans="1:12" ht="14.25" hidden="1" outlineLevel="2">
      <c r="A142" s="68">
        <v>1</v>
      </c>
      <c r="B142" s="10"/>
      <c r="C142" s="10"/>
      <c r="D142" s="10"/>
      <c r="E142" s="10"/>
      <c r="F142" s="10"/>
      <c r="G142" s="10" t="str">
        <f>BatteryEWPOper</f>
        <v>DATC_BattEwpOpReq</v>
      </c>
      <c r="H142" s="10"/>
      <c r="I142" s="46" t="e">
        <f>VLOOKUP(C138,Tbl_Button_Display_ASSTS,73,FALSE)</f>
        <v>#REF!</v>
      </c>
      <c r="J142" s="10"/>
      <c r="K142" s="10"/>
      <c r="L142" s="10"/>
    </row>
    <row r="143" spans="1:12" ht="14.25" customHeight="1" outlineLevel="1">
      <c r="A143" s="70">
        <v>1</v>
      </c>
      <c r="B143" s="38" t="s">
        <v>142</v>
      </c>
      <c r="C143" s="38" t="s">
        <v>1266</v>
      </c>
      <c r="D143" s="38" t="e">
        <f>CONCATENATE(E144," ",F144,"시, ",G146," = ",I146,", ",G147," = ",I147," 유지 확인")</f>
        <v>#REF!</v>
      </c>
      <c r="E143" s="38"/>
      <c r="F143" s="38"/>
      <c r="G143" s="38"/>
      <c r="H143" s="38"/>
      <c r="I143" s="38"/>
      <c r="J143" s="38"/>
      <c r="K143" s="38"/>
      <c r="L143" s="38"/>
    </row>
    <row r="144" spans="1:12" ht="14.25" hidden="1" outlineLevel="2">
      <c r="A144" s="68">
        <v>1</v>
      </c>
      <c r="B144" s="10"/>
      <c r="C144" s="10"/>
      <c r="D144" s="10"/>
      <c r="E144" s="99" t="str">
        <f>VLOOKUP(C143,Tbl_Button_Display_ASSTS,11,FALSE)</f>
        <v>System_Off_to_On</v>
      </c>
      <c r="F144" s="11" t="str">
        <f>VLOOKUP(C143,Tbl_Button_Display_ASSTS,12,FALSE)</f>
        <v xml:space="preserve"> </v>
      </c>
      <c r="G144" s="10"/>
      <c r="H144" s="10"/>
      <c r="I144" s="10"/>
      <c r="J144" s="14"/>
      <c r="K144" s="10"/>
      <c r="L144" s="10"/>
    </row>
    <row r="145" spans="1:12" ht="14.25" hidden="1" outlineLevel="2">
      <c r="A145" s="68">
        <v>1</v>
      </c>
      <c r="B145" s="10"/>
      <c r="C145" s="10"/>
      <c r="D145" s="10"/>
      <c r="E145" s="14" t="s">
        <v>5</v>
      </c>
      <c r="F145" s="11">
        <f>VLOOKUP(C143,Tbl_Button_Display_ASSTS,13,FALSE)</f>
        <v>5</v>
      </c>
      <c r="G145" s="10"/>
      <c r="H145" s="10"/>
      <c r="I145" s="10"/>
      <c r="J145" s="14"/>
      <c r="K145" s="10"/>
      <c r="L145" s="10"/>
    </row>
    <row r="146" spans="1:12" ht="14.25" hidden="1" outlineLevel="2">
      <c r="A146" s="68">
        <v>1</v>
      </c>
      <c r="B146" s="10"/>
      <c r="C146" s="10"/>
      <c r="D146" s="10"/>
      <c r="E146" s="10"/>
      <c r="F146" s="10"/>
      <c r="G146" s="10" t="str">
        <f>PeEwpRPMReq</f>
        <v>DATC_PeEwpRPMReq</v>
      </c>
      <c r="H146" s="10"/>
      <c r="I146" s="46" t="e">
        <f>VLOOKUP(C143,Tbl_Button_Display_ASSTS,76,FALSE)</f>
        <v>#REF!</v>
      </c>
      <c r="J146" s="10"/>
      <c r="K146" s="10"/>
      <c r="L146" s="10"/>
    </row>
    <row r="147" spans="1:12" ht="14.25" hidden="1" outlineLevel="2">
      <c r="A147" s="68">
        <v>1</v>
      </c>
      <c r="B147" s="10"/>
      <c r="C147" s="10"/>
      <c r="D147" s="10"/>
      <c r="E147" s="10"/>
      <c r="F147" s="10"/>
      <c r="G147" s="10" t="str">
        <f>BatteryEWPOper</f>
        <v>DATC_BattEwpOpReq</v>
      </c>
      <c r="H147" s="10"/>
      <c r="I147" s="46" t="e">
        <f>VLOOKUP(C143,Tbl_Button_Display_ASSTS,73,FALSE)</f>
        <v>#REF!</v>
      </c>
      <c r="J147" s="10"/>
      <c r="K147" s="10"/>
      <c r="L147" s="10"/>
    </row>
    <row r="148" spans="1:12" ht="14.25" customHeight="1" outlineLevel="2">
      <c r="A148" s="70">
        <v>1</v>
      </c>
      <c r="B148" s="38" t="s">
        <v>142</v>
      </c>
      <c r="C148" s="38" t="s">
        <v>1267</v>
      </c>
      <c r="D148" s="38" t="e">
        <f>CONCATENATE(E149," ",F149,"시, ",G151," = ",I151,", ",G152," = ",I152," 출력 확인")</f>
        <v>#REF!</v>
      </c>
      <c r="E148" s="38"/>
      <c r="F148" s="38"/>
      <c r="G148" s="38"/>
      <c r="H148" s="38"/>
      <c r="I148" s="38"/>
      <c r="J148" s="38"/>
      <c r="K148" s="38"/>
      <c r="L148" s="38"/>
    </row>
    <row r="149" spans="1:12" ht="14.25" hidden="1" outlineLevel="2">
      <c r="A149" s="68">
        <v>1</v>
      </c>
      <c r="B149" s="10"/>
      <c r="C149" s="10"/>
      <c r="D149" s="10"/>
      <c r="E149" s="99" t="str">
        <f>VLOOKUP(C148,Tbl_Button_Display_ASSTS,11,FALSE)</f>
        <v>IGN2,3_Off_to_On</v>
      </c>
      <c r="F149" s="11" t="str">
        <f>VLOOKUP(C148,Tbl_Button_Display_ASSTS,12,FALSE)</f>
        <v xml:space="preserve"> </v>
      </c>
      <c r="G149" s="10"/>
      <c r="H149" s="10"/>
      <c r="I149" s="10"/>
      <c r="J149" s="14"/>
      <c r="K149" s="10"/>
      <c r="L149" s="10"/>
    </row>
    <row r="150" spans="1:12" ht="14.25" hidden="1" outlineLevel="2">
      <c r="A150" s="68">
        <v>1</v>
      </c>
      <c r="B150" s="10"/>
      <c r="C150" s="10"/>
      <c r="D150" s="10"/>
      <c r="E150" s="14" t="s">
        <v>5</v>
      </c>
      <c r="F150" s="11">
        <f>VLOOKUP(C148,Tbl_Button_Display_ASSTS,13,FALSE)</f>
        <v>5</v>
      </c>
      <c r="G150" s="10"/>
      <c r="H150" s="10"/>
      <c r="I150" s="10"/>
      <c r="J150" s="14"/>
      <c r="K150" s="10"/>
      <c r="L150" s="10"/>
    </row>
    <row r="151" spans="1:12" ht="14.25" hidden="1" outlineLevel="2">
      <c r="A151" s="68">
        <v>1</v>
      </c>
      <c r="B151" s="10"/>
      <c r="C151" s="10"/>
      <c r="D151" s="10"/>
      <c r="E151" s="10"/>
      <c r="F151" s="10"/>
      <c r="G151" s="10" t="str">
        <f>PeEwpRPMReq</f>
        <v>DATC_PeEwpRPMReq</v>
      </c>
      <c r="H151" s="10"/>
      <c r="I151" s="46" t="e">
        <f>VLOOKUP(C148,Tbl_Button_Display_ASSTS,76,FALSE)</f>
        <v>#REF!</v>
      </c>
      <c r="J151" s="10"/>
      <c r="K151" s="10"/>
      <c r="L151" s="10"/>
    </row>
    <row r="152" spans="1:12" ht="14.25" hidden="1" outlineLevel="2">
      <c r="A152" s="68">
        <v>1</v>
      </c>
      <c r="B152" s="10"/>
      <c r="C152" s="10"/>
      <c r="D152" s="10"/>
      <c r="E152" s="10"/>
      <c r="F152" s="10"/>
      <c r="G152" s="10" t="str">
        <f>BatteryEWPOper</f>
        <v>DATC_BattEwpOpReq</v>
      </c>
      <c r="H152" s="10"/>
      <c r="I152" s="46" t="e">
        <f>VLOOKUP(C148,Tbl_Button_Display_ASSTS,73,FALSE)</f>
        <v>#REF!</v>
      </c>
      <c r="J152" s="10"/>
      <c r="K152" s="10"/>
      <c r="L152" s="10"/>
    </row>
    <row r="153" spans="1:12" ht="14.25" customHeight="1" outlineLevel="2">
      <c r="A153" s="70">
        <v>1</v>
      </c>
      <c r="B153" s="38" t="s">
        <v>142</v>
      </c>
      <c r="C153" s="38" t="s">
        <v>1268</v>
      </c>
      <c r="D153" s="38" t="str">
        <f>CONCATENATE(E154," = ",F154," Hysterisis 설정")</f>
        <v>Snr_P SIGNAL_COMP OUT(PSI)_IN = 120 Hysterisis 설정</v>
      </c>
      <c r="E153" s="38"/>
      <c r="F153" s="38"/>
      <c r="G153" s="38"/>
      <c r="H153" s="38"/>
      <c r="I153" s="38"/>
      <c r="J153" s="38"/>
      <c r="K153" s="38"/>
      <c r="L153" s="38"/>
    </row>
    <row r="154" spans="1:12" ht="14.25" hidden="1" outlineLevel="1">
      <c r="A154" s="68">
        <v>1</v>
      </c>
      <c r="B154" s="10"/>
      <c r="C154" s="10"/>
      <c r="D154" s="10"/>
      <c r="E154" s="99" t="str">
        <f>VLOOKUP(C153,Tbl_Button_Display_ASSTS,11,FALSE)</f>
        <v>Snr_P SIGNAL_COMP OUT(PSI)_IN</v>
      </c>
      <c r="F154" s="11">
        <f>VLOOKUP(C153,Tbl_Button_Display_ASSTS,12,FALSE)</f>
        <v>120</v>
      </c>
      <c r="G154" s="10"/>
      <c r="H154" s="10"/>
      <c r="I154" s="10"/>
      <c r="J154" s="14"/>
      <c r="K154" s="10"/>
      <c r="L154" s="10"/>
    </row>
    <row r="155" spans="1:12" ht="14.25" hidden="1" outlineLevel="2">
      <c r="A155" s="68">
        <v>1</v>
      </c>
      <c r="B155" s="10"/>
      <c r="C155" s="10"/>
      <c r="D155" s="10"/>
      <c r="E155" s="14" t="s">
        <v>5</v>
      </c>
      <c r="F155" s="11">
        <f>VLOOKUP(C153,Tbl_Button_Display_ASSTS,13,FALSE)</f>
        <v>5</v>
      </c>
      <c r="G155" s="10"/>
      <c r="H155" s="10"/>
      <c r="I155" s="10"/>
      <c r="J155" s="10"/>
      <c r="K155" s="10"/>
      <c r="L155" s="10"/>
    </row>
    <row r="156" spans="1:12" ht="14.25" hidden="1" outlineLevel="2">
      <c r="A156" s="68">
        <v>1</v>
      </c>
      <c r="B156" s="10"/>
      <c r="C156" s="10"/>
      <c r="D156" s="10"/>
      <c r="E156" s="10"/>
      <c r="F156" s="10"/>
      <c r="G156" s="10" t="str">
        <f>PeEwpRPMReq</f>
        <v>DATC_PeEwpRPMReq</v>
      </c>
      <c r="H156" s="10"/>
      <c r="I156" s="46" t="e">
        <f>VLOOKUP(C153,Tbl_Button_Display_ASSTS,76,FALSE)</f>
        <v>#REF!</v>
      </c>
      <c r="J156" s="10"/>
      <c r="K156" s="10"/>
      <c r="L156" s="10"/>
    </row>
    <row r="157" spans="1:12" ht="14.25" hidden="1" outlineLevel="2">
      <c r="A157" s="68">
        <v>1</v>
      </c>
      <c r="B157" s="10"/>
      <c r="C157" s="10"/>
      <c r="D157" s="10"/>
      <c r="E157" s="10"/>
      <c r="F157" s="10"/>
      <c r="G157" s="10" t="str">
        <f>BatteryEWPOper</f>
        <v>DATC_BattEwpOpReq</v>
      </c>
      <c r="H157" s="10"/>
      <c r="I157" s="46" t="e">
        <f>VLOOKUP(C153,Tbl_Button_Display_ASSTS,73,FALSE)</f>
        <v>#REF!</v>
      </c>
      <c r="J157" s="10"/>
      <c r="K157" s="10"/>
      <c r="L157" s="10"/>
    </row>
    <row r="158" spans="1:12" ht="13.35" customHeight="1" outlineLevel="2">
      <c r="A158" s="70">
        <v>1</v>
      </c>
      <c r="B158" s="38" t="s">
        <v>142</v>
      </c>
      <c r="C158" s="38" t="s">
        <v>1269</v>
      </c>
      <c r="D158" s="38" t="e">
        <f>CONCATENATE(E159," ",F159,"시, ",G161," = ",I161,", ",G162," = ",I162," 유지 확인")</f>
        <v>#REF!</v>
      </c>
      <c r="E158" s="38"/>
      <c r="F158" s="38"/>
      <c r="G158" s="38"/>
      <c r="H158" s="38"/>
      <c r="I158" s="38"/>
      <c r="J158" s="38"/>
      <c r="K158" s="38"/>
      <c r="L158" s="38"/>
    </row>
    <row r="159" spans="1:12" ht="14.25" hidden="1" outlineLevel="2">
      <c r="A159" s="68">
        <v>1</v>
      </c>
      <c r="B159" s="10"/>
      <c r="C159" s="10"/>
      <c r="D159" s="10"/>
      <c r="E159" s="99" t="str">
        <f>VLOOKUP(C158,Tbl_Button_Display_ASSTS,11,FALSE)</f>
        <v>System_Off_to_On</v>
      </c>
      <c r="F159" s="11" t="str">
        <f>VLOOKUP(C158,Tbl_Button_Display_ASSTS,12,FALSE)</f>
        <v xml:space="preserve"> </v>
      </c>
      <c r="G159" s="10"/>
      <c r="H159" s="10"/>
      <c r="I159" s="10"/>
      <c r="J159" s="14"/>
      <c r="K159" s="10"/>
      <c r="L159" s="10"/>
    </row>
    <row r="160" spans="1:12" ht="14.25" hidden="1" outlineLevel="2">
      <c r="A160" s="68">
        <v>1</v>
      </c>
      <c r="B160" s="10"/>
      <c r="C160" s="10"/>
      <c r="D160" s="10"/>
      <c r="E160" s="14" t="s">
        <v>5</v>
      </c>
      <c r="F160" s="11">
        <f>VLOOKUP(C158,Tbl_Button_Display_ASSTS,13,FALSE)</f>
        <v>5</v>
      </c>
      <c r="G160" s="10"/>
      <c r="H160" s="10"/>
      <c r="I160" s="10"/>
      <c r="J160" s="14"/>
      <c r="K160" s="10"/>
      <c r="L160" s="10"/>
    </row>
    <row r="161" spans="1:12" ht="14.25" hidden="1" outlineLevel="2">
      <c r="A161" s="68">
        <v>1</v>
      </c>
      <c r="B161" s="10"/>
      <c r="C161" s="10"/>
      <c r="D161" s="10"/>
      <c r="E161" s="10"/>
      <c r="F161" s="10"/>
      <c r="G161" s="10" t="str">
        <f>PeEwpRPMReq</f>
        <v>DATC_PeEwpRPMReq</v>
      </c>
      <c r="H161" s="10"/>
      <c r="I161" s="46" t="e">
        <f>VLOOKUP(C158,Tbl_Button_Display_ASSTS,76,FALSE)</f>
        <v>#REF!</v>
      </c>
      <c r="J161" s="10"/>
      <c r="K161" s="10"/>
      <c r="L161" s="10"/>
    </row>
    <row r="162" spans="1:12" ht="14.25" hidden="1" outlineLevel="2">
      <c r="A162" s="68">
        <v>1</v>
      </c>
      <c r="B162" s="10"/>
      <c r="C162" s="10"/>
      <c r="D162" s="10"/>
      <c r="E162" s="10"/>
      <c r="F162" s="10"/>
      <c r="G162" s="10" t="str">
        <f>BatteryEWPOper</f>
        <v>DATC_BattEwpOpReq</v>
      </c>
      <c r="H162" s="10"/>
      <c r="I162" s="46" t="e">
        <f>VLOOKUP(C158,Tbl_Button_Display_ASSTS,73,FALSE)</f>
        <v>#REF!</v>
      </c>
      <c r="J162" s="10"/>
      <c r="K162" s="10"/>
      <c r="L162" s="10"/>
    </row>
    <row r="163" spans="1:12" ht="14.25" customHeight="1" outlineLevel="2">
      <c r="A163" s="70">
        <v>1</v>
      </c>
      <c r="B163" s="38" t="s">
        <v>142</v>
      </c>
      <c r="C163" s="38" t="s">
        <v>1270</v>
      </c>
      <c r="D163" s="38" t="e">
        <f>CONCATENATE(E164," ",F164,"시, ",G166," = ",I166,", ",G167," = ",I167," 출력 확인")</f>
        <v>#REF!</v>
      </c>
      <c r="E163" s="38"/>
      <c r="F163" s="38"/>
      <c r="G163" s="38"/>
      <c r="H163" s="38"/>
      <c r="I163" s="38"/>
      <c r="J163" s="38"/>
      <c r="K163" s="38"/>
      <c r="L163" s="38"/>
    </row>
    <row r="164" spans="1:12" ht="14.25" hidden="1" outlineLevel="2">
      <c r="A164" s="68">
        <v>1</v>
      </c>
      <c r="B164" s="10"/>
      <c r="C164" s="10"/>
      <c r="D164" s="10"/>
      <c r="E164" s="99" t="str">
        <f>VLOOKUP(C163,Tbl_Button_Display_ASSTS,11,FALSE)</f>
        <v>IGN2,3_Off_to_On</v>
      </c>
      <c r="F164" s="11" t="str">
        <f>VLOOKUP(C163,Tbl_Button_Display_ASSTS,12,FALSE)</f>
        <v xml:space="preserve"> </v>
      </c>
      <c r="G164" s="10"/>
      <c r="H164" s="10"/>
      <c r="I164" s="10"/>
      <c r="J164" s="14"/>
      <c r="K164" s="10"/>
      <c r="L164" s="10"/>
    </row>
    <row r="165" spans="1:12" ht="14.25" hidden="1" outlineLevel="2">
      <c r="A165" s="68">
        <v>1</v>
      </c>
      <c r="B165" s="10"/>
      <c r="C165" s="10"/>
      <c r="D165" s="10"/>
      <c r="E165" s="14" t="s">
        <v>5</v>
      </c>
      <c r="F165" s="11">
        <f>VLOOKUP(C163,Tbl_Button_Display_ASSTS,13,FALSE)</f>
        <v>5</v>
      </c>
      <c r="G165" s="10"/>
      <c r="H165" s="10"/>
      <c r="I165" s="10"/>
      <c r="J165" s="14"/>
      <c r="K165" s="10"/>
      <c r="L165" s="10"/>
    </row>
    <row r="166" spans="1:12" ht="14.25" hidden="1" outlineLevel="1">
      <c r="A166" s="68">
        <v>1</v>
      </c>
      <c r="B166" s="10"/>
      <c r="C166" s="10"/>
      <c r="D166" s="10"/>
      <c r="E166" s="10"/>
      <c r="F166" s="10"/>
      <c r="G166" s="10" t="str">
        <f>PeEwpRPMReq</f>
        <v>DATC_PeEwpRPMReq</v>
      </c>
      <c r="H166" s="10"/>
      <c r="I166" s="46" t="e">
        <f>VLOOKUP(C163,Tbl_Button_Display_ASSTS,76,FALSE)</f>
        <v>#REF!</v>
      </c>
      <c r="J166" s="10"/>
      <c r="K166" s="10"/>
      <c r="L166" s="10"/>
    </row>
    <row r="167" spans="1:12" ht="14.25" hidden="1" outlineLevel="2">
      <c r="A167" s="68">
        <v>1</v>
      </c>
      <c r="B167" s="10"/>
      <c r="C167" s="10"/>
      <c r="D167" s="10"/>
      <c r="E167" s="10"/>
      <c r="F167" s="10"/>
      <c r="G167" s="10" t="str">
        <f>BatteryEWPOper</f>
        <v>DATC_BattEwpOpReq</v>
      </c>
      <c r="H167" s="10"/>
      <c r="I167" s="46" t="e">
        <f>VLOOKUP(C163,Tbl_Button_Display_ASSTS,73,FALSE)</f>
        <v>#REF!</v>
      </c>
      <c r="J167" s="10"/>
      <c r="K167" s="10"/>
      <c r="L167" s="10"/>
    </row>
    <row r="168" spans="1:12" ht="14.25" customHeight="1" outlineLevel="2">
      <c r="A168" s="70">
        <v>1</v>
      </c>
      <c r="B168" s="38" t="s">
        <v>142</v>
      </c>
      <c r="C168" s="38" t="s">
        <v>1271</v>
      </c>
      <c r="D168" s="38" t="str">
        <f>CONCATENATE(E169," = ",F169," Hysterisis 설정")</f>
        <v>Snr_P SIGNAL_COMP OUT(PSI)_IN = 65 Hysterisis 설정</v>
      </c>
      <c r="E168" s="38"/>
      <c r="F168" s="38"/>
      <c r="G168" s="38"/>
      <c r="H168" s="38"/>
      <c r="I168" s="38"/>
      <c r="J168" s="38"/>
      <c r="K168" s="38"/>
      <c r="L168" s="38"/>
    </row>
    <row r="169" spans="1:12" ht="14.25" hidden="1" outlineLevel="2">
      <c r="A169" s="68">
        <v>1</v>
      </c>
      <c r="B169" s="10"/>
      <c r="C169" s="10"/>
      <c r="D169" s="10"/>
      <c r="E169" s="99" t="str">
        <f>VLOOKUP(C168,Tbl_Button_Display_ASSTS,11,FALSE)</f>
        <v>Snr_P SIGNAL_COMP OUT(PSI)_IN</v>
      </c>
      <c r="F169" s="11">
        <f>VLOOKUP(C168,Tbl_Button_Display_ASSTS,12,FALSE)</f>
        <v>65</v>
      </c>
      <c r="G169" s="10"/>
      <c r="H169" s="10"/>
      <c r="I169" s="10"/>
      <c r="J169" s="14"/>
      <c r="K169" s="10"/>
      <c r="L169" s="10"/>
    </row>
    <row r="170" spans="1:12" ht="14.25" hidden="1" outlineLevel="2">
      <c r="A170" s="68">
        <v>1</v>
      </c>
      <c r="B170" s="10"/>
      <c r="C170" s="10"/>
      <c r="D170" s="10"/>
      <c r="E170" s="14" t="s">
        <v>5</v>
      </c>
      <c r="F170" s="11">
        <f>VLOOKUP(C168,Tbl_Button_Display_ASSTS,13,FALSE)</f>
        <v>5</v>
      </c>
      <c r="G170" s="10"/>
      <c r="H170" s="10"/>
      <c r="I170" s="10"/>
      <c r="J170" s="14"/>
      <c r="K170" s="10"/>
      <c r="L170" s="10"/>
    </row>
    <row r="171" spans="1:12" ht="14.25" hidden="1">
      <c r="A171" s="68">
        <v>1</v>
      </c>
      <c r="B171" s="10"/>
      <c r="C171" s="10"/>
      <c r="D171" s="10"/>
      <c r="E171" s="10"/>
      <c r="F171" s="10"/>
      <c r="G171" s="10" t="str">
        <f>PeEwpRPMReq</f>
        <v>DATC_PeEwpRPMReq</v>
      </c>
      <c r="H171" s="10"/>
      <c r="I171" s="46" t="e">
        <f>VLOOKUP(C168,Tbl_Button_Display_ASSTS,76,FALSE)</f>
        <v>#REF!</v>
      </c>
      <c r="J171" s="10"/>
      <c r="K171" s="10"/>
      <c r="L171" s="10"/>
    </row>
    <row r="172" spans="1:12" ht="14.25" hidden="1" collapsed="1">
      <c r="A172" s="68">
        <v>1</v>
      </c>
      <c r="B172" s="10"/>
      <c r="C172" s="10"/>
      <c r="D172" s="10"/>
      <c r="E172" s="10"/>
      <c r="F172" s="10"/>
      <c r="G172" s="10" t="str">
        <f>BatteryEWPOper</f>
        <v>DATC_BattEwpOpReq</v>
      </c>
      <c r="H172" s="10"/>
      <c r="I172" s="46" t="e">
        <f>VLOOKUP(C168,Tbl_Button_Display_ASSTS,73,FALSE)</f>
        <v>#REF!</v>
      </c>
      <c r="J172" s="10"/>
      <c r="K172" s="10"/>
      <c r="L172" s="10"/>
    </row>
    <row r="173" spans="1:12" ht="14.25" customHeight="1" outlineLevel="1">
      <c r="A173" s="70">
        <v>1</v>
      </c>
      <c r="B173" s="38" t="s">
        <v>142</v>
      </c>
      <c r="C173" s="38" t="s">
        <v>1272</v>
      </c>
      <c r="D173" s="38" t="e">
        <f>CONCATENATE(E174," ",F174,"시, ",G176," = ",I176,", ",G177," = ",I177," 유지 확인")</f>
        <v>#REF!</v>
      </c>
      <c r="E173" s="38"/>
      <c r="F173" s="38"/>
      <c r="G173" s="38"/>
      <c r="H173" s="38"/>
      <c r="I173" s="38"/>
      <c r="J173" s="38"/>
      <c r="K173" s="38"/>
      <c r="L173" s="38"/>
    </row>
    <row r="174" spans="1:12" ht="14.25" hidden="1" outlineLevel="2">
      <c r="A174" s="68">
        <v>1</v>
      </c>
      <c r="B174" s="10"/>
      <c r="C174" s="10"/>
      <c r="D174" s="10"/>
      <c r="E174" s="99" t="str">
        <f>VLOOKUP(C173,Tbl_Button_Display_ASSTS,11,FALSE)</f>
        <v>System_Off_to_On</v>
      </c>
      <c r="F174" s="11" t="str">
        <f>VLOOKUP(C173,Tbl_Button_Display_ASSTS,12,FALSE)</f>
        <v xml:space="preserve"> </v>
      </c>
      <c r="G174" s="10"/>
      <c r="H174" s="10"/>
      <c r="I174" s="10"/>
      <c r="J174" s="14"/>
      <c r="K174" s="10"/>
      <c r="L174" s="10"/>
    </row>
    <row r="175" spans="1:12" ht="14.25" hidden="1" outlineLevel="2">
      <c r="A175" s="68">
        <v>1</v>
      </c>
      <c r="B175" s="10"/>
      <c r="C175" s="10"/>
      <c r="D175" s="10"/>
      <c r="E175" s="14" t="s">
        <v>5</v>
      </c>
      <c r="F175" s="11">
        <f>VLOOKUP(C173,Tbl_Button_Display_ASSTS,13,FALSE)</f>
        <v>5</v>
      </c>
      <c r="G175" s="10"/>
      <c r="H175" s="10"/>
      <c r="I175" s="10"/>
      <c r="J175" s="14"/>
      <c r="K175" s="10"/>
      <c r="L175" s="10"/>
    </row>
    <row r="176" spans="1:12" ht="14.25" hidden="1" outlineLevel="2">
      <c r="A176" s="68">
        <v>1</v>
      </c>
      <c r="B176" s="10"/>
      <c r="C176" s="10"/>
      <c r="D176" s="10"/>
      <c r="E176" s="10"/>
      <c r="F176" s="10"/>
      <c r="G176" s="10" t="str">
        <f>PeEwpRPMReq</f>
        <v>DATC_PeEwpRPMReq</v>
      </c>
      <c r="H176" s="10"/>
      <c r="I176" s="46" t="e">
        <f>VLOOKUP(C173,Tbl_Button_Display_ASSTS,76,FALSE)</f>
        <v>#REF!</v>
      </c>
      <c r="J176" s="10"/>
      <c r="K176" s="10"/>
      <c r="L176" s="10"/>
    </row>
    <row r="177" spans="1:12" ht="14.25" hidden="1" outlineLevel="2">
      <c r="A177" s="68">
        <v>1</v>
      </c>
      <c r="B177" s="10"/>
      <c r="C177" s="10"/>
      <c r="D177" s="10"/>
      <c r="E177" s="10"/>
      <c r="F177" s="10"/>
      <c r="G177" s="10" t="str">
        <f>BatteryEWPOper</f>
        <v>DATC_BattEwpOpReq</v>
      </c>
      <c r="H177" s="10"/>
      <c r="I177" s="46" t="e">
        <f>VLOOKUP(C173,Tbl_Button_Display_ASSTS,73,FALSE)</f>
        <v>#REF!</v>
      </c>
      <c r="J177" s="10"/>
      <c r="K177" s="10"/>
      <c r="L177" s="10"/>
    </row>
    <row r="178" spans="1:12" ht="14.25" customHeight="1" outlineLevel="2">
      <c r="A178" s="70">
        <v>1</v>
      </c>
      <c r="B178" s="38" t="s">
        <v>142</v>
      </c>
      <c r="C178" s="38" t="s">
        <v>1273</v>
      </c>
      <c r="D178" s="38" t="e">
        <f>CONCATENATE(E179," ",F179,"시, ",G181," = ",I181,", ",G182," = ",I182," 출력 확인")</f>
        <v>#REF!</v>
      </c>
      <c r="E178" s="38"/>
      <c r="F178" s="38"/>
      <c r="G178" s="38"/>
      <c r="H178" s="38"/>
      <c r="I178" s="38"/>
      <c r="J178" s="38"/>
      <c r="K178" s="38"/>
      <c r="L178" s="38"/>
    </row>
    <row r="179" spans="1:12" ht="14.25" hidden="1" outlineLevel="2">
      <c r="A179" s="68">
        <v>1</v>
      </c>
      <c r="B179" s="10"/>
      <c r="C179" s="10"/>
      <c r="D179" s="10"/>
      <c r="E179" s="99" t="str">
        <f>VLOOKUP(C178,Tbl_Button_Display_ASSTS,11,FALSE)</f>
        <v>IGN2,3_Off_to_On</v>
      </c>
      <c r="F179" s="11" t="str">
        <f>VLOOKUP(C178,Tbl_Button_Display_ASSTS,12,FALSE)</f>
        <v xml:space="preserve"> </v>
      </c>
      <c r="G179" s="10"/>
      <c r="H179" s="10"/>
      <c r="I179" s="10"/>
      <c r="J179" s="14"/>
      <c r="K179" s="10"/>
      <c r="L179" s="10"/>
    </row>
    <row r="180" spans="1:12" ht="14.25" hidden="1" outlineLevel="2">
      <c r="A180" s="68">
        <v>1</v>
      </c>
      <c r="B180" s="10"/>
      <c r="C180" s="10"/>
      <c r="D180" s="10"/>
      <c r="E180" s="14" t="s">
        <v>5</v>
      </c>
      <c r="F180" s="11">
        <f>VLOOKUP(C178,Tbl_Button_Display_ASSTS,13,FALSE)</f>
        <v>5</v>
      </c>
      <c r="G180" s="10"/>
      <c r="H180" s="10"/>
      <c r="I180" s="10"/>
      <c r="J180" s="10"/>
      <c r="K180" s="10"/>
      <c r="L180" s="10"/>
    </row>
    <row r="181" spans="1:12" ht="14.25" hidden="1" outlineLevel="2">
      <c r="A181" s="68">
        <v>1</v>
      </c>
      <c r="B181" s="10"/>
      <c r="C181" s="10"/>
      <c r="D181" s="10"/>
      <c r="E181" s="10"/>
      <c r="F181" s="10"/>
      <c r="G181" s="10" t="str">
        <f>PeEwpRPMReq</f>
        <v>DATC_PeEwpRPMReq</v>
      </c>
      <c r="H181" s="10"/>
      <c r="I181" s="46" t="e">
        <f>VLOOKUP(C178,Tbl_Button_Display_ASSTS,76,FALSE)</f>
        <v>#REF!</v>
      </c>
      <c r="J181" s="10"/>
      <c r="K181" s="10"/>
      <c r="L181" s="10"/>
    </row>
    <row r="182" spans="1:12" ht="14.25" hidden="1" outlineLevel="2">
      <c r="A182" s="68">
        <v>1</v>
      </c>
      <c r="B182" s="10"/>
      <c r="C182" s="10"/>
      <c r="D182" s="10"/>
      <c r="E182" s="10"/>
      <c r="F182" s="10"/>
      <c r="G182" s="10" t="str">
        <f>BatteryEWPOper</f>
        <v>DATC_BattEwpOpReq</v>
      </c>
      <c r="H182" s="10"/>
      <c r="I182" s="46" t="e">
        <f>VLOOKUP(C178,Tbl_Button_Display_ASSTS,73,FALSE)</f>
        <v>#REF!</v>
      </c>
      <c r="J182" s="10"/>
      <c r="K182" s="10"/>
      <c r="L182" s="10"/>
    </row>
    <row r="183" spans="1:12" ht="14.25" customHeight="1" outlineLevel="2">
      <c r="A183" s="69">
        <v>1</v>
      </c>
      <c r="B183" s="37" t="s">
        <v>143</v>
      </c>
      <c r="C183" s="37" t="s">
        <v>1183</v>
      </c>
      <c r="D183" s="37" t="str">
        <f>VLOOKUP(C183,Tbl_Button_Display_ASSTS, 2,FALSE)</f>
        <v>진입 / 해제 조건 - A/C 모드 or 배터리 쿨링 요청시 / A/C 모드외 and 배터리 쿨링 미요청시</v>
      </c>
      <c r="E183" s="37"/>
      <c r="F183" s="37"/>
      <c r="G183" s="37"/>
      <c r="H183" s="37"/>
      <c r="I183" s="37"/>
      <c r="J183" s="37"/>
      <c r="K183" s="37"/>
      <c r="L183" s="37"/>
    </row>
    <row r="184" spans="1:12" ht="16.5" customHeight="1" outlineLevel="2">
      <c r="A184" s="103">
        <v>1</v>
      </c>
      <c r="B184" s="104" t="s">
        <v>38</v>
      </c>
      <c r="C184" s="104" t="s">
        <v>1184</v>
      </c>
      <c r="D184" s="104" t="s">
        <v>1254</v>
      </c>
      <c r="E184" s="104"/>
      <c r="F184" s="104"/>
      <c r="G184" s="104"/>
      <c r="H184" s="104"/>
      <c r="I184" s="104"/>
      <c r="J184" s="104"/>
      <c r="K184" s="104"/>
      <c r="L184" s="104"/>
    </row>
    <row r="185" spans="1:12" ht="14.25" hidden="1" outlineLevel="2">
      <c r="A185" s="68">
        <v>1</v>
      </c>
      <c r="B185" s="10"/>
      <c r="C185" s="10"/>
      <c r="D185" s="10"/>
      <c r="E185" s="99" t="str">
        <f>VLOOKUP(C184,Tbl_Button_Display_ASSTS,11,FALSE)</f>
        <v>Snr_P SIGNAL_COMP OUT(PSI)_IN</v>
      </c>
      <c r="F185" s="11">
        <f>VLOOKUP(C184,Tbl_Button_Display_ASSTS,12,FALSE)</f>
        <v>235</v>
      </c>
      <c r="G185" s="10"/>
      <c r="H185" s="10"/>
      <c r="I185" s="10"/>
      <c r="J185" s="10"/>
      <c r="K185" s="10"/>
      <c r="L185" s="10"/>
    </row>
    <row r="186" spans="1:12" ht="14.25" hidden="1" outlineLevel="1">
      <c r="A186" s="68">
        <v>1</v>
      </c>
      <c r="B186" s="10"/>
      <c r="C186" s="10"/>
      <c r="D186" s="10"/>
      <c r="E186" s="14" t="s">
        <v>5</v>
      </c>
      <c r="F186" s="11">
        <f>VLOOKUP(C184,Tbl_Button_Display_ASSTS,13,FALSE)</f>
        <v>10</v>
      </c>
      <c r="G186" s="10"/>
      <c r="H186" s="10"/>
      <c r="I186" s="10"/>
      <c r="J186" s="10"/>
      <c r="K186" s="10"/>
      <c r="L186" s="10"/>
    </row>
    <row r="187" spans="1:12" ht="14.25" hidden="1" outlineLevel="2">
      <c r="A187" s="68">
        <v>1</v>
      </c>
      <c r="B187" s="10"/>
      <c r="C187" s="10"/>
      <c r="D187" s="10"/>
      <c r="E187" s="10"/>
      <c r="F187" s="10"/>
      <c r="G187" s="10" t="e">
        <f>AcDisp</f>
        <v>#NAME?</v>
      </c>
      <c r="H187" s="10"/>
      <c r="I187" s="12" t="str">
        <f>VLOOKUP(C184,Tbl_Button_Display_ASSTS,31,FALSE)</f>
        <v>On</v>
      </c>
      <c r="J187" s="10"/>
      <c r="K187" s="10"/>
      <c r="L187" s="10"/>
    </row>
    <row r="188" spans="1:12" ht="14.25" hidden="1" outlineLevel="2">
      <c r="A188" s="68">
        <v>1</v>
      </c>
      <c r="B188" s="10"/>
      <c r="C188" s="10"/>
      <c r="D188" s="10"/>
      <c r="E188" s="10"/>
      <c r="F188" s="83"/>
      <c r="G188" s="10" t="str">
        <f>HP_ModSta</f>
        <v>DATC_HtrPmpModSta</v>
      </c>
      <c r="H188" s="47" t="e">
        <f>VLOOKUP(C184,Tbl_Button_Display_ASSTS,71,FALSE)</f>
        <v>#REF!</v>
      </c>
      <c r="I188" s="45" t="e">
        <f>(IF(H188="","",VLOOKUP(H188,Tbl_HP_Cycle,2,FALSE)))</f>
        <v>#REF!</v>
      </c>
      <c r="J188" s="10"/>
      <c r="K188" s="10"/>
      <c r="L188" s="10"/>
    </row>
    <row r="189" spans="1:12" ht="14.25" hidden="1" outlineLevel="2">
      <c r="A189" s="68">
        <v>1</v>
      </c>
      <c r="B189" s="10"/>
      <c r="C189" s="10"/>
      <c r="D189" s="10"/>
      <c r="E189" s="10"/>
      <c r="F189" s="10"/>
      <c r="G189" s="10" t="str">
        <f>PeEwpRPMReq</f>
        <v>DATC_PeEwpRPMReq</v>
      </c>
      <c r="H189" s="10"/>
      <c r="I189" s="12" t="e">
        <f>VLOOKUP(C184,Tbl_Button_Display_ASSTS,76,FALSE)</f>
        <v>#REF!</v>
      </c>
      <c r="J189" s="10"/>
      <c r="K189" s="10"/>
      <c r="L189" s="10"/>
    </row>
    <row r="190" spans="1:12" ht="14.25" hidden="1" outlineLevel="2">
      <c r="A190" s="68">
        <v>1</v>
      </c>
      <c r="B190" s="10"/>
      <c r="C190" s="10"/>
      <c r="D190" s="10"/>
      <c r="E190" s="10"/>
      <c r="F190" s="10"/>
      <c r="G190" s="10" t="str">
        <f>BatteryEWPOper</f>
        <v>DATC_BattEwpOpReq</v>
      </c>
      <c r="H190" s="10"/>
      <c r="I190" s="12" t="e">
        <f>VLOOKUP(C184,Tbl_Button_Display_ASSTS,73,FALSE)</f>
        <v>#REF!</v>
      </c>
      <c r="J190" s="10"/>
      <c r="K190" s="10"/>
      <c r="L190" s="10"/>
    </row>
    <row r="191" spans="1:12" ht="14.25" customHeight="1" outlineLevel="2">
      <c r="A191" s="70">
        <v>1</v>
      </c>
      <c r="B191" s="38" t="s">
        <v>142</v>
      </c>
      <c r="C191" s="38" t="s">
        <v>1185</v>
      </c>
      <c r="D191" s="38" t="e">
        <f>CONCATENATE(I195," 모드 일 때, ",G196," = ",I196,"rpm, ",G197," = ",I197,"rpm 출력 확인")</f>
        <v>#REF!</v>
      </c>
      <c r="E191" s="38"/>
      <c r="F191" s="38"/>
      <c r="G191" s="38"/>
      <c r="H191" s="38"/>
      <c r="I191" s="38"/>
      <c r="J191" s="38"/>
      <c r="K191" s="38"/>
      <c r="L191" s="38"/>
    </row>
    <row r="192" spans="1:12" ht="14.25" hidden="1" outlineLevel="2">
      <c r="A192" s="68">
        <v>1</v>
      </c>
      <c r="B192" s="10"/>
      <c r="C192" s="10"/>
      <c r="D192" s="10"/>
      <c r="E192" s="99" t="str">
        <f>VLOOKUP(C191,Tbl_Button_Display_ASSTS,11,FALSE)</f>
        <v>Sw_AC</v>
      </c>
      <c r="F192" s="11">
        <f>VLOOKUP(C191,Tbl_Button_Display_ASSTS,12,FALSE)</f>
        <v>1</v>
      </c>
      <c r="G192" s="10"/>
      <c r="H192" s="10"/>
      <c r="I192" s="10"/>
      <c r="J192" s="14"/>
      <c r="K192" s="10"/>
      <c r="L192" s="10"/>
    </row>
    <row r="193" spans="1:12" ht="14.25" hidden="1" outlineLevel="1">
      <c r="A193" s="68">
        <v>1</v>
      </c>
      <c r="B193" s="10"/>
      <c r="C193" s="10"/>
      <c r="D193" s="10"/>
      <c r="E193" s="14" t="s">
        <v>5</v>
      </c>
      <c r="F193" s="11">
        <f>VLOOKUP(C191,Tbl_Button_Display_ASSTS,13,FALSE)</f>
        <v>2</v>
      </c>
      <c r="G193" s="10"/>
      <c r="H193" s="10"/>
      <c r="I193" s="10"/>
      <c r="J193" s="10"/>
      <c r="K193" s="10"/>
      <c r="L193" s="10"/>
    </row>
    <row r="194" spans="1:12" ht="14.25" hidden="1" outlineLevel="2">
      <c r="A194" s="68">
        <v>1</v>
      </c>
      <c r="B194" s="10"/>
      <c r="C194" s="10"/>
      <c r="D194" s="10"/>
      <c r="E194" s="10"/>
      <c r="F194" s="10"/>
      <c r="G194" s="10" t="e">
        <f>AcDisp</f>
        <v>#NAME?</v>
      </c>
      <c r="H194" s="10"/>
      <c r="I194" s="12" t="str">
        <f>VLOOKUP(C191,Tbl_Button_Display_ASSTS,31,FALSE)</f>
        <v>Off</v>
      </c>
      <c r="J194" s="10"/>
      <c r="K194" s="10"/>
      <c r="L194" s="10"/>
    </row>
    <row r="195" spans="1:12" ht="14.25" hidden="1" outlineLevel="2">
      <c r="A195" s="68">
        <v>1</v>
      </c>
      <c r="B195" s="10"/>
      <c r="C195" s="10"/>
      <c r="D195" s="10"/>
      <c r="E195" s="10"/>
      <c r="F195" s="83"/>
      <c r="G195" s="10" t="str">
        <f>HP_ModSta</f>
        <v>DATC_HtrPmpModSta</v>
      </c>
      <c r="H195" s="47" t="e">
        <f>VLOOKUP(C191,Tbl_Button_Display_ASSTS,71,FALSE)</f>
        <v>#REF!</v>
      </c>
      <c r="I195" s="45" t="e">
        <f>(IF(H195="","",VLOOKUP(H195,Tbl_HP_Cycle,2,FALSE)))</f>
        <v>#REF!</v>
      </c>
      <c r="J195" s="10"/>
      <c r="K195" s="10"/>
      <c r="L195" s="10"/>
    </row>
    <row r="196" spans="1:12" ht="14.25" hidden="1" outlineLevel="2">
      <c r="A196" s="68">
        <v>1</v>
      </c>
      <c r="B196" s="10"/>
      <c r="C196" s="10"/>
      <c r="D196" s="10"/>
      <c r="E196" s="10"/>
      <c r="F196" s="10"/>
      <c r="G196" s="10" t="str">
        <f>PeEwpRPMReq</f>
        <v>DATC_PeEwpRPMReq</v>
      </c>
      <c r="H196" s="10"/>
      <c r="I196" s="46" t="e">
        <f>VLOOKUP(C191,Tbl_Button_Display_ASSTS,76,FALSE)</f>
        <v>#REF!</v>
      </c>
      <c r="J196" s="10"/>
      <c r="K196" s="10"/>
      <c r="L196" s="10"/>
    </row>
    <row r="197" spans="1:12" ht="14.25" hidden="1" outlineLevel="2">
      <c r="A197" s="68">
        <v>1</v>
      </c>
      <c r="B197" s="10"/>
      <c r="C197" s="10"/>
      <c r="D197" s="10"/>
      <c r="E197" s="10"/>
      <c r="F197" s="10"/>
      <c r="G197" s="10" t="str">
        <f>BatteryEWPOper</f>
        <v>DATC_BattEwpOpReq</v>
      </c>
      <c r="H197" s="10"/>
      <c r="I197" s="46" t="e">
        <f>VLOOKUP(C191,Tbl_Button_Display_ASSTS,73,FALSE)</f>
        <v>#REF!</v>
      </c>
      <c r="J197" s="10"/>
      <c r="K197" s="10"/>
      <c r="L197" s="10"/>
    </row>
    <row r="198" spans="1:12" ht="13.35" customHeight="1" outlineLevel="2">
      <c r="A198" s="70">
        <v>1</v>
      </c>
      <c r="B198" s="38" t="s">
        <v>142</v>
      </c>
      <c r="C198" s="38" t="s">
        <v>1186</v>
      </c>
      <c r="D198" s="38" t="e">
        <f>CONCATENATE(E199," = ",F199," 설정 시, ",G202," = ",I202,"rpm, ",G203," = ",I203,"rpm 출력 확인")</f>
        <v>#REF!</v>
      </c>
      <c r="E198" s="38"/>
      <c r="F198" s="38"/>
      <c r="G198" s="38"/>
      <c r="H198" s="38"/>
      <c r="I198" s="38"/>
      <c r="J198" s="38"/>
      <c r="K198" s="38"/>
      <c r="L198" s="38"/>
    </row>
    <row r="199" spans="1:12" ht="14.25" hidden="1" outlineLevel="2">
      <c r="A199" s="68">
        <v>1</v>
      </c>
      <c r="B199" s="10"/>
      <c r="C199" s="10"/>
      <c r="D199" s="10"/>
      <c r="E199" s="99" t="str">
        <f>VLOOKUP(C198,Tbl_Button_Display_ASSTS,11,FALSE)</f>
        <v>VCU_BatChllrTgtRpm</v>
      </c>
      <c r="F199" s="11">
        <f>VLOOKUP(C198,Tbl_Button_Display_ASSTS,12,FALSE)</f>
        <v>1000</v>
      </c>
      <c r="G199" s="10"/>
      <c r="H199" s="10"/>
      <c r="I199" s="10"/>
      <c r="J199" s="14"/>
      <c r="K199" s="10"/>
      <c r="L199" s="10"/>
    </row>
    <row r="200" spans="1:12" ht="14.25" hidden="1">
      <c r="A200" s="68">
        <v>1</v>
      </c>
      <c r="B200" s="10"/>
      <c r="C200" s="10"/>
      <c r="D200" s="10"/>
      <c r="E200" s="14" t="s">
        <v>5</v>
      </c>
      <c r="F200" s="11">
        <f>VLOOKUP(C198,Tbl_Button_Display_ASSTS,13,FALSE)</f>
        <v>5</v>
      </c>
      <c r="G200" s="10"/>
      <c r="H200" s="10"/>
      <c r="I200" s="10"/>
      <c r="J200" s="14"/>
      <c r="K200" s="10"/>
      <c r="L200" s="10"/>
    </row>
    <row r="201" spans="1:12" ht="14.25" hidden="1" collapsed="1">
      <c r="A201" s="68">
        <v>1</v>
      </c>
      <c r="B201" s="10"/>
      <c r="C201" s="10"/>
      <c r="D201" s="10"/>
      <c r="E201" s="10"/>
      <c r="F201" s="83"/>
      <c r="G201" s="10" t="str">
        <f>HP_ModSta</f>
        <v>DATC_HtrPmpModSta</v>
      </c>
      <c r="H201" s="47" t="e">
        <f>VLOOKUP(C198,Tbl_Button_Display_ASSTS,71,FALSE)</f>
        <v>#REF!</v>
      </c>
      <c r="I201" s="45" t="e">
        <f>(IF(H201="","",VLOOKUP(H201,Tbl_HP_Cycle,2,FALSE)))</f>
        <v>#REF!</v>
      </c>
      <c r="J201" s="10"/>
      <c r="K201" s="10"/>
      <c r="L201" s="10"/>
    </row>
    <row r="202" spans="1:12" ht="14.25" hidden="1" outlineLevel="1">
      <c r="A202" s="68">
        <v>1</v>
      </c>
      <c r="B202" s="10"/>
      <c r="C202" s="10"/>
      <c r="D202" s="10"/>
      <c r="E202" s="10"/>
      <c r="F202" s="10"/>
      <c r="G202" s="10" t="str">
        <f>PeEwpRPMReq</f>
        <v>DATC_PeEwpRPMReq</v>
      </c>
      <c r="H202" s="10"/>
      <c r="I202" s="46" t="e">
        <f>VLOOKUP(C198,Tbl_Button_Display_ASSTS,76,FALSE)</f>
        <v>#REF!</v>
      </c>
      <c r="J202" s="10"/>
      <c r="K202" s="10"/>
      <c r="L202" s="10"/>
    </row>
    <row r="203" spans="1:12" ht="14.25" hidden="1" outlineLevel="2">
      <c r="A203" s="68">
        <v>1</v>
      </c>
      <c r="B203" s="10"/>
      <c r="C203" s="10"/>
      <c r="D203" s="10"/>
      <c r="E203" s="10"/>
      <c r="F203" s="10"/>
      <c r="G203" s="10" t="str">
        <f>BatteryEWPOper</f>
        <v>DATC_BattEwpOpReq</v>
      </c>
      <c r="H203" s="10"/>
      <c r="I203" s="46" t="e">
        <f>VLOOKUP(C198,Tbl_Button_Display_ASSTS,73,FALSE)</f>
        <v>#REF!</v>
      </c>
      <c r="J203" s="10"/>
      <c r="K203" s="10"/>
      <c r="L203" s="10"/>
    </row>
    <row r="204" spans="1:12" ht="14.25" customHeight="1" outlineLevel="2">
      <c r="A204" s="70">
        <v>1</v>
      </c>
      <c r="B204" s="38" t="s">
        <v>142</v>
      </c>
      <c r="C204" s="38" t="s">
        <v>1187</v>
      </c>
      <c r="D204" s="38" t="e">
        <f>CONCATENATE(E205," = ",F205," 설정 시, ",G208," = ",I208,"rpm, ",G209," = ",I209,"rpm 출력 확인")</f>
        <v>#REF!</v>
      </c>
      <c r="E204" s="38"/>
      <c r="F204" s="38"/>
      <c r="G204" s="38"/>
      <c r="H204" s="38"/>
      <c r="I204" s="38"/>
      <c r="J204" s="38"/>
      <c r="K204" s="38"/>
      <c r="L204" s="38"/>
    </row>
    <row r="205" spans="1:12" ht="14.25" hidden="1" outlineLevel="2">
      <c r="A205" s="68">
        <v>1</v>
      </c>
      <c r="B205" s="10"/>
      <c r="C205" s="10"/>
      <c r="D205" s="10"/>
      <c r="E205" s="99" t="str">
        <f>VLOOKUP(C204,Tbl_Button_Display_ASSTS,11,FALSE)</f>
        <v>VCU_BatChllrTgtRpm</v>
      </c>
      <c r="F205" s="11">
        <f>VLOOKUP(C204,Tbl_Button_Display_ASSTS,12,FALSE)</f>
        <v>0</v>
      </c>
      <c r="G205" s="10"/>
      <c r="H205" s="10"/>
      <c r="I205" s="10"/>
      <c r="J205" s="14"/>
      <c r="K205" s="10"/>
      <c r="L205" s="10"/>
    </row>
    <row r="206" spans="1:12" ht="14.25" hidden="1" outlineLevel="2">
      <c r="A206" s="68">
        <v>1</v>
      </c>
      <c r="B206" s="10"/>
      <c r="C206" s="10"/>
      <c r="D206" s="10"/>
      <c r="E206" s="14" t="s">
        <v>5</v>
      </c>
      <c r="F206" s="11">
        <f>VLOOKUP(C204,Tbl_Button_Display_ASSTS,13,FALSE)</f>
        <v>5</v>
      </c>
      <c r="G206" s="10"/>
      <c r="H206" s="10"/>
      <c r="I206" s="10"/>
      <c r="J206" s="14"/>
      <c r="K206" s="10"/>
      <c r="L206" s="10"/>
    </row>
    <row r="207" spans="1:12" ht="14.25" hidden="1" outlineLevel="2">
      <c r="A207" s="68">
        <v>1</v>
      </c>
      <c r="B207" s="10"/>
      <c r="C207" s="10"/>
      <c r="D207" s="10"/>
      <c r="E207" s="10"/>
      <c r="F207" s="83"/>
      <c r="G207" s="10" t="str">
        <f>HP_ModSta</f>
        <v>DATC_HtrPmpModSta</v>
      </c>
      <c r="H207" s="47" t="e">
        <f>VLOOKUP(C204,Tbl_Button_Display_ASSTS,71,FALSE)</f>
        <v>#REF!</v>
      </c>
      <c r="I207" s="45" t="e">
        <f>(IF(H207="","",VLOOKUP(H207,Tbl_HP_Cycle,2,FALSE)))</f>
        <v>#REF!</v>
      </c>
      <c r="J207" s="10"/>
      <c r="K207" s="10"/>
      <c r="L207" s="10"/>
    </row>
    <row r="208" spans="1:12" ht="14.25" hidden="1" outlineLevel="2">
      <c r="A208" s="68">
        <v>1</v>
      </c>
      <c r="B208" s="10"/>
      <c r="C208" s="10"/>
      <c r="D208" s="10"/>
      <c r="E208" s="10"/>
      <c r="F208" s="10"/>
      <c r="G208" s="10" t="str">
        <f>PeEwpRPMReq</f>
        <v>DATC_PeEwpRPMReq</v>
      </c>
      <c r="H208" s="10"/>
      <c r="I208" s="46" t="e">
        <f>VLOOKUP(C204,Tbl_Button_Display_ASSTS,76,FALSE)</f>
        <v>#REF!</v>
      </c>
      <c r="J208" s="10"/>
      <c r="K208" s="10"/>
      <c r="L208" s="10"/>
    </row>
    <row r="209" spans="1:12" ht="14.25" hidden="1" outlineLevel="1">
      <c r="A209" s="68">
        <v>1</v>
      </c>
      <c r="B209" s="10"/>
      <c r="C209" s="10"/>
      <c r="D209" s="10"/>
      <c r="E209" s="10"/>
      <c r="F209" s="10"/>
      <c r="G209" s="10" t="str">
        <f>BatteryEWPOper</f>
        <v>DATC_BattEwpOpReq</v>
      </c>
      <c r="H209" s="10"/>
      <c r="I209" s="46" t="e">
        <f>VLOOKUP(C204,Tbl_Button_Display_ASSTS,73,FALSE)</f>
        <v>#REF!</v>
      </c>
      <c r="J209" s="10"/>
      <c r="K209" s="10"/>
      <c r="L209" s="10"/>
    </row>
    <row r="210" spans="1:12" ht="14.25" customHeight="1" outlineLevel="2">
      <c r="A210" s="70">
        <v>1</v>
      </c>
      <c r="B210" s="38" t="s">
        <v>142</v>
      </c>
      <c r="C210" s="38" t="s">
        <v>1188</v>
      </c>
      <c r="D210" s="38" t="e">
        <f>CONCATENATE(I213," 모드 일 때, ",G214," = ",I214,"rpm, ",G215," = ",I215,"rpm 출력 확인")</f>
        <v>#REF!</v>
      </c>
      <c r="E210" s="38"/>
      <c r="F210" s="38"/>
      <c r="G210" s="38"/>
      <c r="H210" s="38"/>
      <c r="I210" s="38"/>
      <c r="J210" s="38"/>
      <c r="K210" s="38"/>
      <c r="L210" s="38"/>
    </row>
    <row r="211" spans="1:12" ht="14.25" hidden="1" outlineLevel="2">
      <c r="A211" s="68">
        <v>1</v>
      </c>
      <c r="B211" s="10"/>
      <c r="C211" s="10"/>
      <c r="D211" s="10"/>
      <c r="E211" s="99" t="str">
        <f>VLOOKUP(C210,Tbl_Button_Display_ASSTS,11,FALSE)</f>
        <v>Sw_AC</v>
      </c>
      <c r="F211" s="11">
        <f>VLOOKUP(C210,Tbl_Button_Display_ASSTS,12,FALSE)</f>
        <v>1</v>
      </c>
      <c r="G211" s="10"/>
      <c r="H211" s="10"/>
      <c r="I211" s="10"/>
      <c r="J211" s="14"/>
      <c r="K211" s="10"/>
      <c r="L211" s="10"/>
    </row>
    <row r="212" spans="1:12" ht="14.25" hidden="1" outlineLevel="2">
      <c r="A212" s="68">
        <v>1</v>
      </c>
      <c r="B212" s="10"/>
      <c r="C212" s="10"/>
      <c r="D212" s="10"/>
      <c r="E212" s="14" t="s">
        <v>5</v>
      </c>
      <c r="F212" s="11">
        <f>VLOOKUP(C210,Tbl_Button_Display_ASSTS,13,FALSE)</f>
        <v>2</v>
      </c>
      <c r="G212" s="10"/>
      <c r="H212" s="10"/>
      <c r="I212" s="10"/>
      <c r="J212" s="14"/>
      <c r="K212" s="10"/>
      <c r="L212" s="10"/>
    </row>
    <row r="213" spans="1:12" ht="14.25" hidden="1" outlineLevel="2">
      <c r="A213" s="68">
        <v>1</v>
      </c>
      <c r="B213" s="10"/>
      <c r="C213" s="10"/>
      <c r="D213" s="10"/>
      <c r="E213" s="10"/>
      <c r="F213" s="83"/>
      <c r="G213" s="10" t="str">
        <f>HP_ModSta</f>
        <v>DATC_HtrPmpModSta</v>
      </c>
      <c r="H213" s="47" t="e">
        <f>VLOOKUP(C210,Tbl_Button_Display_ASSTS,71,FALSE)</f>
        <v>#REF!</v>
      </c>
      <c r="I213" s="45" t="e">
        <f>(IF(H213="","",VLOOKUP(H213,Tbl_HP_Cycle,2,FALSE)))</f>
        <v>#REF!</v>
      </c>
      <c r="J213" s="10"/>
      <c r="K213" s="10"/>
      <c r="L213" s="10"/>
    </row>
    <row r="214" spans="1:12" ht="14.25" hidden="1" outlineLevel="2">
      <c r="A214" s="68">
        <v>1</v>
      </c>
      <c r="B214" s="10"/>
      <c r="C214" s="10"/>
      <c r="D214" s="10"/>
      <c r="E214" s="10"/>
      <c r="F214" s="10"/>
      <c r="G214" s="10" t="str">
        <f>PeEwpRPMReq</f>
        <v>DATC_PeEwpRPMReq</v>
      </c>
      <c r="H214" s="10"/>
      <c r="I214" s="46" t="e">
        <f>VLOOKUP(C210,Tbl_Button_Display_ASSTS,76,FALSE)</f>
        <v>#REF!</v>
      </c>
      <c r="J214" s="10"/>
      <c r="K214" s="10"/>
      <c r="L214" s="10"/>
    </row>
    <row r="215" spans="1:12" ht="14.25" hidden="1" outlineLevel="2">
      <c r="A215" s="68">
        <v>1</v>
      </c>
      <c r="B215" s="10"/>
      <c r="C215" s="10"/>
      <c r="D215" s="10"/>
      <c r="E215" s="10"/>
      <c r="F215" s="10"/>
      <c r="G215" s="10" t="str">
        <f>BatteryEWPOper</f>
        <v>DATC_BattEwpOpReq</v>
      </c>
      <c r="H215" s="10"/>
      <c r="I215" s="46" t="e">
        <f>VLOOKUP(C210,Tbl_Button_Display_ASSTS,73,FALSE)</f>
        <v>#REF!</v>
      </c>
      <c r="J215" s="10"/>
      <c r="K215" s="10"/>
      <c r="L215" s="10"/>
    </row>
    <row r="216" spans="1:12" ht="14.25" customHeight="1" outlineLevel="1">
      <c r="A216" s="70">
        <v>1</v>
      </c>
      <c r="B216" s="38" t="s">
        <v>142</v>
      </c>
      <c r="C216" s="38" t="s">
        <v>1189</v>
      </c>
      <c r="D216" s="38" t="e">
        <f>CONCATENATE(E217," = ",F217," 설정 시, ",G220," = ",I220,"rpm, ",G221," = ",I221,"rpm 출력 확인")</f>
        <v>#REF!</v>
      </c>
      <c r="E216" s="38"/>
      <c r="F216" s="38"/>
      <c r="G216" s="38"/>
      <c r="H216" s="38"/>
      <c r="I216" s="38"/>
      <c r="J216" s="38"/>
      <c r="K216" s="38"/>
      <c r="L216" s="38"/>
    </row>
    <row r="217" spans="1:12" ht="14.25" hidden="1" outlineLevel="2">
      <c r="A217" s="68">
        <v>1</v>
      </c>
      <c r="B217" s="10"/>
      <c r="C217" s="10"/>
      <c r="D217" s="10"/>
      <c r="E217" s="99" t="str">
        <f>VLOOKUP(C216,Tbl_Button_Display_ASSTS,11,FALSE)</f>
        <v>VCU_BatChllrTgtRpm</v>
      </c>
      <c r="F217" s="11">
        <f>VLOOKUP(C216,Tbl_Button_Display_ASSTS,12,FALSE)</f>
        <v>1000</v>
      </c>
      <c r="G217" s="10"/>
      <c r="H217" s="10"/>
      <c r="I217" s="10"/>
      <c r="J217" s="14"/>
      <c r="K217" s="10"/>
      <c r="L217" s="10"/>
    </row>
    <row r="218" spans="1:12" ht="14.25" hidden="1" outlineLevel="2">
      <c r="A218" s="68">
        <v>1</v>
      </c>
      <c r="B218" s="10"/>
      <c r="C218" s="10"/>
      <c r="D218" s="10"/>
      <c r="E218" s="14" t="s">
        <v>5</v>
      </c>
      <c r="F218" s="11">
        <f>VLOOKUP(C216,Tbl_Button_Display_ASSTS,13,FALSE)</f>
        <v>5</v>
      </c>
      <c r="G218" s="10"/>
      <c r="H218" s="10"/>
      <c r="I218" s="10"/>
      <c r="J218" s="14"/>
      <c r="K218" s="10"/>
      <c r="L218" s="10"/>
    </row>
    <row r="219" spans="1:12" ht="14.25" hidden="1" outlineLevel="2">
      <c r="A219" s="68">
        <v>1</v>
      </c>
      <c r="B219" s="10"/>
      <c r="C219" s="10"/>
      <c r="D219" s="10"/>
      <c r="E219" s="10"/>
      <c r="F219" s="83"/>
      <c r="G219" s="10" t="str">
        <f>HP_ModSta</f>
        <v>DATC_HtrPmpModSta</v>
      </c>
      <c r="H219" s="47" t="e">
        <f>VLOOKUP(C216,Tbl_Button_Display_ASSTS,71,FALSE)</f>
        <v>#REF!</v>
      </c>
      <c r="I219" s="45" t="e">
        <f>(IF(H219="","",VLOOKUP(H219,Tbl_HP_Cycle,2,FALSE)))</f>
        <v>#REF!</v>
      </c>
      <c r="J219" s="10"/>
      <c r="K219" s="10"/>
      <c r="L219" s="10"/>
    </row>
    <row r="220" spans="1:12" ht="14.25" hidden="1" outlineLevel="2">
      <c r="A220" s="68">
        <v>1</v>
      </c>
      <c r="B220" s="10"/>
      <c r="C220" s="10"/>
      <c r="D220" s="10"/>
      <c r="E220" s="10"/>
      <c r="F220" s="10"/>
      <c r="G220" s="10" t="str">
        <f>PeEwpRPMReq</f>
        <v>DATC_PeEwpRPMReq</v>
      </c>
      <c r="H220" s="10"/>
      <c r="I220" s="46" t="e">
        <f>VLOOKUP(C216,Tbl_Button_Display_ASSTS,76,FALSE)</f>
        <v>#REF!</v>
      </c>
      <c r="J220" s="10"/>
      <c r="K220" s="10"/>
      <c r="L220" s="10"/>
    </row>
    <row r="221" spans="1:12" ht="14.25" hidden="1" outlineLevel="2">
      <c r="A221" s="68">
        <v>1</v>
      </c>
      <c r="B221" s="10"/>
      <c r="C221" s="10"/>
      <c r="D221" s="10"/>
      <c r="E221" s="10"/>
      <c r="F221" s="10"/>
      <c r="G221" s="10" t="str">
        <f>BatteryEWPOper</f>
        <v>DATC_BattEwpOpReq</v>
      </c>
      <c r="H221" s="10"/>
      <c r="I221" s="46" t="e">
        <f>VLOOKUP(C216,Tbl_Button_Display_ASSTS,73,FALSE)</f>
        <v>#REF!</v>
      </c>
      <c r="J221" s="10"/>
      <c r="K221" s="10"/>
      <c r="L221" s="10"/>
    </row>
    <row r="222" spans="1:12" ht="14.25" customHeight="1" outlineLevel="2">
      <c r="A222" s="70">
        <v>1</v>
      </c>
      <c r="B222" s="38" t="s">
        <v>142</v>
      </c>
      <c r="C222" s="38" t="s">
        <v>1190</v>
      </c>
      <c r="D222" s="38" t="e">
        <f>CONCATENATE(E223," ",F223,"회 선택 시, ",G226," = ",I226,", ",G227," = ",I227," 확인")</f>
        <v>#REF!</v>
      </c>
      <c r="E222" s="38"/>
      <c r="F222" s="38"/>
      <c r="G222" s="38"/>
      <c r="H222" s="38"/>
      <c r="I222" s="38"/>
      <c r="J222" s="38"/>
      <c r="K222" s="38"/>
      <c r="L222" s="38"/>
    </row>
    <row r="223" spans="1:12" ht="14.25" hidden="1" outlineLevel="1">
      <c r="A223" s="68">
        <v>1</v>
      </c>
      <c r="B223" s="10"/>
      <c r="C223" s="10"/>
      <c r="D223" s="10"/>
      <c r="E223" s="99" t="str">
        <f>VLOOKUP(C222,Tbl_Button_Display_ASSTS,11,FALSE)</f>
        <v>VCU_BatChllrTgtRpm</v>
      </c>
      <c r="F223" s="11">
        <f>VLOOKUP(C222,Tbl_Button_Display_ASSTS,12,FALSE)</f>
        <v>0</v>
      </c>
      <c r="G223" s="10"/>
      <c r="H223" s="10"/>
      <c r="I223" s="10"/>
      <c r="J223" s="14"/>
      <c r="K223" s="10"/>
      <c r="L223" s="10"/>
    </row>
    <row r="224" spans="1:12" ht="14.25" hidden="1" outlineLevel="2">
      <c r="A224" s="68">
        <v>1</v>
      </c>
      <c r="B224" s="10"/>
      <c r="C224" s="10"/>
      <c r="D224" s="10"/>
      <c r="E224" s="14" t="s">
        <v>5</v>
      </c>
      <c r="F224" s="11">
        <f>VLOOKUP(C222,Tbl_Button_Display_ASSTS,13,FALSE)</f>
        <v>5</v>
      </c>
      <c r="G224" s="10"/>
      <c r="H224" s="10"/>
      <c r="I224" s="10"/>
      <c r="J224" s="10"/>
      <c r="K224" s="10"/>
      <c r="L224" s="10"/>
    </row>
    <row r="225" spans="1:12" ht="14.25" hidden="1" outlineLevel="2">
      <c r="A225" s="68">
        <v>1</v>
      </c>
      <c r="B225" s="10"/>
      <c r="C225" s="10"/>
      <c r="D225" s="10"/>
      <c r="E225" s="10"/>
      <c r="F225" s="83"/>
      <c r="G225" s="10" t="str">
        <f>HP_ModSta</f>
        <v>DATC_HtrPmpModSta</v>
      </c>
      <c r="H225" s="47" t="e">
        <f>VLOOKUP(C222,Tbl_Button_Display_ASSTS,71,FALSE)</f>
        <v>#REF!</v>
      </c>
      <c r="I225" s="45" t="e">
        <f>(IF(H225="","",VLOOKUP(H225,Tbl_HP_Cycle,2,FALSE)))</f>
        <v>#REF!</v>
      </c>
      <c r="J225" s="10"/>
      <c r="K225" s="10"/>
      <c r="L225" s="10"/>
    </row>
    <row r="226" spans="1:12" ht="14.25" hidden="1" outlineLevel="2">
      <c r="A226" s="68">
        <v>1</v>
      </c>
      <c r="B226" s="10"/>
      <c r="C226" s="10"/>
      <c r="D226" s="10"/>
      <c r="E226" s="10"/>
      <c r="F226" s="10"/>
      <c r="G226" s="10" t="str">
        <f>PeEwpRPMReq</f>
        <v>DATC_PeEwpRPMReq</v>
      </c>
      <c r="H226" s="10"/>
      <c r="I226" s="46" t="e">
        <f>VLOOKUP(C222,Tbl_Button_Display_ASSTS,76,FALSE)</f>
        <v>#REF!</v>
      </c>
      <c r="J226" s="10"/>
      <c r="K226" s="10"/>
      <c r="L226" s="10"/>
    </row>
    <row r="227" spans="1:12" ht="14.25" hidden="1" outlineLevel="2">
      <c r="A227" s="68">
        <v>1</v>
      </c>
      <c r="B227" s="10"/>
      <c r="C227" s="10"/>
      <c r="D227" s="10"/>
      <c r="E227" s="10"/>
      <c r="F227" s="10"/>
      <c r="G227" s="10" t="str">
        <f>BatteryEWPOper</f>
        <v>DATC_BattEwpOpReq</v>
      </c>
      <c r="H227" s="10"/>
      <c r="I227" s="46" t="e">
        <f>VLOOKUP(C222,Tbl_Button_Display_ASSTS,73,FALSE)</f>
        <v>#REF!</v>
      </c>
      <c r="J227" s="10"/>
      <c r="K227" s="10"/>
      <c r="L227" s="10"/>
    </row>
    <row r="228" spans="1:12" ht="13.35" customHeight="1" outlineLevel="2">
      <c r="A228" s="70">
        <v>1</v>
      </c>
      <c r="B228" s="38" t="s">
        <v>142</v>
      </c>
      <c r="C228" s="38" t="s">
        <v>1191</v>
      </c>
      <c r="D228" s="38" t="e">
        <f>CONCATENATE(I231," 모드 일 때, ",G232," = ",I232,"rpm, ",G233," = ",I233,"rpm 출력 확인")</f>
        <v>#REF!</v>
      </c>
      <c r="E228" s="38"/>
      <c r="F228" s="38"/>
      <c r="G228" s="38"/>
      <c r="H228" s="38"/>
      <c r="I228" s="38"/>
      <c r="J228" s="38"/>
      <c r="K228" s="38"/>
      <c r="L228" s="38"/>
    </row>
    <row r="229" spans="1:12" ht="14.25" hidden="1" outlineLevel="2">
      <c r="A229" s="68">
        <v>1</v>
      </c>
      <c r="B229" s="10"/>
      <c r="C229" s="10"/>
      <c r="D229" s="10"/>
      <c r="E229" s="99" t="str">
        <f>VLOOKUP(C228,Tbl_Button_Display_ASSTS,11,FALSE)</f>
        <v>SW_OFF</v>
      </c>
      <c r="F229" s="11">
        <f>VLOOKUP(C228,Tbl_Button_Display_ASSTS,12,FALSE)</f>
        <v>1</v>
      </c>
      <c r="G229" s="10"/>
      <c r="H229" s="10"/>
      <c r="I229" s="10"/>
      <c r="J229" s="14"/>
      <c r="K229" s="10"/>
      <c r="L229" s="10"/>
    </row>
    <row r="230" spans="1:12" ht="14.25" hidden="1" outlineLevel="1">
      <c r="A230" s="68">
        <v>1</v>
      </c>
      <c r="B230" s="10"/>
      <c r="C230" s="10"/>
      <c r="D230" s="10"/>
      <c r="E230" s="14" t="s">
        <v>5</v>
      </c>
      <c r="F230" s="11">
        <f>VLOOKUP(C228,Tbl_Button_Display_ASSTS,13,FALSE)</f>
        <v>5</v>
      </c>
      <c r="G230" s="10"/>
      <c r="H230" s="10"/>
      <c r="I230" s="10"/>
      <c r="J230" s="14"/>
      <c r="K230" s="10"/>
      <c r="L230" s="10"/>
    </row>
    <row r="231" spans="1:12" ht="14.25" hidden="1" outlineLevel="2">
      <c r="A231" s="68">
        <v>1</v>
      </c>
      <c r="B231" s="10"/>
      <c r="C231" s="10"/>
      <c r="D231" s="10"/>
      <c r="E231" s="10"/>
      <c r="F231" s="83"/>
      <c r="G231" s="10" t="str">
        <f>HP_ModSta</f>
        <v>DATC_HtrPmpModSta</v>
      </c>
      <c r="H231" s="47" t="e">
        <f>VLOOKUP(C228,Tbl_Button_Display_ASSTS,71,FALSE)</f>
        <v>#REF!</v>
      </c>
      <c r="I231" s="45" t="e">
        <f>(IF(H231="","",VLOOKUP(H231,Tbl_HP_Cycle,2,FALSE)))</f>
        <v>#REF!</v>
      </c>
      <c r="J231" s="10"/>
      <c r="K231" s="10"/>
      <c r="L231" s="10"/>
    </row>
    <row r="232" spans="1:12" ht="14.25" hidden="1" outlineLevel="2">
      <c r="A232" s="68">
        <v>1</v>
      </c>
      <c r="B232" s="10"/>
      <c r="C232" s="10"/>
      <c r="D232" s="10"/>
      <c r="E232" s="10"/>
      <c r="F232" s="10"/>
      <c r="G232" s="10" t="str">
        <f>PeEwpRPMReq</f>
        <v>DATC_PeEwpRPMReq</v>
      </c>
      <c r="H232" s="10"/>
      <c r="I232" s="46" t="e">
        <f>VLOOKUP(C228,Tbl_Button_Display_ASSTS,76,FALSE)</f>
        <v>#REF!</v>
      </c>
      <c r="J232" s="10"/>
      <c r="K232" s="10"/>
      <c r="L232" s="10"/>
    </row>
    <row r="233" spans="1:12" ht="14.25" hidden="1" outlineLevel="2">
      <c r="A233" s="68">
        <v>1</v>
      </c>
      <c r="B233" s="10"/>
      <c r="C233" s="10"/>
      <c r="D233" s="10"/>
      <c r="E233" s="10"/>
      <c r="F233" s="10"/>
      <c r="G233" s="10" t="str">
        <f>BatteryEWPOper</f>
        <v>DATC_BattEwpOpReq</v>
      </c>
      <c r="H233" s="10"/>
      <c r="I233" s="46" t="e">
        <f>VLOOKUP(C228,Tbl_Button_Display_ASSTS,73,FALSE)</f>
        <v>#REF!</v>
      </c>
      <c r="J233" s="10"/>
      <c r="K233" s="10"/>
      <c r="L233" s="10"/>
    </row>
    <row r="234" spans="1:12" ht="14.25" customHeight="1" outlineLevel="2">
      <c r="A234" s="101">
        <v>1</v>
      </c>
      <c r="B234" s="102" t="s">
        <v>7</v>
      </c>
      <c r="C234" s="102" t="s">
        <v>1192</v>
      </c>
      <c r="D234" s="102" t="str">
        <f>VLOOKUP(C234,Tbl_Button_Display_ASSTS, 2,FALSE)</f>
        <v>진입 / 해제 조건 - H/P B, H/P B-1 모드 / 배터리 쿨링 요청시 또는 A/C, H/P 이외 모드</v>
      </c>
      <c r="E234" s="102"/>
      <c r="F234" s="102"/>
      <c r="G234" s="102"/>
      <c r="H234" s="102"/>
      <c r="I234" s="102"/>
      <c r="J234" s="102"/>
      <c r="K234" s="102"/>
      <c r="L234" s="102"/>
    </row>
    <row r="235" spans="1:12" ht="16.5" customHeight="1" outlineLevel="1">
      <c r="A235" s="103">
        <v>1</v>
      </c>
      <c r="B235" s="104" t="s">
        <v>38</v>
      </c>
      <c r="C235" s="104" t="s">
        <v>1193</v>
      </c>
      <c r="D235" s="104" t="s">
        <v>1254</v>
      </c>
      <c r="E235" s="104"/>
      <c r="F235" s="104"/>
      <c r="G235" s="104"/>
      <c r="H235" s="104"/>
      <c r="I235" s="104"/>
      <c r="J235" s="104"/>
      <c r="K235" s="104"/>
      <c r="L235" s="104"/>
    </row>
    <row r="236" spans="1:12" ht="16.5" hidden="1" outlineLevel="2">
      <c r="A236" s="68">
        <v>1</v>
      </c>
      <c r="B236" s="10"/>
      <c r="C236" s="10"/>
      <c r="D236" s="10"/>
      <c r="E236" s="99" t="e">
        <f>Amb_IN</f>
        <v>#NAME?</v>
      </c>
      <c r="F236" s="63">
        <f>VINTERPOLATION(VLOOKUP(C235,Tbl_Button_Display_ASSTS,3,FALSE),Tbl_Amb_Sensor,3)</f>
        <v>3.8892180094786726</v>
      </c>
      <c r="G236" s="185"/>
      <c r="H236" s="10"/>
      <c r="I236" s="10"/>
      <c r="J236" s="10"/>
      <c r="K236" s="10"/>
      <c r="L236" s="10"/>
    </row>
    <row r="237" spans="1:12" ht="14.25" hidden="1" outlineLevel="2">
      <c r="A237" s="68">
        <v>1</v>
      </c>
      <c r="B237" s="10"/>
      <c r="C237" s="10"/>
      <c r="D237" s="10"/>
      <c r="E237" s="228" t="str">
        <f>Main_Relay_Sta</f>
        <v>xEV_MainRlyOnSta</v>
      </c>
      <c r="F237" s="11">
        <v>1</v>
      </c>
      <c r="G237" s="229"/>
      <c r="H237" s="10"/>
      <c r="I237" s="10"/>
      <c r="J237" s="14"/>
      <c r="K237" s="10"/>
      <c r="L237" s="10"/>
    </row>
    <row r="238" spans="1:12" ht="14.25" hidden="1" outlineLevel="2">
      <c r="A238" s="68">
        <v>1</v>
      </c>
      <c r="B238" s="10"/>
      <c r="C238" s="10"/>
      <c r="D238" s="10"/>
      <c r="E238" s="228" t="str">
        <f>WaterCooling_ROTV</f>
        <v>xEV_RadOutTempVal</v>
      </c>
      <c r="F238" s="11">
        <v>10</v>
      </c>
      <c r="G238" s="229"/>
      <c r="H238" s="10"/>
      <c r="I238" s="10"/>
      <c r="J238" s="14"/>
      <c r="K238" s="10"/>
      <c r="L238" s="10"/>
    </row>
    <row r="239" spans="1:12" ht="14.25" hidden="1" outlineLevel="2">
      <c r="A239" s="68">
        <v>1</v>
      </c>
      <c r="B239" s="10"/>
      <c r="C239" s="10"/>
      <c r="D239" s="10"/>
      <c r="E239" s="228" t="str">
        <f>P_SIGNAL_COMP_OUT</f>
        <v>Snr_P SIGNAL_COMP OUT(PSI)_IN</v>
      </c>
      <c r="F239" s="11">
        <v>80</v>
      </c>
      <c r="G239" s="10"/>
      <c r="H239" s="10"/>
      <c r="I239" s="10"/>
      <c r="J239" s="10"/>
      <c r="K239" s="10"/>
      <c r="L239" s="10"/>
    </row>
    <row r="240" spans="1:12" ht="14.25" hidden="1" outlineLevel="1">
      <c r="A240" s="68">
        <v>1</v>
      </c>
      <c r="B240" s="10"/>
      <c r="C240" s="10"/>
      <c r="D240" s="10"/>
      <c r="E240" s="99" t="str">
        <f>VLOOKUP(C235,Tbl_Button_Display_ASSTS,11,FALSE)</f>
        <v>MsgBox</v>
      </c>
      <c r="F240" s="11" t="e">
        <f>VLOOKUP(C235,Tbl_Button_Display_ASSTS,12,FALSE)</f>
        <v>#NAME?</v>
      </c>
      <c r="G240" s="10"/>
      <c r="H240" s="10"/>
      <c r="I240" s="10"/>
      <c r="J240" s="10"/>
      <c r="K240" s="10"/>
      <c r="L240" s="10"/>
    </row>
    <row r="241" spans="1:12" ht="14.25" hidden="1" outlineLevel="2">
      <c r="A241" s="68">
        <v>1</v>
      </c>
      <c r="B241" s="10"/>
      <c r="C241" s="10"/>
      <c r="D241" s="10"/>
      <c r="E241" s="14" t="s">
        <v>1274</v>
      </c>
      <c r="F241" s="11" t="s">
        <v>1275</v>
      </c>
      <c r="G241" s="10"/>
      <c r="H241" s="10"/>
      <c r="I241" s="10"/>
      <c r="J241" s="10"/>
      <c r="K241" s="10"/>
      <c r="L241" s="10"/>
    </row>
    <row r="242" spans="1:12" ht="14.25" hidden="1" outlineLevel="2">
      <c r="A242" s="68">
        <v>1</v>
      </c>
      <c r="B242" s="10"/>
      <c r="C242" s="10"/>
      <c r="D242" s="10"/>
      <c r="E242" s="14" t="s">
        <v>5</v>
      </c>
      <c r="F242" s="11">
        <f>VLOOKUP(C235,Tbl_Button_Display_ASSTS,13,FALSE)</f>
        <v>10</v>
      </c>
      <c r="G242" s="10"/>
      <c r="H242" s="10"/>
      <c r="I242" s="10"/>
      <c r="J242" s="10"/>
      <c r="K242" s="10"/>
      <c r="L242" s="10"/>
    </row>
    <row r="243" spans="1:12" ht="14.25" hidden="1" outlineLevel="2">
      <c r="A243" s="68">
        <v>1</v>
      </c>
      <c r="B243" s="10"/>
      <c r="C243" s="10"/>
      <c r="D243" s="10"/>
      <c r="E243" s="10"/>
      <c r="F243" s="83"/>
      <c r="G243" s="10" t="e">
        <f>Amb_OUT</f>
        <v>#NAME?</v>
      </c>
      <c r="H243" s="10"/>
      <c r="I243" s="12">
        <f>VLOOKUP(C235,Tbl_Button_Display_ASSTS,3,FALSE)</f>
        <v>-2</v>
      </c>
      <c r="J243" s="10"/>
      <c r="K243" s="10"/>
      <c r="L243" s="10"/>
    </row>
    <row r="244" spans="1:12" ht="14.25" hidden="1" outlineLevel="2">
      <c r="A244" s="68">
        <v>1</v>
      </c>
      <c r="B244" s="10"/>
      <c r="C244" s="10"/>
      <c r="D244" s="10"/>
      <c r="E244" s="10"/>
      <c r="F244" s="83"/>
      <c r="G244" s="10" t="str">
        <f>HP_ModSta</f>
        <v>DATC_HtrPmpModSta</v>
      </c>
      <c r="H244" s="47" t="e">
        <f>VLOOKUP(C235,Tbl_Button_Display_ASSTS,71,FALSE)</f>
        <v>#REF!</v>
      </c>
      <c r="I244" s="45" t="e">
        <f>(IF(H244="","",VLOOKUP(H244,Tbl_HP_Cycle,2,FALSE)))</f>
        <v>#REF!</v>
      </c>
      <c r="J244" s="10"/>
      <c r="K244" s="10"/>
      <c r="L244" s="10"/>
    </row>
    <row r="245" spans="1:12" ht="14.25" hidden="1" outlineLevel="1">
      <c r="A245" s="68">
        <v>1</v>
      </c>
      <c r="B245" s="10"/>
      <c r="C245" s="10"/>
      <c r="D245" s="10"/>
      <c r="E245" s="10"/>
      <c r="F245" s="10"/>
      <c r="G245" s="10" t="str">
        <f>PeEwpRPMReq</f>
        <v>DATC_PeEwpRPMReq</v>
      </c>
      <c r="H245" s="10"/>
      <c r="I245" s="12" t="e">
        <f>VLOOKUP(C235,Tbl_Button_Display_ASSTS,76,FALSE)</f>
        <v>#REF!</v>
      </c>
      <c r="J245" s="10"/>
      <c r="K245" s="10"/>
      <c r="L245" s="10"/>
    </row>
    <row r="246" spans="1:12" ht="14.25" hidden="1" outlineLevel="2">
      <c r="A246" s="68">
        <v>1</v>
      </c>
      <c r="B246" s="10"/>
      <c r="C246" s="10"/>
      <c r="D246" s="10"/>
      <c r="E246" s="10"/>
      <c r="F246" s="10"/>
      <c r="G246" s="10" t="str">
        <f>BatteryEWPOper</f>
        <v>DATC_BattEwpOpReq</v>
      </c>
      <c r="H246" s="10"/>
      <c r="I246" s="12" t="e">
        <f>VLOOKUP(C235,Tbl_Button_Display_ASSTS,73,FALSE)</f>
        <v>#REF!</v>
      </c>
      <c r="J246" s="10"/>
      <c r="K246" s="10"/>
      <c r="L246" s="10"/>
    </row>
    <row r="247" spans="1:12" ht="14.25" customHeight="1" outlineLevel="2">
      <c r="A247" s="70">
        <v>1</v>
      </c>
      <c r="B247" s="38" t="s">
        <v>142</v>
      </c>
      <c r="C247" s="38" t="s">
        <v>1194</v>
      </c>
      <c r="D247" s="38" t="e">
        <f>CONCATENATE(E248," ",F248,"회 선택 시, ",G252," = ",I252,"rpm, ",G253," = ",I253,"rpm 출력 확인")</f>
        <v>#REF!</v>
      </c>
      <c r="E247" s="38"/>
      <c r="F247" s="38"/>
      <c r="G247" s="38"/>
      <c r="H247" s="38"/>
      <c r="I247" s="38"/>
      <c r="J247" s="38"/>
      <c r="K247" s="38"/>
      <c r="L247" s="38"/>
    </row>
    <row r="248" spans="1:12" ht="14.25" hidden="1" outlineLevel="2">
      <c r="A248" s="68">
        <v>1</v>
      </c>
      <c r="B248" s="10"/>
      <c r="C248" s="10"/>
      <c r="D248" s="10"/>
      <c r="E248" s="99" t="str">
        <f>VLOOKUP(C247,Tbl_Button_Display_ASSTS,11,FALSE)</f>
        <v>Sw_Blower_Up</v>
      </c>
      <c r="F248" s="11">
        <f>VLOOKUP(C247,Tbl_Button_Display_ASSTS,12,FALSE)</f>
        <v>1</v>
      </c>
      <c r="G248" s="10"/>
      <c r="H248" s="10"/>
      <c r="I248" s="10"/>
      <c r="J248" s="14"/>
      <c r="K248" s="10"/>
      <c r="L248" s="10"/>
    </row>
    <row r="249" spans="1:12" ht="14.25" hidden="1" outlineLevel="2">
      <c r="A249" s="68">
        <v>1</v>
      </c>
      <c r="B249" s="10"/>
      <c r="C249" s="10"/>
      <c r="D249" s="10"/>
      <c r="E249" s="14" t="s">
        <v>5</v>
      </c>
      <c r="F249" s="11">
        <f>VLOOKUP(C247,Tbl_Button_Display_ASSTS,13,FALSE)</f>
        <v>2</v>
      </c>
      <c r="G249" s="10"/>
      <c r="H249" s="10"/>
      <c r="I249" s="10"/>
      <c r="J249" s="10"/>
      <c r="K249" s="10"/>
      <c r="L249" s="10"/>
    </row>
    <row r="250" spans="1:12" ht="14.25" hidden="1" outlineLevel="1">
      <c r="A250" s="68">
        <v>1</v>
      </c>
      <c r="B250" s="10"/>
      <c r="C250" s="10"/>
      <c r="D250" s="10"/>
      <c r="E250" s="10"/>
      <c r="F250" s="83"/>
      <c r="G250" s="10" t="e">
        <f>FrontBlwDisp</f>
        <v>#NAME?</v>
      </c>
      <c r="H250" s="10"/>
      <c r="I250" s="46">
        <f>VLOOKUP(C247,Tbl_Button_Display_ASSTS,23,FALSE)</f>
        <v>1</v>
      </c>
      <c r="J250" s="10"/>
      <c r="K250" s="10"/>
      <c r="L250" s="10"/>
    </row>
    <row r="251" spans="1:12" ht="14.25" hidden="1" outlineLevel="2">
      <c r="A251" s="68">
        <v>1</v>
      </c>
      <c r="B251" s="10"/>
      <c r="C251" s="10"/>
      <c r="D251" s="10"/>
      <c r="E251" s="10"/>
      <c r="F251" s="83"/>
      <c r="G251" s="10" t="str">
        <f>HP_ModSta</f>
        <v>DATC_HtrPmpModSta</v>
      </c>
      <c r="H251" s="47" t="e">
        <f>VLOOKUP(C247,Tbl_Button_Display_ASSTS,71,FALSE)</f>
        <v>#REF!</v>
      </c>
      <c r="I251" s="45" t="e">
        <f>(IF(H251="","",VLOOKUP(H251,Tbl_HP_Cycle,2,FALSE)))</f>
        <v>#REF!</v>
      </c>
      <c r="J251" s="10"/>
      <c r="K251" s="10"/>
      <c r="L251" s="10"/>
    </row>
    <row r="252" spans="1:12" ht="14.25" hidden="1" outlineLevel="2">
      <c r="A252" s="68">
        <v>1</v>
      </c>
      <c r="B252" s="10"/>
      <c r="C252" s="10"/>
      <c r="D252" s="10"/>
      <c r="E252" s="10"/>
      <c r="F252" s="10"/>
      <c r="G252" s="10" t="str">
        <f>PeEwpRPMReq</f>
        <v>DATC_PeEwpRPMReq</v>
      </c>
      <c r="H252" s="10"/>
      <c r="I252" s="12" t="e">
        <f>VLOOKUP(C247,Tbl_Button_Display_ASSTS,76,FALSE)</f>
        <v>#REF!</v>
      </c>
      <c r="J252" s="10"/>
      <c r="K252" s="10"/>
      <c r="L252" s="10"/>
    </row>
    <row r="253" spans="1:12" ht="14.25" hidden="1" outlineLevel="2">
      <c r="A253" s="68">
        <v>1</v>
      </c>
      <c r="B253" s="10"/>
      <c r="C253" s="10"/>
      <c r="D253" s="10"/>
      <c r="E253" s="10"/>
      <c r="F253" s="10"/>
      <c r="G253" s="10" t="str">
        <f>BatteryEWPOper</f>
        <v>DATC_BattEwpOpReq</v>
      </c>
      <c r="H253" s="10"/>
      <c r="I253" s="12" t="e">
        <f>VLOOKUP(C247,Tbl_Button_Display_ASSTS,73,FALSE)</f>
        <v>#REF!</v>
      </c>
      <c r="J253" s="10"/>
      <c r="K253" s="10"/>
      <c r="L253" s="10"/>
    </row>
    <row r="254" spans="1:12" ht="14.25" customHeight="1" outlineLevel="2">
      <c r="A254" s="70">
        <v>1</v>
      </c>
      <c r="B254" s="38" t="s">
        <v>142</v>
      </c>
      <c r="C254" s="38" t="s">
        <v>1195</v>
      </c>
      <c r="D254" s="38" t="e">
        <f>CONCATENATE(E255," = ",F255," 설정 시, ",G259," = ",I259,"rpm, ",G260," = ",I260,"rpm 출력 확인")</f>
        <v>#REF!</v>
      </c>
      <c r="E254" s="38"/>
      <c r="F254" s="38"/>
      <c r="G254" s="38"/>
      <c r="H254" s="38"/>
      <c r="I254" s="38"/>
      <c r="J254" s="38"/>
      <c r="K254" s="38"/>
      <c r="L254" s="38"/>
    </row>
    <row r="255" spans="1:12" ht="14.25" hidden="1" outlineLevel="1">
      <c r="A255" s="68">
        <v>1</v>
      </c>
      <c r="B255" s="10"/>
      <c r="C255" s="10"/>
      <c r="D255" s="10"/>
      <c r="E255" s="99" t="str">
        <f>VLOOKUP(C254,Tbl_Button_Display_ASSTS,11,FALSE)</f>
        <v>VCU_BatChllrTgtRpm</v>
      </c>
      <c r="F255" s="11">
        <f>VLOOKUP(C254,Tbl_Button_Display_ASSTS,12,FALSE)</f>
        <v>1000</v>
      </c>
      <c r="G255" s="10"/>
      <c r="H255" s="10"/>
      <c r="I255" s="10"/>
      <c r="J255" s="14"/>
      <c r="K255" s="10"/>
      <c r="L255" s="10"/>
    </row>
    <row r="256" spans="1:12" ht="14.25" hidden="1" outlineLevel="2">
      <c r="A256" s="68">
        <v>1</v>
      </c>
      <c r="B256" s="10"/>
      <c r="C256" s="10"/>
      <c r="D256" s="10"/>
      <c r="E256" s="14" t="s">
        <v>5</v>
      </c>
      <c r="F256" s="11">
        <f>VLOOKUP(C254,Tbl_Button_Display_ASSTS,13,FALSE)</f>
        <v>5</v>
      </c>
      <c r="G256" s="10"/>
      <c r="H256" s="10"/>
      <c r="I256" s="10"/>
      <c r="J256" s="10"/>
      <c r="K256" s="10"/>
      <c r="L256" s="10"/>
    </row>
    <row r="257" spans="1:12" ht="14.25" hidden="1" outlineLevel="2">
      <c r="A257" s="68">
        <v>1</v>
      </c>
      <c r="B257" s="10"/>
      <c r="C257" s="10"/>
      <c r="D257" s="10"/>
      <c r="E257" s="10"/>
      <c r="F257" s="83"/>
      <c r="G257" s="10" t="e">
        <f>FrontBlwDisp</f>
        <v>#NAME?</v>
      </c>
      <c r="H257" s="10"/>
      <c r="I257" s="46">
        <f>VLOOKUP(C254,Tbl_Button_Display_ASSTS,23,FALSE)</f>
        <v>1</v>
      </c>
      <c r="J257" s="10"/>
      <c r="K257" s="10"/>
      <c r="L257" s="10"/>
    </row>
    <row r="258" spans="1:12" ht="14.25" hidden="1" outlineLevel="2">
      <c r="A258" s="68">
        <v>1</v>
      </c>
      <c r="B258" s="10"/>
      <c r="C258" s="10"/>
      <c r="D258" s="10"/>
      <c r="E258" s="10"/>
      <c r="F258" s="83"/>
      <c r="G258" s="10" t="str">
        <f>HP_ModSta</f>
        <v>DATC_HtrPmpModSta</v>
      </c>
      <c r="H258" s="47" t="e">
        <f>VLOOKUP(C254,Tbl_Button_Display_ASSTS,71,FALSE)</f>
        <v>#REF!</v>
      </c>
      <c r="I258" s="45" t="e">
        <f>(IF(H258="","",VLOOKUP(H258,Tbl_HP_Cycle,2,FALSE)))</f>
        <v>#REF!</v>
      </c>
      <c r="J258" s="10"/>
      <c r="K258" s="10"/>
      <c r="L258" s="10"/>
    </row>
    <row r="259" spans="1:12" ht="14.25" hidden="1" outlineLevel="2">
      <c r="A259" s="68">
        <v>1</v>
      </c>
      <c r="B259" s="10"/>
      <c r="C259" s="10"/>
      <c r="D259" s="10"/>
      <c r="E259" s="10"/>
      <c r="F259" s="10"/>
      <c r="G259" s="10" t="str">
        <f>PeEwpRPMReq</f>
        <v>DATC_PeEwpRPMReq</v>
      </c>
      <c r="H259" s="10"/>
      <c r="I259" s="12" t="e">
        <f>VLOOKUP(C254,Tbl_Button_Display_ASSTS,76,FALSE)</f>
        <v>#REF!</v>
      </c>
      <c r="J259" s="10"/>
      <c r="K259" s="10"/>
      <c r="L259" s="10"/>
    </row>
    <row r="260" spans="1:12" ht="14.25" hidden="1" outlineLevel="1">
      <c r="A260" s="68">
        <v>1</v>
      </c>
      <c r="B260" s="10"/>
      <c r="C260" s="10"/>
      <c r="D260" s="10"/>
      <c r="E260" s="10"/>
      <c r="F260" s="10"/>
      <c r="G260" s="10" t="str">
        <f>BatteryEWPOper</f>
        <v>DATC_BattEwpOpReq</v>
      </c>
      <c r="H260" s="10"/>
      <c r="I260" s="12" t="e">
        <f>VLOOKUP(C254,Tbl_Button_Display_ASSTS,73,FALSE)</f>
        <v>#REF!</v>
      </c>
      <c r="J260" s="10"/>
      <c r="K260" s="10"/>
      <c r="L260" s="10"/>
    </row>
    <row r="261" spans="1:12" ht="14.25" customHeight="1" outlineLevel="2">
      <c r="A261" s="70">
        <v>1</v>
      </c>
      <c r="B261" s="38" t="s">
        <v>142</v>
      </c>
      <c r="C261" s="38" t="s">
        <v>1196</v>
      </c>
      <c r="D261" s="38" t="e">
        <f>CONCATENATE(E262," = ",F262," 설정 시, ",G266," = ",I266,"rpm, ",G267," = ",I267,"rpm 출력 확인")</f>
        <v>#REF!</v>
      </c>
      <c r="E261" s="38"/>
      <c r="F261" s="38"/>
      <c r="G261" s="38"/>
      <c r="H261" s="38"/>
      <c r="I261" s="38"/>
      <c r="J261" s="38"/>
      <c r="K261" s="38"/>
      <c r="L261" s="38"/>
    </row>
    <row r="262" spans="1:12" ht="14.25" hidden="1" outlineLevel="2">
      <c r="A262" s="68">
        <v>1</v>
      </c>
      <c r="B262" s="10"/>
      <c r="C262" s="10"/>
      <c r="D262" s="10"/>
      <c r="E262" s="99" t="str">
        <f>VLOOKUP(C261,Tbl_Button_Display_ASSTS,11,FALSE)</f>
        <v>VCU_BatChllrTgtRpm</v>
      </c>
      <c r="F262" s="11">
        <f>VLOOKUP(C261,Tbl_Button_Display_ASSTS,12,FALSE)</f>
        <v>0</v>
      </c>
      <c r="G262" s="10"/>
      <c r="H262" s="10"/>
      <c r="I262" s="10"/>
      <c r="J262" s="14"/>
      <c r="K262" s="10"/>
      <c r="L262" s="10"/>
    </row>
    <row r="263" spans="1:12" ht="14.25" hidden="1" outlineLevel="2">
      <c r="A263" s="68">
        <v>1</v>
      </c>
      <c r="B263" s="10"/>
      <c r="C263" s="10"/>
      <c r="D263" s="10"/>
      <c r="E263" s="14" t="s">
        <v>5</v>
      </c>
      <c r="F263" s="11">
        <f>VLOOKUP(C261,Tbl_Button_Display_ASSTS,13,FALSE)</f>
        <v>2</v>
      </c>
      <c r="G263" s="10"/>
      <c r="H263" s="10"/>
      <c r="I263" s="10"/>
      <c r="J263" s="10"/>
      <c r="K263" s="10"/>
      <c r="L263" s="10"/>
    </row>
    <row r="264" spans="1:12" ht="14.25" hidden="1" outlineLevel="2">
      <c r="A264" s="68">
        <v>1</v>
      </c>
      <c r="B264" s="10"/>
      <c r="C264" s="10"/>
      <c r="D264" s="10"/>
      <c r="E264" s="10"/>
      <c r="F264" s="83"/>
      <c r="G264" s="10" t="e">
        <f>FrontBlwDisp</f>
        <v>#NAME?</v>
      </c>
      <c r="H264" s="10"/>
      <c r="I264" s="46">
        <f>VLOOKUP(C261,Tbl_Button_Display_ASSTS,23,FALSE)</f>
        <v>1</v>
      </c>
      <c r="J264" s="10"/>
      <c r="K264" s="10"/>
      <c r="L264" s="10"/>
    </row>
    <row r="265" spans="1:12" ht="14.25" hidden="1" collapsed="1">
      <c r="A265" s="68">
        <v>1</v>
      </c>
      <c r="B265" s="10"/>
      <c r="C265" s="10"/>
      <c r="D265" s="10"/>
      <c r="E265" s="10"/>
      <c r="F265" s="83"/>
      <c r="G265" s="10" t="str">
        <f>HP_ModSta</f>
        <v>DATC_HtrPmpModSta</v>
      </c>
      <c r="H265" s="47" t="e">
        <f>VLOOKUP(C261,Tbl_Button_Display_ASSTS,71,FALSE)</f>
        <v>#REF!</v>
      </c>
      <c r="I265" s="45" t="e">
        <f>(IF(H265="","",VLOOKUP(H265,Tbl_HP_Cycle,2,FALSE)))</f>
        <v>#REF!</v>
      </c>
      <c r="J265" s="10"/>
      <c r="K265" s="10"/>
      <c r="L265" s="10"/>
    </row>
    <row r="266" spans="1:12" ht="14.25" hidden="1" outlineLevel="1">
      <c r="A266" s="68">
        <v>1</v>
      </c>
      <c r="B266" s="10"/>
      <c r="C266" s="10"/>
      <c r="D266" s="10"/>
      <c r="E266" s="10"/>
      <c r="F266" s="10"/>
      <c r="G266" s="10" t="str">
        <f>PeEwpRPMReq</f>
        <v>DATC_PeEwpRPMReq</v>
      </c>
      <c r="H266" s="10"/>
      <c r="I266" s="12" t="e">
        <f>VLOOKUP(C261,Tbl_Button_Display_ASSTS,76,FALSE)</f>
        <v>#REF!</v>
      </c>
      <c r="J266" s="10"/>
      <c r="K266" s="10"/>
      <c r="L266" s="10"/>
    </row>
    <row r="267" spans="1:12" ht="14.25" hidden="1" outlineLevel="2">
      <c r="A267" s="68">
        <v>1</v>
      </c>
      <c r="B267" s="10"/>
      <c r="C267" s="10"/>
      <c r="D267" s="10"/>
      <c r="E267" s="10"/>
      <c r="F267" s="10"/>
      <c r="G267" s="10" t="str">
        <f>BatteryEWPOper</f>
        <v>DATC_BattEwpOpReq</v>
      </c>
      <c r="H267" s="10"/>
      <c r="I267" s="12" t="e">
        <f>VLOOKUP(C261,Tbl_Button_Display_ASSTS,73,FALSE)</f>
        <v>#REF!</v>
      </c>
      <c r="J267" s="10"/>
      <c r="K267" s="10"/>
      <c r="L267" s="10"/>
    </row>
    <row r="268" spans="1:12" ht="14.25" customHeight="1" outlineLevel="2">
      <c r="A268" s="70">
        <v>1</v>
      </c>
      <c r="B268" s="38" t="s">
        <v>142</v>
      </c>
      <c r="C268" s="38" t="s">
        <v>1197</v>
      </c>
      <c r="D268" s="38" t="e">
        <f>CONCATENATE(E269," = ",F269," 설정 시, ",G273," = ",I273,"rpm, ",G274," = ",I274,"rpm 출력 확인")</f>
        <v>#REF!</v>
      </c>
      <c r="E268" s="38"/>
      <c r="F268" s="38"/>
      <c r="G268" s="38"/>
      <c r="H268" s="38"/>
      <c r="I268" s="38"/>
      <c r="J268" s="38"/>
      <c r="K268" s="38"/>
      <c r="L268" s="38"/>
    </row>
    <row r="269" spans="1:12" ht="14.25" hidden="1" outlineLevel="2">
      <c r="A269" s="68">
        <v>1</v>
      </c>
      <c r="B269" s="10"/>
      <c r="C269" s="10"/>
      <c r="D269" s="10"/>
      <c r="E269" s="99" t="str">
        <f>VLOOKUP(C268,Tbl_Button_Display_ASSTS,11,FALSE)</f>
        <v>xEV_MainRlyOnSta</v>
      </c>
      <c r="F269" s="11">
        <f>VLOOKUP(C268,Tbl_Button_Display_ASSTS,12,FALSE)</f>
        <v>0</v>
      </c>
      <c r="G269" s="10"/>
      <c r="H269" s="10"/>
      <c r="I269" s="10"/>
      <c r="J269" s="14"/>
      <c r="K269" s="10"/>
      <c r="L269" s="10"/>
    </row>
    <row r="270" spans="1:12" ht="14.25" hidden="1" outlineLevel="2">
      <c r="A270" s="68">
        <v>1</v>
      </c>
      <c r="B270" s="10"/>
      <c r="C270" s="10"/>
      <c r="D270" s="10"/>
      <c r="E270" s="14" t="s">
        <v>5</v>
      </c>
      <c r="F270" s="11">
        <f>VLOOKUP(C268,Tbl_Button_Display_ASSTS,13,FALSE)</f>
        <v>5</v>
      </c>
      <c r="G270" s="10"/>
      <c r="H270" s="10"/>
      <c r="I270" s="10"/>
      <c r="J270" s="10"/>
      <c r="K270" s="10"/>
      <c r="L270" s="10"/>
    </row>
    <row r="271" spans="1:12" ht="14.25" hidden="1" outlineLevel="2">
      <c r="A271" s="68">
        <v>1</v>
      </c>
      <c r="B271" s="10"/>
      <c r="C271" s="10"/>
      <c r="D271" s="10"/>
      <c r="E271" s="10"/>
      <c r="F271" s="83"/>
      <c r="G271" s="10" t="e">
        <f>FrontBlwDisp</f>
        <v>#NAME?</v>
      </c>
      <c r="H271" s="10"/>
      <c r="I271" s="46">
        <f>VLOOKUP(C268,Tbl_Button_Display_ASSTS,23,FALSE)</f>
        <v>1</v>
      </c>
      <c r="J271" s="10"/>
      <c r="K271" s="10"/>
      <c r="L271" s="10"/>
    </row>
    <row r="272" spans="1:12" ht="14.25" hidden="1" outlineLevel="1">
      <c r="A272" s="68">
        <v>1</v>
      </c>
      <c r="B272" s="10"/>
      <c r="C272" s="10"/>
      <c r="D272" s="10"/>
      <c r="E272" s="10"/>
      <c r="F272" s="83"/>
      <c r="G272" s="10" t="str">
        <f>HP_ModSta</f>
        <v>DATC_HtrPmpModSta</v>
      </c>
      <c r="H272" s="47" t="e">
        <f>VLOOKUP(C268,Tbl_Button_Display_ASSTS,71,FALSE)</f>
        <v>#REF!</v>
      </c>
      <c r="I272" s="45" t="e">
        <f>(IF(H272="","",VLOOKUP(H272,Tbl_HP_Cycle,2,FALSE)))</f>
        <v>#REF!</v>
      </c>
      <c r="J272" s="10"/>
      <c r="K272" s="10"/>
      <c r="L272" s="10"/>
    </row>
    <row r="273" spans="1:12" ht="14.25" hidden="1" outlineLevel="2">
      <c r="A273" s="68">
        <v>1</v>
      </c>
      <c r="B273" s="10"/>
      <c r="C273" s="10"/>
      <c r="D273" s="10"/>
      <c r="E273" s="10"/>
      <c r="F273" s="10"/>
      <c r="G273" s="10" t="str">
        <f>PeEwpRPMReq</f>
        <v>DATC_PeEwpRPMReq</v>
      </c>
      <c r="H273" s="10"/>
      <c r="I273" s="12" t="e">
        <f>VLOOKUP(C268,Tbl_Button_Display_ASSTS,76,FALSE)</f>
        <v>#REF!</v>
      </c>
      <c r="J273" s="10"/>
      <c r="K273" s="10"/>
      <c r="L273" s="10"/>
    </row>
    <row r="274" spans="1:12" ht="14.25" hidden="1" outlineLevel="2">
      <c r="A274" s="68">
        <v>1</v>
      </c>
      <c r="B274" s="10"/>
      <c r="C274" s="10"/>
      <c r="D274" s="10"/>
      <c r="E274" s="10"/>
      <c r="F274" s="10"/>
      <c r="G274" s="10" t="str">
        <f>BatteryEWPOper</f>
        <v>DATC_BattEwpOpReq</v>
      </c>
      <c r="H274" s="10"/>
      <c r="I274" s="12" t="e">
        <f>VLOOKUP(C268,Tbl_Button_Display_ASSTS,73,FALSE)</f>
        <v>#REF!</v>
      </c>
      <c r="J274" s="10"/>
      <c r="K274" s="10"/>
      <c r="L274" s="10"/>
    </row>
    <row r="275" spans="1:12" ht="14.25" customHeight="1" outlineLevel="2">
      <c r="A275" s="70">
        <v>1</v>
      </c>
      <c r="B275" s="38" t="s">
        <v>142</v>
      </c>
      <c r="C275" s="38" t="s">
        <v>1276</v>
      </c>
      <c r="D275" s="38" t="e">
        <f>CONCATENATE(E276," = ",F276," 설정 시, ",G280," = ",I280,"rpm, ",G281," = ",I281,"rpm 출력 확인")</f>
        <v>#REF!</v>
      </c>
      <c r="E275" s="38"/>
      <c r="F275" s="38"/>
      <c r="G275" s="38"/>
      <c r="H275" s="38"/>
      <c r="I275" s="38"/>
      <c r="J275" s="38"/>
      <c r="K275" s="38"/>
      <c r="L275" s="38"/>
    </row>
    <row r="276" spans="1:12" ht="14.25" hidden="1" outlineLevel="2">
      <c r="A276" s="68">
        <v>1</v>
      </c>
      <c r="B276" s="10"/>
      <c r="C276" s="10"/>
      <c r="D276" s="10"/>
      <c r="E276" s="99" t="str">
        <f>VLOOKUP(C275,Tbl_Button_Display_ASSTS,11,FALSE)</f>
        <v>xEV_MainRlyOnSta</v>
      </c>
      <c r="F276" s="11">
        <f>VLOOKUP(C275,Tbl_Button_Display_ASSTS,12,FALSE)</f>
        <v>1</v>
      </c>
      <c r="G276" s="10"/>
      <c r="H276" s="10"/>
      <c r="I276" s="10"/>
      <c r="J276" s="14"/>
      <c r="K276" s="10"/>
      <c r="L276" s="10"/>
    </row>
    <row r="277" spans="1:12" ht="14.25" hidden="1" outlineLevel="2">
      <c r="A277" s="68">
        <v>1</v>
      </c>
      <c r="B277" s="10"/>
      <c r="C277" s="10"/>
      <c r="D277" s="10"/>
      <c r="E277" s="14" t="s">
        <v>5</v>
      </c>
      <c r="F277" s="11">
        <f>VLOOKUP(C275,Tbl_Button_Display_ASSTS,13,FALSE)</f>
        <v>2</v>
      </c>
      <c r="G277" s="10"/>
      <c r="H277" s="10"/>
      <c r="I277" s="10"/>
      <c r="J277" s="10"/>
      <c r="K277" s="10"/>
      <c r="L277" s="10"/>
    </row>
    <row r="278" spans="1:12" ht="14.25" hidden="1" outlineLevel="2">
      <c r="A278" s="68">
        <v>1</v>
      </c>
      <c r="B278" s="10"/>
      <c r="C278" s="10"/>
      <c r="D278" s="10"/>
      <c r="E278" s="10"/>
      <c r="F278" s="83"/>
      <c r="G278" s="10" t="e">
        <f>FrontBlwDisp</f>
        <v>#NAME?</v>
      </c>
      <c r="H278" s="10"/>
      <c r="I278" s="46">
        <f>VLOOKUP(C275,Tbl_Button_Display_ASSTS,23,FALSE)</f>
        <v>1</v>
      </c>
      <c r="J278" s="10"/>
      <c r="K278" s="10"/>
      <c r="L278" s="10"/>
    </row>
    <row r="279" spans="1:12" ht="14.25" hidden="1" outlineLevel="2">
      <c r="A279" s="68">
        <v>1</v>
      </c>
      <c r="B279" s="10"/>
      <c r="C279" s="10"/>
      <c r="D279" s="10"/>
      <c r="E279" s="10"/>
      <c r="F279" s="83"/>
      <c r="G279" s="10" t="str">
        <f>HP_ModSta</f>
        <v>DATC_HtrPmpModSta</v>
      </c>
      <c r="H279" s="47" t="e">
        <f>VLOOKUP(C275,Tbl_Button_Display_ASSTS,71,FALSE)</f>
        <v>#REF!</v>
      </c>
      <c r="I279" s="45" t="e">
        <f>(IF(H279="","",VLOOKUP(H279,Tbl_HP_Cycle,2,FALSE)))</f>
        <v>#REF!</v>
      </c>
      <c r="J279" s="10"/>
      <c r="K279" s="10"/>
      <c r="L279" s="10"/>
    </row>
    <row r="280" spans="1:12" ht="14.25" hidden="1" outlineLevel="2">
      <c r="A280" s="68">
        <v>1</v>
      </c>
      <c r="B280" s="10"/>
      <c r="C280" s="10"/>
      <c r="D280" s="10"/>
      <c r="E280" s="10"/>
      <c r="F280" s="10"/>
      <c r="G280" s="10" t="str">
        <f>PeEwpRPMReq</f>
        <v>DATC_PeEwpRPMReq</v>
      </c>
      <c r="H280" s="10"/>
      <c r="I280" s="12" t="e">
        <f>VLOOKUP(C275,Tbl_Button_Display_ASSTS,76,FALSE)</f>
        <v>#REF!</v>
      </c>
      <c r="J280" s="10"/>
      <c r="K280" s="10"/>
      <c r="L280" s="10"/>
    </row>
    <row r="281" spans="1:12" ht="14.25" hidden="1" outlineLevel="2">
      <c r="A281" s="68">
        <v>1</v>
      </c>
      <c r="B281" s="10"/>
      <c r="C281" s="10"/>
      <c r="D281" s="10"/>
      <c r="E281" s="10"/>
      <c r="F281" s="10"/>
      <c r="G281" s="10" t="str">
        <f>BatteryEWPOper</f>
        <v>DATC_BattEwpOpReq</v>
      </c>
      <c r="H281" s="10"/>
      <c r="I281" s="12" t="e">
        <f>VLOOKUP(C275,Tbl_Button_Display_ASSTS,73,FALSE)</f>
        <v>#REF!</v>
      </c>
      <c r="J281" s="10"/>
      <c r="K281" s="10"/>
      <c r="L281" s="10"/>
    </row>
    <row r="282" spans="1:12" ht="14.25" customHeight="1" outlineLevel="2">
      <c r="A282" s="70">
        <v>1</v>
      </c>
      <c r="B282" s="38" t="s">
        <v>142</v>
      </c>
      <c r="C282" s="38" t="s">
        <v>1277</v>
      </c>
      <c r="D282" s="38" t="e">
        <f>CONCATENATE(I286," 모드 일 때, ",G287," = ",I287,"rpm, ",G288," = ",I288,"rpm 출력 확인")</f>
        <v>#REF!</v>
      </c>
      <c r="E282" s="38"/>
      <c r="F282" s="38"/>
      <c r="G282" s="38"/>
      <c r="H282" s="38"/>
      <c r="I282" s="38"/>
      <c r="J282" s="38"/>
      <c r="K282" s="38"/>
      <c r="L282" s="38"/>
    </row>
    <row r="283" spans="1:12" ht="14.25" customHeight="1" outlineLevel="2">
      <c r="A283" s="68">
        <v>1</v>
      </c>
      <c r="B283" s="10"/>
      <c r="C283" s="10"/>
      <c r="D283" s="10"/>
      <c r="E283" s="99" t="str">
        <f>VLOOKUP(C282,Tbl_Button_Display_ASSTS,11,FALSE)</f>
        <v>Sw_OFF</v>
      </c>
      <c r="F283" s="11">
        <f>VLOOKUP(C282,Tbl_Button_Display_ASSTS,12,FALSE)</f>
        <v>1</v>
      </c>
      <c r="G283" s="10"/>
      <c r="H283" s="10"/>
      <c r="I283" s="10"/>
      <c r="J283" s="14"/>
      <c r="K283" s="10"/>
      <c r="L283" s="10"/>
    </row>
    <row r="284" spans="1:12" ht="14.25" customHeight="1" outlineLevel="2">
      <c r="A284" s="68">
        <v>1</v>
      </c>
      <c r="B284" s="10"/>
      <c r="C284" s="10"/>
      <c r="D284" s="10"/>
      <c r="E284" s="14" t="s">
        <v>5</v>
      </c>
      <c r="F284" s="11">
        <f>VLOOKUP(C282,Tbl_Button_Display_ASSTS,13,FALSE)</f>
        <v>5</v>
      </c>
      <c r="G284" s="10"/>
      <c r="H284" s="10"/>
      <c r="I284" s="10"/>
      <c r="J284" s="10"/>
      <c r="K284" s="10"/>
      <c r="L284" s="10"/>
    </row>
    <row r="285" spans="1:12" ht="14.25" customHeight="1" outlineLevel="2">
      <c r="A285" s="68">
        <v>1</v>
      </c>
      <c r="B285" s="10"/>
      <c r="C285" s="10"/>
      <c r="D285" s="10"/>
      <c r="E285" s="10"/>
      <c r="F285" s="83"/>
      <c r="G285" s="10" t="e">
        <f>FrontBlwDisp</f>
        <v>#NAME?</v>
      </c>
      <c r="H285" s="10"/>
      <c r="I285" s="46" t="str">
        <f>VLOOKUP(C282,Tbl_Button_Display_ASSTS,23,FALSE)</f>
        <v>Off</v>
      </c>
      <c r="J285" s="10"/>
      <c r="K285" s="10"/>
      <c r="L285" s="10"/>
    </row>
    <row r="286" spans="1:12" ht="14.25" customHeight="1" outlineLevel="2">
      <c r="A286" s="68">
        <v>1</v>
      </c>
      <c r="B286" s="10"/>
      <c r="C286" s="10"/>
      <c r="D286" s="10"/>
      <c r="E286" s="10"/>
      <c r="F286" s="83"/>
      <c r="G286" s="10" t="str">
        <f>HP_ModSta</f>
        <v>DATC_HtrPmpModSta</v>
      </c>
      <c r="H286" s="47" t="e">
        <f>VLOOKUP(C282,Tbl_Button_Display_ASSTS,71,FALSE)</f>
        <v>#REF!</v>
      </c>
      <c r="I286" s="45" t="e">
        <f>(IF(H286="","",VLOOKUP(H286,Tbl_HP_Cycle,2,FALSE)))</f>
        <v>#REF!</v>
      </c>
      <c r="J286" s="10"/>
      <c r="K286" s="10"/>
      <c r="L286" s="10"/>
    </row>
    <row r="287" spans="1:12" ht="14.25" customHeight="1" outlineLevel="2">
      <c r="A287" s="68">
        <v>1</v>
      </c>
      <c r="B287" s="10"/>
      <c r="C287" s="10"/>
      <c r="D287" s="10"/>
      <c r="E287" s="10"/>
      <c r="F287" s="10"/>
      <c r="G287" s="10" t="str">
        <f>PeEwpRPMReq</f>
        <v>DATC_PeEwpRPMReq</v>
      </c>
      <c r="H287" s="10"/>
      <c r="I287" s="12" t="e">
        <f>VLOOKUP(C282,Tbl_Button_Display_ASSTS,76,FALSE)</f>
        <v>#REF!</v>
      </c>
      <c r="J287" s="10"/>
      <c r="K287" s="10"/>
      <c r="L287" s="10"/>
    </row>
    <row r="288" spans="1:12" ht="14.25" customHeight="1" outlineLevel="2">
      <c r="A288" s="68">
        <v>1</v>
      </c>
      <c r="B288" s="10"/>
      <c r="C288" s="10"/>
      <c r="D288" s="10"/>
      <c r="E288" s="10"/>
      <c r="F288" s="10"/>
      <c r="G288" s="10" t="str">
        <f>BatteryEWPOper</f>
        <v>DATC_BattEwpOpReq</v>
      </c>
      <c r="H288" s="10"/>
      <c r="I288" s="12" t="e">
        <f>VLOOKUP(C282,Tbl_Button_Display_ASSTS,73,FALSE)</f>
        <v>#REF!</v>
      </c>
      <c r="J288" s="10"/>
      <c r="K288" s="10"/>
      <c r="L288" s="10"/>
    </row>
    <row r="289" spans="1:12" ht="15" customHeight="1" outlineLevel="2">
      <c r="A289" s="64">
        <v>1</v>
      </c>
      <c r="B289" s="39" t="s">
        <v>1278</v>
      </c>
      <c r="C289" s="39" t="s">
        <v>1279</v>
      </c>
      <c r="D289" s="39" t="e">
        <f>VLOOKUP(B289,Tbl_Button_Display_ASSTS,2,FALSE)</f>
        <v>#N/A</v>
      </c>
      <c r="E289" s="39"/>
      <c r="F289" s="79"/>
      <c r="G289" s="39"/>
      <c r="H289" s="39"/>
      <c r="I289" s="39"/>
      <c r="J289" s="39"/>
      <c r="K289" s="39"/>
      <c r="L289" s="39"/>
    </row>
    <row r="290" spans="1:12" ht="14.25" customHeight="1" outlineLevel="2">
      <c r="A290" s="65">
        <v>1</v>
      </c>
      <c r="B290" s="36" t="s">
        <v>31</v>
      </c>
      <c r="C290" s="36" t="s">
        <v>1280</v>
      </c>
      <c r="D290" s="36" t="s">
        <v>140</v>
      </c>
      <c r="E290" s="36"/>
      <c r="F290" s="80"/>
      <c r="G290" s="36"/>
      <c r="H290" s="36"/>
      <c r="I290" s="36"/>
      <c r="J290" s="36"/>
      <c r="K290" s="36"/>
      <c r="L290" s="36"/>
    </row>
    <row r="291" spans="1:12" ht="14.25" customHeight="1" outlineLevel="2">
      <c r="A291" s="66">
        <v>1</v>
      </c>
      <c r="B291" s="5" t="s">
        <v>31</v>
      </c>
      <c r="C291" s="6" t="s">
        <v>1200</v>
      </c>
      <c r="D291" s="6" t="s">
        <v>121</v>
      </c>
      <c r="E291" s="5"/>
      <c r="F291" s="81"/>
      <c r="G291" s="5"/>
      <c r="H291" s="5"/>
      <c r="I291" s="5"/>
      <c r="J291" s="5"/>
      <c r="K291" s="5"/>
      <c r="L291" s="5"/>
    </row>
    <row r="292" spans="1:12" ht="14.25" hidden="1" outlineLevel="2">
      <c r="A292" s="67">
        <v>1</v>
      </c>
      <c r="B292" s="7"/>
      <c r="C292" s="7"/>
      <c r="D292" s="7" t="s">
        <v>98</v>
      </c>
      <c r="E292" s="7" t="s">
        <v>132</v>
      </c>
      <c r="F292" s="9">
        <v>14</v>
      </c>
      <c r="G292" s="168" t="s">
        <v>1238</v>
      </c>
      <c r="H292" s="7"/>
      <c r="I292" s="7"/>
      <c r="J292" s="7"/>
      <c r="K292" s="7"/>
      <c r="L292" s="7"/>
    </row>
    <row r="293" spans="1:12" ht="14.25" hidden="1" outlineLevel="2">
      <c r="A293" s="67">
        <v>1</v>
      </c>
      <c r="B293" s="7"/>
      <c r="C293" s="7"/>
      <c r="D293" s="7" t="s">
        <v>35</v>
      </c>
      <c r="E293" s="7" t="s">
        <v>93</v>
      </c>
      <c r="F293" s="9" t="s">
        <v>373</v>
      </c>
      <c r="G293" s="7"/>
      <c r="H293" s="7"/>
      <c r="I293" s="7"/>
      <c r="J293" s="7"/>
      <c r="K293" s="7"/>
      <c r="L293" s="7"/>
    </row>
    <row r="294" spans="1:12" ht="14.25" hidden="1" outlineLevel="1">
      <c r="A294" s="67">
        <v>1</v>
      </c>
      <c r="B294" s="7"/>
      <c r="C294" s="7"/>
      <c r="D294" s="7" t="s">
        <v>122</v>
      </c>
      <c r="E294" s="7"/>
      <c r="F294" s="7"/>
      <c r="G294" s="7"/>
      <c r="H294" s="7"/>
      <c r="I294" s="7"/>
      <c r="J294" s="7"/>
      <c r="K294" s="7"/>
      <c r="L294" s="7"/>
    </row>
    <row r="295" spans="1:12" ht="14.25" hidden="1" outlineLevel="2">
      <c r="A295" s="67">
        <v>1</v>
      </c>
      <c r="B295" s="7"/>
      <c r="C295" s="7"/>
      <c r="D295" s="7"/>
      <c r="E295" s="7" t="e">
        <f>AutoCutMode</f>
        <v>#NAME?</v>
      </c>
      <c r="F295" s="9">
        <v>0</v>
      </c>
      <c r="G295" s="7"/>
      <c r="H295" s="7"/>
      <c r="I295" s="7"/>
      <c r="J295" s="7"/>
      <c r="K295" s="7"/>
      <c r="L295" s="7"/>
    </row>
    <row r="296" spans="1:12" ht="14.25" hidden="1" outlineLevel="2">
      <c r="A296" s="68">
        <v>1</v>
      </c>
      <c r="B296" s="10"/>
      <c r="C296" s="10"/>
      <c r="D296" s="10"/>
      <c r="E296" s="99" t="e">
        <f>User_Profile</f>
        <v>#NAME?</v>
      </c>
      <c r="F296" s="82">
        <v>0</v>
      </c>
      <c r="G296" s="10"/>
      <c r="H296" s="10"/>
      <c r="I296" s="10"/>
      <c r="J296" s="14"/>
      <c r="K296" s="10"/>
      <c r="L296" s="10"/>
    </row>
    <row r="297" spans="1:12" ht="14.25" hidden="1" outlineLevel="2">
      <c r="A297" s="67">
        <v>1</v>
      </c>
      <c r="B297" s="7"/>
      <c r="C297" s="7"/>
      <c r="D297" s="28" t="s">
        <v>772</v>
      </c>
      <c r="E297" s="28" t="s">
        <v>1239</v>
      </c>
      <c r="F297" s="9">
        <v>2000</v>
      </c>
      <c r="G297" s="28" t="s">
        <v>773</v>
      </c>
      <c r="H297" s="7"/>
      <c r="I297" s="7"/>
      <c r="J297" s="7"/>
      <c r="K297" s="7"/>
      <c r="L297" s="7"/>
    </row>
    <row r="298" spans="1:12" ht="14.25" hidden="1" outlineLevel="2">
      <c r="A298" s="67">
        <v>1</v>
      </c>
      <c r="B298" s="7"/>
      <c r="C298" s="7"/>
      <c r="D298" s="7"/>
      <c r="E298" s="7" t="s">
        <v>99</v>
      </c>
      <c r="F298" s="9">
        <v>1</v>
      </c>
      <c r="G298" s="7"/>
      <c r="H298" s="7"/>
      <c r="I298" s="7"/>
      <c r="J298" s="7"/>
      <c r="K298" s="7"/>
      <c r="L298" s="7"/>
    </row>
    <row r="299" spans="1:12" ht="14.25" hidden="1" outlineLevel="2">
      <c r="A299" s="67">
        <v>1</v>
      </c>
      <c r="B299" s="7"/>
      <c r="C299" s="7"/>
      <c r="D299" s="7"/>
      <c r="E299" s="7" t="s">
        <v>100</v>
      </c>
      <c r="F299" s="9">
        <v>6000</v>
      </c>
      <c r="G299" s="7"/>
      <c r="H299" s="7"/>
      <c r="I299" s="7"/>
      <c r="J299" s="7"/>
      <c r="K299" s="7"/>
      <c r="L299" s="7"/>
    </row>
    <row r="300" spans="1:12" ht="14.25" hidden="1" outlineLevel="2">
      <c r="A300" s="67">
        <v>1</v>
      </c>
      <c r="B300" s="7"/>
      <c r="C300" s="7"/>
      <c r="D300" s="7"/>
      <c r="E300" s="7" t="str">
        <f>EV_Ready</f>
        <v>VCU_EvDrvRdySta</v>
      </c>
      <c r="F300" s="9">
        <v>1</v>
      </c>
      <c r="G300" s="7"/>
      <c r="H300" s="7"/>
      <c r="I300" s="7"/>
      <c r="J300" s="7"/>
      <c r="K300" s="7"/>
      <c r="L300" s="7"/>
    </row>
    <row r="301" spans="1:12" ht="14.25" hidden="1" outlineLevel="2">
      <c r="A301" s="67">
        <v>1</v>
      </c>
      <c r="B301" s="7"/>
      <c r="C301" s="7"/>
      <c r="D301" s="28" t="s">
        <v>1240</v>
      </c>
      <c r="E301" s="7" t="s">
        <v>106</v>
      </c>
      <c r="F301" s="9">
        <v>35</v>
      </c>
      <c r="G301" s="28"/>
      <c r="H301" s="7"/>
      <c r="I301" s="7"/>
      <c r="J301" s="7"/>
      <c r="K301" s="7"/>
      <c r="L301" s="7"/>
    </row>
    <row r="302" spans="1:12" ht="14.25" hidden="1" outlineLevel="2">
      <c r="A302" s="67">
        <v>1</v>
      </c>
      <c r="B302" s="7"/>
      <c r="C302" s="7"/>
      <c r="D302" s="28" t="s">
        <v>1241</v>
      </c>
      <c r="E302" s="28" t="s">
        <v>136</v>
      </c>
      <c r="F302" s="9">
        <v>35</v>
      </c>
      <c r="G302" s="7"/>
      <c r="H302" s="7"/>
      <c r="I302" s="7"/>
      <c r="J302" s="7"/>
      <c r="K302" s="7"/>
      <c r="L302" s="7"/>
    </row>
    <row r="303" spans="1:12" ht="14.25" hidden="1" outlineLevel="2">
      <c r="A303" s="67">
        <v>1</v>
      </c>
      <c r="B303" s="7"/>
      <c r="C303" s="7"/>
      <c r="D303" s="28"/>
      <c r="E303" s="28" t="s">
        <v>137</v>
      </c>
      <c r="F303" s="9">
        <v>35</v>
      </c>
      <c r="G303" s="7"/>
      <c r="H303" s="7"/>
      <c r="I303" s="7"/>
      <c r="J303" s="7"/>
      <c r="K303" s="7"/>
      <c r="L303" s="7"/>
    </row>
    <row r="304" spans="1:12" ht="14.25" hidden="1" outlineLevel="2">
      <c r="A304" s="67">
        <v>1</v>
      </c>
      <c r="B304" s="7"/>
      <c r="C304" s="7"/>
      <c r="D304" s="28"/>
      <c r="E304" s="28" t="s">
        <v>134</v>
      </c>
      <c r="F304" s="9">
        <v>35</v>
      </c>
      <c r="G304" s="7"/>
      <c r="H304" s="7"/>
      <c r="I304" s="7"/>
      <c r="J304" s="7"/>
      <c r="K304" s="7"/>
      <c r="L304" s="7"/>
    </row>
    <row r="305" spans="1:12" ht="14.25" hidden="1" outlineLevel="2">
      <c r="A305" s="67">
        <v>1</v>
      </c>
      <c r="B305" s="7"/>
      <c r="C305" s="7"/>
      <c r="D305" s="28"/>
      <c r="E305" s="28" t="s">
        <v>135</v>
      </c>
      <c r="F305" s="9">
        <v>35</v>
      </c>
      <c r="G305" s="7"/>
      <c r="H305" s="7"/>
      <c r="I305" s="7"/>
      <c r="J305" s="7"/>
      <c r="K305" s="7"/>
      <c r="L305" s="7"/>
    </row>
    <row r="306" spans="1:12" ht="14.25" hidden="1" outlineLevel="2">
      <c r="A306" s="67">
        <v>1</v>
      </c>
      <c r="B306" s="7"/>
      <c r="C306" s="7"/>
      <c r="D306" s="28" t="s">
        <v>1242</v>
      </c>
      <c r="E306" s="7" t="s">
        <v>107</v>
      </c>
      <c r="F306" s="9" t="e">
        <f>VLOOKUP(C291,Tbl_Button_Display_ASSTS,5,FALSE)</f>
        <v>#N/A</v>
      </c>
      <c r="G306" s="28"/>
      <c r="H306" s="7"/>
      <c r="I306" s="7"/>
      <c r="J306" s="7"/>
      <c r="K306" s="7"/>
      <c r="L306" s="7"/>
    </row>
    <row r="307" spans="1:12" ht="14.25" hidden="1" outlineLevel="2">
      <c r="A307" s="67">
        <v>1</v>
      </c>
      <c r="B307" s="7"/>
      <c r="C307" s="7"/>
      <c r="D307" s="28" t="s">
        <v>124</v>
      </c>
      <c r="E307" s="28" t="s">
        <v>125</v>
      </c>
      <c r="F307" s="9">
        <v>1</v>
      </c>
      <c r="G307" s="28" t="s">
        <v>1243</v>
      </c>
      <c r="H307" s="7"/>
      <c r="I307" s="7"/>
      <c r="J307" s="7"/>
      <c r="K307" s="7"/>
      <c r="L307" s="7"/>
    </row>
    <row r="308" spans="1:12" ht="14.25" hidden="1" outlineLevel="2">
      <c r="A308" s="67">
        <v>1</v>
      </c>
      <c r="B308" s="7"/>
      <c r="C308" s="7"/>
      <c r="D308" s="7" t="s">
        <v>123</v>
      </c>
      <c r="E308" s="7"/>
      <c r="F308" s="7"/>
      <c r="G308" s="7"/>
      <c r="H308" s="7"/>
      <c r="I308" s="7"/>
      <c r="J308" s="7"/>
      <c r="K308" s="7"/>
      <c r="L308" s="7"/>
    </row>
    <row r="309" spans="1:12" ht="14.25" hidden="1" outlineLevel="2">
      <c r="A309" s="67">
        <v>1</v>
      </c>
      <c r="B309" s="7"/>
      <c r="C309" s="7"/>
      <c r="D309" s="28" t="s">
        <v>124</v>
      </c>
      <c r="E309" s="28" t="s">
        <v>133</v>
      </c>
      <c r="F309" s="9">
        <v>4</v>
      </c>
      <c r="G309" s="28"/>
      <c r="H309" s="7"/>
      <c r="I309" s="7"/>
      <c r="J309" s="7"/>
      <c r="K309" s="7"/>
      <c r="L309" s="7"/>
    </row>
    <row r="310" spans="1:12" ht="14.25" hidden="1" outlineLevel="2">
      <c r="A310" s="67">
        <v>1</v>
      </c>
      <c r="B310" s="7"/>
      <c r="C310" s="7"/>
      <c r="D310" s="7"/>
      <c r="E310" s="7" t="s">
        <v>103</v>
      </c>
      <c r="F310" s="9">
        <v>5000</v>
      </c>
      <c r="G310" s="7"/>
      <c r="H310" s="7"/>
      <c r="I310" s="7"/>
      <c r="J310" s="7"/>
      <c r="K310" s="7"/>
      <c r="L310" s="7"/>
    </row>
    <row r="311" spans="1:12" ht="14.25" hidden="1" outlineLevel="2">
      <c r="A311" s="67">
        <v>1</v>
      </c>
      <c r="B311" s="7"/>
      <c r="C311" s="7"/>
      <c r="D311" s="7"/>
      <c r="E311" s="7" t="s">
        <v>101</v>
      </c>
      <c r="F311" s="9">
        <v>2000</v>
      </c>
      <c r="G311" s="7"/>
      <c r="H311" s="7"/>
      <c r="I311" s="7"/>
      <c r="J311" s="7"/>
      <c r="K311" s="7"/>
      <c r="L311" s="7"/>
    </row>
    <row r="312" spans="1:12" ht="14.25" hidden="1" outlineLevel="2">
      <c r="A312" s="67">
        <v>1</v>
      </c>
      <c r="B312" s="7"/>
      <c r="C312" s="7"/>
      <c r="D312" s="7"/>
      <c r="E312" s="7" t="s">
        <v>102</v>
      </c>
      <c r="F312" s="9">
        <v>1</v>
      </c>
      <c r="G312" s="7"/>
      <c r="H312" s="7"/>
      <c r="I312" s="7"/>
      <c r="J312" s="7"/>
      <c r="K312" s="7"/>
      <c r="L312" s="7"/>
    </row>
    <row r="313" spans="1:12" ht="14.25" hidden="1" outlineLevel="2">
      <c r="A313" s="67">
        <v>1</v>
      </c>
      <c r="B313" s="7"/>
      <c r="C313" s="7"/>
      <c r="D313" s="7"/>
      <c r="E313" s="7" t="s">
        <v>103</v>
      </c>
      <c r="F313" s="9">
        <v>5000</v>
      </c>
      <c r="G313" s="7"/>
      <c r="H313" s="7"/>
      <c r="I313" s="7"/>
      <c r="J313" s="7"/>
      <c r="K313" s="7"/>
      <c r="L313" s="7"/>
    </row>
    <row r="314" spans="1:12" ht="14.25" hidden="1" outlineLevel="2">
      <c r="A314" s="68">
        <v>1</v>
      </c>
      <c r="B314" s="10"/>
      <c r="C314" s="10"/>
      <c r="D314" s="10"/>
      <c r="E314" s="28" t="str">
        <f>BatChllrTgtRpm</f>
        <v>VCU_BatChllrTgtRpm</v>
      </c>
      <c r="F314" s="9">
        <v>0</v>
      </c>
      <c r="G314" s="10"/>
      <c r="H314" s="10"/>
      <c r="I314" s="10"/>
      <c r="J314" s="14"/>
      <c r="K314" s="10"/>
      <c r="L314" s="10"/>
    </row>
    <row r="315" spans="1:12" ht="14.25" hidden="1" outlineLevel="2">
      <c r="A315" s="68">
        <v>1</v>
      </c>
      <c r="B315" s="10"/>
      <c r="C315" s="10"/>
      <c r="D315" s="10"/>
      <c r="E315" s="28" t="str">
        <f>BatEwpFltSta</f>
        <v>VCU_BatEwpFltSta</v>
      </c>
      <c r="F315" s="9">
        <v>0</v>
      </c>
      <c r="G315" s="10"/>
      <c r="H315" s="10"/>
      <c r="I315" s="10"/>
      <c r="J315" s="14"/>
      <c r="K315" s="10"/>
      <c r="L315" s="10"/>
    </row>
    <row r="316" spans="1:12" ht="14.25" hidden="1">
      <c r="A316" s="68">
        <v>1</v>
      </c>
      <c r="B316" s="10"/>
      <c r="C316" s="10"/>
      <c r="D316" s="10"/>
      <c r="E316" s="28" t="str">
        <f>LtrEwpFltSt</f>
        <v>VCU_LtrEwpFltSt</v>
      </c>
      <c r="F316" s="9">
        <v>0</v>
      </c>
      <c r="G316" s="10"/>
      <c r="H316" s="10"/>
      <c r="I316" s="10"/>
      <c r="J316" s="14"/>
      <c r="K316" s="10"/>
      <c r="L316" s="10"/>
    </row>
    <row r="317" spans="1:12" ht="14.25" hidden="1" collapsed="1">
      <c r="A317" s="68">
        <v>1</v>
      </c>
      <c r="B317" s="10"/>
      <c r="C317" s="10"/>
      <c r="D317" s="10"/>
      <c r="E317" s="28" t="str">
        <f>PtcOprPrm</f>
        <v>CF_Fcu_PtcOprPrm</v>
      </c>
      <c r="F317" s="9">
        <v>1</v>
      </c>
      <c r="G317" s="10"/>
      <c r="H317" s="10"/>
      <c r="I317" s="10"/>
      <c r="J317" s="14"/>
      <c r="K317" s="10"/>
      <c r="L317" s="10"/>
    </row>
    <row r="318" spans="1:12" ht="14.25" hidden="1" outlineLevel="1">
      <c r="A318" s="68">
        <v>1</v>
      </c>
      <c r="B318" s="10"/>
      <c r="C318" s="10"/>
      <c r="D318" s="10"/>
      <c r="E318" s="28" t="str">
        <f>PtcPrmPwr_W</f>
        <v>CR_Fcu_PtcPrmPwr_W</v>
      </c>
      <c r="F318" s="9">
        <v>510</v>
      </c>
      <c r="G318" s="10"/>
      <c r="H318" s="10"/>
      <c r="I318" s="10"/>
      <c r="J318" s="14"/>
      <c r="K318" s="10"/>
      <c r="L318" s="10"/>
    </row>
    <row r="319" spans="1:12" ht="14.25" hidden="1" outlineLevel="2">
      <c r="A319" s="68">
        <v>1</v>
      </c>
      <c r="B319" s="10"/>
      <c r="C319" s="10"/>
      <c r="D319" s="10"/>
      <c r="E319" s="28" t="str">
        <f>HVPP_CstPwrDr_W</f>
        <v>HVPP_CstPwrDr_W</v>
      </c>
      <c r="F319" s="9">
        <v>250</v>
      </c>
      <c r="G319" s="10"/>
      <c r="H319" s="10"/>
      <c r="I319" s="10"/>
      <c r="J319" s="14"/>
      <c r="K319" s="10"/>
      <c r="L319" s="10"/>
    </row>
    <row r="320" spans="1:12" ht="14.25" hidden="1" outlineLevel="2">
      <c r="A320" s="68">
        <v>1</v>
      </c>
      <c r="B320" s="10"/>
      <c r="C320" s="10"/>
      <c r="D320" s="10"/>
      <c r="E320" s="28" t="str">
        <f>HVPP_CstPwrPs_W</f>
        <v>HVPP_CstPwrPs_W</v>
      </c>
      <c r="F320" s="9">
        <v>250</v>
      </c>
      <c r="G320" s="10"/>
      <c r="H320" s="10"/>
      <c r="I320" s="10"/>
      <c r="J320" s="14"/>
      <c r="K320" s="10"/>
      <c r="L320" s="10"/>
    </row>
    <row r="321" spans="1:12" ht="14.25" hidden="1" outlineLevel="2">
      <c r="A321" s="67">
        <v>1</v>
      </c>
      <c r="B321" s="7"/>
      <c r="C321" s="7"/>
      <c r="D321" s="7" t="s">
        <v>36</v>
      </c>
      <c r="E321" s="7"/>
      <c r="F321" s="7"/>
      <c r="G321" s="7"/>
      <c r="H321" s="7"/>
      <c r="I321" s="7"/>
      <c r="J321" s="7"/>
      <c r="K321" s="7"/>
      <c r="L321" s="7"/>
    </row>
    <row r="322" spans="1:12" ht="14.25" hidden="1" outlineLevel="2">
      <c r="A322" s="67">
        <v>1</v>
      </c>
      <c r="B322" s="7"/>
      <c r="C322" s="7"/>
      <c r="D322" s="7"/>
      <c r="E322" s="8" t="e">
        <f>Incar_IN</f>
        <v>#NAME?</v>
      </c>
      <c r="F322" s="63" t="e">
        <f>VINTERPOLATION(VLOOKUP(C291,Tbl_Button_Display_ASSTS,2,FALSE),Tbl_Incar_Sensor,3)</f>
        <v>#VALUE!</v>
      </c>
      <c r="G322" s="7"/>
      <c r="H322" s="7"/>
      <c r="I322" s="7"/>
      <c r="J322" s="7"/>
      <c r="K322" s="7"/>
      <c r="L322" s="7"/>
    </row>
    <row r="323" spans="1:12" ht="14.25" hidden="1" outlineLevel="2">
      <c r="A323" s="67">
        <v>1</v>
      </c>
      <c r="B323" s="7"/>
      <c r="C323" s="7"/>
      <c r="D323" s="7"/>
      <c r="E323" s="8" t="e">
        <f>Amb_IN</f>
        <v>#NAME?</v>
      </c>
      <c r="F323" s="63" t="e">
        <f>VINTERPOLATION(VLOOKUP(C291,Tbl_Button_Display_ASSTS,3,FALSE),Tbl_Amb_Sensor,3)</f>
        <v>#VALUE!</v>
      </c>
      <c r="G323" s="28" t="s">
        <v>1244</v>
      </c>
      <c r="H323" s="7"/>
      <c r="I323" s="7"/>
      <c r="J323" s="7"/>
      <c r="K323" s="7"/>
      <c r="L323" s="7"/>
    </row>
    <row r="324" spans="1:12" ht="14.25" hidden="1" outlineLevel="2">
      <c r="A324" s="67">
        <v>1</v>
      </c>
      <c r="B324" s="7"/>
      <c r="C324" s="7"/>
      <c r="D324" s="28" t="s">
        <v>1245</v>
      </c>
      <c r="E324" s="8" t="e">
        <f>EvaDr_IN</f>
        <v>#NAME?</v>
      </c>
      <c r="F324" s="63" t="e">
        <f>VINTERPOLATION(VLOOKUP(C291,Tbl_Button_Display_ASSTS,4,FALSE),Tbl_Eva_Sensor,3)</f>
        <v>#VALUE!</v>
      </c>
      <c r="G324" s="7"/>
      <c r="H324" s="7"/>
      <c r="I324" s="7"/>
      <c r="J324" s="7"/>
      <c r="K324" s="7"/>
      <c r="L324" s="7"/>
    </row>
    <row r="325" spans="1:12" ht="14.25" hidden="1" outlineLevel="2">
      <c r="A325" s="67">
        <v>1</v>
      </c>
      <c r="B325" s="7"/>
      <c r="C325" s="7"/>
      <c r="D325" s="7"/>
      <c r="E325" s="8" t="e">
        <f>CionDiag_V</f>
        <v>#NAME?</v>
      </c>
      <c r="F325" s="9">
        <v>2.7</v>
      </c>
      <c r="G325" s="7"/>
      <c r="H325" s="7"/>
      <c r="I325" s="7"/>
      <c r="J325" s="7"/>
      <c r="K325" s="7"/>
      <c r="L325" s="7"/>
    </row>
    <row r="326" spans="1:12" ht="14.25" hidden="1" outlineLevel="2">
      <c r="A326" s="67">
        <v>1</v>
      </c>
      <c r="B326" s="7"/>
      <c r="C326" s="7"/>
      <c r="D326" s="28" t="s">
        <v>1246</v>
      </c>
      <c r="E326" s="29" t="e">
        <f>Duct_ALL_V</f>
        <v>#NAME?</v>
      </c>
      <c r="F326" s="227" t="e">
        <f>VINTERPOLATION(VLOOKUP(C291,Tbl_Button_Display_ASSTS,9,FALSE),Tbl_Duct_Sensor,3)</f>
        <v>#VALUE!</v>
      </c>
      <c r="G326" s="7"/>
      <c r="H326" s="7"/>
      <c r="I326" s="7"/>
      <c r="J326" s="7"/>
      <c r="K326" s="7"/>
      <c r="L326" s="7"/>
    </row>
    <row r="327" spans="1:12" ht="14.25" hidden="1" outlineLevel="2">
      <c r="A327" s="67">
        <v>1</v>
      </c>
      <c r="B327" s="7"/>
      <c r="C327" s="7"/>
      <c r="D327" s="7"/>
      <c r="E327" s="8" t="e">
        <f>Photo_L_V</f>
        <v>#NAME?</v>
      </c>
      <c r="F327" s="9">
        <v>0</v>
      </c>
      <c r="G327" s="7"/>
      <c r="H327" s="7"/>
      <c r="I327" s="7"/>
      <c r="J327" s="7"/>
      <c r="K327" s="7"/>
      <c r="L327" s="7"/>
    </row>
    <row r="328" spans="1:12" ht="14.25" hidden="1" outlineLevel="1">
      <c r="A328" s="67">
        <v>1</v>
      </c>
      <c r="B328" s="7"/>
      <c r="C328" s="7"/>
      <c r="D328" s="7"/>
      <c r="E328" s="8" t="e">
        <f>Photo_R_V</f>
        <v>#NAME?</v>
      </c>
      <c r="F328" s="9">
        <v>0</v>
      </c>
      <c r="G328" s="7"/>
      <c r="H328" s="7"/>
      <c r="I328" s="7"/>
      <c r="J328" s="7"/>
      <c r="K328" s="7"/>
      <c r="L328" s="7"/>
    </row>
    <row r="329" spans="1:12" ht="14.25" hidden="1" outlineLevel="2">
      <c r="A329" s="67">
        <v>1</v>
      </c>
      <c r="B329" s="7"/>
      <c r="C329" s="7"/>
      <c r="D329" s="10"/>
      <c r="E329" s="13" t="e">
        <f>T_windshield</f>
        <v>#NAME?</v>
      </c>
      <c r="F329" s="11">
        <v>30</v>
      </c>
      <c r="G329" s="28" t="s">
        <v>344</v>
      </c>
      <c r="H329" s="7"/>
      <c r="I329" s="7"/>
      <c r="J329" s="7"/>
      <c r="K329" s="7"/>
      <c r="L329" s="7"/>
    </row>
    <row r="330" spans="1:12" ht="14.25" hidden="1" outlineLevel="2">
      <c r="A330" s="67">
        <v>1</v>
      </c>
      <c r="B330" s="7"/>
      <c r="C330" s="7"/>
      <c r="D330" s="28" t="s">
        <v>1247</v>
      </c>
      <c r="E330" s="28" t="s">
        <v>126</v>
      </c>
      <c r="F330" s="9">
        <v>35</v>
      </c>
      <c r="G330" s="28"/>
      <c r="H330" s="7"/>
      <c r="I330" s="7"/>
      <c r="J330" s="7"/>
      <c r="K330" s="7"/>
      <c r="L330" s="7"/>
    </row>
    <row r="331" spans="1:12" ht="14.25" hidden="1" outlineLevel="2">
      <c r="A331" s="67">
        <v>1</v>
      </c>
      <c r="B331" s="7"/>
      <c r="C331" s="7"/>
      <c r="D331" s="28" t="s">
        <v>1247</v>
      </c>
      <c r="E331" s="28" t="s">
        <v>105</v>
      </c>
      <c r="F331" s="9">
        <v>35</v>
      </c>
      <c r="G331" s="7"/>
      <c r="H331" s="7"/>
      <c r="I331" s="7"/>
      <c r="J331" s="7"/>
      <c r="K331" s="7"/>
      <c r="L331" s="7"/>
    </row>
    <row r="332" spans="1:12" ht="14.25" hidden="1" outlineLevel="2">
      <c r="A332" s="67">
        <v>1</v>
      </c>
      <c r="B332" s="7"/>
      <c r="C332" s="7"/>
      <c r="D332" s="28" t="s">
        <v>1248</v>
      </c>
      <c r="E332" s="29" t="str">
        <f>P_SIGNAL_COMP_OUT</f>
        <v>Snr_P SIGNAL_COMP OUT(PSI)_IN</v>
      </c>
      <c r="F332" s="9">
        <v>80</v>
      </c>
      <c r="G332" s="28" t="s">
        <v>1249</v>
      </c>
      <c r="H332" s="7"/>
      <c r="I332" s="7"/>
      <c r="J332" s="7"/>
      <c r="K332" s="7"/>
      <c r="L332" s="7"/>
    </row>
    <row r="333" spans="1:12" ht="14.25" hidden="1" outlineLevel="1">
      <c r="A333" s="67">
        <v>1</v>
      </c>
      <c r="B333" s="7"/>
      <c r="C333" s="7"/>
      <c r="D333" s="28"/>
      <c r="E333" s="29" t="str">
        <f>T_SIGNAL_COMP_OUT</f>
        <v>Snr_T SIGNAL_COMP OUT(degC)_IN</v>
      </c>
      <c r="F333" s="9">
        <v>40</v>
      </c>
      <c r="G333" s="28" t="s">
        <v>1250</v>
      </c>
      <c r="H333" s="7"/>
      <c r="I333" s="7"/>
      <c r="J333" s="7"/>
      <c r="K333" s="7"/>
      <c r="L333" s="7"/>
    </row>
    <row r="334" spans="1:12" ht="14.25" hidden="1" outlineLevel="2">
      <c r="A334" s="68">
        <v>1</v>
      </c>
      <c r="B334" s="10"/>
      <c r="C334" s="10"/>
      <c r="D334" s="28"/>
      <c r="E334" s="29" t="str">
        <f>P_SIGNAL_BCHILLER</f>
        <v>Snr_P SIGNAL_B/CHILLER(PSI)_IN</v>
      </c>
      <c r="F334" s="9">
        <v>40</v>
      </c>
      <c r="G334" s="7"/>
      <c r="H334" s="10"/>
      <c r="I334" s="10"/>
      <c r="J334" s="14"/>
      <c r="K334" s="10"/>
      <c r="L334" s="10"/>
    </row>
    <row r="335" spans="1:12" ht="14.25" hidden="1" outlineLevel="2">
      <c r="A335" s="67">
        <v>1</v>
      </c>
      <c r="B335" s="7"/>
      <c r="C335" s="7"/>
      <c r="D335" s="28"/>
      <c r="E335" s="29" t="str">
        <f>T_SIGNAL_BCHILLER</f>
        <v>Snr_T SIGNAL_B/CHILLER(degC)_IN</v>
      </c>
      <c r="F335" s="9">
        <v>40</v>
      </c>
      <c r="G335" s="7"/>
      <c r="H335" s="7"/>
      <c r="I335" s="7"/>
      <c r="J335" s="7"/>
      <c r="K335" s="7"/>
      <c r="L335" s="7"/>
    </row>
    <row r="336" spans="1:12" ht="15" customHeight="1" outlineLevel="2">
      <c r="A336" s="66">
        <v>1</v>
      </c>
      <c r="B336" s="5" t="s">
        <v>31</v>
      </c>
      <c r="C336" s="6" t="s">
        <v>1201</v>
      </c>
      <c r="D336" s="6" t="s">
        <v>1251</v>
      </c>
      <c r="E336" s="5"/>
      <c r="F336" s="5"/>
      <c r="G336" s="5"/>
      <c r="H336" s="5"/>
      <c r="I336" s="5"/>
      <c r="J336" s="5"/>
      <c r="K336" s="5"/>
      <c r="L336" s="5"/>
    </row>
    <row r="337" spans="1:12" ht="14.25" hidden="1" outlineLevel="2">
      <c r="A337" s="68">
        <v>1</v>
      </c>
      <c r="B337" s="10"/>
      <c r="C337" s="10"/>
      <c r="D337" s="10" t="s">
        <v>384</v>
      </c>
      <c r="E337" s="10"/>
      <c r="F337" s="10"/>
      <c r="G337" s="10" t="s">
        <v>385</v>
      </c>
      <c r="H337" s="10"/>
      <c r="I337" s="7"/>
      <c r="J337" s="85"/>
      <c r="K337" s="10"/>
      <c r="L337" s="10"/>
    </row>
    <row r="338" spans="1:12" ht="14.25" hidden="1">
      <c r="A338" s="68">
        <v>1</v>
      </c>
      <c r="B338" s="10"/>
      <c r="C338" s="10"/>
      <c r="D338" s="10" t="s">
        <v>384</v>
      </c>
      <c r="E338" s="10"/>
      <c r="F338" s="10"/>
      <c r="G338" s="10" t="s">
        <v>386</v>
      </c>
      <c r="H338" s="10"/>
      <c r="I338" s="7"/>
      <c r="J338" s="85"/>
      <c r="K338" s="10"/>
      <c r="L338" s="10"/>
    </row>
    <row r="339" spans="1:12" ht="14.25" hidden="1" collapsed="1">
      <c r="A339" s="68">
        <v>1</v>
      </c>
      <c r="B339" s="10"/>
      <c r="C339" s="10"/>
      <c r="D339" s="10" t="s">
        <v>384</v>
      </c>
      <c r="E339" s="10"/>
      <c r="F339" s="10"/>
      <c r="G339" s="10" t="s">
        <v>387</v>
      </c>
      <c r="H339" s="10"/>
      <c r="I339" s="7"/>
      <c r="J339" s="85"/>
      <c r="K339" s="10"/>
      <c r="L339" s="10"/>
    </row>
    <row r="340" spans="1:12" ht="14.25" hidden="1" outlineLevel="1">
      <c r="A340" s="68">
        <v>1</v>
      </c>
      <c r="B340" s="10"/>
      <c r="C340" s="10"/>
      <c r="D340" s="10" t="s">
        <v>384</v>
      </c>
      <c r="E340" s="10"/>
      <c r="F340" s="10"/>
      <c r="G340" s="10" t="s">
        <v>388</v>
      </c>
      <c r="H340" s="10"/>
      <c r="I340" s="7"/>
      <c r="J340" s="85"/>
      <c r="K340" s="10"/>
      <c r="L340" s="10"/>
    </row>
    <row r="341" spans="1:12" ht="14.25" hidden="1" outlineLevel="2">
      <c r="A341" s="68">
        <v>1</v>
      </c>
      <c r="B341" s="10"/>
      <c r="C341" s="10"/>
      <c r="D341" s="10" t="s">
        <v>384</v>
      </c>
      <c r="E341" s="10"/>
      <c r="F341" s="10"/>
      <c r="G341" s="10" t="s">
        <v>389</v>
      </c>
      <c r="H341" s="10"/>
      <c r="I341" s="7"/>
      <c r="J341" s="85"/>
      <c r="K341" s="10"/>
      <c r="L341" s="10"/>
    </row>
    <row r="342" spans="1:12" ht="14.25" customHeight="1" outlineLevel="2">
      <c r="A342" s="66">
        <v>1</v>
      </c>
      <c r="B342" s="5" t="s">
        <v>31</v>
      </c>
      <c r="C342" s="6" t="s">
        <v>1202</v>
      </c>
      <c r="D342" s="6" t="s">
        <v>164</v>
      </c>
      <c r="E342" s="5"/>
      <c r="F342" s="81"/>
      <c r="G342" s="5"/>
      <c r="H342" s="5"/>
      <c r="I342" s="5"/>
      <c r="J342" s="5"/>
      <c r="K342" s="5"/>
      <c r="L342" s="5"/>
    </row>
    <row r="343" spans="1:12" ht="14.25" hidden="1" outlineLevel="2">
      <c r="A343" s="68">
        <v>1</v>
      </c>
      <c r="B343" s="10"/>
      <c r="C343" s="10"/>
      <c r="D343" s="10"/>
      <c r="E343" s="10" t="s">
        <v>130</v>
      </c>
      <c r="F343" s="82" t="s">
        <v>131</v>
      </c>
      <c r="G343" s="10"/>
      <c r="H343" s="10"/>
      <c r="I343" s="30"/>
      <c r="J343" s="30"/>
      <c r="K343" s="10"/>
      <c r="L343" s="10"/>
    </row>
    <row r="344" spans="1:12" ht="14.25" hidden="1" outlineLevel="2">
      <c r="A344" s="68">
        <v>1</v>
      </c>
      <c r="B344" s="10"/>
      <c r="C344" s="10"/>
      <c r="D344" s="10"/>
      <c r="E344" s="10"/>
      <c r="F344" s="83"/>
      <c r="G344" s="10" t="s">
        <v>127</v>
      </c>
      <c r="H344" s="10"/>
      <c r="I344" s="31" t="s">
        <v>129</v>
      </c>
      <c r="J344" s="10"/>
      <c r="K344" s="10"/>
      <c r="L344" s="10"/>
    </row>
    <row r="345" spans="1:12" ht="14.25" hidden="1" outlineLevel="2">
      <c r="A345" s="68">
        <v>1</v>
      </c>
      <c r="B345" s="10"/>
      <c r="C345" s="10"/>
      <c r="D345" s="44" t="s">
        <v>1252</v>
      </c>
      <c r="E345" s="10" t="s">
        <v>89</v>
      </c>
      <c r="F345" s="9" t="e">
        <f>CONCATENATE("자가진단 진입 : ",SelfDiagCode)</f>
        <v>#NAME?</v>
      </c>
      <c r="G345" s="10"/>
      <c r="H345" s="10"/>
      <c r="I345" s="10"/>
      <c r="J345" s="30"/>
      <c r="K345" s="10"/>
      <c r="L345" s="10"/>
    </row>
    <row r="346" spans="1:12" ht="14.25" hidden="1" outlineLevel="2">
      <c r="A346" s="68">
        <v>1</v>
      </c>
      <c r="B346" s="10"/>
      <c r="C346" s="10"/>
      <c r="D346" s="10"/>
      <c r="E346" s="10"/>
      <c r="F346" s="83"/>
      <c r="G346" s="10" t="s">
        <v>128</v>
      </c>
      <c r="H346" s="10"/>
      <c r="I346" s="12">
        <v>0</v>
      </c>
      <c r="J346" s="30"/>
      <c r="K346" s="10"/>
      <c r="L346" s="10"/>
    </row>
    <row r="347" spans="1:12" ht="14.25" customHeight="1" outlineLevel="1">
      <c r="A347" s="66">
        <v>1</v>
      </c>
      <c r="B347" s="5" t="s">
        <v>31</v>
      </c>
      <c r="C347" s="6" t="s">
        <v>1203</v>
      </c>
      <c r="D347" s="6" t="s">
        <v>112</v>
      </c>
      <c r="E347" s="5"/>
      <c r="F347" s="81"/>
      <c r="G347" s="5"/>
      <c r="H347" s="5"/>
      <c r="I347" s="5"/>
      <c r="J347" s="5"/>
      <c r="K347" s="5"/>
      <c r="L347" s="5"/>
    </row>
    <row r="348" spans="1:12" ht="14.25" hidden="1" outlineLevel="2">
      <c r="A348" s="67">
        <v>1</v>
      </c>
      <c r="B348" s="7"/>
      <c r="C348" s="7"/>
      <c r="D348" s="7" t="s">
        <v>138</v>
      </c>
      <c r="E348" s="7" t="s">
        <v>93</v>
      </c>
      <c r="F348" s="82" t="s">
        <v>373</v>
      </c>
      <c r="G348" s="7"/>
      <c r="H348" s="7"/>
      <c r="I348" s="7"/>
      <c r="J348" s="7"/>
      <c r="K348" s="7"/>
      <c r="L348" s="7"/>
    </row>
    <row r="349" spans="1:12" ht="14.25" hidden="1" outlineLevel="2">
      <c r="A349" s="68">
        <v>1</v>
      </c>
      <c r="B349" s="10"/>
      <c r="C349" s="10"/>
      <c r="D349" s="10"/>
      <c r="E349" s="7" t="s">
        <v>5</v>
      </c>
      <c r="F349" s="82">
        <v>2</v>
      </c>
      <c r="G349" s="10"/>
      <c r="H349" s="10"/>
      <c r="I349" s="10"/>
      <c r="J349" s="10"/>
      <c r="K349" s="10"/>
      <c r="L349" s="10"/>
    </row>
    <row r="350" spans="1:12" ht="14.25" hidden="1" outlineLevel="2">
      <c r="A350" s="68">
        <v>1</v>
      </c>
      <c r="B350" s="10"/>
      <c r="C350" s="10"/>
      <c r="D350" s="44"/>
      <c r="E350" s="10" t="s">
        <v>89</v>
      </c>
      <c r="F350" s="84" t="s">
        <v>1253</v>
      </c>
      <c r="G350" s="41"/>
      <c r="H350" s="41"/>
      <c r="I350" s="41"/>
      <c r="J350" s="30"/>
      <c r="K350" s="10"/>
      <c r="L350" s="10"/>
    </row>
    <row r="351" spans="1:12" ht="14.25" customHeight="1" outlineLevel="2">
      <c r="A351" s="69">
        <v>1</v>
      </c>
      <c r="B351" s="37" t="s">
        <v>143</v>
      </c>
      <c r="C351" s="37" t="s">
        <v>791</v>
      </c>
      <c r="D351" s="37" t="e">
        <f>VLOOKUP(C351,Tbl_Button_Display_ASSTS, 2,FALSE)</f>
        <v>#N/A</v>
      </c>
      <c r="E351" s="37"/>
      <c r="F351" s="37"/>
      <c r="G351" s="37"/>
      <c r="H351" s="37"/>
      <c r="I351" s="37"/>
      <c r="J351" s="37"/>
      <c r="K351" s="37"/>
      <c r="L351" s="37"/>
    </row>
    <row r="352" spans="1:12" ht="16.5" customHeight="1" outlineLevel="2">
      <c r="A352" s="103">
        <v>1</v>
      </c>
      <c r="B352" s="104" t="s">
        <v>38</v>
      </c>
      <c r="C352" s="104" t="s">
        <v>792</v>
      </c>
      <c r="D352" s="104" t="s">
        <v>1254</v>
      </c>
      <c r="E352" s="104"/>
      <c r="F352" s="104"/>
      <c r="G352" s="104"/>
      <c r="H352" s="104"/>
      <c r="I352" s="104"/>
      <c r="J352" s="104"/>
      <c r="K352" s="104"/>
      <c r="L352" s="104"/>
    </row>
    <row r="353" spans="1:12" ht="16.5" hidden="1" outlineLevel="2">
      <c r="A353" s="68">
        <v>1</v>
      </c>
      <c r="B353" s="10"/>
      <c r="C353" s="10"/>
      <c r="D353" s="10"/>
      <c r="E353" s="99" t="str">
        <f>P_SIGNAL_COMP_OUT</f>
        <v>Snr_P SIGNAL_COMP OUT(PSI)_IN</v>
      </c>
      <c r="F353" s="105">
        <v>235</v>
      </c>
      <c r="G353" s="185"/>
      <c r="H353" s="10"/>
      <c r="I353" s="10"/>
      <c r="J353" s="10"/>
      <c r="K353" s="10"/>
      <c r="L353" s="10"/>
    </row>
    <row r="354" spans="1:12" ht="16.5" hidden="1" outlineLevel="1">
      <c r="A354" s="68">
        <v>1</v>
      </c>
      <c r="B354" s="10"/>
      <c r="C354" s="10"/>
      <c r="D354" s="10"/>
      <c r="E354" s="99" t="str">
        <f>Main_Relay_Sta</f>
        <v>xEV_MainRlyOnSta</v>
      </c>
      <c r="F354" s="105">
        <v>1</v>
      </c>
      <c r="G354" s="185"/>
      <c r="H354" s="10"/>
      <c r="I354" s="10"/>
      <c r="J354" s="10"/>
      <c r="K354" s="10"/>
      <c r="L354" s="10"/>
    </row>
    <row r="355" spans="1:12" ht="14.25" hidden="1" outlineLevel="2">
      <c r="A355" s="68">
        <v>1</v>
      </c>
      <c r="B355" s="10"/>
      <c r="C355" s="10"/>
      <c r="D355" s="10"/>
      <c r="E355" s="99" t="e">
        <f>VLOOKUP(C352,Tbl_Button_Display_ASSTS,11,FALSE)</f>
        <v>#N/A</v>
      </c>
      <c r="F355" s="11" t="e">
        <f>VLOOKUP(C352,Tbl_Button_Display_ASSTS,12,FALSE)</f>
        <v>#N/A</v>
      </c>
      <c r="G355" s="10"/>
      <c r="H355" s="10"/>
      <c r="I355" s="10"/>
      <c r="J355" s="10"/>
      <c r="K355" s="10"/>
      <c r="L355" s="10"/>
    </row>
    <row r="356" spans="1:12" ht="14.25" hidden="1" outlineLevel="2">
      <c r="A356" s="68">
        <v>1</v>
      </c>
      <c r="B356" s="10"/>
      <c r="C356" s="10"/>
      <c r="D356" s="10"/>
      <c r="E356" s="14" t="s">
        <v>5</v>
      </c>
      <c r="F356" s="11" t="e">
        <f>VLOOKUP(C352,Tbl_Button_Display_ASSTS,13,FALSE)</f>
        <v>#N/A</v>
      </c>
      <c r="G356" s="10"/>
      <c r="H356" s="10"/>
      <c r="I356" s="10"/>
      <c r="J356" s="10"/>
      <c r="K356" s="10"/>
      <c r="L356" s="10"/>
    </row>
    <row r="357" spans="1:12" ht="14.25" hidden="1" outlineLevel="2">
      <c r="A357" s="68">
        <v>1</v>
      </c>
      <c r="B357" s="10"/>
      <c r="C357" s="10"/>
      <c r="D357" s="10"/>
      <c r="E357" s="10"/>
      <c r="F357" s="83"/>
      <c r="G357" s="10" t="e">
        <f>Incar_OUT</f>
        <v>#NAME?</v>
      </c>
      <c r="H357" s="10"/>
      <c r="I357" s="12" t="e">
        <f>VLOOKUP(C352,Tbl_Button_Display_ASSTS,2,FALSE)</f>
        <v>#N/A</v>
      </c>
      <c r="J357" s="10"/>
      <c r="K357" s="10"/>
      <c r="L357" s="10"/>
    </row>
    <row r="358" spans="1:12" ht="14.25" hidden="1" outlineLevel="2">
      <c r="A358" s="68">
        <v>1</v>
      </c>
      <c r="B358" s="10"/>
      <c r="C358" s="10"/>
      <c r="D358" s="10"/>
      <c r="E358" s="10"/>
      <c r="F358" s="83"/>
      <c r="G358" s="10" t="e">
        <f>Amb_OUT</f>
        <v>#NAME?</v>
      </c>
      <c r="H358" s="10"/>
      <c r="I358" s="12" t="e">
        <f>VLOOKUP(C352,Tbl_Button_Display_ASSTS,3,FALSE)</f>
        <v>#N/A</v>
      </c>
      <c r="J358" s="10"/>
      <c r="K358" s="10"/>
      <c r="L358" s="10"/>
    </row>
    <row r="359" spans="1:12" ht="14.25" hidden="1" outlineLevel="2">
      <c r="A359" s="68">
        <v>1</v>
      </c>
      <c r="B359" s="10"/>
      <c r="C359" s="10"/>
      <c r="D359" s="10"/>
      <c r="E359" s="10"/>
      <c r="F359" s="10"/>
      <c r="G359" s="10" t="e">
        <f>AcDisp</f>
        <v>#NAME?</v>
      </c>
      <c r="H359" s="10"/>
      <c r="I359" s="12" t="e">
        <f>VLOOKUP(C352,Tbl_Button_Display_ASSTS,31,FALSE)</f>
        <v>#N/A</v>
      </c>
      <c r="J359" s="10"/>
      <c r="K359" s="10"/>
      <c r="L359" s="10"/>
    </row>
    <row r="360" spans="1:12" ht="14.25" hidden="1" outlineLevel="2">
      <c r="A360" s="68">
        <v>1</v>
      </c>
      <c r="B360" s="10"/>
      <c r="C360" s="10"/>
      <c r="D360" s="10"/>
      <c r="E360" s="10"/>
      <c r="F360" s="83"/>
      <c r="G360" s="10" t="str">
        <f>HP_ModSta</f>
        <v>DATC_HtrPmpModSta</v>
      </c>
      <c r="H360" s="47" t="e">
        <f>VLOOKUP(C352,Tbl_Button_Display_ASSTS,71,FALSE)</f>
        <v>#N/A</v>
      </c>
      <c r="I360" s="45" t="e">
        <f>(IF(H360="","",VLOOKUP(H360,Tbl_HP_Cycle,2,FALSE)))</f>
        <v>#N/A</v>
      </c>
      <c r="J360" s="10"/>
      <c r="K360" s="10"/>
      <c r="L360" s="10"/>
    </row>
    <row r="361" spans="1:12" ht="14.25" hidden="1" outlineLevel="1">
      <c r="A361" s="68">
        <v>1</v>
      </c>
      <c r="B361" s="10"/>
      <c r="C361" s="10"/>
      <c r="D361" s="10"/>
      <c r="E361" s="10"/>
      <c r="F361" s="10"/>
      <c r="G361" s="10" t="str">
        <f>PeEwpRPMReq</f>
        <v>DATC_PeEwpRPMReq</v>
      </c>
      <c r="H361" s="10"/>
      <c r="I361" s="12" t="e">
        <f>VLOOKUP(C352,Tbl_Button_Display_ASSTS,76,FALSE)</f>
        <v>#N/A</v>
      </c>
      <c r="J361" s="10"/>
      <c r="K361" s="10"/>
      <c r="L361" s="10"/>
    </row>
    <row r="362" spans="1:12" ht="14.25" hidden="1" outlineLevel="2">
      <c r="A362" s="68">
        <v>1</v>
      </c>
      <c r="B362" s="10"/>
      <c r="C362" s="10"/>
      <c r="D362" s="10"/>
      <c r="E362" s="10"/>
      <c r="F362" s="10"/>
      <c r="G362" s="10" t="str">
        <f>BatteryEWPOper</f>
        <v>DATC_BattEwpOpReq</v>
      </c>
      <c r="H362" s="10"/>
      <c r="I362" s="12" t="e">
        <f>VLOOKUP(C352,Tbl_Button_Display_ASSTS,73,FALSE)</f>
        <v>#N/A</v>
      </c>
      <c r="J362" s="10"/>
      <c r="K362" s="10"/>
      <c r="L362" s="10"/>
    </row>
    <row r="363" spans="1:12" ht="14.25" customHeight="1" outlineLevel="2">
      <c r="A363" s="70">
        <v>1</v>
      </c>
      <c r="B363" s="38" t="s">
        <v>142</v>
      </c>
      <c r="C363" s="38" t="s">
        <v>793</v>
      </c>
      <c r="D363" s="38" t="e">
        <f>CONCATENATE(I367," 모드 일 때, ",G368," = ",I368,"rpm, ",G369," = ",I369,"rpm 출력 확인")</f>
        <v>#N/A</v>
      </c>
      <c r="E363" s="38"/>
      <c r="F363" s="38"/>
      <c r="G363" s="38"/>
      <c r="H363" s="38"/>
      <c r="I363" s="38"/>
      <c r="J363" s="38"/>
      <c r="K363" s="38"/>
      <c r="L363" s="38"/>
    </row>
    <row r="364" spans="1:12" ht="14.25" hidden="1" outlineLevel="2">
      <c r="A364" s="68">
        <v>1</v>
      </c>
      <c r="B364" s="10"/>
      <c r="C364" s="10"/>
      <c r="D364" s="10"/>
      <c r="E364" s="99" t="e">
        <f>VLOOKUP(C363,Tbl_Button_Display_ASSTS,11,FALSE)</f>
        <v>#N/A</v>
      </c>
      <c r="F364" s="11" t="e">
        <f>VLOOKUP(C363,Tbl_Button_Display_ASSTS,12,FALSE)</f>
        <v>#N/A</v>
      </c>
      <c r="G364" s="10"/>
      <c r="H364" s="10"/>
      <c r="I364" s="10"/>
      <c r="J364" s="14"/>
      <c r="K364" s="10"/>
      <c r="L364" s="10"/>
    </row>
    <row r="365" spans="1:12" ht="14.25" hidden="1" outlineLevel="2">
      <c r="A365" s="68">
        <v>1</v>
      </c>
      <c r="B365" s="10"/>
      <c r="C365" s="10"/>
      <c r="D365" s="10"/>
      <c r="E365" s="14" t="s">
        <v>5</v>
      </c>
      <c r="F365" s="11" t="e">
        <f>VLOOKUP(C363,Tbl_Button_Display_ASSTS,13,FALSE)</f>
        <v>#N/A</v>
      </c>
      <c r="G365" s="10"/>
      <c r="H365" s="10"/>
      <c r="I365" s="10"/>
      <c r="J365" s="10"/>
      <c r="K365" s="10"/>
      <c r="L365" s="10"/>
    </row>
    <row r="366" spans="1:12" ht="14.25" hidden="1" outlineLevel="2">
      <c r="A366" s="68">
        <v>1</v>
      </c>
      <c r="B366" s="10"/>
      <c r="C366" s="10"/>
      <c r="D366" s="10"/>
      <c r="E366" s="10"/>
      <c r="F366" s="10"/>
      <c r="G366" s="10" t="e">
        <f>AcDisp</f>
        <v>#NAME?</v>
      </c>
      <c r="H366" s="10"/>
      <c r="I366" s="12" t="e">
        <f>VLOOKUP(C363,Tbl_Button_Display_ASSTS,31,FALSE)</f>
        <v>#N/A</v>
      </c>
      <c r="J366" s="10"/>
      <c r="K366" s="10"/>
      <c r="L366" s="10"/>
    </row>
    <row r="367" spans="1:12" ht="14.25" hidden="1" outlineLevel="2">
      <c r="A367" s="68">
        <v>1</v>
      </c>
      <c r="B367" s="10"/>
      <c r="C367" s="10"/>
      <c r="D367" s="10"/>
      <c r="E367" s="10"/>
      <c r="F367" s="83"/>
      <c r="G367" s="10" t="str">
        <f>HP_ModSta</f>
        <v>DATC_HtrPmpModSta</v>
      </c>
      <c r="H367" s="47" t="e">
        <f>VLOOKUP(C363,Tbl_Button_Display_ASSTS,71,FALSE)</f>
        <v>#N/A</v>
      </c>
      <c r="I367" s="45" t="e">
        <f>(IF(H367="","",VLOOKUP(H367,Tbl_HP_Cycle,2,FALSE)))</f>
        <v>#N/A</v>
      </c>
      <c r="J367" s="10"/>
      <c r="K367" s="10"/>
      <c r="L367" s="10"/>
    </row>
    <row r="368" spans="1:12" ht="14.25" hidden="1" outlineLevel="2">
      <c r="A368" s="68">
        <v>1</v>
      </c>
      <c r="B368" s="10"/>
      <c r="C368" s="10"/>
      <c r="D368" s="10"/>
      <c r="E368" s="10"/>
      <c r="F368" s="10"/>
      <c r="G368" s="10" t="str">
        <f>PeEwpRPMReq</f>
        <v>DATC_PeEwpRPMReq</v>
      </c>
      <c r="H368" s="10"/>
      <c r="I368" s="46" t="e">
        <f>VLOOKUP(C363,Tbl_Button_Display_ASSTS,76,FALSE)</f>
        <v>#N/A</v>
      </c>
      <c r="J368" s="10"/>
      <c r="K368" s="10"/>
      <c r="L368" s="10"/>
    </row>
    <row r="369" spans="1:12" ht="14.25" hidden="1" outlineLevel="2">
      <c r="A369" s="68">
        <v>1</v>
      </c>
      <c r="B369" s="10"/>
      <c r="C369" s="10"/>
      <c r="D369" s="10"/>
      <c r="E369" s="10"/>
      <c r="F369" s="10"/>
      <c r="G369" s="10" t="str">
        <f>BatteryEWPOper</f>
        <v>DATC_BattEwpOpReq</v>
      </c>
      <c r="H369" s="10"/>
      <c r="I369" s="46" t="e">
        <f>VLOOKUP(C363,Tbl_Button_Display_ASSTS,73,FALSE)</f>
        <v>#N/A</v>
      </c>
      <c r="J369" s="10"/>
      <c r="K369" s="10"/>
      <c r="L369" s="10"/>
    </row>
    <row r="370" spans="1:12" ht="13.35" customHeight="1">
      <c r="A370" s="70">
        <v>1</v>
      </c>
      <c r="B370" s="38" t="s">
        <v>142</v>
      </c>
      <c r="C370" s="38" t="s">
        <v>794</v>
      </c>
      <c r="D370" s="38" t="e">
        <f>CONCATENATE(E371," = ",F371," 설정 시, ",G373," = ",I373,"rpm, ",G374," = ",I374,"rpm 출력 확인")</f>
        <v>#N/A</v>
      </c>
      <c r="E370" s="38"/>
      <c r="F370" s="38"/>
      <c r="G370" s="38"/>
      <c r="H370" s="38"/>
      <c r="I370" s="38"/>
      <c r="J370" s="38"/>
      <c r="K370" s="38"/>
      <c r="L370" s="38"/>
    </row>
    <row r="371" spans="1:12" ht="14.25" hidden="1" collapsed="1">
      <c r="A371" s="68">
        <v>1</v>
      </c>
      <c r="B371" s="10"/>
      <c r="C371" s="10"/>
      <c r="D371" s="10"/>
      <c r="E371" s="99" t="e">
        <f>VLOOKUP(C370,Tbl_Button_Display_ASSTS,11,FALSE)</f>
        <v>#N/A</v>
      </c>
      <c r="F371" s="11" t="e">
        <f>VLOOKUP(C370,Tbl_Button_Display_ASSTS,12,FALSE)</f>
        <v>#N/A</v>
      </c>
      <c r="G371" s="10"/>
      <c r="H371" s="10"/>
      <c r="I371" s="10"/>
      <c r="J371" s="14"/>
      <c r="K371" s="10"/>
      <c r="L371" s="10"/>
    </row>
    <row r="372" spans="1:12" ht="14.25" hidden="1" outlineLevel="1">
      <c r="A372" s="68">
        <v>1</v>
      </c>
      <c r="B372" s="10"/>
      <c r="C372" s="10"/>
      <c r="D372" s="10"/>
      <c r="E372" s="14" t="s">
        <v>5</v>
      </c>
      <c r="F372" s="11" t="e">
        <f>VLOOKUP(C370,Tbl_Button_Display_ASSTS,13,FALSE)</f>
        <v>#N/A</v>
      </c>
      <c r="G372" s="10"/>
      <c r="H372" s="10"/>
      <c r="I372" s="10"/>
      <c r="J372" s="14"/>
      <c r="K372" s="10"/>
      <c r="L372" s="10"/>
    </row>
    <row r="373" spans="1:12" ht="14.25" hidden="1" outlineLevel="2">
      <c r="A373" s="68">
        <v>1</v>
      </c>
      <c r="B373" s="10"/>
      <c r="C373" s="10"/>
      <c r="D373" s="10"/>
      <c r="E373" s="10"/>
      <c r="F373" s="10"/>
      <c r="G373" s="10" t="str">
        <f>PeEwpRPMReq</f>
        <v>DATC_PeEwpRPMReq</v>
      </c>
      <c r="H373" s="10"/>
      <c r="I373" s="46" t="e">
        <f>VLOOKUP(C370,Tbl_Button_Display_ASSTS,76,FALSE)</f>
        <v>#N/A</v>
      </c>
      <c r="J373" s="10"/>
      <c r="K373" s="10"/>
      <c r="L373" s="10"/>
    </row>
    <row r="374" spans="1:12" ht="14.25" hidden="1" outlineLevel="2">
      <c r="A374" s="68">
        <v>1</v>
      </c>
      <c r="B374" s="10"/>
      <c r="C374" s="10"/>
      <c r="D374" s="10"/>
      <c r="E374" s="10"/>
      <c r="F374" s="10"/>
      <c r="G374" s="10" t="str">
        <f>BatteryEWPOper</f>
        <v>DATC_BattEwpOpReq</v>
      </c>
      <c r="H374" s="10"/>
      <c r="I374" s="46" t="e">
        <f>VLOOKUP(C370,Tbl_Button_Display_ASSTS,73,FALSE)</f>
        <v>#N/A</v>
      </c>
      <c r="J374" s="10"/>
      <c r="K374" s="10"/>
      <c r="L374" s="10"/>
    </row>
    <row r="375" spans="1:12" ht="14.25" customHeight="1" outlineLevel="2">
      <c r="A375" s="70">
        <v>1</v>
      </c>
      <c r="B375" s="38" t="s">
        <v>142</v>
      </c>
      <c r="C375" s="38" t="s">
        <v>795</v>
      </c>
      <c r="D375" s="38" t="e">
        <f>CONCATENATE(E376," = ",F376," 설정 시, ",G378," = ",I378,"rpm, ",G379," = ",I379,"rpm 출력 확인")</f>
        <v>#N/A</v>
      </c>
      <c r="E375" s="38"/>
      <c r="F375" s="38"/>
      <c r="G375" s="38"/>
      <c r="H375" s="38"/>
      <c r="I375" s="38"/>
      <c r="J375" s="38"/>
      <c r="K375" s="38"/>
      <c r="L375" s="38"/>
    </row>
    <row r="376" spans="1:12" ht="14.25" hidden="1" outlineLevel="2">
      <c r="A376" s="68">
        <v>1</v>
      </c>
      <c r="B376" s="10"/>
      <c r="C376" s="10"/>
      <c r="D376" s="10"/>
      <c r="E376" s="99" t="e">
        <f>VLOOKUP(C375,Tbl_Button_Display_ASSTS,11,FALSE)</f>
        <v>#N/A</v>
      </c>
      <c r="F376" s="11" t="e">
        <f>VLOOKUP(C375,Tbl_Button_Display_ASSTS,12,FALSE)</f>
        <v>#N/A</v>
      </c>
      <c r="G376" s="10"/>
      <c r="H376" s="10"/>
      <c r="I376" s="10"/>
      <c r="J376" s="14"/>
      <c r="K376" s="10"/>
      <c r="L376" s="10"/>
    </row>
    <row r="377" spans="1:12" ht="14.25" hidden="1" outlineLevel="2">
      <c r="A377" s="68">
        <v>1</v>
      </c>
      <c r="B377" s="10"/>
      <c r="C377" s="10"/>
      <c r="D377" s="10"/>
      <c r="E377" s="14" t="s">
        <v>5</v>
      </c>
      <c r="F377" s="11" t="e">
        <f>VLOOKUP(C375,Tbl_Button_Display_ASSTS,13,FALSE)</f>
        <v>#N/A</v>
      </c>
      <c r="G377" s="10"/>
      <c r="H377" s="10"/>
      <c r="I377" s="10"/>
      <c r="J377" s="14"/>
      <c r="K377" s="10"/>
      <c r="L377" s="10"/>
    </row>
    <row r="378" spans="1:12" ht="14.25" hidden="1" outlineLevel="2">
      <c r="A378" s="68">
        <v>1</v>
      </c>
      <c r="B378" s="10"/>
      <c r="C378" s="10"/>
      <c r="D378" s="10"/>
      <c r="E378" s="10"/>
      <c r="F378" s="10"/>
      <c r="G378" s="10" t="str">
        <f>PeEwpRPMReq</f>
        <v>DATC_PeEwpRPMReq</v>
      </c>
      <c r="H378" s="10"/>
      <c r="I378" s="46" t="e">
        <f>VLOOKUP(C375,Tbl_Button_Display_ASSTS,76,FALSE)</f>
        <v>#N/A</v>
      </c>
      <c r="J378" s="10"/>
      <c r="K378" s="10"/>
      <c r="L378" s="10"/>
    </row>
    <row r="379" spans="1:12" ht="14.25" hidden="1" outlineLevel="2">
      <c r="A379" s="68">
        <v>1</v>
      </c>
      <c r="B379" s="10"/>
      <c r="C379" s="10"/>
      <c r="D379" s="10"/>
      <c r="E379" s="10"/>
      <c r="F379" s="10"/>
      <c r="G379" s="10" t="str">
        <f>BatteryEWPOper</f>
        <v>DATC_BattEwpOpReq</v>
      </c>
      <c r="H379" s="10"/>
      <c r="I379" s="46" t="e">
        <f>VLOOKUP(C375,Tbl_Button_Display_ASSTS,73,FALSE)</f>
        <v>#N/A</v>
      </c>
      <c r="J379" s="10"/>
      <c r="K379" s="10"/>
      <c r="L379" s="10"/>
    </row>
    <row r="380" spans="1:12" ht="14.25" customHeight="1" outlineLevel="2">
      <c r="A380" s="70">
        <v>1</v>
      </c>
      <c r="B380" s="38" t="s">
        <v>142</v>
      </c>
      <c r="C380" s="38" t="s">
        <v>796</v>
      </c>
      <c r="D380" s="38" t="e">
        <f>CONCATENATE(E381," = ",F381," 설정 시, ",G383," = ",I383,"rpm, ",G384," = ",I384,"rpm 출력 확인")</f>
        <v>#N/A</v>
      </c>
      <c r="E380" s="38"/>
      <c r="F380" s="38"/>
      <c r="G380" s="38"/>
      <c r="H380" s="38"/>
      <c r="I380" s="38"/>
      <c r="J380" s="38"/>
      <c r="K380" s="38"/>
      <c r="L380" s="38"/>
    </row>
    <row r="381" spans="1:12" ht="14.25" hidden="1" outlineLevel="2">
      <c r="A381" s="68">
        <v>1</v>
      </c>
      <c r="B381" s="10"/>
      <c r="C381" s="10"/>
      <c r="D381" s="10"/>
      <c r="E381" s="99" t="e">
        <f>VLOOKUP(C380,Tbl_Button_Display_ASSTS,11,FALSE)</f>
        <v>#N/A</v>
      </c>
      <c r="F381" s="11" t="e">
        <f>VLOOKUP(C380,Tbl_Button_Display_ASSTS,12,FALSE)</f>
        <v>#N/A</v>
      </c>
      <c r="G381" s="10"/>
      <c r="H381" s="10"/>
      <c r="I381" s="10"/>
      <c r="J381" s="14"/>
      <c r="K381" s="10"/>
      <c r="L381" s="10"/>
    </row>
    <row r="382" spans="1:12" ht="14.25" hidden="1" outlineLevel="2">
      <c r="A382" s="68">
        <v>1</v>
      </c>
      <c r="B382" s="10"/>
      <c r="C382" s="10"/>
      <c r="D382" s="10"/>
      <c r="E382" s="14" t="s">
        <v>5</v>
      </c>
      <c r="F382" s="11" t="e">
        <f>VLOOKUP(C380,Tbl_Button_Display_ASSTS,13,FALSE)</f>
        <v>#N/A</v>
      </c>
      <c r="G382" s="10"/>
      <c r="H382" s="10"/>
      <c r="I382" s="10"/>
      <c r="J382" s="14"/>
      <c r="K382" s="10"/>
      <c r="L382" s="10"/>
    </row>
    <row r="383" spans="1:12" ht="14.25" hidden="1" outlineLevel="1">
      <c r="A383" s="68">
        <v>1</v>
      </c>
      <c r="B383" s="10"/>
      <c r="C383" s="10"/>
      <c r="D383" s="10"/>
      <c r="E383" s="10"/>
      <c r="F383" s="10"/>
      <c r="G383" s="10" t="str">
        <f>PeEwpRPMReq</f>
        <v>DATC_PeEwpRPMReq</v>
      </c>
      <c r="H383" s="10"/>
      <c r="I383" s="46" t="e">
        <f>VLOOKUP(C380,Tbl_Button_Display_ASSTS,76,FALSE)</f>
        <v>#N/A</v>
      </c>
      <c r="J383" s="10"/>
      <c r="K383" s="10"/>
      <c r="L383" s="10"/>
    </row>
    <row r="384" spans="1:12" ht="14.25" hidden="1" outlineLevel="2">
      <c r="A384" s="68">
        <v>1</v>
      </c>
      <c r="B384" s="10"/>
      <c r="C384" s="10"/>
      <c r="D384" s="10"/>
      <c r="E384" s="10"/>
      <c r="F384" s="10"/>
      <c r="G384" s="10" t="str">
        <f>BatteryEWPOper</f>
        <v>DATC_BattEwpOpReq</v>
      </c>
      <c r="H384" s="10"/>
      <c r="I384" s="46" t="e">
        <f>VLOOKUP(C380,Tbl_Button_Display_ASSTS,73,FALSE)</f>
        <v>#N/A</v>
      </c>
      <c r="J384" s="10"/>
      <c r="K384" s="10"/>
      <c r="L384" s="10"/>
    </row>
    <row r="385" spans="1:12" ht="14.25" customHeight="1" outlineLevel="2">
      <c r="A385" s="70">
        <v>1</v>
      </c>
      <c r="B385" s="38" t="s">
        <v>142</v>
      </c>
      <c r="C385" s="38" t="s">
        <v>1204</v>
      </c>
      <c r="D385" s="38" t="e">
        <f>CONCATENATE(E386," = ",F386," 설정 시, ",G388," = ",I388,"rpm, ",G389," = ",I389,"rpm 출력 확인")</f>
        <v>#N/A</v>
      </c>
      <c r="E385" s="38"/>
      <c r="F385" s="38"/>
      <c r="G385" s="38"/>
      <c r="H385" s="38"/>
      <c r="I385" s="38"/>
      <c r="J385" s="38"/>
      <c r="K385" s="38"/>
      <c r="L385" s="38"/>
    </row>
    <row r="386" spans="1:12" ht="14.25" hidden="1" outlineLevel="2">
      <c r="A386" s="68">
        <v>1</v>
      </c>
      <c r="B386" s="10"/>
      <c r="C386" s="10"/>
      <c r="D386" s="10"/>
      <c r="E386" s="99" t="e">
        <f>VLOOKUP(C385,Tbl_Button_Display_ASSTS,11,FALSE)</f>
        <v>#N/A</v>
      </c>
      <c r="F386" s="11" t="e">
        <f>VLOOKUP(C385,Tbl_Button_Display_ASSTS,12,FALSE)</f>
        <v>#N/A</v>
      </c>
      <c r="G386" s="10"/>
      <c r="H386" s="10"/>
      <c r="I386" s="10"/>
      <c r="J386" s="14"/>
      <c r="K386" s="10"/>
      <c r="L386" s="10"/>
    </row>
    <row r="387" spans="1:12" ht="14.25" hidden="1" outlineLevel="2">
      <c r="A387" s="68">
        <v>1</v>
      </c>
      <c r="B387" s="10"/>
      <c r="C387" s="10"/>
      <c r="D387" s="10"/>
      <c r="E387" s="14" t="s">
        <v>5</v>
      </c>
      <c r="F387" s="11" t="e">
        <f>VLOOKUP(C385,Tbl_Button_Display_ASSTS,13,FALSE)</f>
        <v>#N/A</v>
      </c>
      <c r="G387" s="10"/>
      <c r="H387" s="10"/>
      <c r="I387" s="10"/>
      <c r="J387" s="14"/>
      <c r="K387" s="10"/>
      <c r="L387" s="10"/>
    </row>
    <row r="388" spans="1:12" ht="14.25" hidden="1" outlineLevel="2">
      <c r="A388" s="68">
        <v>1</v>
      </c>
      <c r="B388" s="10"/>
      <c r="C388" s="10"/>
      <c r="D388" s="10"/>
      <c r="E388" s="10"/>
      <c r="F388" s="10"/>
      <c r="G388" s="10" t="str">
        <f>PeEwpRPMReq</f>
        <v>DATC_PeEwpRPMReq</v>
      </c>
      <c r="H388" s="10"/>
      <c r="I388" s="46" t="e">
        <f>VLOOKUP(C385,Tbl_Button_Display_ASSTS,76,FALSE)</f>
        <v>#N/A</v>
      </c>
      <c r="J388" s="10"/>
      <c r="K388" s="10"/>
      <c r="L388" s="10"/>
    </row>
    <row r="389" spans="1:12" ht="14.25" hidden="1" outlineLevel="1">
      <c r="A389" s="68">
        <v>1</v>
      </c>
      <c r="B389" s="10"/>
      <c r="C389" s="10"/>
      <c r="D389" s="10"/>
      <c r="E389" s="10"/>
      <c r="F389" s="10"/>
      <c r="G389" s="10" t="str">
        <f>BatteryEWPOper</f>
        <v>DATC_BattEwpOpReq</v>
      </c>
      <c r="H389" s="10"/>
      <c r="I389" s="46" t="e">
        <f>VLOOKUP(C385,Tbl_Button_Display_ASSTS,73,FALSE)</f>
        <v>#N/A</v>
      </c>
      <c r="J389" s="10"/>
      <c r="K389" s="10"/>
      <c r="L389" s="10"/>
    </row>
    <row r="390" spans="1:12" ht="14.25" customHeight="1" outlineLevel="2">
      <c r="A390" s="70">
        <v>1</v>
      </c>
      <c r="B390" s="38" t="s">
        <v>142</v>
      </c>
      <c r="C390" s="38" t="s">
        <v>1205</v>
      </c>
      <c r="D390" s="38" t="e">
        <f>CONCATENATE(E391," ",F391,"회 선택 시, ",G393," = ",I393,", ",G394," = ",I394," 확인")</f>
        <v>#N/A</v>
      </c>
      <c r="E390" s="38"/>
      <c r="F390" s="38"/>
      <c r="G390" s="38"/>
      <c r="H390" s="38"/>
      <c r="I390" s="38"/>
      <c r="J390" s="38"/>
      <c r="K390" s="38"/>
      <c r="L390" s="38"/>
    </row>
    <row r="391" spans="1:12" ht="14.25" hidden="1" outlineLevel="2">
      <c r="A391" s="68">
        <v>1</v>
      </c>
      <c r="B391" s="10"/>
      <c r="C391" s="10"/>
      <c r="D391" s="10"/>
      <c r="E391" s="99" t="e">
        <f>VLOOKUP(C390,Tbl_Button_Display_ASSTS,11,FALSE)</f>
        <v>#N/A</v>
      </c>
      <c r="F391" s="11" t="e">
        <f>VLOOKUP(C390,Tbl_Button_Display_ASSTS,12,FALSE)</f>
        <v>#N/A</v>
      </c>
      <c r="G391" s="10"/>
      <c r="H391" s="10"/>
      <c r="I391" s="10"/>
      <c r="J391" s="14"/>
      <c r="K391" s="10"/>
      <c r="L391" s="10"/>
    </row>
    <row r="392" spans="1:12" ht="14.25" hidden="1" outlineLevel="2">
      <c r="A392" s="68">
        <v>1</v>
      </c>
      <c r="B392" s="10"/>
      <c r="C392" s="10"/>
      <c r="D392" s="10"/>
      <c r="E392" s="14" t="s">
        <v>5</v>
      </c>
      <c r="F392" s="11" t="e">
        <f>VLOOKUP(C390,Tbl_Button_Display_ASSTS,13,FALSE)</f>
        <v>#N/A</v>
      </c>
      <c r="G392" s="10"/>
      <c r="H392" s="10"/>
      <c r="I392" s="10"/>
      <c r="J392" s="10"/>
      <c r="K392" s="10"/>
      <c r="L392" s="10"/>
    </row>
    <row r="393" spans="1:12" ht="14.25" hidden="1" outlineLevel="2">
      <c r="A393" s="68">
        <v>1</v>
      </c>
      <c r="B393" s="10"/>
      <c r="C393" s="10"/>
      <c r="D393" s="10"/>
      <c r="E393" s="10"/>
      <c r="F393" s="10"/>
      <c r="G393" s="10" t="str">
        <f>PeEwpRPMReq</f>
        <v>DATC_PeEwpRPMReq</v>
      </c>
      <c r="H393" s="10"/>
      <c r="I393" s="46" t="e">
        <f>VLOOKUP(C390,Tbl_Button_Display_ASSTS,76,FALSE)</f>
        <v>#N/A</v>
      </c>
      <c r="J393" s="10"/>
      <c r="K393" s="10"/>
      <c r="L393" s="10"/>
    </row>
    <row r="394" spans="1:12" ht="14.25" hidden="1" outlineLevel="2">
      <c r="A394" s="68">
        <v>1</v>
      </c>
      <c r="B394" s="10"/>
      <c r="C394" s="10"/>
      <c r="D394" s="10"/>
      <c r="E394" s="10"/>
      <c r="F394" s="10"/>
      <c r="G394" s="10" t="str">
        <f>BatteryEWPOper</f>
        <v>DATC_BattEwpOpReq</v>
      </c>
      <c r="H394" s="10"/>
      <c r="I394" s="46" t="e">
        <f>VLOOKUP(C390,Tbl_Button_Display_ASSTS,73,FALSE)</f>
        <v>#N/A</v>
      </c>
      <c r="J394" s="10"/>
      <c r="K394" s="10"/>
      <c r="L394" s="10"/>
    </row>
    <row r="395" spans="1:12" ht="13.35" customHeight="1" outlineLevel="1">
      <c r="A395" s="70">
        <v>1</v>
      </c>
      <c r="B395" s="38" t="s">
        <v>142</v>
      </c>
      <c r="C395" s="38" t="s">
        <v>1206</v>
      </c>
      <c r="D395" s="38" t="e">
        <f>CONCATENATE(E396," = ",F396," 설정 시, ",G398," = ",I398,"rpm, ",G399," = ",I399,"rpm 출력 확인")</f>
        <v>#N/A</v>
      </c>
      <c r="E395" s="38"/>
      <c r="F395" s="38"/>
      <c r="G395" s="38"/>
      <c r="H395" s="38"/>
      <c r="I395" s="38"/>
      <c r="J395" s="38"/>
      <c r="K395" s="38"/>
      <c r="L395" s="38"/>
    </row>
    <row r="396" spans="1:12" ht="14.25" hidden="1" outlineLevel="2">
      <c r="A396" s="68">
        <v>1</v>
      </c>
      <c r="B396" s="10"/>
      <c r="C396" s="10"/>
      <c r="D396" s="10"/>
      <c r="E396" s="99" t="e">
        <f>VLOOKUP(C395,Tbl_Button_Display_ASSTS,11,FALSE)</f>
        <v>#N/A</v>
      </c>
      <c r="F396" s="11" t="e">
        <f>VLOOKUP(C395,Tbl_Button_Display_ASSTS,12,FALSE)</f>
        <v>#N/A</v>
      </c>
      <c r="G396" s="10"/>
      <c r="H396" s="10"/>
      <c r="I396" s="10"/>
      <c r="J396" s="14"/>
      <c r="K396" s="10"/>
      <c r="L396" s="10"/>
    </row>
    <row r="397" spans="1:12" ht="14.25" hidden="1" outlineLevel="2">
      <c r="A397" s="68">
        <v>1</v>
      </c>
      <c r="B397" s="10"/>
      <c r="C397" s="10"/>
      <c r="D397" s="10"/>
      <c r="E397" s="14" t="s">
        <v>5</v>
      </c>
      <c r="F397" s="11" t="e">
        <f>VLOOKUP(C395,Tbl_Button_Display_ASSTS,13,FALSE)</f>
        <v>#N/A</v>
      </c>
      <c r="G397" s="10"/>
      <c r="H397" s="10"/>
      <c r="I397" s="10"/>
      <c r="J397" s="14"/>
      <c r="K397" s="10"/>
      <c r="L397" s="10"/>
    </row>
    <row r="398" spans="1:12" ht="14.25" hidden="1" outlineLevel="2">
      <c r="A398" s="68">
        <v>1</v>
      </c>
      <c r="B398" s="10"/>
      <c r="C398" s="10"/>
      <c r="D398" s="10"/>
      <c r="E398" s="10"/>
      <c r="F398" s="10"/>
      <c r="G398" s="10" t="str">
        <f>PeEwpRPMReq</f>
        <v>DATC_PeEwpRPMReq</v>
      </c>
      <c r="H398" s="10"/>
      <c r="I398" s="46" t="e">
        <f>VLOOKUP(C395,Tbl_Button_Display_ASSTS,76,FALSE)</f>
        <v>#N/A</v>
      </c>
      <c r="J398" s="10"/>
      <c r="K398" s="10"/>
      <c r="L398" s="10"/>
    </row>
    <row r="399" spans="1:12" ht="14.25" hidden="1" outlineLevel="2">
      <c r="A399" s="68">
        <v>1</v>
      </c>
      <c r="B399" s="10"/>
      <c r="C399" s="10"/>
      <c r="D399" s="10"/>
      <c r="E399" s="10"/>
      <c r="F399" s="10"/>
      <c r="G399" s="10" t="str">
        <f>BatteryEWPOper</f>
        <v>DATC_BattEwpOpReq</v>
      </c>
      <c r="H399" s="10"/>
      <c r="I399" s="46" t="e">
        <f>VLOOKUP(C395,Tbl_Button_Display_ASSTS,73,FALSE)</f>
        <v>#N/A</v>
      </c>
      <c r="J399" s="10"/>
      <c r="K399" s="10"/>
      <c r="L399" s="10"/>
    </row>
    <row r="400" spans="1:12" ht="14.25" customHeight="1" outlineLevel="2">
      <c r="A400" s="70">
        <v>1</v>
      </c>
      <c r="B400" s="38" t="s">
        <v>142</v>
      </c>
      <c r="C400" s="38" t="s">
        <v>1207</v>
      </c>
      <c r="D400" s="38" t="e">
        <f>CONCATENATE(E401," = ",F401," 설정 시, ",G403," = ",I403,"rpm, ",G404," = ",I404,"rpm 출력 확인")</f>
        <v>#N/A</v>
      </c>
      <c r="E400" s="38"/>
      <c r="F400" s="38"/>
      <c r="G400" s="38"/>
      <c r="H400" s="38"/>
      <c r="I400" s="38"/>
      <c r="J400" s="38"/>
      <c r="K400" s="38"/>
      <c r="L400" s="38"/>
    </row>
    <row r="401" spans="1:12" ht="14.25" hidden="1" outlineLevel="1">
      <c r="A401" s="68">
        <v>1</v>
      </c>
      <c r="B401" s="10"/>
      <c r="C401" s="10"/>
      <c r="D401" s="10"/>
      <c r="E401" s="99" t="e">
        <f>VLOOKUP(C400,Tbl_Button_Display_ASSTS,11,FALSE)</f>
        <v>#N/A</v>
      </c>
      <c r="F401" s="11" t="e">
        <f>VLOOKUP(C400,Tbl_Button_Display_ASSTS,12,FALSE)</f>
        <v>#N/A</v>
      </c>
      <c r="G401" s="10"/>
      <c r="H401" s="10"/>
      <c r="I401" s="10"/>
      <c r="J401" s="14"/>
      <c r="K401" s="10"/>
      <c r="L401" s="10"/>
    </row>
    <row r="402" spans="1:12" ht="14.25" hidden="1" outlineLevel="2">
      <c r="A402" s="68">
        <v>1</v>
      </c>
      <c r="B402" s="10"/>
      <c r="C402" s="10"/>
      <c r="D402" s="10"/>
      <c r="E402" s="14" t="s">
        <v>5</v>
      </c>
      <c r="F402" s="11" t="e">
        <f>VLOOKUP(C400,Tbl_Button_Display_ASSTS,13,FALSE)</f>
        <v>#N/A</v>
      </c>
      <c r="G402" s="10"/>
      <c r="H402" s="10"/>
      <c r="I402" s="10"/>
      <c r="J402" s="14"/>
      <c r="K402" s="10"/>
      <c r="L402" s="10"/>
    </row>
    <row r="403" spans="1:12" ht="14.25" hidden="1" outlineLevel="2">
      <c r="A403" s="68">
        <v>1</v>
      </c>
      <c r="B403" s="10"/>
      <c r="C403" s="10"/>
      <c r="D403" s="10"/>
      <c r="E403" s="10"/>
      <c r="F403" s="10"/>
      <c r="G403" s="10" t="str">
        <f>PeEwpRPMReq</f>
        <v>DATC_PeEwpRPMReq</v>
      </c>
      <c r="H403" s="10"/>
      <c r="I403" s="46" t="e">
        <f>VLOOKUP(C400,Tbl_Button_Display_ASSTS,76,FALSE)</f>
        <v>#N/A</v>
      </c>
      <c r="J403" s="10"/>
      <c r="K403" s="10"/>
      <c r="L403" s="10"/>
    </row>
    <row r="404" spans="1:12" ht="14.25" hidden="1" outlineLevel="2">
      <c r="A404" s="68">
        <v>1</v>
      </c>
      <c r="B404" s="10"/>
      <c r="C404" s="10"/>
      <c r="D404" s="10"/>
      <c r="E404" s="10"/>
      <c r="F404" s="10"/>
      <c r="G404" s="10" t="str">
        <f>BatteryEWPOper</f>
        <v>DATC_BattEwpOpReq</v>
      </c>
      <c r="H404" s="10"/>
      <c r="I404" s="46" t="e">
        <f>VLOOKUP(C400,Tbl_Button_Display_ASSTS,73,FALSE)</f>
        <v>#N/A</v>
      </c>
      <c r="J404" s="10"/>
      <c r="K404" s="10"/>
      <c r="L404" s="10"/>
    </row>
    <row r="405" spans="1:12" ht="14.25" customHeight="1" outlineLevel="2">
      <c r="A405" s="70">
        <v>1</v>
      </c>
      <c r="B405" s="38" t="s">
        <v>142</v>
      </c>
      <c r="C405" s="38" t="s">
        <v>1208</v>
      </c>
      <c r="D405" s="38" t="e">
        <f>CONCATENATE(E406," = ",F406," 설정 시, ",G408," = ",I408,"rpm, ",G409," = ",I409,"rpm 출력 확인")</f>
        <v>#N/A</v>
      </c>
      <c r="E405" s="38"/>
      <c r="F405" s="38"/>
      <c r="G405" s="38"/>
      <c r="H405" s="38"/>
      <c r="I405" s="38"/>
      <c r="J405" s="38"/>
      <c r="K405" s="38"/>
      <c r="L405" s="38"/>
    </row>
    <row r="406" spans="1:12" ht="14.25" hidden="1" outlineLevel="2">
      <c r="A406" s="68">
        <v>1</v>
      </c>
      <c r="B406" s="10"/>
      <c r="C406" s="10"/>
      <c r="D406" s="10"/>
      <c r="E406" s="99" t="e">
        <f>VLOOKUP(C405,Tbl_Button_Display_ASSTS,11,FALSE)</f>
        <v>#N/A</v>
      </c>
      <c r="F406" s="11" t="e">
        <f>VLOOKUP(C405,Tbl_Button_Display_ASSTS,12,FALSE)</f>
        <v>#N/A</v>
      </c>
      <c r="G406" s="10"/>
      <c r="H406" s="10"/>
      <c r="I406" s="10"/>
      <c r="J406" s="14"/>
      <c r="K406" s="10"/>
      <c r="L406" s="10"/>
    </row>
    <row r="407" spans="1:12" ht="14.25" hidden="1">
      <c r="A407" s="68">
        <v>1</v>
      </c>
      <c r="B407" s="10"/>
      <c r="C407" s="10"/>
      <c r="D407" s="10"/>
      <c r="E407" s="14" t="s">
        <v>5</v>
      </c>
      <c r="F407" s="11" t="e">
        <f>VLOOKUP(C405,Tbl_Button_Display_ASSTS,13,FALSE)</f>
        <v>#N/A</v>
      </c>
      <c r="G407" s="10"/>
      <c r="H407" s="10"/>
      <c r="I407" s="10"/>
      <c r="J407" s="14"/>
      <c r="K407" s="10"/>
      <c r="L407" s="10"/>
    </row>
    <row r="408" spans="1:12" ht="14.25" hidden="1" collapsed="1">
      <c r="A408" s="68">
        <v>1</v>
      </c>
      <c r="B408" s="10"/>
      <c r="C408" s="10"/>
      <c r="D408" s="10"/>
      <c r="E408" s="10"/>
      <c r="F408" s="10"/>
      <c r="G408" s="10" t="str">
        <f>PeEwpRPMReq</f>
        <v>DATC_PeEwpRPMReq</v>
      </c>
      <c r="H408" s="10"/>
      <c r="I408" s="46" t="e">
        <f>VLOOKUP(C405,Tbl_Button_Display_ASSTS,76,FALSE)</f>
        <v>#N/A</v>
      </c>
      <c r="J408" s="10"/>
      <c r="K408" s="10"/>
      <c r="L408" s="10"/>
    </row>
    <row r="409" spans="1:12" ht="14.25" hidden="1" outlineLevel="1">
      <c r="A409" s="68">
        <v>1</v>
      </c>
      <c r="B409" s="10"/>
      <c r="C409" s="10"/>
      <c r="D409" s="10"/>
      <c r="E409" s="10"/>
      <c r="F409" s="10"/>
      <c r="G409" s="10" t="str">
        <f>BatteryEWPOper</f>
        <v>DATC_BattEwpOpReq</v>
      </c>
      <c r="H409" s="10"/>
      <c r="I409" s="46" t="e">
        <f>VLOOKUP(C405,Tbl_Button_Display_ASSTS,73,FALSE)</f>
        <v>#N/A</v>
      </c>
      <c r="J409" s="10"/>
      <c r="K409" s="10"/>
      <c r="L409" s="10"/>
    </row>
    <row r="410" spans="1:12" ht="14.25" customHeight="1" outlineLevel="2">
      <c r="A410" s="70">
        <v>1</v>
      </c>
      <c r="B410" s="38" t="s">
        <v>142</v>
      </c>
      <c r="C410" s="38" t="s">
        <v>1209</v>
      </c>
      <c r="D410" s="38" t="e">
        <f>CONCATENATE(E411," = ",F411," Hysterisis 설정")</f>
        <v>#N/A</v>
      </c>
      <c r="E410" s="38"/>
      <c r="F410" s="38"/>
      <c r="G410" s="38"/>
      <c r="H410" s="38"/>
      <c r="I410" s="38"/>
      <c r="J410" s="38"/>
      <c r="K410" s="38"/>
      <c r="L410" s="38"/>
    </row>
    <row r="411" spans="1:12" ht="14.25" hidden="1" outlineLevel="2">
      <c r="A411" s="68">
        <v>1</v>
      </c>
      <c r="B411" s="10"/>
      <c r="C411" s="10"/>
      <c r="D411" s="10"/>
      <c r="E411" s="99" t="e">
        <f>VLOOKUP(C410,Tbl_Button_Display_ASSTS,11,FALSE)</f>
        <v>#N/A</v>
      </c>
      <c r="F411" s="11" t="e">
        <f>VLOOKUP(C410,Tbl_Button_Display_ASSTS,12,FALSE)</f>
        <v>#N/A</v>
      </c>
      <c r="G411" s="10"/>
      <c r="H411" s="10"/>
      <c r="I411" s="10"/>
      <c r="J411" s="14"/>
      <c r="K411" s="10"/>
      <c r="L411" s="10"/>
    </row>
    <row r="412" spans="1:12" ht="14.25" hidden="1" outlineLevel="2">
      <c r="A412" s="68">
        <v>1</v>
      </c>
      <c r="B412" s="10"/>
      <c r="C412" s="10"/>
      <c r="D412" s="10"/>
      <c r="E412" s="14" t="s">
        <v>5</v>
      </c>
      <c r="F412" s="11" t="e">
        <f>VLOOKUP(C410,Tbl_Button_Display_ASSTS,13,FALSE)</f>
        <v>#N/A</v>
      </c>
      <c r="G412" s="10"/>
      <c r="H412" s="10"/>
      <c r="I412" s="10"/>
      <c r="J412" s="14"/>
      <c r="K412" s="10"/>
      <c r="L412" s="10"/>
    </row>
    <row r="413" spans="1:12" ht="14.25" hidden="1" outlineLevel="2">
      <c r="A413" s="68">
        <v>1</v>
      </c>
      <c r="B413" s="10"/>
      <c r="C413" s="10"/>
      <c r="D413" s="10"/>
      <c r="E413" s="10"/>
      <c r="F413" s="10"/>
      <c r="G413" s="10" t="str">
        <f>PeEwpRPMReq</f>
        <v>DATC_PeEwpRPMReq</v>
      </c>
      <c r="H413" s="10"/>
      <c r="I413" s="46" t="e">
        <f>VLOOKUP(C410,Tbl_Button_Display_ASSTS,76,FALSE)</f>
        <v>#N/A</v>
      </c>
      <c r="J413" s="10"/>
      <c r="K413" s="10"/>
      <c r="L413" s="10"/>
    </row>
    <row r="414" spans="1:12" ht="14.25" hidden="1" outlineLevel="2">
      <c r="A414" s="68">
        <v>1</v>
      </c>
      <c r="B414" s="10"/>
      <c r="C414" s="10"/>
      <c r="D414" s="10"/>
      <c r="E414" s="10"/>
      <c r="F414" s="10"/>
      <c r="G414" s="10" t="str">
        <f>BatteryEWPOper</f>
        <v>DATC_BattEwpOpReq</v>
      </c>
      <c r="H414" s="10"/>
      <c r="I414" s="46" t="e">
        <f>VLOOKUP(C410,Tbl_Button_Display_ASSTS,73,FALSE)</f>
        <v>#N/A</v>
      </c>
      <c r="J414" s="10"/>
      <c r="K414" s="10"/>
      <c r="L414" s="10"/>
    </row>
    <row r="415" spans="1:12" ht="14.25" customHeight="1" outlineLevel="2">
      <c r="A415" s="70">
        <v>1</v>
      </c>
      <c r="B415" s="38" t="s">
        <v>142</v>
      </c>
      <c r="C415" s="38" t="s">
        <v>1210</v>
      </c>
      <c r="D415" s="38" t="e">
        <f>CONCATENATE(E416," ",F416,"시, ",G418," = ",I418,", ",G419," = ",I419," 유지 확인")</f>
        <v>#N/A</v>
      </c>
      <c r="E415" s="38"/>
      <c r="F415" s="38"/>
      <c r="G415" s="38"/>
      <c r="H415" s="38"/>
      <c r="I415" s="38"/>
      <c r="J415" s="38"/>
      <c r="K415" s="38"/>
      <c r="L415" s="38"/>
    </row>
    <row r="416" spans="1:12" ht="14.25" hidden="1" outlineLevel="2">
      <c r="A416" s="68">
        <v>1</v>
      </c>
      <c r="B416" s="10"/>
      <c r="C416" s="10"/>
      <c r="D416" s="10"/>
      <c r="E416" s="99" t="e">
        <f>VLOOKUP(C415,Tbl_Button_Display_ASSTS,11,FALSE)</f>
        <v>#N/A</v>
      </c>
      <c r="F416" s="11" t="e">
        <f>VLOOKUP(C415,Tbl_Button_Display_ASSTS,12,FALSE)</f>
        <v>#N/A</v>
      </c>
      <c r="G416" s="10"/>
      <c r="H416" s="10"/>
      <c r="I416" s="10"/>
      <c r="J416" s="14"/>
      <c r="K416" s="10"/>
      <c r="L416" s="10"/>
    </row>
    <row r="417" spans="1:12" ht="14.25" hidden="1" outlineLevel="2">
      <c r="A417" s="68">
        <v>1</v>
      </c>
      <c r="B417" s="10"/>
      <c r="C417" s="10"/>
      <c r="D417" s="10"/>
      <c r="E417" s="14" t="s">
        <v>5</v>
      </c>
      <c r="F417" s="11" t="e">
        <f>VLOOKUP(C415,Tbl_Button_Display_ASSTS,13,FALSE)</f>
        <v>#N/A</v>
      </c>
      <c r="G417" s="10"/>
      <c r="H417" s="10"/>
      <c r="I417" s="10"/>
      <c r="J417" s="10"/>
      <c r="K417" s="10"/>
      <c r="L417" s="10"/>
    </row>
    <row r="418" spans="1:12" ht="14.25" hidden="1" outlineLevel="2">
      <c r="A418" s="68">
        <v>1</v>
      </c>
      <c r="B418" s="10"/>
      <c r="C418" s="10"/>
      <c r="D418" s="10"/>
      <c r="E418" s="10"/>
      <c r="F418" s="10"/>
      <c r="G418" s="10" t="str">
        <f>PeEwpRPMReq</f>
        <v>DATC_PeEwpRPMReq</v>
      </c>
      <c r="H418" s="10"/>
      <c r="I418" s="46" t="e">
        <f>VLOOKUP(C415,Tbl_Button_Display_ASSTS,76,FALSE)</f>
        <v>#N/A</v>
      </c>
      <c r="J418" s="10"/>
      <c r="K418" s="10"/>
      <c r="L418" s="10"/>
    </row>
    <row r="419" spans="1:12" ht="14.25" hidden="1" outlineLevel="2">
      <c r="A419" s="68">
        <v>1</v>
      </c>
      <c r="B419" s="10"/>
      <c r="C419" s="10"/>
      <c r="D419" s="10"/>
      <c r="E419" s="10"/>
      <c r="F419" s="10"/>
      <c r="G419" s="10" t="str">
        <f>BatteryEWPOper</f>
        <v>DATC_BattEwpOpReq</v>
      </c>
      <c r="H419" s="10"/>
      <c r="I419" s="46" t="e">
        <f>VLOOKUP(C415,Tbl_Button_Display_ASSTS,73,FALSE)</f>
        <v>#N/A</v>
      </c>
      <c r="J419" s="10"/>
      <c r="K419" s="10"/>
      <c r="L419" s="10"/>
    </row>
    <row r="420" spans="1:12" ht="13.35" customHeight="1" outlineLevel="2">
      <c r="A420" s="70">
        <v>1</v>
      </c>
      <c r="B420" s="38" t="s">
        <v>142</v>
      </c>
      <c r="C420" s="38" t="s">
        <v>1211</v>
      </c>
      <c r="D420" s="38" t="e">
        <f>CONCATENATE(E421," ",F421,"시, ",G423," = ",I423,", ",G424," = ",I424," 출력 확인")</f>
        <v>#N/A</v>
      </c>
      <c r="E420" s="38"/>
      <c r="F420" s="38"/>
      <c r="G420" s="38"/>
      <c r="H420" s="38"/>
      <c r="I420" s="38"/>
      <c r="J420" s="38"/>
      <c r="K420" s="38"/>
      <c r="L420" s="38"/>
    </row>
    <row r="421" spans="1:12" ht="14.25" hidden="1" outlineLevel="2">
      <c r="A421" s="68">
        <v>1</v>
      </c>
      <c r="B421" s="10"/>
      <c r="C421" s="10"/>
      <c r="D421" s="10"/>
      <c r="E421" s="99" t="e">
        <f>VLOOKUP(C420,Tbl_Button_Display_ASSTS,11,FALSE)</f>
        <v>#N/A</v>
      </c>
      <c r="F421" s="11" t="e">
        <f>VLOOKUP(C420,Tbl_Button_Display_ASSTS,12,FALSE)</f>
        <v>#N/A</v>
      </c>
      <c r="G421" s="10"/>
      <c r="H421" s="10"/>
      <c r="I421" s="10"/>
      <c r="J421" s="14"/>
      <c r="K421" s="10"/>
      <c r="L421" s="10"/>
    </row>
    <row r="422" spans="1:12" ht="14.25" hidden="1" outlineLevel="2">
      <c r="A422" s="68">
        <v>1</v>
      </c>
      <c r="B422" s="10"/>
      <c r="C422" s="10"/>
      <c r="D422" s="10"/>
      <c r="E422" s="14" t="s">
        <v>5</v>
      </c>
      <c r="F422" s="11" t="e">
        <f>VLOOKUP(C420,Tbl_Button_Display_ASSTS,13,FALSE)</f>
        <v>#N/A</v>
      </c>
      <c r="G422" s="10"/>
      <c r="H422" s="10"/>
      <c r="I422" s="10"/>
      <c r="J422" s="14"/>
      <c r="K422" s="10"/>
      <c r="L422" s="10"/>
    </row>
    <row r="423" spans="1:12" ht="14.25" hidden="1" outlineLevel="2">
      <c r="A423" s="68">
        <v>1</v>
      </c>
      <c r="B423" s="10"/>
      <c r="C423" s="10"/>
      <c r="D423" s="10"/>
      <c r="E423" s="10"/>
      <c r="F423" s="10"/>
      <c r="G423" s="10" t="str">
        <f>PeEwpRPMReq</f>
        <v>DATC_PeEwpRPMReq</v>
      </c>
      <c r="H423" s="10"/>
      <c r="I423" s="46" t="e">
        <f>VLOOKUP(C420,Tbl_Button_Display_ASSTS,76,FALSE)</f>
        <v>#N/A</v>
      </c>
      <c r="J423" s="10"/>
      <c r="K423" s="10"/>
      <c r="L423" s="10"/>
    </row>
    <row r="424" spans="1:12" ht="14.25" hidden="1" outlineLevel="1">
      <c r="A424" s="68">
        <v>1</v>
      </c>
      <c r="B424" s="10"/>
      <c r="C424" s="10"/>
      <c r="D424" s="10"/>
      <c r="E424" s="10"/>
      <c r="F424" s="10"/>
      <c r="G424" s="10" t="str">
        <f>BatteryEWPOper</f>
        <v>DATC_BattEwpOpReq</v>
      </c>
      <c r="H424" s="10"/>
      <c r="I424" s="46" t="e">
        <f>VLOOKUP(C420,Tbl_Button_Display_ASSTS,73,FALSE)</f>
        <v>#N/A</v>
      </c>
      <c r="J424" s="10"/>
      <c r="K424" s="10"/>
      <c r="L424" s="10"/>
    </row>
    <row r="425" spans="1:12" ht="14.25" customHeight="1" outlineLevel="2">
      <c r="A425" s="70">
        <v>1</v>
      </c>
      <c r="B425" s="38" t="s">
        <v>142</v>
      </c>
      <c r="C425" s="38" t="s">
        <v>1212</v>
      </c>
      <c r="D425" s="38" t="e">
        <f>CONCATENATE(E426," = ",F426," Hysterisis 설정")</f>
        <v>#N/A</v>
      </c>
      <c r="E425" s="38"/>
      <c r="F425" s="38"/>
      <c r="G425" s="38"/>
      <c r="H425" s="38"/>
      <c r="I425" s="38"/>
      <c r="J425" s="38"/>
      <c r="K425" s="38"/>
      <c r="L425" s="38"/>
    </row>
    <row r="426" spans="1:12" ht="14.25" hidden="1" outlineLevel="2">
      <c r="A426" s="68">
        <v>1</v>
      </c>
      <c r="B426" s="10"/>
      <c r="C426" s="10"/>
      <c r="D426" s="10"/>
      <c r="E426" s="99" t="e">
        <f>VLOOKUP(C425,Tbl_Button_Display_ASSTS,11,FALSE)</f>
        <v>#N/A</v>
      </c>
      <c r="F426" s="11" t="e">
        <f>VLOOKUP(C425,Tbl_Button_Display_ASSTS,12,FALSE)</f>
        <v>#N/A</v>
      </c>
      <c r="G426" s="10"/>
      <c r="H426" s="10"/>
      <c r="I426" s="10"/>
      <c r="J426" s="14"/>
      <c r="K426" s="10"/>
      <c r="L426" s="10"/>
    </row>
    <row r="427" spans="1:12" ht="14.25" hidden="1" outlineLevel="2">
      <c r="A427" s="68">
        <v>1</v>
      </c>
      <c r="B427" s="10"/>
      <c r="C427" s="10"/>
      <c r="D427" s="10"/>
      <c r="E427" s="14" t="s">
        <v>5</v>
      </c>
      <c r="F427" s="11" t="e">
        <f>VLOOKUP(C425,Tbl_Button_Display_ASSTS,13,FALSE)</f>
        <v>#N/A</v>
      </c>
      <c r="G427" s="10"/>
      <c r="H427" s="10"/>
      <c r="I427" s="10"/>
      <c r="J427" s="14"/>
      <c r="K427" s="10"/>
      <c r="L427" s="10"/>
    </row>
    <row r="428" spans="1:12" ht="14.25" hidden="1" outlineLevel="2">
      <c r="A428" s="68">
        <v>1</v>
      </c>
      <c r="B428" s="10"/>
      <c r="C428" s="10"/>
      <c r="D428" s="10"/>
      <c r="E428" s="10"/>
      <c r="F428" s="10"/>
      <c r="G428" s="10" t="str">
        <f>PeEwpRPMReq</f>
        <v>DATC_PeEwpRPMReq</v>
      </c>
      <c r="H428" s="10"/>
      <c r="I428" s="46" t="e">
        <f>VLOOKUP(C425,Tbl_Button_Display_ASSTS,76,FALSE)</f>
        <v>#N/A</v>
      </c>
      <c r="J428" s="10"/>
      <c r="K428" s="10"/>
      <c r="L428" s="10"/>
    </row>
    <row r="429" spans="1:12" ht="14.25" hidden="1" outlineLevel="2">
      <c r="A429" s="68">
        <v>1</v>
      </c>
      <c r="B429" s="10"/>
      <c r="C429" s="10"/>
      <c r="D429" s="10"/>
      <c r="E429" s="10"/>
      <c r="F429" s="10"/>
      <c r="G429" s="10" t="str">
        <f>BatteryEWPOper</f>
        <v>DATC_BattEwpOpReq</v>
      </c>
      <c r="H429" s="10"/>
      <c r="I429" s="46" t="e">
        <f>VLOOKUP(C425,Tbl_Button_Display_ASSTS,73,FALSE)</f>
        <v>#N/A</v>
      </c>
      <c r="J429" s="10"/>
      <c r="K429" s="10"/>
      <c r="L429" s="10"/>
    </row>
    <row r="430" spans="1:12" ht="14.25" customHeight="1" outlineLevel="1">
      <c r="A430" s="70">
        <v>1</v>
      </c>
      <c r="B430" s="38" t="s">
        <v>142</v>
      </c>
      <c r="C430" s="38" t="s">
        <v>1213</v>
      </c>
      <c r="D430" s="38" t="e">
        <f>CONCATENATE(E431," ",F431,"시, ",G433," = ",I433,", ",G434," = ",I434," 유지 확인")</f>
        <v>#N/A</v>
      </c>
      <c r="E430" s="38"/>
      <c r="F430" s="38"/>
      <c r="G430" s="38"/>
      <c r="H430" s="38"/>
      <c r="I430" s="38"/>
      <c r="J430" s="38"/>
      <c r="K430" s="38"/>
      <c r="L430" s="38"/>
    </row>
    <row r="431" spans="1:12" ht="14.25" hidden="1" outlineLevel="2">
      <c r="A431" s="68">
        <v>1</v>
      </c>
      <c r="B431" s="10"/>
      <c r="C431" s="10"/>
      <c r="D431" s="10"/>
      <c r="E431" s="99" t="e">
        <f>VLOOKUP(C430,Tbl_Button_Display_ASSTS,11,FALSE)</f>
        <v>#N/A</v>
      </c>
      <c r="F431" s="11" t="e">
        <f>VLOOKUP(C430,Tbl_Button_Display_ASSTS,12,FALSE)</f>
        <v>#N/A</v>
      </c>
      <c r="G431" s="10"/>
      <c r="H431" s="10"/>
      <c r="I431" s="10"/>
      <c r="J431" s="14"/>
      <c r="K431" s="10"/>
      <c r="L431" s="10"/>
    </row>
    <row r="432" spans="1:12" ht="14.25" hidden="1" outlineLevel="2">
      <c r="A432" s="68">
        <v>1</v>
      </c>
      <c r="B432" s="10"/>
      <c r="C432" s="10"/>
      <c r="D432" s="10"/>
      <c r="E432" s="14" t="s">
        <v>5</v>
      </c>
      <c r="F432" s="11" t="e">
        <f>VLOOKUP(C430,Tbl_Button_Display_ASSTS,13,FALSE)</f>
        <v>#N/A</v>
      </c>
      <c r="G432" s="10"/>
      <c r="H432" s="10"/>
      <c r="I432" s="10"/>
      <c r="J432" s="14"/>
      <c r="K432" s="10"/>
      <c r="L432" s="10"/>
    </row>
    <row r="433" spans="1:12" ht="14.25" hidden="1" outlineLevel="2">
      <c r="A433" s="68">
        <v>1</v>
      </c>
      <c r="B433" s="10"/>
      <c r="C433" s="10"/>
      <c r="D433" s="10"/>
      <c r="E433" s="10"/>
      <c r="F433" s="10"/>
      <c r="G433" s="10" t="str">
        <f>PeEwpRPMReq</f>
        <v>DATC_PeEwpRPMReq</v>
      </c>
      <c r="H433" s="10"/>
      <c r="I433" s="46" t="e">
        <f>VLOOKUP(C430,Tbl_Button_Display_ASSTS,76,FALSE)</f>
        <v>#N/A</v>
      </c>
      <c r="J433" s="10"/>
      <c r="K433" s="10"/>
      <c r="L433" s="10"/>
    </row>
    <row r="434" spans="1:12" ht="14.25" hidden="1" outlineLevel="2">
      <c r="A434" s="68">
        <v>1</v>
      </c>
      <c r="B434" s="10"/>
      <c r="C434" s="10"/>
      <c r="D434" s="10"/>
      <c r="E434" s="10"/>
      <c r="F434" s="10"/>
      <c r="G434" s="10" t="str">
        <f>BatteryEWPOper</f>
        <v>DATC_BattEwpOpReq</v>
      </c>
      <c r="H434" s="10"/>
      <c r="I434" s="46" t="e">
        <f>VLOOKUP(C430,Tbl_Button_Display_ASSTS,73,FALSE)</f>
        <v>#N/A</v>
      </c>
      <c r="J434" s="10"/>
      <c r="K434" s="10"/>
      <c r="L434" s="10"/>
    </row>
    <row r="435" spans="1:12" ht="14.25" customHeight="1" outlineLevel="2">
      <c r="A435" s="70">
        <v>1</v>
      </c>
      <c r="B435" s="38" t="s">
        <v>142</v>
      </c>
      <c r="C435" s="38" t="s">
        <v>1214</v>
      </c>
      <c r="D435" s="38" t="e">
        <f>CONCATENATE(E436," ",F436,"시, ",G438," = ",I438,", ",G439," = ",I439," 출력 확인")</f>
        <v>#N/A</v>
      </c>
      <c r="E435" s="38"/>
      <c r="F435" s="38"/>
      <c r="G435" s="38"/>
      <c r="H435" s="38"/>
      <c r="I435" s="38"/>
      <c r="J435" s="38"/>
      <c r="K435" s="38"/>
      <c r="L435" s="38"/>
    </row>
    <row r="436" spans="1:12" ht="14.25" hidden="1" collapsed="1">
      <c r="A436" s="68">
        <v>1</v>
      </c>
      <c r="B436" s="10"/>
      <c r="C436" s="10"/>
      <c r="D436" s="10"/>
      <c r="E436" s="99" t="e">
        <f>VLOOKUP(C435,Tbl_Button_Display_ASSTS,11,FALSE)</f>
        <v>#N/A</v>
      </c>
      <c r="F436" s="11" t="e">
        <f>VLOOKUP(C435,Tbl_Button_Display_ASSTS,12,FALSE)</f>
        <v>#N/A</v>
      </c>
      <c r="G436" s="10"/>
      <c r="H436" s="10"/>
      <c r="I436" s="10"/>
      <c r="J436" s="14"/>
      <c r="K436" s="10"/>
      <c r="L436" s="10"/>
    </row>
    <row r="437" spans="1:12" ht="14.25" hidden="1" outlineLevel="1">
      <c r="A437" s="68">
        <v>1</v>
      </c>
      <c r="B437" s="10"/>
      <c r="C437" s="10"/>
      <c r="D437" s="10"/>
      <c r="E437" s="14" t="s">
        <v>5</v>
      </c>
      <c r="F437" s="11" t="e">
        <f>VLOOKUP(C435,Tbl_Button_Display_ASSTS,13,FALSE)</f>
        <v>#N/A</v>
      </c>
      <c r="G437" s="10"/>
      <c r="H437" s="10"/>
      <c r="I437" s="10"/>
      <c r="J437" s="14"/>
      <c r="K437" s="10"/>
      <c r="L437" s="10"/>
    </row>
    <row r="438" spans="1:12" ht="14.25" hidden="1" outlineLevel="2">
      <c r="A438" s="68">
        <v>1</v>
      </c>
      <c r="B438" s="10"/>
      <c r="C438" s="10"/>
      <c r="D438" s="10"/>
      <c r="E438" s="10"/>
      <c r="F438" s="10"/>
      <c r="G438" s="10" t="str">
        <f>PeEwpRPMReq</f>
        <v>DATC_PeEwpRPMReq</v>
      </c>
      <c r="H438" s="10"/>
      <c r="I438" s="46" t="e">
        <f>VLOOKUP(C435,Tbl_Button_Display_ASSTS,76,FALSE)</f>
        <v>#N/A</v>
      </c>
      <c r="J438" s="10"/>
      <c r="K438" s="10"/>
      <c r="L438" s="10"/>
    </row>
    <row r="439" spans="1:12" ht="14.25" hidden="1" outlineLevel="2">
      <c r="A439" s="68">
        <v>1</v>
      </c>
      <c r="B439" s="10"/>
      <c r="C439" s="10"/>
      <c r="D439" s="10"/>
      <c r="E439" s="10"/>
      <c r="F439" s="10"/>
      <c r="G439" s="10" t="str">
        <f>BatteryEWPOper</f>
        <v>DATC_BattEwpOpReq</v>
      </c>
      <c r="H439" s="10"/>
      <c r="I439" s="46" t="e">
        <f>VLOOKUP(C435,Tbl_Button_Display_ASSTS,73,FALSE)</f>
        <v>#N/A</v>
      </c>
      <c r="J439" s="10"/>
      <c r="K439" s="10"/>
      <c r="L439" s="10"/>
    </row>
    <row r="440" spans="1:12" ht="14.25" customHeight="1" outlineLevel="2">
      <c r="A440" s="70">
        <v>1</v>
      </c>
      <c r="B440" s="38" t="s">
        <v>142</v>
      </c>
      <c r="C440" s="38" t="s">
        <v>1215</v>
      </c>
      <c r="D440" s="38" t="e">
        <f>CONCATENATE(E441," = ",F441," Hysterisis 설정")</f>
        <v>#N/A</v>
      </c>
      <c r="E440" s="38"/>
      <c r="F440" s="38"/>
      <c r="G440" s="38"/>
      <c r="H440" s="38"/>
      <c r="I440" s="38"/>
      <c r="J440" s="38"/>
      <c r="K440" s="38"/>
      <c r="L440" s="38"/>
    </row>
    <row r="441" spans="1:12" ht="14.25" hidden="1" outlineLevel="2">
      <c r="A441" s="68">
        <v>1</v>
      </c>
      <c r="B441" s="10"/>
      <c r="C441" s="10"/>
      <c r="D441" s="10"/>
      <c r="E441" s="99" t="e">
        <f>VLOOKUP(C440,Tbl_Button_Display_ASSTS,11,FALSE)</f>
        <v>#N/A</v>
      </c>
      <c r="F441" s="11" t="e">
        <f>VLOOKUP(C440,Tbl_Button_Display_ASSTS,12,FALSE)</f>
        <v>#N/A</v>
      </c>
      <c r="G441" s="10"/>
      <c r="H441" s="10"/>
      <c r="I441" s="10"/>
      <c r="J441" s="14"/>
      <c r="K441" s="10"/>
      <c r="L441" s="10"/>
    </row>
    <row r="442" spans="1:12" ht="14.25" hidden="1" outlineLevel="2">
      <c r="A442" s="68">
        <v>1</v>
      </c>
      <c r="B442" s="10"/>
      <c r="C442" s="10"/>
      <c r="D442" s="10"/>
      <c r="E442" s="14" t="s">
        <v>5</v>
      </c>
      <c r="F442" s="11" t="e">
        <f>VLOOKUP(C440,Tbl_Button_Display_ASSTS,13,FALSE)</f>
        <v>#N/A</v>
      </c>
      <c r="G442" s="10"/>
      <c r="H442" s="10"/>
      <c r="I442" s="10"/>
      <c r="J442" s="10"/>
      <c r="K442" s="10"/>
      <c r="L442" s="10"/>
    </row>
    <row r="443" spans="1:12" ht="14.25" hidden="1" outlineLevel="2">
      <c r="A443" s="68">
        <v>1</v>
      </c>
      <c r="B443" s="10"/>
      <c r="C443" s="10"/>
      <c r="D443" s="10"/>
      <c r="E443" s="10"/>
      <c r="F443" s="10"/>
      <c r="G443" s="10" t="str">
        <f>PeEwpRPMReq</f>
        <v>DATC_PeEwpRPMReq</v>
      </c>
      <c r="H443" s="10"/>
      <c r="I443" s="46" t="e">
        <f>VLOOKUP(C440,Tbl_Button_Display_ASSTS,76,FALSE)</f>
        <v>#N/A</v>
      </c>
      <c r="J443" s="10"/>
      <c r="K443" s="10"/>
      <c r="L443" s="10"/>
    </row>
    <row r="444" spans="1:12" ht="14.25" hidden="1" outlineLevel="1">
      <c r="A444" s="68">
        <v>1</v>
      </c>
      <c r="B444" s="10"/>
      <c r="C444" s="10"/>
      <c r="D444" s="10"/>
      <c r="E444" s="10"/>
      <c r="F444" s="10"/>
      <c r="G444" s="10" t="str">
        <f>BatteryEWPOper</f>
        <v>DATC_BattEwpOpReq</v>
      </c>
      <c r="H444" s="10"/>
      <c r="I444" s="46" t="e">
        <f>VLOOKUP(C440,Tbl_Button_Display_ASSTS,73,FALSE)</f>
        <v>#N/A</v>
      </c>
      <c r="J444" s="10"/>
      <c r="K444" s="10"/>
      <c r="L444" s="10"/>
    </row>
    <row r="445" spans="1:12" ht="13.35" customHeight="1" outlineLevel="2">
      <c r="A445" s="70">
        <v>1</v>
      </c>
      <c r="B445" s="38" t="s">
        <v>142</v>
      </c>
      <c r="C445" s="38" t="s">
        <v>1216</v>
      </c>
      <c r="D445" s="38" t="e">
        <f>CONCATENATE(E446," ",F446,"시, ",G448," = ",I448,", ",G449," = ",I449," 유지 확인")</f>
        <v>#N/A</v>
      </c>
      <c r="E445" s="38"/>
      <c r="F445" s="38"/>
      <c r="G445" s="38"/>
      <c r="H445" s="38"/>
      <c r="I445" s="38"/>
      <c r="J445" s="38"/>
      <c r="K445" s="38"/>
      <c r="L445" s="38"/>
    </row>
    <row r="446" spans="1:12" ht="14.25" hidden="1" outlineLevel="2">
      <c r="A446" s="68">
        <v>1</v>
      </c>
      <c r="B446" s="10"/>
      <c r="C446" s="10"/>
      <c r="D446" s="10"/>
      <c r="E446" s="99" t="e">
        <f>VLOOKUP(C445,Tbl_Button_Display_ASSTS,11,FALSE)</f>
        <v>#N/A</v>
      </c>
      <c r="F446" s="11" t="e">
        <f>VLOOKUP(C445,Tbl_Button_Display_ASSTS,12,FALSE)</f>
        <v>#N/A</v>
      </c>
      <c r="G446" s="10"/>
      <c r="H446" s="10"/>
      <c r="I446" s="10"/>
      <c r="J446" s="14"/>
      <c r="K446" s="10"/>
      <c r="L446" s="10"/>
    </row>
    <row r="447" spans="1:12" ht="14.25" hidden="1" outlineLevel="2">
      <c r="A447" s="68">
        <v>1</v>
      </c>
      <c r="B447" s="10"/>
      <c r="C447" s="10"/>
      <c r="D447" s="10"/>
      <c r="E447" s="14" t="s">
        <v>5</v>
      </c>
      <c r="F447" s="11" t="e">
        <f>VLOOKUP(C445,Tbl_Button_Display_ASSTS,13,FALSE)</f>
        <v>#N/A</v>
      </c>
      <c r="G447" s="10"/>
      <c r="H447" s="10"/>
      <c r="I447" s="10"/>
      <c r="J447" s="14"/>
      <c r="K447" s="10"/>
      <c r="L447" s="10"/>
    </row>
    <row r="448" spans="1:12" ht="14.25" hidden="1" outlineLevel="2">
      <c r="A448" s="68">
        <v>1</v>
      </c>
      <c r="B448" s="10"/>
      <c r="C448" s="10"/>
      <c r="D448" s="10"/>
      <c r="E448" s="10"/>
      <c r="F448" s="10"/>
      <c r="G448" s="10" t="str">
        <f>PeEwpRPMReq</f>
        <v>DATC_PeEwpRPMReq</v>
      </c>
      <c r="H448" s="10"/>
      <c r="I448" s="46" t="e">
        <f>VLOOKUP(C445,Tbl_Button_Display_ASSTS,76,FALSE)</f>
        <v>#N/A</v>
      </c>
      <c r="J448" s="10"/>
      <c r="K448" s="10"/>
      <c r="L448" s="10"/>
    </row>
    <row r="449" spans="1:12" ht="14.25" hidden="1" outlineLevel="2">
      <c r="A449" s="68">
        <v>1</v>
      </c>
      <c r="B449" s="10"/>
      <c r="C449" s="10"/>
      <c r="D449" s="10"/>
      <c r="E449" s="10"/>
      <c r="F449" s="10"/>
      <c r="G449" s="10" t="str">
        <f>BatteryEWPOper</f>
        <v>DATC_BattEwpOpReq</v>
      </c>
      <c r="H449" s="10"/>
      <c r="I449" s="46" t="e">
        <f>VLOOKUP(C445,Tbl_Button_Display_ASSTS,73,FALSE)</f>
        <v>#N/A</v>
      </c>
      <c r="J449" s="10"/>
      <c r="K449" s="10"/>
      <c r="L449" s="10"/>
    </row>
    <row r="450" spans="1:12" ht="14.25" customHeight="1" outlineLevel="2">
      <c r="A450" s="70">
        <v>1</v>
      </c>
      <c r="B450" s="38" t="s">
        <v>142</v>
      </c>
      <c r="C450" s="38" t="s">
        <v>1217</v>
      </c>
      <c r="D450" s="38" t="e">
        <f>CONCATENATE(E451," ",F451,"시, ",G453," = ",I453,", ",G454," = ",I454," 출력 확인")</f>
        <v>#N/A</v>
      </c>
      <c r="E450" s="38"/>
      <c r="F450" s="38"/>
      <c r="G450" s="38"/>
      <c r="H450" s="38"/>
      <c r="I450" s="38"/>
      <c r="J450" s="38"/>
      <c r="K450" s="38"/>
      <c r="L450" s="38"/>
    </row>
    <row r="451" spans="1:12" ht="14.25" hidden="1">
      <c r="A451" s="68">
        <v>1</v>
      </c>
      <c r="B451" s="10"/>
      <c r="C451" s="10"/>
      <c r="D451" s="10"/>
      <c r="E451" s="99" t="e">
        <f>VLOOKUP(C450,Tbl_Button_Display_ASSTS,11,FALSE)</f>
        <v>#N/A</v>
      </c>
      <c r="F451" s="11" t="e">
        <f>VLOOKUP(C450,Tbl_Button_Display_ASSTS,12,FALSE)</f>
        <v>#N/A</v>
      </c>
      <c r="G451" s="10"/>
      <c r="H451" s="10"/>
      <c r="I451" s="10"/>
      <c r="J451" s="14"/>
      <c r="K451" s="10"/>
      <c r="L451" s="10"/>
    </row>
    <row r="452" spans="1:12" ht="14.25" hidden="1" collapsed="1">
      <c r="A452" s="68">
        <v>1</v>
      </c>
      <c r="B452" s="10"/>
      <c r="C452" s="10"/>
      <c r="D452" s="10"/>
      <c r="E452" s="14" t="s">
        <v>5</v>
      </c>
      <c r="F452" s="11" t="e">
        <f>VLOOKUP(C450,Tbl_Button_Display_ASSTS,13,FALSE)</f>
        <v>#N/A</v>
      </c>
      <c r="G452" s="10"/>
      <c r="H452" s="10"/>
      <c r="I452" s="10"/>
      <c r="J452" s="14"/>
      <c r="K452" s="10"/>
      <c r="L452" s="10"/>
    </row>
    <row r="453" spans="1:12" ht="14.25" hidden="1" outlineLevel="1">
      <c r="A453" s="68">
        <v>1</v>
      </c>
      <c r="B453" s="10"/>
      <c r="C453" s="10"/>
      <c r="D453" s="10"/>
      <c r="E453" s="10"/>
      <c r="F453" s="10"/>
      <c r="G453" s="10" t="str">
        <f>PeEwpRPMReq</f>
        <v>DATC_PeEwpRPMReq</v>
      </c>
      <c r="H453" s="10"/>
      <c r="I453" s="46" t="e">
        <f>VLOOKUP(C450,Tbl_Button_Display_ASSTS,76,FALSE)</f>
        <v>#N/A</v>
      </c>
      <c r="J453" s="10"/>
      <c r="K453" s="10"/>
      <c r="L453" s="10"/>
    </row>
    <row r="454" spans="1:12" ht="14.25" hidden="1" outlineLevel="2">
      <c r="A454" s="68">
        <v>1</v>
      </c>
      <c r="B454" s="10"/>
      <c r="C454" s="10"/>
      <c r="D454" s="10"/>
      <c r="E454" s="10"/>
      <c r="F454" s="10"/>
      <c r="G454" s="10" t="str">
        <f>BatteryEWPOper</f>
        <v>DATC_BattEwpOpReq</v>
      </c>
      <c r="H454" s="10"/>
      <c r="I454" s="46" t="e">
        <f>VLOOKUP(C450,Tbl_Button_Display_ASSTS,73,FALSE)</f>
        <v>#N/A</v>
      </c>
      <c r="J454" s="10"/>
      <c r="K454" s="10"/>
      <c r="L454" s="10"/>
    </row>
    <row r="455" spans="1:12" ht="14.25" customHeight="1" outlineLevel="2">
      <c r="A455" s="70">
        <v>1</v>
      </c>
      <c r="B455" s="38" t="s">
        <v>142</v>
      </c>
      <c r="C455" s="38" t="s">
        <v>1218</v>
      </c>
      <c r="D455" s="38" t="e">
        <f>CONCATENATE(E456," = ",F456," Hysterisis 설정")</f>
        <v>#N/A</v>
      </c>
      <c r="E455" s="38"/>
      <c r="F455" s="38"/>
      <c r="G455" s="38"/>
      <c r="H455" s="38"/>
      <c r="I455" s="38"/>
      <c r="J455" s="38"/>
      <c r="K455" s="38"/>
      <c r="L455" s="38"/>
    </row>
    <row r="456" spans="1:12" ht="14.25" hidden="1" outlineLevel="2">
      <c r="A456" s="68">
        <v>1</v>
      </c>
      <c r="B456" s="10"/>
      <c r="C456" s="10"/>
      <c r="D456" s="10"/>
      <c r="E456" s="99" t="e">
        <f>VLOOKUP(C455,Tbl_Button_Display_ASSTS,11,FALSE)</f>
        <v>#N/A</v>
      </c>
      <c r="F456" s="11" t="e">
        <f>VLOOKUP(C455,Tbl_Button_Display_ASSTS,12,FALSE)</f>
        <v>#N/A</v>
      </c>
      <c r="G456" s="10"/>
      <c r="H456" s="10"/>
      <c r="I456" s="10"/>
      <c r="J456" s="14"/>
      <c r="K456" s="10"/>
      <c r="L456" s="10"/>
    </row>
    <row r="457" spans="1:12" ht="14.25" hidden="1" outlineLevel="2">
      <c r="A457" s="68">
        <v>1</v>
      </c>
      <c r="B457" s="10"/>
      <c r="C457" s="10"/>
      <c r="D457" s="10"/>
      <c r="E457" s="14" t="s">
        <v>5</v>
      </c>
      <c r="F457" s="11" t="e">
        <f>VLOOKUP(C455,Tbl_Button_Display_ASSTS,13,FALSE)</f>
        <v>#N/A</v>
      </c>
      <c r="G457" s="10"/>
      <c r="H457" s="10"/>
      <c r="I457" s="10"/>
      <c r="J457" s="14"/>
      <c r="K457" s="10"/>
      <c r="L457" s="10"/>
    </row>
    <row r="458" spans="1:12" ht="14.25" hidden="1" outlineLevel="2">
      <c r="A458" s="68">
        <v>1</v>
      </c>
      <c r="B458" s="10"/>
      <c r="C458" s="10"/>
      <c r="D458" s="10"/>
      <c r="E458" s="10"/>
      <c r="F458" s="10"/>
      <c r="G458" s="10" t="str">
        <f>PeEwpRPMReq</f>
        <v>DATC_PeEwpRPMReq</v>
      </c>
      <c r="H458" s="10"/>
      <c r="I458" s="46" t="e">
        <f>VLOOKUP(C455,Tbl_Button_Display_ASSTS,76,FALSE)</f>
        <v>#N/A</v>
      </c>
      <c r="J458" s="10"/>
      <c r="K458" s="10"/>
      <c r="L458" s="10"/>
    </row>
    <row r="459" spans="1:12" ht="14.25" hidden="1" outlineLevel="1">
      <c r="A459" s="68">
        <v>1</v>
      </c>
      <c r="B459" s="10"/>
      <c r="C459" s="10"/>
      <c r="D459" s="10"/>
      <c r="E459" s="10"/>
      <c r="F459" s="10"/>
      <c r="G459" s="10" t="str">
        <f>BatteryEWPOper</f>
        <v>DATC_BattEwpOpReq</v>
      </c>
      <c r="H459" s="10"/>
      <c r="I459" s="46" t="e">
        <f>VLOOKUP(C455,Tbl_Button_Display_ASSTS,73,FALSE)</f>
        <v>#N/A</v>
      </c>
      <c r="J459" s="10"/>
      <c r="K459" s="10"/>
      <c r="L459" s="10"/>
    </row>
    <row r="460" spans="1:12" ht="14.25" customHeight="1" outlineLevel="2">
      <c r="A460" s="70">
        <v>1</v>
      </c>
      <c r="B460" s="38" t="s">
        <v>142</v>
      </c>
      <c r="C460" s="38" t="s">
        <v>1219</v>
      </c>
      <c r="D460" s="38" t="e">
        <f>CONCATENATE(E461," ",F461,"시, ",G463," = ",I463,", ",G464," = ",I464," 유지 확인")</f>
        <v>#N/A</v>
      </c>
      <c r="E460" s="38"/>
      <c r="F460" s="38"/>
      <c r="G460" s="38"/>
      <c r="H460" s="38"/>
      <c r="I460" s="38"/>
      <c r="J460" s="38"/>
      <c r="K460" s="38"/>
      <c r="L460" s="38"/>
    </row>
    <row r="461" spans="1:12" ht="14.25" hidden="1" outlineLevel="2">
      <c r="A461" s="68">
        <v>1</v>
      </c>
      <c r="B461" s="10"/>
      <c r="C461" s="10"/>
      <c r="D461" s="10"/>
      <c r="E461" s="99" t="e">
        <f>VLOOKUP(C460,Tbl_Button_Display_ASSTS,11,FALSE)</f>
        <v>#N/A</v>
      </c>
      <c r="F461" s="11" t="e">
        <f>VLOOKUP(C460,Tbl_Button_Display_ASSTS,12,FALSE)</f>
        <v>#N/A</v>
      </c>
      <c r="G461" s="10"/>
      <c r="H461" s="10"/>
      <c r="I461" s="10"/>
      <c r="J461" s="14"/>
      <c r="K461" s="10"/>
      <c r="L461" s="10"/>
    </row>
    <row r="462" spans="1:12" ht="14.25" hidden="1" outlineLevel="2">
      <c r="A462" s="68">
        <v>1</v>
      </c>
      <c r="B462" s="10"/>
      <c r="C462" s="10"/>
      <c r="D462" s="10"/>
      <c r="E462" s="14" t="s">
        <v>5</v>
      </c>
      <c r="F462" s="11" t="e">
        <f>VLOOKUP(C460,Tbl_Button_Display_ASSTS,13,FALSE)</f>
        <v>#N/A</v>
      </c>
      <c r="G462" s="10"/>
      <c r="H462" s="10"/>
      <c r="I462" s="10"/>
      <c r="J462" s="14"/>
      <c r="K462" s="10"/>
      <c r="L462" s="10"/>
    </row>
    <row r="463" spans="1:12" ht="14.25" hidden="1" outlineLevel="2">
      <c r="A463" s="68">
        <v>1</v>
      </c>
      <c r="B463" s="10"/>
      <c r="C463" s="10"/>
      <c r="D463" s="10"/>
      <c r="E463" s="10"/>
      <c r="F463" s="10"/>
      <c r="G463" s="10" t="str">
        <f>PeEwpRPMReq</f>
        <v>DATC_PeEwpRPMReq</v>
      </c>
      <c r="H463" s="10"/>
      <c r="I463" s="46" t="e">
        <f>VLOOKUP(C460,Tbl_Button_Display_ASSTS,76,FALSE)</f>
        <v>#N/A</v>
      </c>
      <c r="J463" s="10"/>
      <c r="K463" s="10"/>
      <c r="L463" s="10"/>
    </row>
    <row r="464" spans="1:12" ht="14.25" hidden="1" outlineLevel="2">
      <c r="A464" s="68">
        <v>1</v>
      </c>
      <c r="B464" s="10"/>
      <c r="C464" s="10"/>
      <c r="D464" s="10"/>
      <c r="E464" s="10"/>
      <c r="F464" s="10"/>
      <c r="G464" s="10" t="str">
        <f>BatteryEWPOper</f>
        <v>DATC_BattEwpOpReq</v>
      </c>
      <c r="H464" s="10"/>
      <c r="I464" s="46" t="e">
        <f>VLOOKUP(C460,Tbl_Button_Display_ASSTS,73,FALSE)</f>
        <v>#N/A</v>
      </c>
      <c r="J464" s="10"/>
      <c r="K464" s="10"/>
      <c r="L464" s="10"/>
    </row>
    <row r="465" spans="1:12" ht="14.25" customHeight="1" outlineLevel="1">
      <c r="A465" s="70">
        <v>1</v>
      </c>
      <c r="B465" s="38" t="s">
        <v>142</v>
      </c>
      <c r="C465" s="38" t="s">
        <v>1220</v>
      </c>
      <c r="D465" s="38" t="e">
        <f>CONCATENATE(E466," ",F466,"시, ",G468," = ",I468,", ",G469," = ",I469," 출력 확인")</f>
        <v>#N/A</v>
      </c>
      <c r="E465" s="38"/>
      <c r="F465" s="38"/>
      <c r="G465" s="38"/>
      <c r="H465" s="38"/>
      <c r="I465" s="38"/>
      <c r="J465" s="38"/>
      <c r="K465" s="38"/>
      <c r="L465" s="38"/>
    </row>
    <row r="466" spans="1:12" ht="14.25" hidden="1" outlineLevel="2">
      <c r="A466" s="68">
        <v>1</v>
      </c>
      <c r="B466" s="10"/>
      <c r="C466" s="10"/>
      <c r="D466" s="10"/>
      <c r="E466" s="99" t="e">
        <f>VLOOKUP(C465,Tbl_Button_Display_ASSTS,11,FALSE)</f>
        <v>#N/A</v>
      </c>
      <c r="F466" s="11" t="e">
        <f>VLOOKUP(C465,Tbl_Button_Display_ASSTS,12,FALSE)</f>
        <v>#N/A</v>
      </c>
      <c r="G466" s="10"/>
      <c r="H466" s="10"/>
      <c r="I466" s="10"/>
      <c r="J466" s="14"/>
      <c r="K466" s="10"/>
      <c r="L466" s="10"/>
    </row>
    <row r="467" spans="1:12" ht="14.25" hidden="1" outlineLevel="2">
      <c r="A467" s="68">
        <v>1</v>
      </c>
      <c r="B467" s="10"/>
      <c r="C467" s="10"/>
      <c r="D467" s="10"/>
      <c r="E467" s="14" t="s">
        <v>5</v>
      </c>
      <c r="F467" s="11" t="e">
        <f>VLOOKUP(C465,Tbl_Button_Display_ASSTS,13,FALSE)</f>
        <v>#N/A</v>
      </c>
      <c r="G467" s="10"/>
      <c r="H467" s="10"/>
      <c r="I467" s="10"/>
      <c r="J467" s="10"/>
      <c r="K467" s="10"/>
      <c r="L467" s="10"/>
    </row>
    <row r="468" spans="1:12" ht="14.25" hidden="1" outlineLevel="2">
      <c r="A468" s="68">
        <v>1</v>
      </c>
      <c r="B468" s="10"/>
      <c r="C468" s="10"/>
      <c r="D468" s="10"/>
      <c r="E468" s="10"/>
      <c r="F468" s="10"/>
      <c r="G468" s="10" t="str">
        <f>PeEwpRPMReq</f>
        <v>DATC_PeEwpRPMReq</v>
      </c>
      <c r="H468" s="10"/>
      <c r="I468" s="46" t="e">
        <f>VLOOKUP(C465,Tbl_Button_Display_ASSTS,76,FALSE)</f>
        <v>#N/A</v>
      </c>
      <c r="J468" s="10"/>
      <c r="K468" s="10"/>
      <c r="L468" s="10"/>
    </row>
    <row r="469" spans="1:12" ht="14.25" hidden="1" outlineLevel="2">
      <c r="A469" s="68">
        <v>1</v>
      </c>
      <c r="B469" s="10"/>
      <c r="C469" s="10"/>
      <c r="D469" s="10"/>
      <c r="E469" s="10"/>
      <c r="F469" s="10"/>
      <c r="G469" s="10" t="str">
        <f>BatteryEWPOper</f>
        <v>DATC_BattEwpOpReq</v>
      </c>
      <c r="H469" s="10"/>
      <c r="I469" s="46" t="e">
        <f>VLOOKUP(C465,Tbl_Button_Display_ASSTS,73,FALSE)</f>
        <v>#N/A</v>
      </c>
      <c r="J469" s="10"/>
      <c r="K469" s="10"/>
      <c r="L469" s="10"/>
    </row>
    <row r="470" spans="1:12" ht="14.25" customHeight="1" outlineLevel="2">
      <c r="A470" s="69">
        <v>1</v>
      </c>
      <c r="B470" s="37" t="s">
        <v>143</v>
      </c>
      <c r="C470" s="37" t="s">
        <v>1221</v>
      </c>
      <c r="D470" s="37" t="e">
        <f>VLOOKUP(C470,Tbl_Button_Display_ASSTS, 2,FALSE)</f>
        <v>#N/A</v>
      </c>
      <c r="E470" s="37"/>
      <c r="F470" s="37"/>
      <c r="G470" s="37"/>
      <c r="H470" s="37"/>
      <c r="I470" s="37"/>
      <c r="J470" s="37"/>
      <c r="K470" s="37"/>
      <c r="L470" s="37"/>
    </row>
    <row r="471" spans="1:12" ht="16.5" customHeight="1" collapsed="1">
      <c r="A471" s="103">
        <v>1</v>
      </c>
      <c r="B471" s="104" t="s">
        <v>38</v>
      </c>
      <c r="C471" s="104" t="s">
        <v>1222</v>
      </c>
      <c r="D471" s="104" t="s">
        <v>1254</v>
      </c>
      <c r="E471" s="104"/>
      <c r="F471" s="104"/>
      <c r="G471" s="104"/>
      <c r="H471" s="104"/>
      <c r="I471" s="104"/>
      <c r="J471" s="104"/>
      <c r="K471" s="104"/>
      <c r="L471" s="104"/>
    </row>
    <row r="472" spans="1:12" ht="14.25" hidden="1" outlineLevel="1">
      <c r="A472" s="68">
        <v>1</v>
      </c>
      <c r="B472" s="10"/>
      <c r="C472" s="10"/>
      <c r="D472" s="10"/>
      <c r="E472" s="99" t="e">
        <f>VLOOKUP(C471,Tbl_Button_Display_ASSTS,11,FALSE)</f>
        <v>#N/A</v>
      </c>
      <c r="F472" s="11" t="e">
        <f>VLOOKUP(C471,Tbl_Button_Display_ASSTS,12,FALSE)</f>
        <v>#N/A</v>
      </c>
      <c r="G472" s="10"/>
      <c r="H472" s="10"/>
      <c r="I472" s="10"/>
      <c r="J472" s="10"/>
      <c r="K472" s="10"/>
      <c r="L472" s="10"/>
    </row>
    <row r="473" spans="1:12" ht="14.25" hidden="1" outlineLevel="2">
      <c r="A473" s="68">
        <v>1</v>
      </c>
      <c r="B473" s="10"/>
      <c r="C473" s="10"/>
      <c r="D473" s="10"/>
      <c r="E473" s="14" t="s">
        <v>5</v>
      </c>
      <c r="F473" s="11" t="e">
        <f>VLOOKUP(C471,Tbl_Button_Display_ASSTS,13,FALSE)</f>
        <v>#N/A</v>
      </c>
      <c r="G473" s="10"/>
      <c r="H473" s="10"/>
      <c r="I473" s="10"/>
      <c r="J473" s="10"/>
      <c r="K473" s="10"/>
      <c r="L473" s="10"/>
    </row>
    <row r="474" spans="1:12" ht="14.25" hidden="1" outlineLevel="2">
      <c r="A474" s="68">
        <v>1</v>
      </c>
      <c r="B474" s="10"/>
      <c r="C474" s="10"/>
      <c r="D474" s="10"/>
      <c r="E474" s="10"/>
      <c r="F474" s="10"/>
      <c r="G474" s="10" t="e">
        <f>AcDisp</f>
        <v>#NAME?</v>
      </c>
      <c r="H474" s="10"/>
      <c r="I474" s="12" t="e">
        <f>VLOOKUP(C471,Tbl_Button_Display_ASSTS,31,FALSE)</f>
        <v>#N/A</v>
      </c>
      <c r="J474" s="10"/>
      <c r="K474" s="10"/>
      <c r="L474" s="10"/>
    </row>
    <row r="475" spans="1:12" ht="14.25" hidden="1" outlineLevel="2">
      <c r="A475" s="68">
        <v>1</v>
      </c>
      <c r="B475" s="10"/>
      <c r="C475" s="10"/>
      <c r="D475" s="10"/>
      <c r="E475" s="10"/>
      <c r="F475" s="83"/>
      <c r="G475" s="10" t="str">
        <f>HP_ModSta</f>
        <v>DATC_HtrPmpModSta</v>
      </c>
      <c r="H475" s="47" t="e">
        <f>VLOOKUP(C471,Tbl_Button_Display_ASSTS,71,FALSE)</f>
        <v>#N/A</v>
      </c>
      <c r="I475" s="45" t="e">
        <f>(IF(H475="","",VLOOKUP(H475,Tbl_HP_Cycle,2,FALSE)))</f>
        <v>#N/A</v>
      </c>
      <c r="J475" s="10"/>
      <c r="K475" s="10"/>
      <c r="L475" s="10"/>
    </row>
    <row r="476" spans="1:12" ht="14.25" hidden="1" outlineLevel="2">
      <c r="A476" s="68">
        <v>1</v>
      </c>
      <c r="B476" s="10"/>
      <c r="C476" s="10"/>
      <c r="D476" s="10"/>
      <c r="E476" s="10"/>
      <c r="F476" s="10"/>
      <c r="G476" s="10" t="str">
        <f>PeEwpRPMReq</f>
        <v>DATC_PeEwpRPMReq</v>
      </c>
      <c r="H476" s="10"/>
      <c r="I476" s="12" t="e">
        <f>VLOOKUP(C471,Tbl_Button_Display_ASSTS,76,FALSE)</f>
        <v>#N/A</v>
      </c>
      <c r="J476" s="10"/>
      <c r="K476" s="10"/>
      <c r="L476" s="10"/>
    </row>
    <row r="477" spans="1:12" ht="14.25" hidden="1" outlineLevel="2">
      <c r="A477" s="68">
        <v>1</v>
      </c>
      <c r="B477" s="10"/>
      <c r="C477" s="10"/>
      <c r="D477" s="10"/>
      <c r="E477" s="10"/>
      <c r="F477" s="10"/>
      <c r="G477" s="10" t="str">
        <f>BatteryEWPOper</f>
        <v>DATC_BattEwpOpReq</v>
      </c>
      <c r="H477" s="10"/>
      <c r="I477" s="12" t="e">
        <f>VLOOKUP(C471,Tbl_Button_Display_ASSTS,73,FALSE)</f>
        <v>#N/A</v>
      </c>
      <c r="J477" s="10"/>
      <c r="K477" s="10"/>
      <c r="L477" s="10"/>
    </row>
    <row r="478" spans="1:12" ht="14.25" customHeight="1" outlineLevel="1">
      <c r="A478" s="70">
        <v>1</v>
      </c>
      <c r="B478" s="38" t="s">
        <v>142</v>
      </c>
      <c r="C478" s="38" t="s">
        <v>1223</v>
      </c>
      <c r="D478" s="38" t="e">
        <f>CONCATENATE(I482," 모드 일 때, ",G483," = ",I483,"rpm, ",G484," = ",I484,"rpm 출력 확인")</f>
        <v>#N/A</v>
      </c>
      <c r="E478" s="38"/>
      <c r="F478" s="38"/>
      <c r="G478" s="38"/>
      <c r="H478" s="38"/>
      <c r="I478" s="38"/>
      <c r="J478" s="38"/>
      <c r="K478" s="38"/>
      <c r="L478" s="38"/>
    </row>
    <row r="479" spans="1:12" ht="14.25" hidden="1" outlineLevel="2">
      <c r="A479" s="68">
        <v>1</v>
      </c>
      <c r="B479" s="10"/>
      <c r="C479" s="10"/>
      <c r="D479" s="10"/>
      <c r="E479" s="99" t="e">
        <f>VLOOKUP(C478,Tbl_Button_Display_ASSTS,11,FALSE)</f>
        <v>#N/A</v>
      </c>
      <c r="F479" s="11" t="e">
        <f>VLOOKUP(C478,Tbl_Button_Display_ASSTS,12,FALSE)</f>
        <v>#N/A</v>
      </c>
      <c r="G479" s="10"/>
      <c r="H479" s="10"/>
      <c r="I479" s="10"/>
      <c r="J479" s="14"/>
      <c r="K479" s="10"/>
      <c r="L479" s="10"/>
    </row>
    <row r="480" spans="1:12" ht="14.25" hidden="1" outlineLevel="2">
      <c r="A480" s="68">
        <v>1</v>
      </c>
      <c r="B480" s="10"/>
      <c r="C480" s="10"/>
      <c r="D480" s="10"/>
      <c r="E480" s="14" t="s">
        <v>5</v>
      </c>
      <c r="F480" s="11" t="e">
        <f>VLOOKUP(C478,Tbl_Button_Display_ASSTS,13,FALSE)</f>
        <v>#N/A</v>
      </c>
      <c r="G480" s="10"/>
      <c r="H480" s="10"/>
      <c r="I480" s="10"/>
      <c r="J480" s="10"/>
      <c r="K480" s="10"/>
      <c r="L480" s="10"/>
    </row>
    <row r="481" spans="1:12" ht="14.25" hidden="1" outlineLevel="2">
      <c r="A481" s="68">
        <v>1</v>
      </c>
      <c r="B481" s="10"/>
      <c r="C481" s="10"/>
      <c r="D481" s="10"/>
      <c r="E481" s="10"/>
      <c r="F481" s="10"/>
      <c r="G481" s="10" t="e">
        <f>AcDisp</f>
        <v>#NAME?</v>
      </c>
      <c r="H481" s="10"/>
      <c r="I481" s="12" t="e">
        <f>VLOOKUP(C478,Tbl_Button_Display_ASSTS,31,FALSE)</f>
        <v>#N/A</v>
      </c>
      <c r="J481" s="10"/>
      <c r="K481" s="10"/>
      <c r="L481" s="10"/>
    </row>
    <row r="482" spans="1:12" ht="14.25" hidden="1" outlineLevel="2">
      <c r="A482" s="68">
        <v>1</v>
      </c>
      <c r="B482" s="10"/>
      <c r="C482" s="10"/>
      <c r="D482" s="10"/>
      <c r="E482" s="10"/>
      <c r="F482" s="83"/>
      <c r="G482" s="10" t="str">
        <f>HP_ModSta</f>
        <v>DATC_HtrPmpModSta</v>
      </c>
      <c r="H482" s="47" t="e">
        <f>VLOOKUP(C478,Tbl_Button_Display_ASSTS,71,FALSE)</f>
        <v>#N/A</v>
      </c>
      <c r="I482" s="45" t="e">
        <f>(IF(H482="","",VLOOKUP(H482,Tbl_HP_Cycle,2,FALSE)))</f>
        <v>#N/A</v>
      </c>
      <c r="J482" s="10"/>
      <c r="K482" s="10"/>
      <c r="L482" s="10"/>
    </row>
    <row r="483" spans="1:12" ht="14.25" hidden="1" outlineLevel="2">
      <c r="A483" s="68">
        <v>1</v>
      </c>
      <c r="B483" s="10"/>
      <c r="C483" s="10"/>
      <c r="D483" s="10"/>
      <c r="E483" s="10"/>
      <c r="F483" s="10"/>
      <c r="G483" s="10" t="str">
        <f>PeEwpRPMReq</f>
        <v>DATC_PeEwpRPMReq</v>
      </c>
      <c r="H483" s="10"/>
      <c r="I483" s="46" t="e">
        <f>VLOOKUP(C478,Tbl_Button_Display_ASSTS,76,FALSE)</f>
        <v>#N/A</v>
      </c>
      <c r="J483" s="10"/>
      <c r="K483" s="10"/>
      <c r="L483" s="10"/>
    </row>
    <row r="484" spans="1:12" ht="14.25" hidden="1" outlineLevel="1">
      <c r="A484" s="68">
        <v>1</v>
      </c>
      <c r="B484" s="10"/>
      <c r="C484" s="10"/>
      <c r="D484" s="10"/>
      <c r="E484" s="10"/>
      <c r="F484" s="10"/>
      <c r="G484" s="10" t="str">
        <f>BatteryEWPOper</f>
        <v>DATC_BattEwpOpReq</v>
      </c>
      <c r="H484" s="10"/>
      <c r="I484" s="46" t="e">
        <f>VLOOKUP(C478,Tbl_Button_Display_ASSTS,73,FALSE)</f>
        <v>#N/A</v>
      </c>
      <c r="J484" s="10"/>
      <c r="K484" s="10"/>
      <c r="L484" s="10"/>
    </row>
    <row r="485" spans="1:12" ht="13.35" customHeight="1" outlineLevel="2">
      <c r="A485" s="70">
        <v>1</v>
      </c>
      <c r="B485" s="38" t="s">
        <v>142</v>
      </c>
      <c r="C485" s="38" t="s">
        <v>1224</v>
      </c>
      <c r="D485" s="38" t="e">
        <f>CONCATENATE(E486," = ",F486," 설정 시, ",G489," = ",I489,"rpm, ",G490," = ",I490,"rpm 출력 확인")</f>
        <v>#N/A</v>
      </c>
      <c r="E485" s="38"/>
      <c r="F485" s="38"/>
      <c r="G485" s="38"/>
      <c r="H485" s="38"/>
      <c r="I485" s="38"/>
      <c r="J485" s="38"/>
      <c r="K485" s="38"/>
      <c r="L485" s="38"/>
    </row>
    <row r="486" spans="1:12" ht="14.25" hidden="1" outlineLevel="2">
      <c r="A486" s="68">
        <v>1</v>
      </c>
      <c r="B486" s="10"/>
      <c r="C486" s="10"/>
      <c r="D486" s="10"/>
      <c r="E486" s="99" t="e">
        <f>VLOOKUP(C485,Tbl_Button_Display_ASSTS,11,FALSE)</f>
        <v>#N/A</v>
      </c>
      <c r="F486" s="11" t="e">
        <f>VLOOKUP(C485,Tbl_Button_Display_ASSTS,12,FALSE)</f>
        <v>#N/A</v>
      </c>
      <c r="G486" s="10"/>
      <c r="H486" s="10"/>
      <c r="I486" s="10"/>
      <c r="J486" s="14"/>
      <c r="K486" s="10"/>
      <c r="L486" s="10"/>
    </row>
    <row r="487" spans="1:12" ht="14.25" hidden="1" outlineLevel="2">
      <c r="A487" s="68">
        <v>1</v>
      </c>
      <c r="B487" s="10"/>
      <c r="C487" s="10"/>
      <c r="D487" s="10"/>
      <c r="E487" s="14" t="s">
        <v>5</v>
      </c>
      <c r="F487" s="11" t="e">
        <f>VLOOKUP(C485,Tbl_Button_Display_ASSTS,13,FALSE)</f>
        <v>#N/A</v>
      </c>
      <c r="G487" s="10"/>
      <c r="H487" s="10"/>
      <c r="I487" s="10"/>
      <c r="J487" s="14"/>
      <c r="K487" s="10"/>
      <c r="L487" s="10"/>
    </row>
    <row r="488" spans="1:12" ht="14.25" hidden="1" outlineLevel="2">
      <c r="A488" s="68">
        <v>1</v>
      </c>
      <c r="B488" s="10"/>
      <c r="C488" s="10"/>
      <c r="D488" s="10"/>
      <c r="E488" s="10"/>
      <c r="F488" s="83"/>
      <c r="G488" s="10" t="str">
        <f>HP_ModSta</f>
        <v>DATC_HtrPmpModSta</v>
      </c>
      <c r="H488" s="47" t="e">
        <f>VLOOKUP(C485,Tbl_Button_Display_ASSTS,71,FALSE)</f>
        <v>#N/A</v>
      </c>
      <c r="I488" s="45" t="e">
        <f>(IF(H488="","",VLOOKUP(H488,Tbl_HP_Cycle,2,FALSE)))</f>
        <v>#N/A</v>
      </c>
      <c r="J488" s="10"/>
      <c r="K488" s="10"/>
      <c r="L488" s="10"/>
    </row>
    <row r="489" spans="1:12" ht="14.25" hidden="1" outlineLevel="2">
      <c r="A489" s="68">
        <v>1</v>
      </c>
      <c r="B489" s="10"/>
      <c r="C489" s="10"/>
      <c r="D489" s="10"/>
      <c r="E489" s="10"/>
      <c r="F489" s="10"/>
      <c r="G489" s="10" t="str">
        <f>PeEwpRPMReq</f>
        <v>DATC_PeEwpRPMReq</v>
      </c>
      <c r="H489" s="10"/>
      <c r="I489" s="46" t="e">
        <f>VLOOKUP(C485,Tbl_Button_Display_ASSTS,76,FALSE)</f>
        <v>#N/A</v>
      </c>
      <c r="J489" s="10"/>
      <c r="K489" s="10"/>
      <c r="L489" s="10"/>
    </row>
    <row r="490" spans="1:12" ht="14.25" hidden="1" outlineLevel="1">
      <c r="A490" s="68">
        <v>1</v>
      </c>
      <c r="B490" s="10"/>
      <c r="C490" s="10"/>
      <c r="D490" s="10"/>
      <c r="E490" s="10"/>
      <c r="F490" s="10"/>
      <c r="G490" s="10" t="str">
        <f>BatteryEWPOper</f>
        <v>DATC_BattEwpOpReq</v>
      </c>
      <c r="H490" s="10"/>
      <c r="I490" s="46" t="e">
        <f>VLOOKUP(C485,Tbl_Button_Display_ASSTS,73,FALSE)</f>
        <v>#N/A</v>
      </c>
      <c r="J490" s="10"/>
      <c r="K490" s="10"/>
      <c r="L490" s="10"/>
    </row>
    <row r="491" spans="1:12" ht="14.25" customHeight="1" outlineLevel="2">
      <c r="A491" s="70">
        <v>1</v>
      </c>
      <c r="B491" s="38" t="s">
        <v>142</v>
      </c>
      <c r="C491" s="38" t="s">
        <v>1225</v>
      </c>
      <c r="D491" s="38" t="e">
        <f>CONCATENATE(E492," = ",F492," 설정 시, ",G495," = ",I495,"rpm, ",G496," = ",I496,"rpm 출력 확인")</f>
        <v>#N/A</v>
      </c>
      <c r="E491" s="38"/>
      <c r="F491" s="38"/>
      <c r="G491" s="38"/>
      <c r="H491" s="38"/>
      <c r="I491" s="38"/>
      <c r="J491" s="38"/>
      <c r="K491" s="38"/>
      <c r="L491" s="38"/>
    </row>
    <row r="492" spans="1:12" ht="14.25" hidden="1" outlineLevel="2">
      <c r="A492" s="68">
        <v>1</v>
      </c>
      <c r="B492" s="10"/>
      <c r="C492" s="10"/>
      <c r="D492" s="10"/>
      <c r="E492" s="99" t="e">
        <f>VLOOKUP(C491,Tbl_Button_Display_ASSTS,11,FALSE)</f>
        <v>#N/A</v>
      </c>
      <c r="F492" s="11" t="e">
        <f>VLOOKUP(C491,Tbl_Button_Display_ASSTS,12,FALSE)</f>
        <v>#N/A</v>
      </c>
      <c r="G492" s="10"/>
      <c r="H492" s="10"/>
      <c r="I492" s="10"/>
      <c r="J492" s="14"/>
      <c r="K492" s="10"/>
      <c r="L492" s="10"/>
    </row>
    <row r="493" spans="1:12" ht="14.25" hidden="1" outlineLevel="2">
      <c r="A493" s="68">
        <v>1</v>
      </c>
      <c r="B493" s="10"/>
      <c r="C493" s="10"/>
      <c r="D493" s="10"/>
      <c r="E493" s="14" t="s">
        <v>5</v>
      </c>
      <c r="F493" s="11" t="e">
        <f>VLOOKUP(C491,Tbl_Button_Display_ASSTS,13,FALSE)</f>
        <v>#N/A</v>
      </c>
      <c r="G493" s="10"/>
      <c r="H493" s="10"/>
      <c r="I493" s="10"/>
      <c r="J493" s="14"/>
      <c r="K493" s="10"/>
      <c r="L493" s="10"/>
    </row>
    <row r="494" spans="1:12" ht="14.25" hidden="1" outlineLevel="2">
      <c r="A494" s="68">
        <v>1</v>
      </c>
      <c r="B494" s="10"/>
      <c r="C494" s="10"/>
      <c r="D494" s="10"/>
      <c r="E494" s="10"/>
      <c r="F494" s="83"/>
      <c r="G494" s="10" t="str">
        <f>HP_ModSta</f>
        <v>DATC_HtrPmpModSta</v>
      </c>
      <c r="H494" s="47" t="e">
        <f>VLOOKUP(C491,Tbl_Button_Display_ASSTS,71,FALSE)</f>
        <v>#N/A</v>
      </c>
      <c r="I494" s="45" t="e">
        <f>(IF(H494="","",VLOOKUP(H494,Tbl_HP_Cycle,2,FALSE)))</f>
        <v>#N/A</v>
      </c>
      <c r="J494" s="10"/>
      <c r="K494" s="10"/>
      <c r="L494" s="10"/>
    </row>
    <row r="495" spans="1:12" ht="14.25" hidden="1" outlineLevel="2">
      <c r="A495" s="68">
        <v>1</v>
      </c>
      <c r="B495" s="10"/>
      <c r="C495" s="10"/>
      <c r="D495" s="10"/>
      <c r="E495" s="10"/>
      <c r="F495" s="10"/>
      <c r="G495" s="10" t="str">
        <f>PeEwpRPMReq</f>
        <v>DATC_PeEwpRPMReq</v>
      </c>
      <c r="H495" s="10"/>
      <c r="I495" s="46" t="e">
        <f>VLOOKUP(C491,Tbl_Button_Display_ASSTS,76,FALSE)</f>
        <v>#N/A</v>
      </c>
      <c r="J495" s="10"/>
      <c r="K495" s="10"/>
      <c r="L495" s="10"/>
    </row>
    <row r="496" spans="1:12" ht="14.25" hidden="1" outlineLevel="1">
      <c r="A496" s="68">
        <v>1</v>
      </c>
      <c r="B496" s="10"/>
      <c r="C496" s="10"/>
      <c r="D496" s="10"/>
      <c r="E496" s="10"/>
      <c r="F496" s="10"/>
      <c r="G496" s="10" t="str">
        <f>BatteryEWPOper</f>
        <v>DATC_BattEwpOpReq</v>
      </c>
      <c r="H496" s="10"/>
      <c r="I496" s="46" t="e">
        <f>VLOOKUP(C491,Tbl_Button_Display_ASSTS,73,FALSE)</f>
        <v>#N/A</v>
      </c>
      <c r="J496" s="10"/>
      <c r="K496" s="10"/>
      <c r="L496" s="10"/>
    </row>
    <row r="497" spans="1:12" ht="14.25" customHeight="1" outlineLevel="2">
      <c r="A497" s="70">
        <v>1</v>
      </c>
      <c r="B497" s="38" t="s">
        <v>142</v>
      </c>
      <c r="C497" s="38" t="s">
        <v>1226</v>
      </c>
      <c r="D497" s="38" t="e">
        <f>CONCATENATE(I500," 모드 일 때, ",G501," = ",I501,"rpm, ",G502," = ",I502,"rpm 출력 확인")</f>
        <v>#N/A</v>
      </c>
      <c r="E497" s="38"/>
      <c r="F497" s="38"/>
      <c r="G497" s="38"/>
      <c r="H497" s="38"/>
      <c r="I497" s="38"/>
      <c r="J497" s="38"/>
      <c r="K497" s="38"/>
      <c r="L497" s="38"/>
    </row>
    <row r="498" spans="1:12" ht="14.25" hidden="1" outlineLevel="2">
      <c r="A498" s="68">
        <v>1</v>
      </c>
      <c r="B498" s="10"/>
      <c r="C498" s="10"/>
      <c r="D498" s="10"/>
      <c r="E498" s="99" t="e">
        <f>VLOOKUP(C497,Tbl_Button_Display_ASSTS,11,FALSE)</f>
        <v>#N/A</v>
      </c>
      <c r="F498" s="11" t="e">
        <f>VLOOKUP(C497,Tbl_Button_Display_ASSTS,12,FALSE)</f>
        <v>#N/A</v>
      </c>
      <c r="G498" s="10"/>
      <c r="H498" s="10"/>
      <c r="I498" s="10"/>
      <c r="J498" s="14"/>
      <c r="K498" s="10"/>
      <c r="L498" s="10"/>
    </row>
    <row r="499" spans="1:12" ht="14.25" hidden="1" outlineLevel="2">
      <c r="A499" s="68">
        <v>1</v>
      </c>
      <c r="B499" s="10"/>
      <c r="C499" s="10"/>
      <c r="D499" s="10"/>
      <c r="E499" s="14" t="s">
        <v>5</v>
      </c>
      <c r="F499" s="11" t="e">
        <f>VLOOKUP(C497,Tbl_Button_Display_ASSTS,13,FALSE)</f>
        <v>#N/A</v>
      </c>
      <c r="G499" s="10"/>
      <c r="H499" s="10"/>
      <c r="I499" s="10"/>
      <c r="J499" s="14"/>
      <c r="K499" s="10"/>
      <c r="L499" s="10"/>
    </row>
    <row r="500" spans="1:12" ht="14.25" hidden="1" outlineLevel="2">
      <c r="A500" s="68">
        <v>1</v>
      </c>
      <c r="B500" s="10"/>
      <c r="C500" s="10"/>
      <c r="D500" s="10"/>
      <c r="E500" s="10"/>
      <c r="F500" s="83"/>
      <c r="G500" s="10" t="str">
        <f>HP_ModSta</f>
        <v>DATC_HtrPmpModSta</v>
      </c>
      <c r="H500" s="47" t="e">
        <f>VLOOKUP(C497,Tbl_Button_Display_ASSTS,71,FALSE)</f>
        <v>#N/A</v>
      </c>
      <c r="I500" s="45" t="e">
        <f>(IF(H500="","",VLOOKUP(H500,Tbl_HP_Cycle,2,FALSE)))</f>
        <v>#N/A</v>
      </c>
      <c r="J500" s="10"/>
      <c r="K500" s="10"/>
      <c r="L500" s="10"/>
    </row>
    <row r="501" spans="1:12" ht="14.25" hidden="1" outlineLevel="2">
      <c r="A501" s="68">
        <v>1</v>
      </c>
      <c r="B501" s="10"/>
      <c r="C501" s="10"/>
      <c r="D501" s="10"/>
      <c r="E501" s="10"/>
      <c r="F501" s="10"/>
      <c r="G501" s="10" t="str">
        <f>PeEwpRPMReq</f>
        <v>DATC_PeEwpRPMReq</v>
      </c>
      <c r="H501" s="10"/>
      <c r="I501" s="46" t="e">
        <f>VLOOKUP(C497,Tbl_Button_Display_ASSTS,76,FALSE)</f>
        <v>#N/A</v>
      </c>
      <c r="J501" s="10"/>
      <c r="K501" s="10"/>
      <c r="L501" s="10"/>
    </row>
    <row r="502" spans="1:12" ht="14.25" hidden="1" outlineLevel="1">
      <c r="A502" s="68">
        <v>1</v>
      </c>
      <c r="B502" s="10"/>
      <c r="C502" s="10"/>
      <c r="D502" s="10"/>
      <c r="E502" s="10"/>
      <c r="F502" s="10"/>
      <c r="G502" s="10" t="str">
        <f>BatteryEWPOper</f>
        <v>DATC_BattEwpOpReq</v>
      </c>
      <c r="H502" s="10"/>
      <c r="I502" s="46" t="e">
        <f>VLOOKUP(C497,Tbl_Button_Display_ASSTS,73,FALSE)</f>
        <v>#N/A</v>
      </c>
      <c r="J502" s="10"/>
      <c r="K502" s="10"/>
      <c r="L502" s="10"/>
    </row>
    <row r="503" spans="1:12" ht="14.25" customHeight="1" outlineLevel="2">
      <c r="A503" s="70">
        <v>1</v>
      </c>
      <c r="B503" s="38" t="s">
        <v>142</v>
      </c>
      <c r="C503" s="38" t="s">
        <v>1227</v>
      </c>
      <c r="D503" s="38" t="e">
        <f>CONCATENATE(E504," = ",F504," 설정 시, ",G507," = ",I507,"rpm, ",G508," = ",I508,"rpm 출력 확인")</f>
        <v>#N/A</v>
      </c>
      <c r="E503" s="38"/>
      <c r="F503" s="38"/>
      <c r="G503" s="38"/>
      <c r="H503" s="38"/>
      <c r="I503" s="38"/>
      <c r="J503" s="38"/>
      <c r="K503" s="38"/>
      <c r="L503" s="38"/>
    </row>
    <row r="504" spans="1:12" ht="14.25" hidden="1" outlineLevel="2">
      <c r="A504" s="68">
        <v>1</v>
      </c>
      <c r="B504" s="10"/>
      <c r="C504" s="10"/>
      <c r="D504" s="10"/>
      <c r="E504" s="99" t="e">
        <f>VLOOKUP(C503,Tbl_Button_Display_ASSTS,11,FALSE)</f>
        <v>#N/A</v>
      </c>
      <c r="F504" s="11" t="e">
        <f>VLOOKUP(C503,Tbl_Button_Display_ASSTS,12,FALSE)</f>
        <v>#N/A</v>
      </c>
      <c r="G504" s="10"/>
      <c r="H504" s="10"/>
      <c r="I504" s="10"/>
      <c r="J504" s="14"/>
      <c r="K504" s="10"/>
      <c r="L504" s="10"/>
    </row>
    <row r="505" spans="1:12" ht="14.25" hidden="1" outlineLevel="2">
      <c r="A505" s="68">
        <v>1</v>
      </c>
      <c r="B505" s="10"/>
      <c r="C505" s="10"/>
      <c r="D505" s="10"/>
      <c r="E505" s="14" t="s">
        <v>5</v>
      </c>
      <c r="F505" s="11" t="e">
        <f>VLOOKUP(C503,Tbl_Button_Display_ASSTS,13,FALSE)</f>
        <v>#N/A</v>
      </c>
      <c r="G505" s="10"/>
      <c r="H505" s="10"/>
      <c r="I505" s="10"/>
      <c r="J505" s="14"/>
      <c r="K505" s="10"/>
      <c r="L505" s="10"/>
    </row>
    <row r="506" spans="1:12" ht="14.25" hidden="1" outlineLevel="2">
      <c r="A506" s="68">
        <v>1</v>
      </c>
      <c r="B506" s="10"/>
      <c r="C506" s="10"/>
      <c r="D506" s="10"/>
      <c r="E506" s="10"/>
      <c r="F506" s="83"/>
      <c r="G506" s="10" t="str">
        <f>HP_ModSta</f>
        <v>DATC_HtrPmpModSta</v>
      </c>
      <c r="H506" s="47" t="e">
        <f>VLOOKUP(C503,Tbl_Button_Display_ASSTS,71,FALSE)</f>
        <v>#N/A</v>
      </c>
      <c r="I506" s="45" t="e">
        <f>(IF(H506="","",VLOOKUP(H506,Tbl_HP_Cycle,2,FALSE)))</f>
        <v>#N/A</v>
      </c>
      <c r="J506" s="10"/>
      <c r="K506" s="10"/>
      <c r="L506" s="10"/>
    </row>
    <row r="507" spans="1:12" ht="14.25" hidden="1" outlineLevel="2">
      <c r="A507" s="68">
        <v>1</v>
      </c>
      <c r="B507" s="10"/>
      <c r="C507" s="10"/>
      <c r="D507" s="10"/>
      <c r="E507" s="10"/>
      <c r="F507" s="10"/>
      <c r="G507" s="10" t="str">
        <f>PeEwpRPMReq</f>
        <v>DATC_PeEwpRPMReq</v>
      </c>
      <c r="H507" s="10"/>
      <c r="I507" s="46" t="e">
        <f>VLOOKUP(C503,Tbl_Button_Display_ASSTS,76,FALSE)</f>
        <v>#N/A</v>
      </c>
      <c r="J507" s="10"/>
      <c r="K507" s="10"/>
      <c r="L507" s="10"/>
    </row>
    <row r="508" spans="1:12" ht="14.25" hidden="1" outlineLevel="1">
      <c r="A508" s="68">
        <v>1</v>
      </c>
      <c r="B508" s="10"/>
      <c r="C508" s="10"/>
      <c r="D508" s="10"/>
      <c r="E508" s="10"/>
      <c r="F508" s="10"/>
      <c r="G508" s="10" t="str">
        <f>BatteryEWPOper</f>
        <v>DATC_BattEwpOpReq</v>
      </c>
      <c r="H508" s="10"/>
      <c r="I508" s="46" t="e">
        <f>VLOOKUP(C503,Tbl_Button_Display_ASSTS,73,FALSE)</f>
        <v>#N/A</v>
      </c>
      <c r="J508" s="10"/>
      <c r="K508" s="10"/>
      <c r="L508" s="10"/>
    </row>
    <row r="509" spans="1:12" ht="14.25" customHeight="1" outlineLevel="2">
      <c r="A509" s="70">
        <v>1</v>
      </c>
      <c r="B509" s="38" t="s">
        <v>142</v>
      </c>
      <c r="C509" s="38" t="s">
        <v>1228</v>
      </c>
      <c r="D509" s="38" t="e">
        <f>CONCATENATE(E510," ",F510,"회 선택 시, ",G513," = ",I513,", ",G514," = ",I514," 확인")</f>
        <v>#N/A</v>
      </c>
      <c r="E509" s="38"/>
      <c r="F509" s="38"/>
      <c r="G509" s="38"/>
      <c r="H509" s="38"/>
      <c r="I509" s="38"/>
      <c r="J509" s="38"/>
      <c r="K509" s="38"/>
      <c r="L509" s="38"/>
    </row>
    <row r="510" spans="1:12" ht="14.25" hidden="1" outlineLevel="2">
      <c r="A510" s="68">
        <v>1</v>
      </c>
      <c r="B510" s="10"/>
      <c r="C510" s="10"/>
      <c r="D510" s="10"/>
      <c r="E510" s="99" t="e">
        <f>VLOOKUP(C509,Tbl_Button_Display_ASSTS,11,FALSE)</f>
        <v>#N/A</v>
      </c>
      <c r="F510" s="11" t="e">
        <f>VLOOKUP(C509,Tbl_Button_Display_ASSTS,12,FALSE)</f>
        <v>#N/A</v>
      </c>
      <c r="G510" s="10"/>
      <c r="H510" s="10"/>
      <c r="I510" s="10"/>
      <c r="J510" s="14"/>
      <c r="K510" s="10"/>
      <c r="L510" s="10"/>
    </row>
    <row r="511" spans="1:12" ht="14.25" hidden="1" outlineLevel="2">
      <c r="A511" s="68">
        <v>1</v>
      </c>
      <c r="B511" s="10"/>
      <c r="C511" s="10"/>
      <c r="D511" s="10"/>
      <c r="E511" s="14" t="s">
        <v>5</v>
      </c>
      <c r="F511" s="11" t="e">
        <f>VLOOKUP(C509,Tbl_Button_Display_ASSTS,13,FALSE)</f>
        <v>#N/A</v>
      </c>
      <c r="G511" s="10"/>
      <c r="H511" s="10"/>
      <c r="I511" s="10"/>
      <c r="J511" s="10"/>
      <c r="K511" s="10"/>
      <c r="L511" s="10"/>
    </row>
    <row r="512" spans="1:12" ht="14.25" hidden="1" outlineLevel="2">
      <c r="A512" s="68">
        <v>1</v>
      </c>
      <c r="B512" s="10"/>
      <c r="C512" s="10"/>
      <c r="D512" s="10"/>
      <c r="E512" s="10"/>
      <c r="F512" s="83"/>
      <c r="G512" s="10" t="str">
        <f>HP_ModSta</f>
        <v>DATC_HtrPmpModSta</v>
      </c>
      <c r="H512" s="47" t="e">
        <f>VLOOKUP(C509,Tbl_Button_Display_ASSTS,71,FALSE)</f>
        <v>#N/A</v>
      </c>
      <c r="I512" s="45" t="e">
        <f>(IF(H512="","",VLOOKUP(H512,Tbl_HP_Cycle,2,FALSE)))</f>
        <v>#N/A</v>
      </c>
      <c r="J512" s="10"/>
      <c r="K512" s="10"/>
      <c r="L512" s="10"/>
    </row>
    <row r="513" spans="1:12" ht="14.25" hidden="1" outlineLevel="2">
      <c r="A513" s="68">
        <v>1</v>
      </c>
      <c r="B513" s="10"/>
      <c r="C513" s="10"/>
      <c r="D513" s="10"/>
      <c r="E513" s="10"/>
      <c r="F513" s="10"/>
      <c r="G513" s="10" t="str">
        <f>PeEwpRPMReq</f>
        <v>DATC_PeEwpRPMReq</v>
      </c>
      <c r="H513" s="10"/>
      <c r="I513" s="46" t="e">
        <f>VLOOKUP(C509,Tbl_Button_Display_ASSTS,76,FALSE)</f>
        <v>#N/A</v>
      </c>
      <c r="J513" s="10"/>
      <c r="K513" s="10"/>
      <c r="L513" s="10"/>
    </row>
    <row r="514" spans="1:12" ht="14.25" hidden="1" outlineLevel="1">
      <c r="A514" s="68">
        <v>1</v>
      </c>
      <c r="B514" s="10"/>
      <c r="C514" s="10"/>
      <c r="D514" s="10"/>
      <c r="E514" s="10"/>
      <c r="F514" s="10"/>
      <c r="G514" s="10" t="str">
        <f>BatteryEWPOper</f>
        <v>DATC_BattEwpOpReq</v>
      </c>
      <c r="H514" s="10"/>
      <c r="I514" s="46" t="e">
        <f>VLOOKUP(C509,Tbl_Button_Display_ASSTS,73,FALSE)</f>
        <v>#N/A</v>
      </c>
      <c r="J514" s="10"/>
      <c r="K514" s="10"/>
      <c r="L514" s="10"/>
    </row>
    <row r="515" spans="1:12" ht="13.35" customHeight="1" outlineLevel="2">
      <c r="A515" s="70">
        <v>1</v>
      </c>
      <c r="B515" s="38" t="s">
        <v>142</v>
      </c>
      <c r="C515" s="38" t="s">
        <v>1229</v>
      </c>
      <c r="D515" s="38" t="e">
        <f>CONCATENATE(I518," 모드 일 때, ",G519," = ",I519,"rpm, ",G520," = ",I520,"rpm 출력 확인")</f>
        <v>#N/A</v>
      </c>
      <c r="E515" s="38"/>
      <c r="F515" s="38"/>
      <c r="G515" s="38"/>
      <c r="H515" s="38"/>
      <c r="I515" s="38"/>
      <c r="J515" s="38"/>
      <c r="K515" s="38"/>
      <c r="L515" s="38"/>
    </row>
    <row r="516" spans="1:12" ht="14.25" hidden="1" outlineLevel="2">
      <c r="A516" s="68">
        <v>1</v>
      </c>
      <c r="B516" s="10"/>
      <c r="C516" s="10"/>
      <c r="D516" s="10"/>
      <c r="E516" s="99" t="e">
        <f>VLOOKUP(C515,Tbl_Button_Display_ASSTS,11,FALSE)</f>
        <v>#N/A</v>
      </c>
      <c r="F516" s="11" t="e">
        <f>VLOOKUP(C515,Tbl_Button_Display_ASSTS,12,FALSE)</f>
        <v>#N/A</v>
      </c>
      <c r="G516" s="10"/>
      <c r="H516" s="10"/>
      <c r="I516" s="10"/>
      <c r="J516" s="14"/>
      <c r="K516" s="10"/>
      <c r="L516" s="10"/>
    </row>
    <row r="517" spans="1:12" ht="14.25" hidden="1" outlineLevel="2">
      <c r="A517" s="68">
        <v>1</v>
      </c>
      <c r="B517" s="10"/>
      <c r="C517" s="10"/>
      <c r="D517" s="10"/>
      <c r="E517" s="14" t="s">
        <v>5</v>
      </c>
      <c r="F517" s="11" t="e">
        <f>VLOOKUP(C515,Tbl_Button_Display_ASSTS,13,FALSE)</f>
        <v>#N/A</v>
      </c>
      <c r="G517" s="10"/>
      <c r="H517" s="10"/>
      <c r="I517" s="10"/>
      <c r="J517" s="14"/>
      <c r="K517" s="10"/>
      <c r="L517" s="10"/>
    </row>
    <row r="518" spans="1:12" ht="14.25" hidden="1" outlineLevel="2">
      <c r="A518" s="68">
        <v>1</v>
      </c>
      <c r="B518" s="10"/>
      <c r="C518" s="10"/>
      <c r="D518" s="10"/>
      <c r="E518" s="10"/>
      <c r="F518" s="83"/>
      <c r="G518" s="10" t="str">
        <f>HP_ModSta</f>
        <v>DATC_HtrPmpModSta</v>
      </c>
      <c r="H518" s="47" t="e">
        <f>VLOOKUP(C515,Tbl_Button_Display_ASSTS,71,FALSE)</f>
        <v>#N/A</v>
      </c>
      <c r="I518" s="45" t="e">
        <f>(IF(H518="","",VLOOKUP(H518,Tbl_HP_Cycle,2,FALSE)))</f>
        <v>#N/A</v>
      </c>
      <c r="J518" s="10"/>
      <c r="K518" s="10"/>
      <c r="L518" s="10"/>
    </row>
    <row r="519" spans="1:12" ht="14.25" hidden="1" outlineLevel="2">
      <c r="A519" s="68">
        <v>1</v>
      </c>
      <c r="B519" s="10"/>
      <c r="C519" s="10"/>
      <c r="D519" s="10"/>
      <c r="E519" s="10"/>
      <c r="F519" s="10"/>
      <c r="G519" s="10" t="str">
        <f>PeEwpRPMReq</f>
        <v>DATC_PeEwpRPMReq</v>
      </c>
      <c r="H519" s="10"/>
      <c r="I519" s="46" t="e">
        <f>VLOOKUP(C515,Tbl_Button_Display_ASSTS,76,FALSE)</f>
        <v>#N/A</v>
      </c>
      <c r="J519" s="10"/>
      <c r="K519" s="10"/>
      <c r="L519" s="10"/>
    </row>
    <row r="520" spans="1:12" ht="14.25" hidden="1" outlineLevel="1">
      <c r="A520" s="68">
        <v>1</v>
      </c>
      <c r="B520" s="10"/>
      <c r="C520" s="10"/>
      <c r="D520" s="10"/>
      <c r="E520" s="10"/>
      <c r="F520" s="10"/>
      <c r="G520" s="10" t="str">
        <f>BatteryEWPOper</f>
        <v>DATC_BattEwpOpReq</v>
      </c>
      <c r="H520" s="10"/>
      <c r="I520" s="46" t="e">
        <f>VLOOKUP(C515,Tbl_Button_Display_ASSTS,73,FALSE)</f>
        <v>#N/A</v>
      </c>
      <c r="J520" s="10"/>
      <c r="K520" s="10"/>
      <c r="L520" s="10"/>
    </row>
    <row r="521" spans="1:12" ht="14.25" customHeight="1" outlineLevel="2">
      <c r="A521" s="101">
        <v>1</v>
      </c>
      <c r="B521" s="102" t="s">
        <v>7</v>
      </c>
      <c r="C521" s="102" t="s">
        <v>1230</v>
      </c>
      <c r="D521" s="102" t="e">
        <f>VLOOKUP(C521,Tbl_Button_Display_ASSTS, 2,FALSE)</f>
        <v>#N/A</v>
      </c>
      <c r="E521" s="102"/>
      <c r="F521" s="102"/>
      <c r="G521" s="102"/>
      <c r="H521" s="102"/>
      <c r="I521" s="102"/>
      <c r="J521" s="102"/>
      <c r="K521" s="102"/>
      <c r="L521" s="102"/>
    </row>
    <row r="522" spans="1:12" ht="16.5" customHeight="1" outlineLevel="2">
      <c r="A522" s="103">
        <v>1</v>
      </c>
      <c r="B522" s="104" t="s">
        <v>38</v>
      </c>
      <c r="C522" s="104" t="s">
        <v>1231</v>
      </c>
      <c r="D522" s="104" t="s">
        <v>1254</v>
      </c>
      <c r="E522" s="104"/>
      <c r="F522" s="104"/>
      <c r="G522" s="104"/>
      <c r="H522" s="104"/>
      <c r="I522" s="104"/>
      <c r="J522" s="104"/>
      <c r="K522" s="104"/>
      <c r="L522" s="104"/>
    </row>
    <row r="523" spans="1:12" ht="16.5" hidden="1" outlineLevel="2">
      <c r="A523" s="68">
        <v>1</v>
      </c>
      <c r="B523" s="10"/>
      <c r="C523" s="10"/>
      <c r="D523" s="10"/>
      <c r="E523" s="99" t="e">
        <f>Amb_IN</f>
        <v>#NAME?</v>
      </c>
      <c r="F523" s="63" t="e">
        <f>VINTERPOLATION(VLOOKUP(C522,Tbl_Button_Display_ASSTS,3,FALSE),Tbl_Amb_Sensor,3)</f>
        <v>#VALUE!</v>
      </c>
      <c r="G523" s="185"/>
      <c r="H523" s="10"/>
      <c r="I523" s="10"/>
      <c r="J523" s="10"/>
      <c r="K523" s="10"/>
      <c r="L523" s="10"/>
    </row>
    <row r="524" spans="1:12" ht="14.25" hidden="1" outlineLevel="2">
      <c r="A524" s="68">
        <v>1</v>
      </c>
      <c r="B524" s="10"/>
      <c r="C524" s="10"/>
      <c r="D524" s="10"/>
      <c r="E524" s="228" t="str">
        <f>Main_Relay_Sta</f>
        <v>xEV_MainRlyOnSta</v>
      </c>
      <c r="F524" s="11">
        <v>1</v>
      </c>
      <c r="G524" s="229"/>
      <c r="H524" s="10"/>
      <c r="I524" s="10"/>
      <c r="J524" s="14"/>
      <c r="K524" s="10"/>
      <c r="L524" s="10"/>
    </row>
    <row r="525" spans="1:12" ht="14.25" hidden="1" outlineLevel="2">
      <c r="A525" s="68">
        <v>1</v>
      </c>
      <c r="B525" s="10"/>
      <c r="C525" s="10"/>
      <c r="D525" s="10"/>
      <c r="E525" s="228" t="str">
        <f>WaterCooling_ROTV</f>
        <v>xEV_RadOutTempVal</v>
      </c>
      <c r="F525" s="11">
        <v>10</v>
      </c>
      <c r="G525" s="229"/>
      <c r="H525" s="10"/>
      <c r="I525" s="10"/>
      <c r="J525" s="14"/>
      <c r="K525" s="10"/>
      <c r="L525" s="10"/>
    </row>
    <row r="526" spans="1:12" ht="14.25" hidden="1" outlineLevel="1">
      <c r="A526" s="68">
        <v>1</v>
      </c>
      <c r="B526" s="10"/>
      <c r="C526" s="10"/>
      <c r="D526" s="10"/>
      <c r="E526" s="228" t="str">
        <f>P_SIGNAL_COMP_OUT</f>
        <v>Snr_P SIGNAL_COMP OUT(PSI)_IN</v>
      </c>
      <c r="F526" s="11">
        <v>80</v>
      </c>
      <c r="G526" s="10"/>
      <c r="H526" s="10"/>
      <c r="I526" s="10"/>
      <c r="J526" s="10"/>
      <c r="K526" s="10"/>
      <c r="L526" s="10"/>
    </row>
    <row r="527" spans="1:12" ht="14.25" hidden="1" outlineLevel="2">
      <c r="A527" s="68">
        <v>1</v>
      </c>
      <c r="B527" s="10"/>
      <c r="C527" s="10"/>
      <c r="D527" s="10"/>
      <c r="E527" s="99" t="e">
        <f>VLOOKUP(C522,Tbl_Button_Display_ASSTS,11,FALSE)</f>
        <v>#N/A</v>
      </c>
      <c r="F527" s="11" t="e">
        <f>VLOOKUP(C522,Tbl_Button_Display_ASSTS,12,FALSE)</f>
        <v>#N/A</v>
      </c>
      <c r="G527" s="10"/>
      <c r="H527" s="10"/>
      <c r="I527" s="10"/>
      <c r="J527" s="10"/>
      <c r="K527" s="10"/>
      <c r="L527" s="10"/>
    </row>
    <row r="528" spans="1:12" ht="14.25" hidden="1" outlineLevel="2">
      <c r="A528" s="68">
        <v>1</v>
      </c>
      <c r="B528" s="10"/>
      <c r="C528" s="10"/>
      <c r="D528" s="10"/>
      <c r="E528" s="14" t="s">
        <v>1274</v>
      </c>
      <c r="F528" s="11" t="s">
        <v>1275</v>
      </c>
      <c r="G528" s="10"/>
      <c r="H528" s="10"/>
      <c r="I528" s="10"/>
      <c r="J528" s="10"/>
      <c r="K528" s="10"/>
      <c r="L528" s="10"/>
    </row>
    <row r="529" spans="1:12" ht="14.25" hidden="1" outlineLevel="2">
      <c r="A529" s="68">
        <v>1</v>
      </c>
      <c r="B529" s="10"/>
      <c r="C529" s="10"/>
      <c r="D529" s="10"/>
      <c r="E529" s="14" t="s">
        <v>5</v>
      </c>
      <c r="F529" s="11" t="e">
        <f>VLOOKUP(C522,Tbl_Button_Display_ASSTS,13,FALSE)</f>
        <v>#N/A</v>
      </c>
      <c r="G529" s="10"/>
      <c r="H529" s="10"/>
      <c r="I529" s="10"/>
      <c r="J529" s="10"/>
      <c r="K529" s="10"/>
      <c r="L529" s="10"/>
    </row>
    <row r="530" spans="1:12" ht="14.25" hidden="1" outlineLevel="2">
      <c r="A530" s="68">
        <v>1</v>
      </c>
      <c r="B530" s="10"/>
      <c r="C530" s="10"/>
      <c r="D530" s="10"/>
      <c r="E530" s="10"/>
      <c r="F530" s="83"/>
      <c r="G530" s="10" t="e">
        <f>Amb_OUT</f>
        <v>#NAME?</v>
      </c>
      <c r="H530" s="10"/>
      <c r="I530" s="12" t="e">
        <f>VLOOKUP(C522,Tbl_Button_Display_ASSTS,3,FALSE)</f>
        <v>#N/A</v>
      </c>
      <c r="J530" s="10"/>
      <c r="K530" s="10"/>
      <c r="L530" s="10"/>
    </row>
    <row r="531" spans="1:12" ht="14.25" hidden="1" outlineLevel="2">
      <c r="A531" s="68">
        <v>1</v>
      </c>
      <c r="B531" s="10"/>
      <c r="C531" s="10"/>
      <c r="D531" s="10"/>
      <c r="E531" s="10"/>
      <c r="F531" s="83"/>
      <c r="G531" s="10" t="str">
        <f>HP_ModSta</f>
        <v>DATC_HtrPmpModSta</v>
      </c>
      <c r="H531" s="47" t="e">
        <f>VLOOKUP(C522,Tbl_Button_Display_ASSTS,71,FALSE)</f>
        <v>#N/A</v>
      </c>
      <c r="I531" s="45" t="e">
        <f>(IF(H531="","",VLOOKUP(H531,Tbl_HP_Cycle,2,FALSE)))</f>
        <v>#N/A</v>
      </c>
      <c r="J531" s="10"/>
      <c r="K531" s="10"/>
      <c r="L531" s="10"/>
    </row>
    <row r="532" spans="1:12" ht="14.25" hidden="1">
      <c r="A532" s="68">
        <v>1</v>
      </c>
      <c r="B532" s="10"/>
      <c r="C532" s="10"/>
      <c r="D532" s="10"/>
      <c r="E532" s="10"/>
      <c r="F532" s="10"/>
      <c r="G532" s="10" t="str">
        <f>PeEwpRPMReq</f>
        <v>DATC_PeEwpRPMReq</v>
      </c>
      <c r="H532" s="10"/>
      <c r="I532" s="12" t="e">
        <f>VLOOKUP(C522,Tbl_Button_Display_ASSTS,76,FALSE)</f>
        <v>#N/A</v>
      </c>
      <c r="J532" s="10"/>
      <c r="K532" s="10"/>
      <c r="L532" s="10"/>
    </row>
    <row r="533" spans="1:12" ht="14.25" hidden="1" collapsed="1">
      <c r="A533" s="68">
        <v>1</v>
      </c>
      <c r="B533" s="10"/>
      <c r="C533" s="10"/>
      <c r="D533" s="10"/>
      <c r="E533" s="10"/>
      <c r="F533" s="10"/>
      <c r="G533" s="10" t="str">
        <f>BatteryEWPOper</f>
        <v>DATC_BattEwpOpReq</v>
      </c>
      <c r="H533" s="10"/>
      <c r="I533" s="12" t="e">
        <f>VLOOKUP(C522,Tbl_Button_Display_ASSTS,73,FALSE)</f>
        <v>#N/A</v>
      </c>
      <c r="J533" s="10"/>
      <c r="K533" s="10"/>
      <c r="L533" s="10"/>
    </row>
    <row r="534" spans="1:12" ht="14.25" customHeight="1" outlineLevel="1">
      <c r="A534" s="70">
        <v>1</v>
      </c>
      <c r="B534" s="38" t="s">
        <v>142</v>
      </c>
      <c r="C534" s="38" t="s">
        <v>1232</v>
      </c>
      <c r="D534" s="38" t="e">
        <f>CONCATENATE(E535," ",F535,"회 선택 시, ",G539," = ",I539,"rpm, ",G540," = ",I540,"rpm 출력 확인")</f>
        <v>#N/A</v>
      </c>
      <c r="E534" s="38"/>
      <c r="F534" s="38"/>
      <c r="G534" s="38"/>
      <c r="H534" s="38"/>
      <c r="I534" s="38"/>
      <c r="J534" s="38"/>
      <c r="K534" s="38"/>
      <c r="L534" s="38"/>
    </row>
    <row r="535" spans="1:12" ht="14.25" hidden="1" outlineLevel="2">
      <c r="A535" s="68">
        <v>1</v>
      </c>
      <c r="B535" s="10"/>
      <c r="C535" s="10"/>
      <c r="D535" s="10"/>
      <c r="E535" s="99" t="e">
        <f>VLOOKUP(C534,Tbl_Button_Display_ASSTS,11,FALSE)</f>
        <v>#N/A</v>
      </c>
      <c r="F535" s="11" t="e">
        <f>VLOOKUP(C534,Tbl_Button_Display_ASSTS,12,FALSE)</f>
        <v>#N/A</v>
      </c>
      <c r="G535" s="10"/>
      <c r="H535" s="10"/>
      <c r="I535" s="10"/>
      <c r="J535" s="14"/>
      <c r="K535" s="10"/>
      <c r="L535" s="10"/>
    </row>
    <row r="536" spans="1:12" ht="14.25" hidden="1" outlineLevel="2">
      <c r="A536" s="68">
        <v>1</v>
      </c>
      <c r="B536" s="10"/>
      <c r="C536" s="10"/>
      <c r="D536" s="10"/>
      <c r="E536" s="14" t="s">
        <v>5</v>
      </c>
      <c r="F536" s="11" t="e">
        <f>VLOOKUP(C534,Tbl_Button_Display_ASSTS,13,FALSE)</f>
        <v>#N/A</v>
      </c>
      <c r="G536" s="10"/>
      <c r="H536" s="10"/>
      <c r="I536" s="10"/>
      <c r="J536" s="10"/>
      <c r="K536" s="10"/>
      <c r="L536" s="10"/>
    </row>
    <row r="537" spans="1:12" ht="14.25" hidden="1" outlineLevel="2">
      <c r="A537" s="68">
        <v>1</v>
      </c>
      <c r="B537" s="10"/>
      <c r="C537" s="10"/>
      <c r="D537" s="10"/>
      <c r="E537" s="10"/>
      <c r="F537" s="83"/>
      <c r="G537" s="10" t="e">
        <f>FrontBlwDisp</f>
        <v>#NAME?</v>
      </c>
      <c r="H537" s="10"/>
      <c r="I537" s="46" t="e">
        <f>VLOOKUP(C534,Tbl_Button_Display_ASSTS,23,FALSE)</f>
        <v>#N/A</v>
      </c>
      <c r="J537" s="10"/>
      <c r="K537" s="10"/>
      <c r="L537" s="10"/>
    </row>
    <row r="538" spans="1:12" ht="14.25" hidden="1" outlineLevel="2">
      <c r="A538" s="68">
        <v>1</v>
      </c>
      <c r="B538" s="10"/>
      <c r="C538" s="10"/>
      <c r="D538" s="10"/>
      <c r="E538" s="10"/>
      <c r="F538" s="83"/>
      <c r="G538" s="10" t="str">
        <f>HP_ModSta</f>
        <v>DATC_HtrPmpModSta</v>
      </c>
      <c r="H538" s="47" t="e">
        <f>VLOOKUP(C534,Tbl_Button_Display_ASSTS,71,FALSE)</f>
        <v>#N/A</v>
      </c>
      <c r="I538" s="45" t="e">
        <f>(IF(H538="","",VLOOKUP(H538,Tbl_HP_Cycle,2,FALSE)))</f>
        <v>#N/A</v>
      </c>
      <c r="J538" s="10"/>
      <c r="K538" s="10"/>
      <c r="L538" s="10"/>
    </row>
    <row r="539" spans="1:12" ht="14.25" hidden="1" outlineLevel="1">
      <c r="A539" s="68">
        <v>1</v>
      </c>
      <c r="B539" s="10"/>
      <c r="C539" s="10"/>
      <c r="D539" s="10"/>
      <c r="E539" s="10"/>
      <c r="F539" s="10"/>
      <c r="G539" s="10" t="str">
        <f>PeEwpRPMReq</f>
        <v>DATC_PeEwpRPMReq</v>
      </c>
      <c r="H539" s="10"/>
      <c r="I539" s="12" t="e">
        <f>VLOOKUP(C534,Tbl_Button_Display_ASSTS,76,FALSE)</f>
        <v>#N/A</v>
      </c>
      <c r="J539" s="10"/>
      <c r="K539" s="10"/>
      <c r="L539" s="10"/>
    </row>
    <row r="540" spans="1:12" ht="14.25" hidden="1" outlineLevel="2">
      <c r="A540" s="68">
        <v>1</v>
      </c>
      <c r="B540" s="10"/>
      <c r="C540" s="10"/>
      <c r="D540" s="10"/>
      <c r="E540" s="10"/>
      <c r="F540" s="10"/>
      <c r="G540" s="10" t="str">
        <f>BatteryEWPOper</f>
        <v>DATC_BattEwpOpReq</v>
      </c>
      <c r="H540" s="10"/>
      <c r="I540" s="12" t="e">
        <f>VLOOKUP(C534,Tbl_Button_Display_ASSTS,73,FALSE)</f>
        <v>#N/A</v>
      </c>
      <c r="J540" s="10"/>
      <c r="K540" s="10"/>
      <c r="L540" s="10"/>
    </row>
    <row r="541" spans="1:12" ht="14.25" customHeight="1" outlineLevel="2">
      <c r="A541" s="70">
        <v>1</v>
      </c>
      <c r="B541" s="38" t="s">
        <v>142</v>
      </c>
      <c r="C541" s="38" t="s">
        <v>1233</v>
      </c>
      <c r="D541" s="38" t="e">
        <f>CONCATENATE(E542," = ",F542," 설정 시, ",G546," = ",I546,"rpm, ",G547," = ",I547,"rpm 출력 확인")</f>
        <v>#N/A</v>
      </c>
      <c r="E541" s="38"/>
      <c r="F541" s="38"/>
      <c r="G541" s="38"/>
      <c r="H541" s="38"/>
      <c r="I541" s="38"/>
      <c r="J541" s="38"/>
      <c r="K541" s="38"/>
      <c r="L541" s="38"/>
    </row>
    <row r="542" spans="1:12" ht="14.25" hidden="1" outlineLevel="2">
      <c r="A542" s="68">
        <v>1</v>
      </c>
      <c r="B542" s="10"/>
      <c r="C542" s="10"/>
      <c r="D542" s="10"/>
      <c r="E542" s="99" t="e">
        <f>VLOOKUP(C541,Tbl_Button_Display_ASSTS,11,FALSE)</f>
        <v>#N/A</v>
      </c>
      <c r="F542" s="11" t="e">
        <f>VLOOKUP(C541,Tbl_Button_Display_ASSTS,12,FALSE)</f>
        <v>#N/A</v>
      </c>
      <c r="G542" s="10"/>
      <c r="H542" s="10"/>
      <c r="I542" s="10"/>
      <c r="J542" s="14"/>
      <c r="K542" s="10"/>
      <c r="L542" s="10"/>
    </row>
    <row r="543" spans="1:12" ht="14.25" hidden="1" outlineLevel="2">
      <c r="A543" s="68">
        <v>1</v>
      </c>
      <c r="B543" s="10"/>
      <c r="C543" s="10"/>
      <c r="D543" s="10"/>
      <c r="E543" s="14" t="s">
        <v>5</v>
      </c>
      <c r="F543" s="11" t="e">
        <f>VLOOKUP(C541,Tbl_Button_Display_ASSTS,13,FALSE)</f>
        <v>#N/A</v>
      </c>
      <c r="G543" s="10"/>
      <c r="H543" s="10"/>
      <c r="I543" s="10"/>
      <c r="J543" s="10"/>
      <c r="K543" s="10"/>
      <c r="L543" s="10"/>
    </row>
    <row r="544" spans="1:12" ht="14.25" hidden="1" outlineLevel="1">
      <c r="A544" s="68">
        <v>1</v>
      </c>
      <c r="B544" s="10"/>
      <c r="C544" s="10"/>
      <c r="D544" s="10"/>
      <c r="E544" s="10"/>
      <c r="F544" s="83"/>
      <c r="G544" s="10" t="e">
        <f>FrontBlwDisp</f>
        <v>#NAME?</v>
      </c>
      <c r="H544" s="10"/>
      <c r="I544" s="46" t="e">
        <f>VLOOKUP(C541,Tbl_Button_Display_ASSTS,23,FALSE)</f>
        <v>#N/A</v>
      </c>
      <c r="J544" s="10"/>
      <c r="K544" s="10"/>
      <c r="L544" s="10"/>
    </row>
    <row r="545" spans="1:12" ht="14.25" hidden="1" outlineLevel="2">
      <c r="A545" s="68">
        <v>1</v>
      </c>
      <c r="B545" s="10"/>
      <c r="C545" s="10"/>
      <c r="D545" s="10"/>
      <c r="E545" s="10"/>
      <c r="F545" s="83"/>
      <c r="G545" s="10" t="str">
        <f>HP_ModSta</f>
        <v>DATC_HtrPmpModSta</v>
      </c>
      <c r="H545" s="47" t="e">
        <f>VLOOKUP(C541,Tbl_Button_Display_ASSTS,71,FALSE)</f>
        <v>#N/A</v>
      </c>
      <c r="I545" s="45" t="e">
        <f>(IF(H545="","",VLOOKUP(H545,Tbl_HP_Cycle,2,FALSE)))</f>
        <v>#N/A</v>
      </c>
      <c r="J545" s="10"/>
      <c r="K545" s="10"/>
      <c r="L545" s="10"/>
    </row>
    <row r="546" spans="1:12" ht="14.25" hidden="1" outlineLevel="2">
      <c r="A546" s="68">
        <v>1</v>
      </c>
      <c r="B546" s="10"/>
      <c r="C546" s="10"/>
      <c r="D546" s="10"/>
      <c r="E546" s="10"/>
      <c r="F546" s="10"/>
      <c r="G546" s="10" t="str">
        <f>PeEwpRPMReq</f>
        <v>DATC_PeEwpRPMReq</v>
      </c>
      <c r="H546" s="10"/>
      <c r="I546" s="12" t="e">
        <f>VLOOKUP(C541,Tbl_Button_Display_ASSTS,76,FALSE)</f>
        <v>#N/A</v>
      </c>
      <c r="J546" s="10"/>
      <c r="K546" s="10"/>
      <c r="L546" s="10"/>
    </row>
    <row r="547" spans="1:12" ht="14.25" hidden="1" outlineLevel="2">
      <c r="A547" s="68">
        <v>1</v>
      </c>
      <c r="B547" s="10"/>
      <c r="C547" s="10"/>
      <c r="D547" s="10"/>
      <c r="E547" s="10"/>
      <c r="F547" s="10"/>
      <c r="G547" s="10" t="str">
        <f>BatteryEWPOper</f>
        <v>DATC_BattEwpOpReq</v>
      </c>
      <c r="H547" s="10"/>
      <c r="I547" s="12" t="e">
        <f>VLOOKUP(C541,Tbl_Button_Display_ASSTS,73,FALSE)</f>
        <v>#N/A</v>
      </c>
      <c r="J547" s="10"/>
      <c r="K547" s="10"/>
      <c r="L547" s="10"/>
    </row>
    <row r="548" spans="1:12" ht="14.25" customHeight="1" outlineLevel="2">
      <c r="A548" s="70">
        <v>1</v>
      </c>
      <c r="B548" s="38" t="s">
        <v>142</v>
      </c>
      <c r="C548" s="38" t="s">
        <v>1234</v>
      </c>
      <c r="D548" s="38" t="e">
        <f>CONCATENATE(E549," = ",F549," 설정 시, ",G553," = ",I553,"rpm, ",G554," = ",I554,"rpm 출력 확인")</f>
        <v>#N/A</v>
      </c>
      <c r="E548" s="38"/>
      <c r="F548" s="38"/>
      <c r="G548" s="38"/>
      <c r="H548" s="38"/>
      <c r="I548" s="38"/>
      <c r="J548" s="38"/>
      <c r="K548" s="38"/>
      <c r="L548" s="38"/>
    </row>
    <row r="549" spans="1:12" ht="14.25" hidden="1">
      <c r="A549" s="68">
        <v>1</v>
      </c>
      <c r="B549" s="10"/>
      <c r="C549" s="10"/>
      <c r="D549" s="10"/>
      <c r="E549" s="99" t="e">
        <f>VLOOKUP(C548,Tbl_Button_Display_ASSTS,11,FALSE)</f>
        <v>#N/A</v>
      </c>
      <c r="F549" s="11" t="e">
        <f>VLOOKUP(C548,Tbl_Button_Display_ASSTS,12,FALSE)</f>
        <v>#N/A</v>
      </c>
      <c r="G549" s="10"/>
      <c r="H549" s="10"/>
      <c r="I549" s="10"/>
      <c r="J549" s="14"/>
      <c r="K549" s="10"/>
      <c r="L549" s="10"/>
    </row>
    <row r="550" spans="1:12" ht="14.25" hidden="1" collapsed="1">
      <c r="A550" s="68">
        <v>1</v>
      </c>
      <c r="B550" s="10"/>
      <c r="C550" s="10"/>
      <c r="D550" s="10"/>
      <c r="E550" s="14" t="s">
        <v>5</v>
      </c>
      <c r="F550" s="11" t="e">
        <f>VLOOKUP(C548,Tbl_Button_Display_ASSTS,13,FALSE)</f>
        <v>#N/A</v>
      </c>
      <c r="G550" s="10"/>
      <c r="H550" s="10"/>
      <c r="I550" s="10"/>
      <c r="J550" s="10"/>
      <c r="K550" s="10"/>
      <c r="L550" s="10"/>
    </row>
    <row r="551" spans="1:12" ht="14.25" hidden="1" outlineLevel="1">
      <c r="A551" s="68">
        <v>1</v>
      </c>
      <c r="B551" s="10"/>
      <c r="C551" s="10"/>
      <c r="D551" s="10"/>
      <c r="E551" s="10"/>
      <c r="F551" s="83"/>
      <c r="G551" s="10" t="e">
        <f>FrontBlwDisp</f>
        <v>#NAME?</v>
      </c>
      <c r="H551" s="10"/>
      <c r="I551" s="46" t="e">
        <f>VLOOKUP(C548,Tbl_Button_Display_ASSTS,23,FALSE)</f>
        <v>#N/A</v>
      </c>
      <c r="J551" s="10"/>
      <c r="K551" s="10"/>
      <c r="L551" s="10"/>
    </row>
    <row r="552" spans="1:12" ht="14.25" hidden="1" outlineLevel="2">
      <c r="A552" s="68">
        <v>1</v>
      </c>
      <c r="B552" s="10"/>
      <c r="C552" s="10"/>
      <c r="D552" s="10"/>
      <c r="E552" s="10"/>
      <c r="F552" s="83"/>
      <c r="G552" s="10" t="str">
        <f>HP_ModSta</f>
        <v>DATC_HtrPmpModSta</v>
      </c>
      <c r="H552" s="47" t="e">
        <f>VLOOKUP(C548,Tbl_Button_Display_ASSTS,71,FALSE)</f>
        <v>#N/A</v>
      </c>
      <c r="I552" s="45" t="e">
        <f>(IF(H552="","",VLOOKUP(H552,Tbl_HP_Cycle,2,FALSE)))</f>
        <v>#N/A</v>
      </c>
      <c r="J552" s="10"/>
      <c r="K552" s="10"/>
      <c r="L552" s="10"/>
    </row>
    <row r="553" spans="1:12" ht="14.25" hidden="1" outlineLevel="2">
      <c r="A553" s="68">
        <v>1</v>
      </c>
      <c r="B553" s="10"/>
      <c r="C553" s="10"/>
      <c r="D553" s="10"/>
      <c r="E553" s="10"/>
      <c r="F553" s="10"/>
      <c r="G553" s="10" t="str">
        <f>PeEwpRPMReq</f>
        <v>DATC_PeEwpRPMReq</v>
      </c>
      <c r="H553" s="10"/>
      <c r="I553" s="12" t="e">
        <f>VLOOKUP(C548,Tbl_Button_Display_ASSTS,76,FALSE)</f>
        <v>#N/A</v>
      </c>
      <c r="J553" s="10"/>
      <c r="K553" s="10"/>
      <c r="L553" s="10"/>
    </row>
    <row r="554" spans="1:12" ht="14.25" hidden="1" outlineLevel="2">
      <c r="A554" s="68">
        <v>1</v>
      </c>
      <c r="B554" s="10"/>
      <c r="C554" s="10"/>
      <c r="D554" s="10"/>
      <c r="E554" s="10"/>
      <c r="F554" s="10"/>
      <c r="G554" s="10" t="str">
        <f>BatteryEWPOper</f>
        <v>DATC_BattEwpOpReq</v>
      </c>
      <c r="H554" s="10"/>
      <c r="I554" s="12" t="e">
        <f>VLOOKUP(C548,Tbl_Button_Display_ASSTS,73,FALSE)</f>
        <v>#N/A</v>
      </c>
      <c r="J554" s="10"/>
      <c r="K554" s="10"/>
      <c r="L554" s="10"/>
    </row>
    <row r="555" spans="1:12" ht="14.25" customHeight="1" outlineLevel="2">
      <c r="A555" s="70">
        <v>1</v>
      </c>
      <c r="B555" s="38" t="s">
        <v>142</v>
      </c>
      <c r="C555" s="38" t="s">
        <v>1235</v>
      </c>
      <c r="D555" s="38" t="e">
        <f>CONCATENATE(E556," = ",F556," 설정 시, ",G560," = ",I560,"rpm, ",G561," = ",I561,"rpm 출력 확인")</f>
        <v>#N/A</v>
      </c>
      <c r="E555" s="38"/>
      <c r="F555" s="38"/>
      <c r="G555" s="38"/>
      <c r="H555" s="38"/>
      <c r="I555" s="38"/>
      <c r="J555" s="38"/>
      <c r="K555" s="38"/>
      <c r="L555" s="38"/>
    </row>
    <row r="556" spans="1:12" ht="14.25" hidden="1" outlineLevel="2">
      <c r="A556" s="68">
        <v>1</v>
      </c>
      <c r="B556" s="10"/>
      <c r="C556" s="10"/>
      <c r="D556" s="10"/>
      <c r="E556" s="99" t="e">
        <f>VLOOKUP(C555,Tbl_Button_Display_ASSTS,11,FALSE)</f>
        <v>#N/A</v>
      </c>
      <c r="F556" s="11" t="e">
        <f>VLOOKUP(C555,Tbl_Button_Display_ASSTS,12,FALSE)</f>
        <v>#N/A</v>
      </c>
      <c r="G556" s="10"/>
      <c r="H556" s="10"/>
      <c r="I556" s="10"/>
      <c r="J556" s="14"/>
      <c r="K556" s="10"/>
      <c r="L556" s="10"/>
    </row>
    <row r="557" spans="1:12" ht="14.25" hidden="1" outlineLevel="1">
      <c r="A557" s="68">
        <v>1</v>
      </c>
      <c r="B557" s="10"/>
      <c r="C557" s="10"/>
      <c r="D557" s="10"/>
      <c r="E557" s="14" t="s">
        <v>5</v>
      </c>
      <c r="F557" s="11" t="e">
        <f>VLOOKUP(C555,Tbl_Button_Display_ASSTS,13,FALSE)</f>
        <v>#N/A</v>
      </c>
      <c r="G557" s="10"/>
      <c r="H557" s="10"/>
      <c r="I557" s="10"/>
      <c r="J557" s="10"/>
      <c r="K557" s="10"/>
      <c r="L557" s="10"/>
    </row>
    <row r="558" spans="1:12" ht="14.25" hidden="1" outlineLevel="2">
      <c r="A558" s="68">
        <v>1</v>
      </c>
      <c r="B558" s="10"/>
      <c r="C558" s="10"/>
      <c r="D558" s="10"/>
      <c r="E558" s="10"/>
      <c r="F558" s="83"/>
      <c r="G558" s="10" t="e">
        <f>FrontBlwDisp</f>
        <v>#NAME?</v>
      </c>
      <c r="H558" s="10"/>
      <c r="I558" s="46" t="e">
        <f>VLOOKUP(C555,Tbl_Button_Display_ASSTS,23,FALSE)</f>
        <v>#N/A</v>
      </c>
      <c r="J558" s="10"/>
      <c r="K558" s="10"/>
      <c r="L558" s="10"/>
    </row>
    <row r="559" spans="1:12" ht="14.25" hidden="1" outlineLevel="2">
      <c r="A559" s="68">
        <v>1</v>
      </c>
      <c r="B559" s="10"/>
      <c r="C559" s="10"/>
      <c r="D559" s="10"/>
      <c r="E559" s="10"/>
      <c r="F559" s="83"/>
      <c r="G559" s="10" t="str">
        <f>HP_ModSta</f>
        <v>DATC_HtrPmpModSta</v>
      </c>
      <c r="H559" s="47" t="e">
        <f>VLOOKUP(C555,Tbl_Button_Display_ASSTS,71,FALSE)</f>
        <v>#N/A</v>
      </c>
      <c r="I559" s="45" t="e">
        <f>(IF(H559="","",VLOOKUP(H559,Tbl_HP_Cycle,2,FALSE)))</f>
        <v>#N/A</v>
      </c>
      <c r="J559" s="10"/>
      <c r="K559" s="10"/>
      <c r="L559" s="10"/>
    </row>
    <row r="560" spans="1:12" ht="14.25" hidden="1" outlineLevel="2">
      <c r="A560" s="68">
        <v>1</v>
      </c>
      <c r="B560" s="10"/>
      <c r="C560" s="10"/>
      <c r="D560" s="10"/>
      <c r="E560" s="10"/>
      <c r="F560" s="10"/>
      <c r="G560" s="10" t="str">
        <f>PeEwpRPMReq</f>
        <v>DATC_PeEwpRPMReq</v>
      </c>
      <c r="H560" s="10"/>
      <c r="I560" s="12" t="e">
        <f>VLOOKUP(C555,Tbl_Button_Display_ASSTS,76,FALSE)</f>
        <v>#N/A</v>
      </c>
      <c r="J560" s="10"/>
      <c r="K560" s="10"/>
      <c r="L560" s="10"/>
    </row>
    <row r="561" spans="1:12" ht="14.25" hidden="1" outlineLevel="2">
      <c r="A561" s="68">
        <v>1</v>
      </c>
      <c r="B561" s="10"/>
      <c r="C561" s="10"/>
      <c r="D561" s="10"/>
      <c r="E561" s="10"/>
      <c r="F561" s="10"/>
      <c r="G561" s="10" t="str">
        <f>BatteryEWPOper</f>
        <v>DATC_BattEwpOpReq</v>
      </c>
      <c r="H561" s="10"/>
      <c r="I561" s="12" t="e">
        <f>VLOOKUP(C555,Tbl_Button_Display_ASSTS,73,FALSE)</f>
        <v>#N/A</v>
      </c>
      <c r="J561" s="10"/>
      <c r="K561" s="10"/>
      <c r="L561" s="10"/>
    </row>
    <row r="562" spans="1:12" ht="14.25" customHeight="1" outlineLevel="2">
      <c r="A562" s="70">
        <v>1</v>
      </c>
      <c r="B562" s="38" t="s">
        <v>142</v>
      </c>
      <c r="C562" s="38" t="s">
        <v>1236</v>
      </c>
      <c r="D562" s="38" t="e">
        <f>CONCATENATE(E563," = ",F563," 설정 시, ",G567," = ",I567,"rpm, ",G568," = ",I568,"rpm 출력 확인")</f>
        <v>#N/A</v>
      </c>
      <c r="E562" s="38"/>
      <c r="F562" s="38"/>
      <c r="G562" s="38"/>
      <c r="H562" s="38"/>
      <c r="I562" s="38"/>
      <c r="J562" s="38"/>
      <c r="K562" s="38"/>
      <c r="L562" s="38"/>
    </row>
    <row r="563" spans="1:12" ht="14.25" hidden="1" outlineLevel="1">
      <c r="A563" s="68">
        <v>1</v>
      </c>
      <c r="B563" s="10"/>
      <c r="C563" s="10"/>
      <c r="D563" s="10"/>
      <c r="E563" s="99" t="e">
        <f>VLOOKUP(C562,Tbl_Button_Display_ASSTS,11,FALSE)</f>
        <v>#N/A</v>
      </c>
      <c r="F563" s="11" t="e">
        <f>VLOOKUP(C562,Tbl_Button_Display_ASSTS,12,FALSE)</f>
        <v>#N/A</v>
      </c>
      <c r="G563" s="10"/>
      <c r="H563" s="10"/>
      <c r="I563" s="10"/>
      <c r="J563" s="14"/>
      <c r="K563" s="10"/>
      <c r="L563" s="10"/>
    </row>
    <row r="564" spans="1:12" ht="14.25" hidden="1" outlineLevel="2">
      <c r="A564" s="68">
        <v>1</v>
      </c>
      <c r="B564" s="10"/>
      <c r="C564" s="10"/>
      <c r="D564" s="10"/>
      <c r="E564" s="14" t="s">
        <v>5</v>
      </c>
      <c r="F564" s="11" t="e">
        <f>VLOOKUP(C562,Tbl_Button_Display_ASSTS,13,FALSE)</f>
        <v>#N/A</v>
      </c>
      <c r="G564" s="10"/>
      <c r="H564" s="10"/>
      <c r="I564" s="10"/>
      <c r="J564" s="10"/>
      <c r="K564" s="10"/>
      <c r="L564" s="10"/>
    </row>
    <row r="565" spans="1:12" ht="14.25" hidden="1" outlineLevel="2">
      <c r="A565" s="68">
        <v>1</v>
      </c>
      <c r="B565" s="10"/>
      <c r="C565" s="10"/>
      <c r="D565" s="10"/>
      <c r="E565" s="10"/>
      <c r="F565" s="83"/>
      <c r="G565" s="10" t="e">
        <f>FrontBlwDisp</f>
        <v>#NAME?</v>
      </c>
      <c r="H565" s="10"/>
      <c r="I565" s="46" t="e">
        <f>VLOOKUP(C562,Tbl_Button_Display_ASSTS,23,FALSE)</f>
        <v>#N/A</v>
      </c>
      <c r="J565" s="10"/>
      <c r="K565" s="10"/>
      <c r="L565" s="10"/>
    </row>
    <row r="566" spans="1:12" ht="14.25" hidden="1" outlineLevel="2">
      <c r="A566" s="68">
        <v>1</v>
      </c>
      <c r="B566" s="10"/>
      <c r="C566" s="10"/>
      <c r="D566" s="10"/>
      <c r="E566" s="10"/>
      <c r="F566" s="83"/>
      <c r="G566" s="10" t="str">
        <f>HP_ModSta</f>
        <v>DATC_HtrPmpModSta</v>
      </c>
      <c r="H566" s="47" t="e">
        <f>VLOOKUP(C562,Tbl_Button_Display_ASSTS,71,FALSE)</f>
        <v>#N/A</v>
      </c>
      <c r="I566" s="45" t="e">
        <f>(IF(H566="","",VLOOKUP(H566,Tbl_HP_Cycle,2,FALSE)))</f>
        <v>#N/A</v>
      </c>
      <c r="J566" s="10"/>
      <c r="K566" s="10"/>
      <c r="L566" s="10"/>
    </row>
    <row r="567" spans="1:12" ht="14.25" hidden="1" outlineLevel="2">
      <c r="A567" s="68">
        <v>1</v>
      </c>
      <c r="B567" s="10"/>
      <c r="C567" s="10"/>
      <c r="D567" s="10"/>
      <c r="E567" s="10"/>
      <c r="F567" s="10"/>
      <c r="G567" s="10" t="str">
        <f>PeEwpRPMReq</f>
        <v>DATC_PeEwpRPMReq</v>
      </c>
      <c r="H567" s="10"/>
      <c r="I567" s="12" t="e">
        <f>VLOOKUP(C562,Tbl_Button_Display_ASSTS,76,FALSE)</f>
        <v>#N/A</v>
      </c>
      <c r="J567" s="10"/>
      <c r="K567" s="10"/>
      <c r="L567" s="10"/>
    </row>
    <row r="568" spans="1:12" ht="14.25" hidden="1" outlineLevel="2">
      <c r="A568" s="68">
        <v>1</v>
      </c>
      <c r="B568" s="10"/>
      <c r="C568" s="10"/>
      <c r="D568" s="10"/>
      <c r="E568" s="10"/>
      <c r="F568" s="10"/>
      <c r="G568" s="10" t="str">
        <f>BatteryEWPOper</f>
        <v>DATC_BattEwpOpReq</v>
      </c>
      <c r="H568" s="10"/>
      <c r="I568" s="12" t="e">
        <f>VLOOKUP(C562,Tbl_Button_Display_ASSTS,73,FALSE)</f>
        <v>#N/A</v>
      </c>
      <c r="J568" s="10"/>
      <c r="K568" s="10"/>
      <c r="L568" s="10"/>
    </row>
    <row r="569" spans="1:12" ht="14.25" customHeight="1" outlineLevel="1">
      <c r="A569" s="70">
        <v>1</v>
      </c>
      <c r="B569" s="38" t="s">
        <v>142</v>
      </c>
      <c r="C569" s="38" t="s">
        <v>1237</v>
      </c>
      <c r="D569" s="38" t="e">
        <f>CONCATENATE(I573," 모드 일 때, ",G574," = ",I574,"rpm, ",G575," = ",I575,"rpm 출력 확인")</f>
        <v>#N/A</v>
      </c>
      <c r="E569" s="38"/>
      <c r="F569" s="38"/>
      <c r="G569" s="38"/>
      <c r="H569" s="38"/>
      <c r="I569" s="38"/>
      <c r="J569" s="38"/>
      <c r="K569" s="38"/>
      <c r="L569" s="38"/>
    </row>
    <row r="570" spans="1:12" ht="14.25" customHeight="1" outlineLevel="2">
      <c r="A570" s="68">
        <v>1</v>
      </c>
      <c r="B570" s="10"/>
      <c r="C570" s="10"/>
      <c r="D570" s="10"/>
      <c r="E570" s="99" t="e">
        <f>VLOOKUP(C569,Tbl_Button_Display_ASSTS,11,FALSE)</f>
        <v>#N/A</v>
      </c>
      <c r="F570" s="11" t="e">
        <f>VLOOKUP(C569,Tbl_Button_Display_ASSTS,12,FALSE)</f>
        <v>#N/A</v>
      </c>
      <c r="G570" s="10"/>
      <c r="H570" s="10"/>
      <c r="I570" s="10"/>
      <c r="J570" s="14"/>
      <c r="K570" s="10"/>
      <c r="L570" s="10"/>
    </row>
    <row r="571" spans="1:12" ht="14.25" customHeight="1" outlineLevel="2">
      <c r="A571" s="68">
        <v>1</v>
      </c>
      <c r="B571" s="10"/>
      <c r="C571" s="10"/>
      <c r="D571" s="10"/>
      <c r="E571" s="14" t="s">
        <v>5</v>
      </c>
      <c r="F571" s="11" t="e">
        <f>VLOOKUP(C569,Tbl_Button_Display_ASSTS,13,FALSE)</f>
        <v>#N/A</v>
      </c>
      <c r="G571" s="10"/>
      <c r="H571" s="10"/>
      <c r="I571" s="10"/>
      <c r="J571" s="10"/>
      <c r="K571" s="10"/>
      <c r="L571" s="10"/>
    </row>
    <row r="572" spans="1:12" ht="14.25" customHeight="1" outlineLevel="2">
      <c r="A572" s="68">
        <v>1</v>
      </c>
      <c r="B572" s="10"/>
      <c r="C572" s="10"/>
      <c r="D572" s="10"/>
      <c r="E572" s="10"/>
      <c r="F572" s="83"/>
      <c r="G572" s="10" t="e">
        <f>FrontBlwDisp</f>
        <v>#NAME?</v>
      </c>
      <c r="H572" s="10"/>
      <c r="I572" s="46" t="e">
        <f>VLOOKUP(C569,Tbl_Button_Display_ASSTS,23,FALSE)</f>
        <v>#N/A</v>
      </c>
      <c r="J572" s="10"/>
      <c r="K572" s="10"/>
      <c r="L572" s="10"/>
    </row>
    <row r="573" spans="1:12" ht="14.25" customHeight="1" outlineLevel="2">
      <c r="A573" s="68">
        <v>1</v>
      </c>
      <c r="B573" s="10"/>
      <c r="C573" s="10"/>
      <c r="D573" s="10"/>
      <c r="E573" s="10"/>
      <c r="F573" s="83"/>
      <c r="G573" s="10" t="str">
        <f>HP_ModSta</f>
        <v>DATC_HtrPmpModSta</v>
      </c>
      <c r="H573" s="47" t="e">
        <f>VLOOKUP(C569,Tbl_Button_Display_ASSTS,71,FALSE)</f>
        <v>#N/A</v>
      </c>
      <c r="I573" s="45" t="e">
        <f>(IF(H573="","",VLOOKUP(H573,Tbl_HP_Cycle,2,FALSE)))</f>
        <v>#N/A</v>
      </c>
      <c r="J573" s="10"/>
      <c r="K573" s="10"/>
      <c r="L573" s="10"/>
    </row>
    <row r="574" spans="1:12" ht="14.25" customHeight="1" outlineLevel="2">
      <c r="A574" s="68">
        <v>1</v>
      </c>
      <c r="B574" s="10"/>
      <c r="C574" s="10"/>
      <c r="D574" s="10"/>
      <c r="E574" s="10"/>
      <c r="F574" s="10"/>
      <c r="G574" s="10" t="str">
        <f>PeEwpRPMReq</f>
        <v>DATC_PeEwpRPMReq</v>
      </c>
      <c r="H574" s="10"/>
      <c r="I574" s="12" t="e">
        <f>VLOOKUP(C569,Tbl_Button_Display_ASSTS,76,FALSE)</f>
        <v>#N/A</v>
      </c>
      <c r="J574" s="10"/>
      <c r="K574" s="10"/>
      <c r="L574" s="10"/>
    </row>
    <row r="575" spans="1:12" ht="14.25" customHeight="1" outlineLevel="1">
      <c r="A575" s="68">
        <v>1</v>
      </c>
      <c r="B575" s="10"/>
      <c r="C575" s="10"/>
      <c r="D575" s="10"/>
      <c r="E575" s="10"/>
      <c r="F575" s="10"/>
      <c r="G575" s="10" t="str">
        <f>BatteryEWPOper</f>
        <v>DATC_BattEwpOpReq</v>
      </c>
      <c r="H575" s="10"/>
      <c r="I575" s="12" t="e">
        <f>VLOOKUP(C569,Tbl_Button_Display_ASSTS,73,FALSE)</f>
        <v>#N/A</v>
      </c>
      <c r="J575" s="10"/>
      <c r="K575" s="10"/>
      <c r="L575" s="10"/>
    </row>
    <row r="576" spans="1:12" ht="14.25" customHeight="1" outlineLevel="2">
      <c r="A576" s="170" t="s">
        <v>783</v>
      </c>
      <c r="B576" s="171"/>
      <c r="C576" s="171"/>
      <c r="D576" s="171"/>
      <c r="E576" s="171"/>
      <c r="F576" s="172"/>
      <c r="G576" s="171"/>
      <c r="H576" s="171"/>
      <c r="I576" s="171"/>
      <c r="J576" s="171"/>
      <c r="K576" s="171"/>
      <c r="L576" s="171"/>
    </row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6 K34:K69 K245:K249 K252:K256 K259:K263 K266:K270 K72:K233 K235:K236 K243 K273:K277 K280:K284 K287:K288 K576">
    <cfRule type="containsText" dxfId="173" priority="172" operator="containsText" text="nok">
      <formula>NOT(ISERROR(SEARCH("nok",K1)))</formula>
    </cfRule>
    <cfRule type="containsText" dxfId="172" priority="173" operator="containsText" text="fail">
      <formula>NOT(ISERROR(SEARCH("fail",K1)))</formula>
    </cfRule>
    <cfRule type="containsText" dxfId="171" priority="174" operator="containsText" text="pass">
      <formula>NOT(ISERROR(SEARCH("pass",K1)))</formula>
    </cfRule>
  </conditionalFormatting>
  <conditionalFormatting sqref="K9">
    <cfRule type="containsText" dxfId="170" priority="169" operator="containsText" text="nok">
      <formula>NOT(ISERROR(SEARCH("nok",K9)))</formula>
    </cfRule>
    <cfRule type="containsText" dxfId="169" priority="170" operator="containsText" text="fail">
      <formula>NOT(ISERROR(SEARCH("fail",K9)))</formula>
    </cfRule>
    <cfRule type="containsText" dxfId="168" priority="171" operator="containsText" text="pass">
      <formula>NOT(ISERROR(SEARCH("pass",K9)))</formula>
    </cfRule>
  </conditionalFormatting>
  <conditionalFormatting sqref="K27:K33">
    <cfRule type="containsText" dxfId="167" priority="166" operator="containsText" text="nok">
      <formula>NOT(ISERROR(SEARCH("nok",K27)))</formula>
    </cfRule>
    <cfRule type="containsText" dxfId="166" priority="167" operator="containsText" text="fail">
      <formula>NOT(ISERROR(SEARCH("fail",K27)))</formula>
    </cfRule>
    <cfRule type="containsText" dxfId="165" priority="168" operator="containsText" text="pass">
      <formula>NOT(ISERROR(SEARCH("pass",K27)))</formula>
    </cfRule>
  </conditionalFormatting>
  <conditionalFormatting sqref="K27:K33">
    <cfRule type="containsText" dxfId="164" priority="163" operator="containsText" text="nok">
      <formula>NOT(ISERROR(SEARCH("nok",K27)))</formula>
    </cfRule>
    <cfRule type="containsText" dxfId="163" priority="164" operator="containsText" text="fail">
      <formula>NOT(ISERROR(SEARCH("fail",K27)))</formula>
    </cfRule>
    <cfRule type="containsText" dxfId="162" priority="165" operator="containsText" text="pass">
      <formula>NOT(ISERROR(SEARCH("pass",K27)))</formula>
    </cfRule>
  </conditionalFormatting>
  <conditionalFormatting sqref="K27:K33">
    <cfRule type="containsText" dxfId="161" priority="160" operator="containsText" text="nok">
      <formula>NOT(ISERROR(SEARCH("nok",K27)))</formula>
    </cfRule>
    <cfRule type="containsText" dxfId="160" priority="161" operator="containsText" text="fail">
      <formula>NOT(ISERROR(SEARCH("fail",K27)))</formula>
    </cfRule>
    <cfRule type="containsText" dxfId="159" priority="162" operator="containsText" text="pass">
      <formula>NOT(ISERROR(SEARCH("pass",K27)))</formula>
    </cfRule>
  </conditionalFormatting>
  <conditionalFormatting sqref="K64">
    <cfRule type="containsText" dxfId="158" priority="157" operator="containsText" text="nok">
      <formula>NOT(ISERROR(SEARCH("nok",K64)))</formula>
    </cfRule>
    <cfRule type="containsText" dxfId="157" priority="158" operator="containsText" text="fail">
      <formula>NOT(ISERROR(SEARCH("fail",K64)))</formula>
    </cfRule>
    <cfRule type="containsText" dxfId="156" priority="159" operator="containsText" text="pass">
      <formula>NOT(ISERROR(SEARCH("pass",K64)))</formula>
    </cfRule>
  </conditionalFormatting>
  <conditionalFormatting sqref="K70:K71">
    <cfRule type="containsText" dxfId="155" priority="154" operator="containsText" text="nok">
      <formula>NOT(ISERROR(SEARCH("nok",K70)))</formula>
    </cfRule>
    <cfRule type="containsText" dxfId="154" priority="155" operator="containsText" text="fail">
      <formula>NOT(ISERROR(SEARCH("fail",K70)))</formula>
    </cfRule>
    <cfRule type="containsText" dxfId="153" priority="156" operator="containsText" text="pass">
      <formula>NOT(ISERROR(SEARCH("pass",K70)))</formula>
    </cfRule>
  </conditionalFormatting>
  <conditionalFormatting sqref="J73">
    <cfRule type="containsText" dxfId="152" priority="151" operator="containsText" text="nok">
      <formula>NOT(ISERROR(SEARCH("nok",J73)))</formula>
    </cfRule>
    <cfRule type="containsText" dxfId="151" priority="152" operator="containsText" text="fail">
      <formula>NOT(ISERROR(SEARCH("fail",J73)))</formula>
    </cfRule>
    <cfRule type="containsText" dxfId="150" priority="153" operator="containsText" text="pass">
      <formula>NOT(ISERROR(SEARCH("pass",J73)))</formula>
    </cfRule>
  </conditionalFormatting>
  <conditionalFormatting sqref="J80:J81">
    <cfRule type="containsText" dxfId="149" priority="148" operator="containsText" text="nok">
      <formula>NOT(ISERROR(SEARCH("nok",J80)))</formula>
    </cfRule>
    <cfRule type="containsText" dxfId="148" priority="149" operator="containsText" text="fail">
      <formula>NOT(ISERROR(SEARCH("fail",J80)))</formula>
    </cfRule>
    <cfRule type="containsText" dxfId="147" priority="150" operator="containsText" text="pass">
      <formula>NOT(ISERROR(SEARCH("pass",J80)))</formula>
    </cfRule>
  </conditionalFormatting>
  <conditionalFormatting sqref="J237:J238">
    <cfRule type="containsText" dxfId="146" priority="145" operator="containsText" text="nok">
      <formula>NOT(ISERROR(SEARCH("nok",J237)))</formula>
    </cfRule>
    <cfRule type="containsText" dxfId="145" priority="146" operator="containsText" text="fail">
      <formula>NOT(ISERROR(SEARCH("fail",J237)))</formula>
    </cfRule>
    <cfRule type="containsText" dxfId="144" priority="147" operator="containsText" text="pass">
      <formula>NOT(ISERROR(SEARCH("pass",J237)))</formula>
    </cfRule>
  </conditionalFormatting>
  <conditionalFormatting sqref="K240:K242">
    <cfRule type="containsText" dxfId="143" priority="142" operator="containsText" text="nok">
      <formula>NOT(ISERROR(SEARCH("nok",K240)))</formula>
    </cfRule>
    <cfRule type="containsText" dxfId="142" priority="143" operator="containsText" text="fail">
      <formula>NOT(ISERROR(SEARCH("fail",K240)))</formula>
    </cfRule>
    <cfRule type="containsText" dxfId="141" priority="144" operator="containsText" text="pass">
      <formula>NOT(ISERROR(SEARCH("pass",K240)))</formula>
    </cfRule>
  </conditionalFormatting>
  <conditionalFormatting sqref="K234">
    <cfRule type="containsText" dxfId="140" priority="139" operator="containsText" text="nok">
      <formula>NOT(ISERROR(SEARCH("nok",K234)))</formula>
    </cfRule>
    <cfRule type="containsText" dxfId="139" priority="140" operator="containsText" text="fail">
      <formula>NOT(ISERROR(SEARCH("fail",K234)))</formula>
    </cfRule>
    <cfRule type="containsText" dxfId="138" priority="141" operator="containsText" text="pass">
      <formula>NOT(ISERROR(SEARCH("pass",K234)))</formula>
    </cfRule>
  </conditionalFormatting>
  <conditionalFormatting sqref="J244">
    <cfRule type="containsText" dxfId="137" priority="136" operator="containsText" text="nok">
      <formula>NOT(ISERROR(SEARCH("nok",J244)))</formula>
    </cfRule>
    <cfRule type="containsText" dxfId="136" priority="137" operator="containsText" text="fail">
      <formula>NOT(ISERROR(SEARCH("fail",J244)))</formula>
    </cfRule>
    <cfRule type="containsText" dxfId="135" priority="138" operator="containsText" text="pass">
      <formula>NOT(ISERROR(SEARCH("pass",J244)))</formula>
    </cfRule>
  </conditionalFormatting>
  <conditionalFormatting sqref="J250:J251">
    <cfRule type="containsText" dxfId="134" priority="133" operator="containsText" text="nok">
      <formula>NOT(ISERROR(SEARCH("nok",J250)))</formula>
    </cfRule>
    <cfRule type="containsText" dxfId="133" priority="134" operator="containsText" text="fail">
      <formula>NOT(ISERROR(SEARCH("fail",J250)))</formula>
    </cfRule>
    <cfRule type="containsText" dxfId="132" priority="135" operator="containsText" text="pass">
      <formula>NOT(ISERROR(SEARCH("pass",J250)))</formula>
    </cfRule>
  </conditionalFormatting>
  <conditionalFormatting sqref="J257:J258">
    <cfRule type="containsText" dxfId="131" priority="130" operator="containsText" text="nok">
      <formula>NOT(ISERROR(SEARCH("nok",J257)))</formula>
    </cfRule>
    <cfRule type="containsText" dxfId="130" priority="131" operator="containsText" text="fail">
      <formula>NOT(ISERROR(SEARCH("fail",J257)))</formula>
    </cfRule>
    <cfRule type="containsText" dxfId="129" priority="132" operator="containsText" text="pass">
      <formula>NOT(ISERROR(SEARCH("pass",J257)))</formula>
    </cfRule>
  </conditionalFormatting>
  <conditionalFormatting sqref="K183">
    <cfRule type="containsText" dxfId="128" priority="127" operator="containsText" text="nok">
      <formula>NOT(ISERROR(SEARCH("nok",K183)))</formula>
    </cfRule>
    <cfRule type="containsText" dxfId="127" priority="128" operator="containsText" text="fail">
      <formula>NOT(ISERROR(SEARCH("fail",K183)))</formula>
    </cfRule>
    <cfRule type="containsText" dxfId="126" priority="129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5" customWidth="1"/>
    <col min="2" max="2" width="21.28515625" style="145" customWidth="1"/>
    <col min="3" max="3" width="19.7109375" style="145" customWidth="1"/>
    <col min="4" max="4" width="20.85546875" style="145" customWidth="1"/>
    <col min="5" max="12" width="19.7109375" style="145" customWidth="1"/>
    <col min="13" max="13" width="9.28515625" style="145"/>
    <col min="14" max="14" width="17.85546875" style="145" customWidth="1"/>
    <col min="15" max="15" width="17.5703125" style="145" customWidth="1"/>
    <col min="16" max="16" width="18.140625" style="145" customWidth="1"/>
    <col min="17" max="17" width="16.5703125" style="145" customWidth="1"/>
    <col min="18" max="18" width="18.28515625" style="145" customWidth="1"/>
    <col min="19" max="19" width="18.28515625" style="145" bestFit="1" customWidth="1"/>
    <col min="20" max="20" width="18.7109375" style="145" bestFit="1" customWidth="1"/>
    <col min="21" max="16384" width="9.28515625" style="145"/>
  </cols>
  <sheetData>
    <row r="1" spans="2:22" s="202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801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18" t="s">
        <v>316</v>
      </c>
      <c r="O3" s="218"/>
      <c r="P3" s="218"/>
      <c r="Q3" s="218"/>
      <c r="S3" s="35" t="s">
        <v>802</v>
      </c>
      <c r="T3" s="35" t="s">
        <v>803</v>
      </c>
      <c r="U3" s="35" t="s">
        <v>804</v>
      </c>
      <c r="V3" s="34" t="s">
        <v>68</v>
      </c>
    </row>
    <row r="4" spans="2:22">
      <c r="B4" s="146" t="s">
        <v>2</v>
      </c>
      <c r="C4" s="186">
        <v>0</v>
      </c>
      <c r="D4" s="146"/>
      <c r="F4" s="146" t="s">
        <v>14</v>
      </c>
      <c r="G4" s="187">
        <v>0.3</v>
      </c>
      <c r="H4" s="146"/>
      <c r="J4" s="146" t="s">
        <v>14</v>
      </c>
      <c r="K4" s="187">
        <v>4.7</v>
      </c>
      <c r="L4" s="146"/>
      <c r="N4" s="219" t="s">
        <v>591</v>
      </c>
      <c r="O4" s="221" t="s">
        <v>592</v>
      </c>
      <c r="P4" s="219" t="s">
        <v>591</v>
      </c>
      <c r="Q4" s="221" t="s">
        <v>593</v>
      </c>
      <c r="R4" s="188" t="s">
        <v>805</v>
      </c>
      <c r="S4" s="149">
        <v>3.4</v>
      </c>
      <c r="T4" s="186">
        <v>0.6</v>
      </c>
      <c r="U4" s="186">
        <v>1.3</v>
      </c>
      <c r="V4" s="146"/>
    </row>
    <row r="5" spans="2:22">
      <c r="B5" s="147">
        <v>1</v>
      </c>
      <c r="C5" s="186">
        <v>3.8</v>
      </c>
      <c r="D5" s="146"/>
      <c r="F5" s="146" t="s">
        <v>109</v>
      </c>
      <c r="G5" s="187">
        <v>1.4</v>
      </c>
      <c r="H5" s="146" t="s">
        <v>87</v>
      </c>
      <c r="J5" s="146" t="s">
        <v>109</v>
      </c>
      <c r="K5" s="187">
        <v>4.7</v>
      </c>
      <c r="L5" s="146" t="s">
        <v>110</v>
      </c>
      <c r="N5" s="220"/>
      <c r="O5" s="222"/>
      <c r="P5" s="220"/>
      <c r="Q5" s="222"/>
      <c r="R5" s="188"/>
      <c r="S5" s="149">
        <v>4.3</v>
      </c>
      <c r="T5" s="186">
        <v>0.6</v>
      </c>
      <c r="U5" s="186">
        <v>1.3</v>
      </c>
      <c r="V5" s="146"/>
    </row>
    <row r="6" spans="2:22">
      <c r="B6" s="147">
        <v>2</v>
      </c>
      <c r="C6" s="186">
        <v>5.0999999999999996</v>
      </c>
      <c r="D6" s="146"/>
      <c r="F6" s="146" t="s">
        <v>15</v>
      </c>
      <c r="G6" s="187"/>
      <c r="H6" s="146"/>
      <c r="J6" s="146" t="s">
        <v>15</v>
      </c>
      <c r="K6" s="187"/>
      <c r="L6" s="146"/>
      <c r="N6" s="71">
        <v>-40</v>
      </c>
      <c r="O6" s="72">
        <v>11.3</v>
      </c>
      <c r="P6" s="71">
        <v>-40</v>
      </c>
      <c r="Q6" s="72">
        <v>11.3</v>
      </c>
      <c r="R6" s="188"/>
      <c r="S6" s="149">
        <v>5.3</v>
      </c>
      <c r="T6" s="186">
        <v>1</v>
      </c>
      <c r="U6" s="186">
        <v>1.3</v>
      </c>
      <c r="V6" s="146"/>
    </row>
    <row r="7" spans="2:22">
      <c r="B7" s="147">
        <v>3</v>
      </c>
      <c r="C7" s="186">
        <v>6.3</v>
      </c>
      <c r="D7" s="146"/>
      <c r="F7" s="146" t="s">
        <v>16</v>
      </c>
      <c r="G7" s="187">
        <v>1.4</v>
      </c>
      <c r="H7" s="146" t="s">
        <v>238</v>
      </c>
      <c r="J7" s="146" t="s">
        <v>16</v>
      </c>
      <c r="K7" s="187">
        <v>3.23</v>
      </c>
      <c r="L7" s="146" t="s">
        <v>238</v>
      </c>
      <c r="N7" s="71">
        <v>-20</v>
      </c>
      <c r="O7" s="72">
        <v>11.3</v>
      </c>
      <c r="P7" s="71">
        <v>-20</v>
      </c>
      <c r="Q7" s="72">
        <v>11.3</v>
      </c>
      <c r="R7" s="188"/>
      <c r="S7" s="149">
        <v>6.3</v>
      </c>
      <c r="T7" s="186">
        <v>1.4</v>
      </c>
      <c r="U7" s="186">
        <v>1.4</v>
      </c>
      <c r="V7" s="146"/>
    </row>
    <row r="8" spans="2:22">
      <c r="B8" s="147">
        <v>4</v>
      </c>
      <c r="C8" s="186">
        <v>7.6</v>
      </c>
      <c r="D8" s="146"/>
      <c r="F8" s="146" t="s">
        <v>17</v>
      </c>
      <c r="G8" s="187">
        <v>2.5</v>
      </c>
      <c r="H8" s="146"/>
      <c r="J8" s="146" t="s">
        <v>17</v>
      </c>
      <c r="K8" s="187">
        <v>3.94</v>
      </c>
      <c r="L8" s="146"/>
      <c r="N8" s="71">
        <v>-10</v>
      </c>
      <c r="O8" s="72">
        <v>11.3</v>
      </c>
      <c r="P8" s="71">
        <v>-10</v>
      </c>
      <c r="Q8" s="72">
        <v>11.3</v>
      </c>
      <c r="R8" s="188"/>
      <c r="S8" s="149">
        <v>7.4</v>
      </c>
      <c r="T8" s="186">
        <v>1.8</v>
      </c>
      <c r="U8" s="186">
        <v>1.4</v>
      </c>
      <c r="V8" s="146"/>
    </row>
    <row r="9" spans="2:22">
      <c r="B9" s="147">
        <v>5</v>
      </c>
      <c r="C9" s="186">
        <v>8.8000000000000007</v>
      </c>
      <c r="D9" s="146"/>
      <c r="F9" s="146" t="s">
        <v>108</v>
      </c>
      <c r="G9" s="187">
        <v>3.6</v>
      </c>
      <c r="H9" s="146" t="s">
        <v>108</v>
      </c>
      <c r="J9" s="146" t="s">
        <v>108</v>
      </c>
      <c r="K9" s="187">
        <v>3.38</v>
      </c>
      <c r="L9" s="146" t="s">
        <v>111</v>
      </c>
      <c r="N9" s="71">
        <v>-5</v>
      </c>
      <c r="O9" s="72">
        <v>11.3</v>
      </c>
      <c r="P9" s="71">
        <v>-5</v>
      </c>
      <c r="Q9" s="72">
        <v>11.3</v>
      </c>
      <c r="R9" s="188"/>
      <c r="S9" s="149">
        <v>8.6</v>
      </c>
      <c r="T9" s="186">
        <v>2.1</v>
      </c>
      <c r="U9" s="186">
        <v>1.5</v>
      </c>
      <c r="V9" s="146"/>
    </row>
    <row r="10" spans="2:22">
      <c r="B10" s="147">
        <v>6</v>
      </c>
      <c r="C10" s="186">
        <v>10.1</v>
      </c>
      <c r="D10" s="146"/>
      <c r="F10" s="146" t="s">
        <v>18</v>
      </c>
      <c r="G10" s="187">
        <v>4.7</v>
      </c>
      <c r="H10" s="146"/>
      <c r="I10" s="148"/>
      <c r="J10" s="146" t="s">
        <v>18</v>
      </c>
      <c r="K10" s="187">
        <v>1.71</v>
      </c>
      <c r="L10" s="146"/>
      <c r="N10" s="71">
        <v>0</v>
      </c>
      <c r="O10" s="72">
        <v>11.3</v>
      </c>
      <c r="P10" s="71">
        <v>0</v>
      </c>
      <c r="Q10" s="72">
        <v>11.3</v>
      </c>
      <c r="R10" s="188"/>
      <c r="S10" s="149">
        <v>9.8000000000000007</v>
      </c>
      <c r="T10" s="186">
        <v>2.5</v>
      </c>
      <c r="U10" s="186">
        <v>1.5</v>
      </c>
      <c r="V10" s="146"/>
    </row>
    <row r="11" spans="2:22">
      <c r="B11" s="147">
        <v>7</v>
      </c>
      <c r="C11" s="186">
        <v>11.3</v>
      </c>
      <c r="D11" s="146"/>
      <c r="F11" s="146" t="s">
        <v>19</v>
      </c>
      <c r="G11" s="187"/>
      <c r="H11" s="146"/>
      <c r="I11" s="148"/>
      <c r="J11" s="146" t="s">
        <v>19</v>
      </c>
      <c r="K11" s="186">
        <v>3.39</v>
      </c>
      <c r="L11" s="146"/>
      <c r="N11" s="71">
        <v>8</v>
      </c>
      <c r="O11" s="72">
        <v>9</v>
      </c>
      <c r="P11" s="71">
        <v>8</v>
      </c>
      <c r="Q11" s="72">
        <v>9</v>
      </c>
      <c r="R11" s="188"/>
      <c r="S11" s="149">
        <v>11</v>
      </c>
      <c r="T11" s="186">
        <v>2.9</v>
      </c>
      <c r="U11" s="186">
        <v>1.5</v>
      </c>
      <c r="V11" s="146"/>
    </row>
    <row r="12" spans="2:22">
      <c r="B12" s="147">
        <v>8</v>
      </c>
      <c r="C12" s="186">
        <v>13.5</v>
      </c>
      <c r="D12" s="146"/>
      <c r="F12" s="146" t="s">
        <v>20</v>
      </c>
      <c r="G12" s="187"/>
      <c r="H12" s="146"/>
      <c r="I12" s="148"/>
      <c r="J12" s="146" t="s">
        <v>20</v>
      </c>
      <c r="K12" s="186">
        <v>2.13</v>
      </c>
      <c r="L12" s="146"/>
      <c r="N12" s="71">
        <v>17</v>
      </c>
      <c r="O12" s="72">
        <v>9</v>
      </c>
      <c r="P12" s="71">
        <v>17</v>
      </c>
      <c r="Q12" s="72">
        <v>9</v>
      </c>
      <c r="R12" s="188" t="s">
        <v>806</v>
      </c>
      <c r="S12" s="149">
        <v>12.5</v>
      </c>
      <c r="T12" s="149">
        <v>3.4</v>
      </c>
      <c r="U12" s="149">
        <v>1.6</v>
      </c>
      <c r="V12" s="146"/>
    </row>
    <row r="13" spans="2:22">
      <c r="B13" s="146" t="s">
        <v>21</v>
      </c>
      <c r="C13" s="149">
        <v>3.8</v>
      </c>
      <c r="D13" s="146"/>
      <c r="F13" s="146" t="s">
        <v>288</v>
      </c>
      <c r="G13" s="186">
        <v>4.7</v>
      </c>
      <c r="H13" s="146"/>
      <c r="I13" s="148"/>
      <c r="J13" s="146" t="s">
        <v>288</v>
      </c>
      <c r="K13" s="186">
        <v>1.59</v>
      </c>
      <c r="L13" s="146"/>
      <c r="N13" s="71">
        <v>25</v>
      </c>
      <c r="O13" s="72">
        <v>12.5</v>
      </c>
      <c r="P13" s="71">
        <v>25</v>
      </c>
      <c r="Q13" s="72">
        <v>12.5</v>
      </c>
      <c r="S13" s="149">
        <v>16</v>
      </c>
      <c r="T13" s="149">
        <v>3.4</v>
      </c>
      <c r="U13" s="149">
        <v>1.6</v>
      </c>
      <c r="V13" s="146"/>
    </row>
    <row r="14" spans="2:22">
      <c r="B14" s="146" t="s">
        <v>4</v>
      </c>
      <c r="C14" s="149">
        <v>11.3</v>
      </c>
      <c r="D14" s="146"/>
      <c r="F14" s="146" t="s">
        <v>22</v>
      </c>
      <c r="G14" s="186">
        <v>2.5</v>
      </c>
      <c r="H14" s="146"/>
      <c r="I14" s="148"/>
      <c r="J14" s="146" t="s">
        <v>365</v>
      </c>
      <c r="K14" s="186">
        <v>4.7</v>
      </c>
      <c r="L14" s="146"/>
      <c r="N14" s="71">
        <v>28.9</v>
      </c>
      <c r="O14" s="72">
        <v>12.5</v>
      </c>
      <c r="P14" s="71">
        <v>25.1</v>
      </c>
      <c r="Q14" s="72">
        <v>13.5</v>
      </c>
    </row>
    <row r="15" spans="2:22">
      <c r="B15" s="146" t="s">
        <v>3</v>
      </c>
      <c r="C15" s="149">
        <v>3.8</v>
      </c>
      <c r="D15" s="146"/>
      <c r="F15" s="146" t="s">
        <v>740</v>
      </c>
      <c r="G15" s="186">
        <v>0.9</v>
      </c>
      <c r="H15" s="146"/>
      <c r="I15" s="148"/>
      <c r="J15" s="146" t="s">
        <v>335</v>
      </c>
      <c r="K15" s="186">
        <v>2.52</v>
      </c>
      <c r="L15" s="146"/>
      <c r="N15" s="71">
        <v>29</v>
      </c>
      <c r="O15" s="72">
        <v>13.5</v>
      </c>
      <c r="P15" s="71">
        <v>29</v>
      </c>
      <c r="Q15" s="72">
        <v>13.5</v>
      </c>
    </row>
    <row r="16" spans="2:22">
      <c r="B16" s="146" t="s">
        <v>287</v>
      </c>
      <c r="C16" s="149">
        <v>6.5</v>
      </c>
      <c r="D16" s="146"/>
      <c r="F16" s="146" t="s">
        <v>807</v>
      </c>
      <c r="G16" s="186">
        <v>4.7</v>
      </c>
      <c r="H16" s="146"/>
      <c r="I16" s="148"/>
      <c r="J16" s="146" t="s">
        <v>336</v>
      </c>
      <c r="K16" s="186">
        <v>3.46</v>
      </c>
      <c r="L16" s="146"/>
      <c r="N16" s="71">
        <v>40</v>
      </c>
      <c r="O16" s="72">
        <v>13.5</v>
      </c>
      <c r="P16" s="71">
        <v>40</v>
      </c>
      <c r="Q16" s="72">
        <v>13.5</v>
      </c>
    </row>
    <row r="17" spans="2:17">
      <c r="B17" s="146" t="s">
        <v>362</v>
      </c>
      <c r="C17" s="149">
        <v>4.5</v>
      </c>
      <c r="D17" s="146"/>
      <c r="F17" s="146" t="s">
        <v>808</v>
      </c>
      <c r="G17" s="186">
        <v>1.2</v>
      </c>
      <c r="H17" s="146"/>
      <c r="I17" s="148"/>
      <c r="J17" s="146" t="s">
        <v>740</v>
      </c>
      <c r="K17" s="186">
        <v>0.9</v>
      </c>
      <c r="L17" s="146"/>
      <c r="N17" s="71">
        <v>60</v>
      </c>
      <c r="O17" s="72">
        <v>13.5</v>
      </c>
      <c r="P17" s="71">
        <v>60</v>
      </c>
      <c r="Q17" s="72">
        <v>13.5</v>
      </c>
    </row>
    <row r="18" spans="2:17">
      <c r="B18" s="146"/>
      <c r="C18" s="149"/>
      <c r="D18" s="146"/>
      <c r="F18" s="146"/>
      <c r="G18" s="186"/>
      <c r="H18" s="146"/>
      <c r="I18" s="148"/>
      <c r="J18" s="146" t="s">
        <v>756</v>
      </c>
      <c r="K18" s="186">
        <v>4.7</v>
      </c>
      <c r="L18" s="146" t="s">
        <v>741</v>
      </c>
    </row>
    <row r="19" spans="2:17">
      <c r="B19" s="146"/>
      <c r="C19" s="149"/>
      <c r="D19" s="146"/>
      <c r="F19" s="146"/>
      <c r="G19" s="186"/>
      <c r="H19" s="146"/>
      <c r="I19" s="148"/>
      <c r="J19" s="146"/>
      <c r="K19" s="186"/>
      <c r="L19" s="146"/>
      <c r="N19" s="32" t="s">
        <v>358</v>
      </c>
    </row>
    <row r="20" spans="2:17" ht="13.5">
      <c r="B20" s="146"/>
      <c r="C20" s="149"/>
      <c r="D20" s="146" t="s">
        <v>800</v>
      </c>
      <c r="F20" s="146"/>
      <c r="G20" s="186"/>
      <c r="H20" s="146"/>
      <c r="I20" s="148"/>
      <c r="J20" s="146"/>
      <c r="K20" s="186"/>
      <c r="L20" s="146"/>
      <c r="N20" s="73" t="s">
        <v>354</v>
      </c>
      <c r="O20" s="74"/>
      <c r="P20" s="74"/>
      <c r="Q20" s="75"/>
    </row>
    <row r="21" spans="2:17" ht="13.5">
      <c r="B21" s="146" t="s">
        <v>283</v>
      </c>
      <c r="C21" s="149" t="s">
        <v>284</v>
      </c>
      <c r="D21" s="146"/>
      <c r="F21" s="146"/>
      <c r="G21" s="186"/>
      <c r="H21" s="146"/>
      <c r="I21" s="148"/>
      <c r="J21" s="146"/>
      <c r="K21" s="186"/>
      <c r="L21" s="146"/>
      <c r="N21" s="73" t="s">
        <v>355</v>
      </c>
      <c r="O21" s="74"/>
      <c r="P21" s="74"/>
      <c r="Q21" s="75"/>
    </row>
    <row r="22" spans="2:17">
      <c r="F22" s="148"/>
      <c r="G22" s="150"/>
      <c r="H22" s="148"/>
      <c r="I22" s="148"/>
      <c r="J22" s="148"/>
      <c r="K22" s="148"/>
      <c r="L22" s="148"/>
      <c r="N22" s="73"/>
      <c r="O22" s="76" t="s">
        <v>350</v>
      </c>
      <c r="P22" s="76" t="s">
        <v>351</v>
      </c>
      <c r="Q22" s="76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48"/>
      <c r="J23" s="56" t="s">
        <v>257</v>
      </c>
      <c r="K23" s="56"/>
      <c r="L23" s="57"/>
      <c r="N23" s="100" t="s">
        <v>353</v>
      </c>
      <c r="O23" s="100" t="s">
        <v>594</v>
      </c>
      <c r="P23" s="100" t="s">
        <v>594</v>
      </c>
      <c r="Q23" s="100" t="s">
        <v>594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48"/>
      <c r="J24" s="58" t="s">
        <v>258</v>
      </c>
      <c r="K24" s="59" t="s">
        <v>259</v>
      </c>
      <c r="L24" s="58" t="s">
        <v>68</v>
      </c>
      <c r="N24" s="77">
        <v>0</v>
      </c>
      <c r="O24" s="78">
        <v>4.5</v>
      </c>
      <c r="P24" s="78">
        <v>4</v>
      </c>
      <c r="Q24" s="78">
        <v>3.4</v>
      </c>
    </row>
    <row r="25" spans="2:17">
      <c r="B25" s="146" t="s">
        <v>49</v>
      </c>
      <c r="C25" s="149">
        <v>0.3</v>
      </c>
      <c r="D25" s="146" t="s">
        <v>96</v>
      </c>
      <c r="F25" s="146" t="s">
        <v>78</v>
      </c>
      <c r="G25" s="149">
        <v>0.3</v>
      </c>
      <c r="H25" s="146"/>
      <c r="I25" s="148"/>
      <c r="J25" s="151">
        <v>0</v>
      </c>
      <c r="K25" s="60" t="s">
        <v>2</v>
      </c>
      <c r="L25" s="151"/>
      <c r="N25" s="77">
        <v>5</v>
      </c>
      <c r="O25" s="78">
        <v>4.5</v>
      </c>
      <c r="P25" s="78">
        <v>4</v>
      </c>
      <c r="Q25" s="78">
        <v>3.4</v>
      </c>
    </row>
    <row r="26" spans="2:17">
      <c r="B26" s="146" t="s">
        <v>50</v>
      </c>
      <c r="C26" s="149">
        <v>4.7</v>
      </c>
      <c r="D26" s="146" t="s">
        <v>96</v>
      </c>
      <c r="F26" s="146" t="s">
        <v>79</v>
      </c>
      <c r="G26" s="149">
        <v>4.7</v>
      </c>
      <c r="H26" s="146" t="s">
        <v>366</v>
      </c>
      <c r="I26" s="148"/>
      <c r="J26" s="152">
        <v>3</v>
      </c>
      <c r="K26" s="60">
        <v>1</v>
      </c>
      <c r="L26" s="151"/>
      <c r="N26" s="77">
        <v>10</v>
      </c>
      <c r="O26" s="78">
        <v>4.6500000000000004</v>
      </c>
      <c r="P26" s="78">
        <v>4.2</v>
      </c>
      <c r="Q26" s="78">
        <v>3.75</v>
      </c>
    </row>
    <row r="27" spans="2:17">
      <c r="B27" s="146" t="s">
        <v>75</v>
      </c>
      <c r="C27" s="149">
        <v>1.5</v>
      </c>
      <c r="D27" s="146" t="s">
        <v>96</v>
      </c>
      <c r="F27" s="146" t="s">
        <v>80</v>
      </c>
      <c r="G27" s="149"/>
      <c r="H27" s="146"/>
      <c r="I27" s="148"/>
      <c r="J27" s="152">
        <v>5.5</v>
      </c>
      <c r="K27" s="60">
        <v>2</v>
      </c>
      <c r="L27" s="151"/>
      <c r="N27" s="77">
        <v>15</v>
      </c>
      <c r="O27" s="78">
        <v>4.8</v>
      </c>
      <c r="P27" s="78">
        <v>4.4000000000000004</v>
      </c>
      <c r="Q27" s="78">
        <v>4</v>
      </c>
    </row>
    <row r="28" spans="2:17">
      <c r="B28" s="146" t="s">
        <v>715</v>
      </c>
      <c r="C28" s="149">
        <v>2.5</v>
      </c>
      <c r="D28" s="146" t="s">
        <v>716</v>
      </c>
      <c r="F28" s="146" t="s">
        <v>81</v>
      </c>
      <c r="G28" s="149"/>
      <c r="H28" s="146"/>
      <c r="I28" s="148"/>
      <c r="J28" s="152">
        <v>6.3</v>
      </c>
      <c r="K28" s="60">
        <v>3</v>
      </c>
      <c r="L28" s="151"/>
      <c r="N28" s="77">
        <v>20</v>
      </c>
      <c r="O28" s="78">
        <v>4.95</v>
      </c>
      <c r="P28" s="78">
        <v>4.5999999999999996</v>
      </c>
      <c r="Q28" s="78">
        <v>4.25</v>
      </c>
    </row>
    <row r="29" spans="2:17">
      <c r="B29" s="146" t="s">
        <v>717</v>
      </c>
      <c r="C29" s="149">
        <v>2.94</v>
      </c>
      <c r="D29" s="146" t="s">
        <v>718</v>
      </c>
      <c r="F29" s="146" t="s">
        <v>82</v>
      </c>
      <c r="G29" s="149"/>
      <c r="H29" s="146"/>
      <c r="I29" s="148"/>
      <c r="J29" s="152">
        <v>7.1</v>
      </c>
      <c r="K29" s="60">
        <v>4</v>
      </c>
      <c r="L29" s="151"/>
      <c r="N29" s="77">
        <v>25</v>
      </c>
      <c r="O29" s="78">
        <v>5.0999999999999996</v>
      </c>
      <c r="P29" s="78">
        <v>4.8</v>
      </c>
      <c r="Q29" s="78">
        <v>4.5</v>
      </c>
    </row>
    <row r="30" spans="2:17">
      <c r="B30" s="146" t="s">
        <v>719</v>
      </c>
      <c r="C30" s="149">
        <v>3.38</v>
      </c>
      <c r="D30" s="146" t="s">
        <v>720</v>
      </c>
      <c r="F30" s="146" t="s">
        <v>739</v>
      </c>
      <c r="G30" s="149">
        <v>1.7</v>
      </c>
      <c r="H30" s="146" t="s">
        <v>763</v>
      </c>
      <c r="I30" s="148"/>
      <c r="J30" s="152">
        <v>8</v>
      </c>
      <c r="K30" s="60">
        <v>5</v>
      </c>
      <c r="L30" s="151"/>
      <c r="N30" s="77">
        <v>30</v>
      </c>
      <c r="O30" s="78">
        <v>5.0999999999999996</v>
      </c>
      <c r="P30" s="78">
        <v>4.8</v>
      </c>
      <c r="Q30" s="78">
        <v>4.5</v>
      </c>
    </row>
    <row r="31" spans="2:17">
      <c r="B31" s="146" t="s">
        <v>721</v>
      </c>
      <c r="C31" s="149">
        <v>3.82</v>
      </c>
      <c r="D31" s="146" t="s">
        <v>722</v>
      </c>
      <c r="F31" s="146"/>
      <c r="G31" s="149"/>
      <c r="H31" s="146"/>
      <c r="I31" s="148"/>
      <c r="J31" s="152">
        <v>9.4</v>
      </c>
      <c r="K31" s="60">
        <v>6</v>
      </c>
      <c r="L31" s="151"/>
      <c r="N31" s="77">
        <v>30</v>
      </c>
      <c r="O31" s="78">
        <v>5.0999999999999996</v>
      </c>
      <c r="P31" s="78">
        <v>4.8</v>
      </c>
      <c r="Q31" s="78">
        <v>4.5</v>
      </c>
    </row>
    <row r="32" spans="2:17">
      <c r="B32" s="146" t="s">
        <v>320</v>
      </c>
      <c r="C32" s="149">
        <v>2.8</v>
      </c>
      <c r="D32" s="146" t="s">
        <v>95</v>
      </c>
      <c r="F32" s="146"/>
      <c r="G32" s="149"/>
      <c r="H32" s="146"/>
      <c r="I32" s="148"/>
      <c r="J32" s="152">
        <v>10.5</v>
      </c>
      <c r="K32" s="60">
        <v>7</v>
      </c>
      <c r="L32" s="151"/>
    </row>
    <row r="33" spans="2:16">
      <c r="B33" s="146" t="s">
        <v>738</v>
      </c>
      <c r="C33" s="149">
        <v>4.3</v>
      </c>
      <c r="D33" s="146"/>
      <c r="F33" s="146"/>
      <c r="G33" s="149"/>
      <c r="H33" s="146"/>
      <c r="I33" s="148"/>
      <c r="J33" s="152">
        <v>12.5</v>
      </c>
      <c r="K33" s="60">
        <v>8</v>
      </c>
      <c r="L33" s="151"/>
    </row>
    <row r="34" spans="2:16">
      <c r="B34" s="146"/>
      <c r="C34" s="149"/>
      <c r="D34" s="146"/>
      <c r="F34" s="146"/>
      <c r="G34" s="149"/>
      <c r="H34" s="146"/>
      <c r="I34" s="148"/>
      <c r="J34" s="153"/>
      <c r="K34" s="153"/>
      <c r="L34" s="153"/>
    </row>
    <row r="35" spans="2:16">
      <c r="B35" s="146"/>
      <c r="C35" s="149"/>
      <c r="D35" s="146"/>
      <c r="F35" s="146"/>
      <c r="G35" s="149"/>
      <c r="H35" s="146"/>
      <c r="I35" s="148"/>
      <c r="J35" s="56" t="s">
        <v>260</v>
      </c>
      <c r="K35" s="56"/>
      <c r="L35" s="57"/>
    </row>
    <row r="36" spans="2:16">
      <c r="B36" s="146"/>
      <c r="C36" s="149"/>
      <c r="D36" s="146"/>
      <c r="F36" s="146"/>
      <c r="G36" s="149"/>
      <c r="H36" s="146"/>
      <c r="I36" s="148"/>
      <c r="J36" s="58" t="s">
        <v>258</v>
      </c>
      <c r="K36" s="59" t="s">
        <v>259</v>
      </c>
      <c r="L36" s="58" t="s">
        <v>68</v>
      </c>
    </row>
    <row r="37" spans="2:16" ht="13.5">
      <c r="B37" s="146" t="s">
        <v>368</v>
      </c>
      <c r="C37" s="149" t="s">
        <v>369</v>
      </c>
      <c r="D37" s="146"/>
      <c r="F37" s="146" t="s">
        <v>246</v>
      </c>
      <c r="G37" s="149" t="s">
        <v>429</v>
      </c>
      <c r="H37" s="146"/>
      <c r="I37" s="148"/>
      <c r="J37" s="151">
        <v>0</v>
      </c>
      <c r="K37" s="60" t="s">
        <v>2</v>
      </c>
      <c r="L37" s="151"/>
    </row>
    <row r="38" spans="2:16">
      <c r="F38" s="148"/>
      <c r="G38" s="150"/>
      <c r="H38" s="148"/>
      <c r="I38" s="148"/>
      <c r="J38" s="152">
        <v>3</v>
      </c>
      <c r="K38" s="60">
        <v>1</v>
      </c>
      <c r="L38" s="151"/>
    </row>
    <row r="39" spans="2:16">
      <c r="B39" s="88" t="s">
        <v>55</v>
      </c>
      <c r="C39" s="154" t="s">
        <v>8</v>
      </c>
      <c r="D39" s="148"/>
      <c r="E39" s="148"/>
      <c r="F39" s="148"/>
      <c r="G39" s="148"/>
      <c r="H39" s="148"/>
      <c r="I39" s="148"/>
      <c r="J39" s="152">
        <v>5.21</v>
      </c>
      <c r="K39" s="60">
        <v>2</v>
      </c>
      <c r="L39" s="151"/>
    </row>
    <row r="40" spans="2:16">
      <c r="B40" s="88" t="s">
        <v>56</v>
      </c>
      <c r="C40" s="155">
        <f>MATCH(FLAG_Country,list_Country,0)</f>
        <v>1</v>
      </c>
      <c r="D40" s="148"/>
      <c r="E40" s="156" t="s">
        <v>8</v>
      </c>
      <c r="F40" s="156" t="s">
        <v>9</v>
      </c>
      <c r="G40" s="156" t="s">
        <v>10</v>
      </c>
      <c r="H40" s="156" t="s">
        <v>11</v>
      </c>
      <c r="I40" s="148"/>
      <c r="J40" s="152">
        <v>6.11</v>
      </c>
      <c r="K40" s="60">
        <v>3</v>
      </c>
      <c r="L40" s="151"/>
    </row>
    <row r="41" spans="2:16">
      <c r="B41" s="88" t="s">
        <v>57</v>
      </c>
      <c r="C41" s="155">
        <f t="shared" ref="C41:C48" si="0">INDEX(E41:H41,1,col_country)</f>
        <v>0</v>
      </c>
      <c r="D41" s="148"/>
      <c r="E41" s="88">
        <v>0</v>
      </c>
      <c r="F41" s="88">
        <v>1</v>
      </c>
      <c r="G41" s="88">
        <v>0</v>
      </c>
      <c r="H41" s="88">
        <v>0</v>
      </c>
      <c r="I41" s="148"/>
      <c r="J41" s="152">
        <v>6.81</v>
      </c>
      <c r="K41" s="60">
        <v>4</v>
      </c>
      <c r="L41" s="151"/>
    </row>
    <row r="42" spans="2:16">
      <c r="B42" s="88" t="s">
        <v>58</v>
      </c>
      <c r="C42" s="155" t="str">
        <f t="shared" si="0"/>
        <v>degC</v>
      </c>
      <c r="D42" s="148"/>
      <c r="E42" s="88" t="s">
        <v>12</v>
      </c>
      <c r="F42" s="88" t="s">
        <v>13</v>
      </c>
      <c r="G42" s="88" t="s">
        <v>12</v>
      </c>
      <c r="H42" s="88" t="s">
        <v>12</v>
      </c>
      <c r="I42" s="148"/>
      <c r="J42" s="152">
        <v>7.71</v>
      </c>
      <c r="K42" s="60">
        <v>5</v>
      </c>
      <c r="L42" s="151"/>
    </row>
    <row r="43" spans="2:16">
      <c r="B43" s="88" t="s">
        <v>59</v>
      </c>
      <c r="C43" s="155">
        <f t="shared" si="0"/>
        <v>22</v>
      </c>
      <c r="D43" s="148"/>
      <c r="E43" s="88">
        <v>22</v>
      </c>
      <c r="F43" s="88">
        <v>72</v>
      </c>
      <c r="G43" s="88">
        <v>22</v>
      </c>
      <c r="H43" s="88">
        <v>22</v>
      </c>
      <c r="J43" s="152">
        <v>9.11</v>
      </c>
      <c r="K43" s="60">
        <v>6</v>
      </c>
      <c r="L43" s="151"/>
    </row>
    <row r="44" spans="2:16">
      <c r="B44" s="88" t="s">
        <v>60</v>
      </c>
      <c r="C44" s="155">
        <f t="shared" si="0"/>
        <v>14</v>
      </c>
      <c r="D44" s="148"/>
      <c r="E44" s="88">
        <v>14</v>
      </c>
      <c r="F44" s="88">
        <v>56</v>
      </c>
      <c r="G44" s="88">
        <v>14</v>
      </c>
      <c r="H44" s="88">
        <v>14</v>
      </c>
      <c r="J44" s="152">
        <v>10.210000000000001</v>
      </c>
      <c r="K44" s="60">
        <v>7</v>
      </c>
      <c r="L44" s="151"/>
    </row>
    <row r="45" spans="2:16">
      <c r="B45" s="88" t="s">
        <v>61</v>
      </c>
      <c r="C45" s="155">
        <f t="shared" si="0"/>
        <v>17</v>
      </c>
      <c r="D45" s="148"/>
      <c r="E45" s="88">
        <v>17</v>
      </c>
      <c r="F45" s="88">
        <v>62</v>
      </c>
      <c r="G45" s="88">
        <v>17</v>
      </c>
      <c r="H45" s="88">
        <v>17</v>
      </c>
      <c r="J45" s="152">
        <v>12.21</v>
      </c>
      <c r="K45" s="60">
        <v>8</v>
      </c>
      <c r="L45" s="151"/>
    </row>
    <row r="46" spans="2:16">
      <c r="B46" s="88" t="s">
        <v>62</v>
      </c>
      <c r="C46" s="155">
        <f t="shared" si="0"/>
        <v>27</v>
      </c>
      <c r="D46" s="148"/>
      <c r="E46" s="88">
        <v>27</v>
      </c>
      <c r="F46" s="88">
        <v>82</v>
      </c>
      <c r="G46" s="88">
        <v>27</v>
      </c>
      <c r="H46" s="88">
        <v>27</v>
      </c>
      <c r="I46" s="148"/>
      <c r="J46" s="148"/>
      <c r="K46" s="148"/>
      <c r="L46" s="148"/>
    </row>
    <row r="47" spans="2:16">
      <c r="B47" s="88" t="s">
        <v>63</v>
      </c>
      <c r="C47" s="155">
        <f t="shared" si="0"/>
        <v>141.5</v>
      </c>
      <c r="D47" s="148"/>
      <c r="E47" s="88">
        <v>141.5</v>
      </c>
      <c r="F47" s="88">
        <v>311</v>
      </c>
      <c r="G47" s="88">
        <v>141.5</v>
      </c>
      <c r="H47" s="88">
        <v>141.5</v>
      </c>
      <c r="I47" s="148"/>
      <c r="J47" s="56" t="s">
        <v>424</v>
      </c>
      <c r="K47" s="56"/>
      <c r="L47" s="57"/>
      <c r="N47" s="32" t="s">
        <v>561</v>
      </c>
      <c r="O47" s="32"/>
      <c r="P47" s="33"/>
    </row>
    <row r="48" spans="2:16" s="33" customFormat="1">
      <c r="B48" s="88" t="s">
        <v>64</v>
      </c>
      <c r="C48" s="155">
        <f t="shared" si="0"/>
        <v>0.5</v>
      </c>
      <c r="D48" s="148"/>
      <c r="E48" s="88">
        <v>0.5</v>
      </c>
      <c r="F48" s="88">
        <v>1</v>
      </c>
      <c r="G48" s="88">
        <v>0.5</v>
      </c>
      <c r="H48" s="88">
        <v>0.5</v>
      </c>
      <c r="I48" s="157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562</v>
      </c>
      <c r="P48" s="34" t="s">
        <v>54</v>
      </c>
    </row>
    <row r="49" spans="2:16" ht="13.5">
      <c r="F49" s="157"/>
      <c r="G49" s="148"/>
      <c r="I49" s="157"/>
      <c r="J49" s="151" t="s">
        <v>375</v>
      </c>
      <c r="K49" s="60">
        <v>30</v>
      </c>
      <c r="L49" s="151" t="s">
        <v>376</v>
      </c>
      <c r="N49" s="146" t="s">
        <v>563</v>
      </c>
      <c r="O49" s="149">
        <v>1</v>
      </c>
      <c r="P49" s="146" t="s">
        <v>563</v>
      </c>
    </row>
    <row r="50" spans="2:16" ht="13.5">
      <c r="B50" s="146" t="s">
        <v>145</v>
      </c>
      <c r="C50" s="149" t="str">
        <f>const_TempUnit</f>
        <v>degC</v>
      </c>
      <c r="E50" s="54" t="s">
        <v>253</v>
      </c>
      <c r="F50" s="158"/>
      <c r="I50" s="157"/>
      <c r="J50" s="151" t="s">
        <v>377</v>
      </c>
      <c r="K50" s="60">
        <v>35</v>
      </c>
      <c r="L50" s="151" t="s">
        <v>378</v>
      </c>
      <c r="N50" s="146" t="s">
        <v>564</v>
      </c>
      <c r="O50" s="149">
        <v>4</v>
      </c>
      <c r="P50" s="146" t="s">
        <v>565</v>
      </c>
    </row>
    <row r="51" spans="2:16" ht="13.5">
      <c r="B51" s="146" t="s">
        <v>146</v>
      </c>
      <c r="C51" s="149" t="str">
        <f>IF(FLAG_Country&lt;&gt;"USA",F42,E42)</f>
        <v>degF</v>
      </c>
      <c r="E51" s="55" t="s">
        <v>431</v>
      </c>
      <c r="F51" s="55" t="s">
        <v>254</v>
      </c>
      <c r="I51" s="157"/>
      <c r="J51" s="151" t="s">
        <v>379</v>
      </c>
      <c r="K51" s="60">
        <v>55</v>
      </c>
      <c r="L51" s="151" t="s">
        <v>380</v>
      </c>
      <c r="N51" s="146" t="s">
        <v>566</v>
      </c>
      <c r="O51" s="149">
        <v>3</v>
      </c>
      <c r="P51" s="146" t="s">
        <v>567</v>
      </c>
    </row>
    <row r="52" spans="2:16">
      <c r="B52" s="146" t="s">
        <v>147</v>
      </c>
      <c r="C52" s="149">
        <f>const_Tset_default</f>
        <v>22</v>
      </c>
      <c r="E52" s="149">
        <v>35</v>
      </c>
      <c r="F52" s="159">
        <f>Celo_Blower_Min</f>
        <v>4.5</v>
      </c>
      <c r="I52" s="157"/>
      <c r="N52" s="146" t="s">
        <v>568</v>
      </c>
      <c r="O52" s="149">
        <v>2</v>
      </c>
      <c r="P52" s="146" t="s">
        <v>569</v>
      </c>
    </row>
    <row r="53" spans="2:16">
      <c r="B53" s="146" t="s">
        <v>148</v>
      </c>
      <c r="C53" s="149">
        <f>IF(FLAG_Country&lt;&gt;"USA",F43,E43)</f>
        <v>72</v>
      </c>
      <c r="E53" s="149">
        <v>55</v>
      </c>
      <c r="F53" s="159">
        <f>Celo_Blower_Max</f>
        <v>11.3</v>
      </c>
      <c r="I53" s="157"/>
      <c r="N53" s="148"/>
      <c r="O53" s="148"/>
      <c r="P53" s="148"/>
    </row>
    <row r="54" spans="2:16">
      <c r="B54" s="146" t="s">
        <v>149</v>
      </c>
      <c r="C54" s="149">
        <f>const_Tset_off</f>
        <v>14</v>
      </c>
      <c r="F54" s="157"/>
      <c r="G54" s="148"/>
      <c r="I54" s="157"/>
      <c r="J54" s="32" t="s">
        <v>504</v>
      </c>
      <c r="N54" s="32" t="s">
        <v>570</v>
      </c>
      <c r="O54" s="32"/>
      <c r="P54" s="33"/>
    </row>
    <row r="55" spans="2:16">
      <c r="B55" s="146" t="s">
        <v>150</v>
      </c>
      <c r="C55" s="149">
        <f>IF(FLAG_Country&lt;&gt;"USA",F44,E44)</f>
        <v>56</v>
      </c>
      <c r="E55" s="54" t="s">
        <v>339</v>
      </c>
      <c r="F55" s="158"/>
      <c r="G55" s="54" t="s">
        <v>349</v>
      </c>
      <c r="H55" s="158"/>
      <c r="I55" s="157"/>
      <c r="J55" s="34" t="s">
        <v>581</v>
      </c>
      <c r="K55" s="35" t="s">
        <v>582</v>
      </c>
      <c r="L55" s="34" t="s">
        <v>54</v>
      </c>
      <c r="N55" s="34" t="s">
        <v>52</v>
      </c>
      <c r="O55" s="35" t="s">
        <v>562</v>
      </c>
      <c r="P55" s="34" t="s">
        <v>54</v>
      </c>
    </row>
    <row r="56" spans="2:16">
      <c r="B56" s="146" t="s">
        <v>151</v>
      </c>
      <c r="C56" s="149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57"/>
      <c r="J56" s="146">
        <v>0</v>
      </c>
      <c r="K56" s="42">
        <v>0</v>
      </c>
      <c r="L56" s="146"/>
      <c r="N56" s="146" t="s">
        <v>563</v>
      </c>
      <c r="O56" s="149">
        <v>1</v>
      </c>
      <c r="P56" s="146" t="s">
        <v>563</v>
      </c>
    </row>
    <row r="57" spans="2:16">
      <c r="B57" s="146" t="s">
        <v>152</v>
      </c>
      <c r="C57" s="149">
        <f>IF(FLAG_Country&lt;&gt;"USA",F45,E45)</f>
        <v>62</v>
      </c>
      <c r="E57" s="149">
        <v>1.6</v>
      </c>
      <c r="F57" s="159">
        <f>ADS_Min</f>
        <v>4.2</v>
      </c>
      <c r="G57" s="149">
        <v>35</v>
      </c>
      <c r="H57" s="159">
        <f>PM_Blower_Min</f>
        <v>3.8</v>
      </c>
      <c r="I57" s="160"/>
      <c r="J57" s="146">
        <v>400</v>
      </c>
      <c r="K57" s="42">
        <v>0.34</v>
      </c>
      <c r="L57" s="146"/>
      <c r="N57" s="146" t="s">
        <v>564</v>
      </c>
      <c r="O57" s="149">
        <v>2</v>
      </c>
      <c r="P57" s="146" t="s">
        <v>565</v>
      </c>
    </row>
    <row r="58" spans="2:16">
      <c r="B58" s="146" t="s">
        <v>153</v>
      </c>
      <c r="C58" s="149">
        <f>const_Tset_max</f>
        <v>27</v>
      </c>
      <c r="E58" s="149">
        <v>4.2</v>
      </c>
      <c r="F58" s="159">
        <f>ADS_Max</f>
        <v>8</v>
      </c>
      <c r="G58" s="149">
        <v>75</v>
      </c>
      <c r="H58" s="159">
        <f>PM_Blower_Max</f>
        <v>8</v>
      </c>
      <c r="I58" s="157"/>
      <c r="J58" s="146">
        <v>1000</v>
      </c>
      <c r="K58" s="42">
        <v>0.85</v>
      </c>
      <c r="L58" s="146"/>
      <c r="N58" s="146" t="s">
        <v>566</v>
      </c>
      <c r="O58" s="149">
        <v>3</v>
      </c>
      <c r="P58" s="146" t="s">
        <v>567</v>
      </c>
    </row>
    <row r="59" spans="2:16">
      <c r="B59" s="146" t="s">
        <v>154</v>
      </c>
      <c r="C59" s="149">
        <f>IF(FLAG_Country&lt;&gt;"USA",F46,E46)</f>
        <v>82</v>
      </c>
      <c r="F59" s="157"/>
      <c r="H59" s="157"/>
      <c r="I59" s="157"/>
      <c r="J59" s="146">
        <v>2000</v>
      </c>
      <c r="K59" s="42">
        <v>1.7</v>
      </c>
      <c r="L59" s="146"/>
      <c r="N59" s="146" t="s">
        <v>568</v>
      </c>
      <c r="O59" s="149">
        <v>4</v>
      </c>
      <c r="P59" s="146" t="s">
        <v>569</v>
      </c>
    </row>
    <row r="60" spans="2:16">
      <c r="B60" s="146" t="s">
        <v>155</v>
      </c>
      <c r="C60" s="149">
        <f>const_Tset_invalid</f>
        <v>141.5</v>
      </c>
      <c r="E60" s="54" t="s">
        <v>340</v>
      </c>
      <c r="F60" s="158"/>
      <c r="G60" s="54" t="s">
        <v>348</v>
      </c>
      <c r="H60" s="158"/>
      <c r="I60" s="157"/>
      <c r="J60" s="146">
        <v>3000</v>
      </c>
      <c r="K60" s="42">
        <v>2.5499999999999998</v>
      </c>
      <c r="L60" s="146"/>
    </row>
    <row r="61" spans="2:16">
      <c r="B61" s="146" t="s">
        <v>156</v>
      </c>
      <c r="C61" s="149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57"/>
      <c r="J61" s="146">
        <v>4000</v>
      </c>
      <c r="K61" s="42">
        <v>3.4</v>
      </c>
      <c r="L61" s="146"/>
    </row>
    <row r="62" spans="2:16">
      <c r="B62" s="146" t="s">
        <v>157</v>
      </c>
      <c r="C62" s="149">
        <f>const_Tset_resolution</f>
        <v>0.5</v>
      </c>
      <c r="E62" s="149">
        <v>1</v>
      </c>
      <c r="F62" s="159">
        <f>ADS_Min</f>
        <v>4.2</v>
      </c>
      <c r="G62" s="149">
        <v>25</v>
      </c>
      <c r="H62" s="159">
        <f>PM_Blower_Min</f>
        <v>3.8</v>
      </c>
      <c r="I62" s="160"/>
      <c r="J62" s="160"/>
    </row>
    <row r="63" spans="2:16">
      <c r="B63" s="146" t="s">
        <v>159</v>
      </c>
      <c r="C63" s="149">
        <f>IF(FLAG_Country&lt;&gt;"USA",F48,E48)</f>
        <v>1</v>
      </c>
      <c r="E63" s="149">
        <v>3.6</v>
      </c>
      <c r="F63" s="159">
        <f>ADS_Max</f>
        <v>8</v>
      </c>
      <c r="G63" s="149">
        <v>65</v>
      </c>
      <c r="H63" s="159">
        <f>PM_Blower_Max</f>
        <v>8</v>
      </c>
      <c r="I63" s="160"/>
      <c r="J63" s="160"/>
    </row>
    <row r="64" spans="2:16">
      <c r="F64" s="160"/>
      <c r="G64" s="148"/>
      <c r="I64" s="160"/>
      <c r="J64" s="160"/>
    </row>
    <row r="65" spans="2:20">
      <c r="F65" s="148"/>
      <c r="G65" s="148"/>
      <c r="I65" s="148"/>
      <c r="J65" s="148"/>
    </row>
    <row r="66" spans="2:20">
      <c r="B66" s="32" t="s">
        <v>163</v>
      </c>
      <c r="F66" s="32" t="s">
        <v>469</v>
      </c>
      <c r="I66" s="148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5" t="s">
        <v>580</v>
      </c>
      <c r="C68" s="216"/>
      <c r="D68" s="217"/>
      <c r="F68" s="146" t="s">
        <v>212</v>
      </c>
      <c r="G68" s="42" t="s">
        <v>325</v>
      </c>
      <c r="H68" s="146" t="s">
        <v>809</v>
      </c>
      <c r="J68" s="146" t="s">
        <v>280</v>
      </c>
      <c r="K68" s="43" t="s">
        <v>277</v>
      </c>
      <c r="L68" s="146" t="s">
        <v>281</v>
      </c>
      <c r="N68" s="161">
        <v>0.3</v>
      </c>
      <c r="O68" s="162">
        <v>0.3</v>
      </c>
      <c r="P68" s="162">
        <v>2.15</v>
      </c>
      <c r="Q68" s="163"/>
      <c r="R68" s="161">
        <v>0.3</v>
      </c>
      <c r="S68" s="162">
        <v>0.3</v>
      </c>
      <c r="T68" s="162">
        <v>2.15</v>
      </c>
    </row>
    <row r="69" spans="2:20" ht="14.25">
      <c r="B69" s="146" t="s">
        <v>160</v>
      </c>
      <c r="C69" s="149" t="s">
        <v>417</v>
      </c>
      <c r="D69" s="146" t="s">
        <v>410</v>
      </c>
      <c r="E69" s="145" t="s">
        <v>810</v>
      </c>
      <c r="F69" s="146" t="s">
        <v>211</v>
      </c>
      <c r="G69" s="42" t="s">
        <v>325</v>
      </c>
      <c r="H69" s="146" t="s">
        <v>811</v>
      </c>
      <c r="J69" s="146" t="s">
        <v>290</v>
      </c>
      <c r="K69" s="43" t="s">
        <v>298</v>
      </c>
      <c r="L69" s="146" t="s">
        <v>289</v>
      </c>
      <c r="N69" s="161">
        <v>0.85</v>
      </c>
      <c r="O69" s="162">
        <v>0.3</v>
      </c>
      <c r="P69" s="162">
        <v>4.7</v>
      </c>
      <c r="Q69" s="163"/>
      <c r="R69" s="161">
        <v>0.85</v>
      </c>
      <c r="S69" s="162">
        <v>0.3</v>
      </c>
      <c r="T69" s="162">
        <v>4.7</v>
      </c>
    </row>
    <row r="70" spans="2:20" ht="13.5">
      <c r="B70" s="146" t="s">
        <v>166</v>
      </c>
      <c r="C70" s="149" t="s">
        <v>779</v>
      </c>
      <c r="D70" s="146"/>
      <c r="F70" s="146" t="s">
        <v>299</v>
      </c>
      <c r="G70" s="42" t="s">
        <v>213</v>
      </c>
      <c r="H70" s="146" t="s">
        <v>812</v>
      </c>
      <c r="J70" s="146" t="s">
        <v>292</v>
      </c>
      <c r="K70" s="43" t="s">
        <v>317</v>
      </c>
      <c r="L70" s="146" t="s">
        <v>291</v>
      </c>
      <c r="N70" s="161">
        <v>1.4</v>
      </c>
      <c r="O70" s="162">
        <v>2.6</v>
      </c>
      <c r="P70" s="162">
        <v>4.7</v>
      </c>
      <c r="Q70" s="163"/>
      <c r="R70" s="161">
        <v>1.4</v>
      </c>
      <c r="S70" s="162">
        <v>2.1</v>
      </c>
      <c r="T70" s="162">
        <v>4.7</v>
      </c>
    </row>
    <row r="71" spans="2:20">
      <c r="B71" s="146" t="s">
        <v>167</v>
      </c>
      <c r="C71" s="149" t="s">
        <v>813</v>
      </c>
      <c r="D71" s="146"/>
      <c r="F71" s="146" t="s">
        <v>300</v>
      </c>
      <c r="G71" s="42" t="s">
        <v>213</v>
      </c>
      <c r="H71" s="146" t="s">
        <v>814</v>
      </c>
      <c r="J71" s="146" t="s">
        <v>294</v>
      </c>
      <c r="K71" s="43" t="s">
        <v>297</v>
      </c>
      <c r="L71" s="146" t="s">
        <v>278</v>
      </c>
      <c r="N71" s="161">
        <v>1.95</v>
      </c>
      <c r="O71" s="162">
        <v>2.8</v>
      </c>
      <c r="P71" s="162">
        <v>4.7</v>
      </c>
      <c r="Q71" s="163"/>
      <c r="R71" s="161">
        <v>1.9</v>
      </c>
      <c r="S71" s="162">
        <v>2.8</v>
      </c>
      <c r="T71" s="162">
        <v>4.7</v>
      </c>
    </row>
    <row r="72" spans="2:20" ht="13.5">
      <c r="B72" s="146" t="s">
        <v>168</v>
      </c>
      <c r="C72" s="149" t="s">
        <v>780</v>
      </c>
      <c r="D72" s="146"/>
      <c r="F72" s="146" t="s">
        <v>326</v>
      </c>
      <c r="G72" s="42" t="s">
        <v>325</v>
      </c>
      <c r="H72" s="146" t="s">
        <v>466</v>
      </c>
      <c r="J72" s="146" t="s">
        <v>295</v>
      </c>
      <c r="K72" s="43" t="s">
        <v>296</v>
      </c>
      <c r="L72" s="146" t="s">
        <v>279</v>
      </c>
      <c r="N72" s="161">
        <v>2.5</v>
      </c>
      <c r="O72" s="162">
        <v>3</v>
      </c>
      <c r="P72" s="162">
        <v>4.7</v>
      </c>
      <c r="Q72" s="163"/>
      <c r="R72" s="161">
        <v>2.5</v>
      </c>
      <c r="S72" s="162">
        <v>3</v>
      </c>
      <c r="T72" s="162">
        <v>4.7</v>
      </c>
    </row>
    <row r="73" spans="2:20">
      <c r="B73" s="146" t="s">
        <v>169</v>
      </c>
      <c r="C73" s="149" t="s">
        <v>781</v>
      </c>
      <c r="D73" s="146"/>
      <c r="F73" s="146" t="s">
        <v>381</v>
      </c>
      <c r="G73" s="42" t="s">
        <v>325</v>
      </c>
      <c r="H73" s="146" t="s">
        <v>467</v>
      </c>
      <c r="J73" s="146" t="s">
        <v>293</v>
      </c>
      <c r="K73" s="43" t="s">
        <v>318</v>
      </c>
      <c r="L73" s="146" t="s">
        <v>282</v>
      </c>
      <c r="N73" s="161">
        <v>3.05</v>
      </c>
      <c r="O73" s="162">
        <v>3.1</v>
      </c>
      <c r="P73" s="162">
        <v>4.7</v>
      </c>
      <c r="Q73" s="163"/>
      <c r="R73" s="161">
        <v>2.8</v>
      </c>
      <c r="S73" s="162">
        <v>3.2</v>
      </c>
      <c r="T73" s="162">
        <v>4.7</v>
      </c>
    </row>
    <row r="74" spans="2:20">
      <c r="B74" s="146" t="s">
        <v>165</v>
      </c>
      <c r="C74" s="149" t="s">
        <v>815</v>
      </c>
      <c r="D74" s="146"/>
      <c r="F74" s="146" t="s">
        <v>465</v>
      </c>
      <c r="G74" s="42" t="s">
        <v>213</v>
      </c>
      <c r="H74" s="146" t="s">
        <v>468</v>
      </c>
      <c r="J74" s="146" t="s">
        <v>382</v>
      </c>
      <c r="K74" s="43" t="s">
        <v>383</v>
      </c>
      <c r="L74" s="146" t="s">
        <v>395</v>
      </c>
      <c r="N74" s="161">
        <v>3.5</v>
      </c>
      <c r="O74" s="162">
        <v>3.3</v>
      </c>
      <c r="P74" s="162">
        <v>4.7</v>
      </c>
      <c r="Q74" s="163"/>
      <c r="R74" s="161">
        <v>3.25</v>
      </c>
      <c r="S74" s="162">
        <v>3.3</v>
      </c>
      <c r="T74" s="162">
        <v>4.7</v>
      </c>
    </row>
    <row r="75" spans="2:20" ht="13.5">
      <c r="B75" s="146" t="s">
        <v>170</v>
      </c>
      <c r="C75" s="149" t="s">
        <v>816</v>
      </c>
      <c r="D75" s="146"/>
      <c r="F75" s="146" t="s">
        <v>474</v>
      </c>
      <c r="G75" s="42" t="s">
        <v>213</v>
      </c>
      <c r="H75" s="146" t="s">
        <v>473</v>
      </c>
      <c r="J75" s="146" t="s">
        <v>525</v>
      </c>
      <c r="K75" s="43" t="s">
        <v>752</v>
      </c>
      <c r="L75" s="146" t="s">
        <v>736</v>
      </c>
      <c r="N75" s="161">
        <v>4.1500000000000004</v>
      </c>
      <c r="O75" s="162">
        <v>3.5</v>
      </c>
      <c r="P75" s="162">
        <v>4.7</v>
      </c>
      <c r="Q75" s="163"/>
      <c r="R75" s="161">
        <v>4.1500000000000004</v>
      </c>
      <c r="S75" s="162">
        <v>3.5</v>
      </c>
      <c r="T75" s="162">
        <v>4.7</v>
      </c>
    </row>
    <row r="76" spans="2:20">
      <c r="B76" s="146" t="s">
        <v>171</v>
      </c>
      <c r="C76" s="149" t="s">
        <v>817</v>
      </c>
      <c r="D76" s="146"/>
      <c r="F76" s="146" t="s">
        <v>487</v>
      </c>
      <c r="G76" s="42" t="s">
        <v>325</v>
      </c>
      <c r="H76" s="146" t="s">
        <v>488</v>
      </c>
      <c r="J76" s="146" t="s">
        <v>753</v>
      </c>
      <c r="K76" s="43" t="s">
        <v>754</v>
      </c>
      <c r="L76" s="146" t="s">
        <v>755</v>
      </c>
      <c r="N76" s="161">
        <v>4.7</v>
      </c>
      <c r="O76" s="162">
        <v>3.5</v>
      </c>
      <c r="P76" s="162">
        <v>4.7</v>
      </c>
      <c r="Q76" s="163"/>
      <c r="R76" s="161">
        <v>4.7</v>
      </c>
      <c r="S76" s="162">
        <v>3.5</v>
      </c>
      <c r="T76" s="162">
        <v>4.7</v>
      </c>
    </row>
    <row r="77" spans="2:20">
      <c r="B77" s="146" t="s">
        <v>172</v>
      </c>
      <c r="C77" s="149" t="s">
        <v>818</v>
      </c>
      <c r="D77" s="146"/>
      <c r="F77" s="146" t="s">
        <v>819</v>
      </c>
      <c r="G77" s="42" t="s">
        <v>213</v>
      </c>
      <c r="H77" s="146" t="s">
        <v>820</v>
      </c>
      <c r="J77" s="146"/>
      <c r="K77" s="43"/>
      <c r="L77" s="146"/>
    </row>
    <row r="78" spans="2:20" ht="13.5">
      <c r="B78" s="146" t="s">
        <v>173</v>
      </c>
      <c r="C78" s="149" t="s">
        <v>821</v>
      </c>
      <c r="D78" s="146"/>
      <c r="F78" s="146" t="s">
        <v>822</v>
      </c>
      <c r="G78" s="42" t="s">
        <v>325</v>
      </c>
      <c r="H78" s="146" t="s">
        <v>823</v>
      </c>
      <c r="J78" s="146"/>
      <c r="K78" s="43"/>
      <c r="L78" s="146"/>
      <c r="N78" s="32" t="s">
        <v>824</v>
      </c>
      <c r="O78" s="32"/>
    </row>
    <row r="79" spans="2:20" ht="13.5">
      <c r="B79" s="146" t="s">
        <v>174</v>
      </c>
      <c r="C79" s="149" t="s">
        <v>825</v>
      </c>
      <c r="D79" s="146"/>
      <c r="F79" s="146" t="s">
        <v>826</v>
      </c>
      <c r="G79" s="42" t="s">
        <v>213</v>
      </c>
      <c r="H79" s="146" t="s">
        <v>827</v>
      </c>
      <c r="J79" s="146"/>
      <c r="K79" s="43"/>
      <c r="L79" s="146"/>
      <c r="N79" s="34"/>
      <c r="O79" s="34" t="s">
        <v>828</v>
      </c>
      <c r="P79" s="34" t="s">
        <v>829</v>
      </c>
      <c r="Q79" s="34" t="s">
        <v>830</v>
      </c>
      <c r="R79" s="34" t="s">
        <v>831</v>
      </c>
      <c r="S79" s="34" t="s">
        <v>832</v>
      </c>
    </row>
    <row r="80" spans="2:20">
      <c r="B80" s="146" t="s">
        <v>175</v>
      </c>
      <c r="C80" s="149" t="s">
        <v>778</v>
      </c>
      <c r="D80" s="146" t="s">
        <v>239</v>
      </c>
      <c r="E80" s="145" t="s">
        <v>833</v>
      </c>
      <c r="F80" s="146"/>
      <c r="G80" s="42"/>
      <c r="H80" s="146"/>
      <c r="J80" s="146"/>
      <c r="K80" s="43"/>
      <c r="L80" s="146"/>
      <c r="N80" s="189">
        <v>1</v>
      </c>
      <c r="O80" s="43">
        <v>3.4</v>
      </c>
      <c r="P80" s="146">
        <v>45.6</v>
      </c>
      <c r="Q80" s="146">
        <v>33.299999999999997</v>
      </c>
      <c r="R80" s="146">
        <v>28</v>
      </c>
      <c r="S80" s="146">
        <v>24</v>
      </c>
    </row>
    <row r="81" spans="2:19">
      <c r="B81" s="146" t="s">
        <v>774</v>
      </c>
      <c r="C81" s="149" t="s">
        <v>834</v>
      </c>
      <c r="D81" s="146" t="s">
        <v>835</v>
      </c>
      <c r="F81" s="146"/>
      <c r="G81" s="42"/>
      <c r="H81" s="146"/>
      <c r="J81" s="146"/>
      <c r="K81" s="43"/>
      <c r="L81" s="146"/>
      <c r="N81" s="189">
        <v>1</v>
      </c>
      <c r="O81" s="43">
        <v>4.8</v>
      </c>
      <c r="P81" s="146">
        <v>61.5</v>
      </c>
      <c r="Q81" s="146">
        <v>45.6</v>
      </c>
      <c r="R81" s="146">
        <v>38.5</v>
      </c>
      <c r="S81" s="146">
        <v>33.1</v>
      </c>
    </row>
    <row r="82" spans="2:19">
      <c r="B82" s="146" t="s">
        <v>193</v>
      </c>
      <c r="C82" s="149" t="s">
        <v>836</v>
      </c>
      <c r="D82" s="146" t="s">
        <v>240</v>
      </c>
      <c r="F82" s="146"/>
      <c r="G82" s="42"/>
      <c r="H82" s="146"/>
      <c r="J82" s="146"/>
      <c r="K82" s="43"/>
      <c r="L82" s="146"/>
      <c r="N82" s="189">
        <v>2</v>
      </c>
      <c r="O82" s="43">
        <v>5.8</v>
      </c>
      <c r="P82" s="146">
        <v>72.400000000000006</v>
      </c>
      <c r="Q82" s="146">
        <v>54.4</v>
      </c>
      <c r="R82" s="146">
        <v>45.9</v>
      </c>
      <c r="S82" s="146">
        <v>39.799999999999997</v>
      </c>
    </row>
    <row r="83" spans="2:19">
      <c r="B83" s="146" t="s">
        <v>221</v>
      </c>
      <c r="C83" s="149" t="s">
        <v>837</v>
      </c>
      <c r="D83" s="146" t="s">
        <v>245</v>
      </c>
      <c r="F83" s="146"/>
      <c r="G83" s="42"/>
      <c r="H83" s="146"/>
      <c r="J83" s="146"/>
      <c r="K83" s="43"/>
      <c r="L83" s="146"/>
      <c r="N83" s="189">
        <v>3</v>
      </c>
      <c r="O83" s="43">
        <v>6.8</v>
      </c>
      <c r="P83" s="146">
        <v>82.5</v>
      </c>
      <c r="Q83" s="146">
        <v>62.7</v>
      </c>
      <c r="R83" s="146">
        <v>53.5</v>
      </c>
      <c r="S83" s="146">
        <v>46.6</v>
      </c>
    </row>
    <row r="84" spans="2:19">
      <c r="B84" s="146" t="s">
        <v>571</v>
      </c>
      <c r="C84" s="149" t="s">
        <v>572</v>
      </c>
      <c r="D84" s="146" t="s">
        <v>573</v>
      </c>
      <c r="F84" s="146"/>
      <c r="G84" s="42"/>
      <c r="H84" s="146"/>
      <c r="J84" s="146"/>
      <c r="K84" s="43"/>
      <c r="L84" s="146"/>
      <c r="N84" s="189">
        <v>4</v>
      </c>
      <c r="O84" s="43">
        <v>7.1</v>
      </c>
      <c r="P84" s="146">
        <v>85.1</v>
      </c>
      <c r="Q84" s="146">
        <v>65.400000000000006</v>
      </c>
      <c r="R84" s="146">
        <v>55.9</v>
      </c>
      <c r="S84" s="146">
        <v>48.6</v>
      </c>
    </row>
    <row r="85" spans="2:19">
      <c r="B85" s="146" t="s">
        <v>574</v>
      </c>
      <c r="C85" s="149" t="s">
        <v>575</v>
      </c>
      <c r="D85" s="146" t="s">
        <v>576</v>
      </c>
      <c r="F85" s="146"/>
      <c r="G85" s="42"/>
      <c r="H85" s="146"/>
      <c r="J85" s="146"/>
      <c r="K85" s="43"/>
      <c r="L85" s="146"/>
      <c r="N85" s="189">
        <v>5</v>
      </c>
      <c r="O85" s="43">
        <v>8</v>
      </c>
      <c r="P85" s="146">
        <v>89.7</v>
      </c>
      <c r="Q85" s="146">
        <v>73.3</v>
      </c>
      <c r="R85" s="146">
        <v>62.8</v>
      </c>
      <c r="S85" s="146">
        <v>54.8</v>
      </c>
    </row>
    <row r="86" spans="2:19" ht="13.5">
      <c r="B86" s="146" t="s">
        <v>838</v>
      </c>
      <c r="C86" s="149" t="s">
        <v>839</v>
      </c>
      <c r="D86" s="146" t="s">
        <v>840</v>
      </c>
      <c r="F86" s="146"/>
      <c r="G86" s="42"/>
      <c r="H86" s="146"/>
      <c r="J86" s="146"/>
      <c r="K86" s="43"/>
      <c r="L86" s="146"/>
      <c r="N86" s="189">
        <v>6</v>
      </c>
      <c r="O86" s="43">
        <v>9.1999999999999993</v>
      </c>
      <c r="P86" s="146">
        <v>100</v>
      </c>
      <c r="Q86" s="146">
        <v>81.599999999999994</v>
      </c>
      <c r="R86" s="146">
        <v>71.599999999999994</v>
      </c>
      <c r="S86" s="146">
        <v>62.9</v>
      </c>
    </row>
    <row r="87" spans="2:19">
      <c r="B87" s="146"/>
      <c r="C87" s="149"/>
      <c r="D87" s="146"/>
      <c r="F87" s="146"/>
      <c r="G87" s="42"/>
      <c r="H87" s="146"/>
      <c r="J87" s="146"/>
      <c r="K87" s="43"/>
      <c r="L87" s="146"/>
      <c r="N87" s="189">
        <v>7</v>
      </c>
      <c r="O87" s="43">
        <v>11</v>
      </c>
      <c r="P87" s="146">
        <v>100</v>
      </c>
      <c r="Q87" s="146">
        <v>90.9</v>
      </c>
      <c r="R87" s="146">
        <v>82.8</v>
      </c>
      <c r="S87" s="146">
        <v>74.5</v>
      </c>
    </row>
    <row r="88" spans="2:19">
      <c r="B88" s="215" t="s">
        <v>583</v>
      </c>
      <c r="C88" s="216"/>
      <c r="D88" s="217"/>
      <c r="F88" s="146"/>
      <c r="G88" s="42"/>
      <c r="H88" s="146"/>
      <c r="J88" s="146"/>
      <c r="K88" s="43"/>
      <c r="L88" s="146"/>
      <c r="N88" s="189">
        <v>7</v>
      </c>
      <c r="O88" s="43">
        <v>12.5</v>
      </c>
      <c r="P88" s="146">
        <v>100</v>
      </c>
      <c r="Q88" s="146">
        <v>100</v>
      </c>
      <c r="R88" s="146">
        <v>89.1</v>
      </c>
      <c r="S88" s="146">
        <v>82.6</v>
      </c>
    </row>
    <row r="89" spans="2:19">
      <c r="B89" s="146" t="s">
        <v>195</v>
      </c>
      <c r="C89" s="149" t="s">
        <v>199</v>
      </c>
      <c r="D89" s="146" t="s">
        <v>404</v>
      </c>
      <c r="F89" s="146"/>
      <c r="G89" s="42"/>
      <c r="H89" s="146"/>
      <c r="J89" s="146"/>
      <c r="K89" s="43"/>
      <c r="L89" s="146"/>
      <c r="N89" s="189">
        <v>8</v>
      </c>
      <c r="O89" s="43">
        <v>13.5</v>
      </c>
      <c r="P89" s="146">
        <v>100</v>
      </c>
      <c r="Q89" s="146">
        <v>100</v>
      </c>
      <c r="R89" s="146">
        <v>100</v>
      </c>
      <c r="S89" s="146">
        <v>100</v>
      </c>
    </row>
    <row r="90" spans="2:19">
      <c r="B90" s="146" t="s">
        <v>196</v>
      </c>
      <c r="C90" s="149" t="s">
        <v>200</v>
      </c>
      <c r="D90" s="146" t="s">
        <v>403</v>
      </c>
      <c r="N90" s="190"/>
    </row>
    <row r="91" spans="2:19">
      <c r="B91" s="146" t="s">
        <v>197</v>
      </c>
      <c r="C91" s="149" t="s">
        <v>201</v>
      </c>
      <c r="D91" s="146" t="s">
        <v>402</v>
      </c>
      <c r="N91" s="165" t="s">
        <v>841</v>
      </c>
    </row>
    <row r="92" spans="2:19">
      <c r="B92" s="146" t="s">
        <v>198</v>
      </c>
      <c r="C92" s="149" t="s">
        <v>202</v>
      </c>
      <c r="D92" s="146" t="s">
        <v>401</v>
      </c>
      <c r="N92" s="146"/>
      <c r="O92" s="146"/>
      <c r="P92" s="146"/>
    </row>
    <row r="93" spans="2:19">
      <c r="B93" s="146" t="s">
        <v>176</v>
      </c>
      <c r="C93" s="149" t="s">
        <v>177</v>
      </c>
      <c r="D93" s="146" t="s">
        <v>400</v>
      </c>
      <c r="N93" s="191">
        <v>0</v>
      </c>
      <c r="O93" s="191" t="s">
        <v>842</v>
      </c>
      <c r="P93" s="146"/>
    </row>
    <row r="94" spans="2:19">
      <c r="B94" s="146" t="s">
        <v>205</v>
      </c>
      <c r="C94" s="149" t="s">
        <v>203</v>
      </c>
      <c r="D94" s="146" t="s">
        <v>422</v>
      </c>
      <c r="N94" s="191">
        <v>1</v>
      </c>
      <c r="O94" s="191" t="s">
        <v>843</v>
      </c>
      <c r="P94" s="146"/>
    </row>
    <row r="95" spans="2:19">
      <c r="B95" s="146" t="s">
        <v>206</v>
      </c>
      <c r="C95" s="149" t="s">
        <v>204</v>
      </c>
      <c r="D95" s="146" t="s">
        <v>423</v>
      </c>
    </row>
    <row r="96" spans="2:19">
      <c r="B96" s="146" t="s">
        <v>505</v>
      </c>
      <c r="C96" s="149" t="s">
        <v>507</v>
      </c>
      <c r="D96" s="146" t="s">
        <v>509</v>
      </c>
      <c r="N96" s="32" t="s">
        <v>844</v>
      </c>
      <c r="O96" s="145" t="s">
        <v>845</v>
      </c>
    </row>
    <row r="97" spans="2:15">
      <c r="B97" s="146" t="s">
        <v>506</v>
      </c>
      <c r="C97" s="149" t="s">
        <v>508</v>
      </c>
      <c r="D97" s="146" t="s">
        <v>510</v>
      </c>
      <c r="N97" s="34"/>
      <c r="O97" s="35"/>
    </row>
    <row r="98" spans="2:15">
      <c r="B98" s="146"/>
      <c r="C98" s="149"/>
      <c r="D98" s="146"/>
      <c r="N98" s="191">
        <v>0</v>
      </c>
      <c r="O98" s="191" t="s">
        <v>846</v>
      </c>
    </row>
    <row r="99" spans="2:15">
      <c r="B99" s="215" t="s">
        <v>584</v>
      </c>
      <c r="C99" s="216"/>
      <c r="D99" s="217"/>
      <c r="N99" s="191">
        <v>1</v>
      </c>
      <c r="O99" s="191" t="s">
        <v>847</v>
      </c>
    </row>
    <row r="100" spans="2:15">
      <c r="B100" s="146" t="s">
        <v>848</v>
      </c>
      <c r="C100" s="149" t="s">
        <v>849</v>
      </c>
      <c r="D100" s="146" t="s">
        <v>850</v>
      </c>
      <c r="N100" s="191">
        <v>2</v>
      </c>
      <c r="O100" s="191" t="s">
        <v>851</v>
      </c>
    </row>
    <row r="101" spans="2:15">
      <c r="B101" s="146" t="s">
        <v>475</v>
      </c>
      <c r="C101" s="149" t="s">
        <v>479</v>
      </c>
      <c r="D101" s="146" t="s">
        <v>595</v>
      </c>
      <c r="N101" s="191">
        <v>3</v>
      </c>
      <c r="O101" s="191" t="s">
        <v>852</v>
      </c>
    </row>
    <row r="102" spans="2:15">
      <c r="B102" s="146" t="s">
        <v>476</v>
      </c>
      <c r="C102" s="149" t="s">
        <v>480</v>
      </c>
      <c r="D102" s="146" t="s">
        <v>596</v>
      </c>
      <c r="N102" s="191">
        <v>4</v>
      </c>
      <c r="O102" s="191" t="s">
        <v>853</v>
      </c>
    </row>
    <row r="103" spans="2:15">
      <c r="B103" s="146" t="s">
        <v>477</v>
      </c>
      <c r="C103" s="149" t="s">
        <v>481</v>
      </c>
      <c r="D103" s="146" t="s">
        <v>597</v>
      </c>
      <c r="N103" s="191">
        <v>5</v>
      </c>
      <c r="O103" s="191" t="s">
        <v>854</v>
      </c>
    </row>
    <row r="104" spans="2:15">
      <c r="B104" s="146" t="s">
        <v>478</v>
      </c>
      <c r="C104" s="149" t="s">
        <v>482</v>
      </c>
      <c r="D104" s="146" t="s">
        <v>598</v>
      </c>
      <c r="N104" s="191">
        <v>6</v>
      </c>
      <c r="O104" s="191" t="s">
        <v>855</v>
      </c>
    </row>
    <row r="105" spans="2:15">
      <c r="B105" s="146" t="s">
        <v>539</v>
      </c>
      <c r="C105" s="149" t="s">
        <v>538</v>
      </c>
      <c r="D105" s="146" t="s">
        <v>540</v>
      </c>
      <c r="N105" s="191">
        <v>7</v>
      </c>
      <c r="O105" s="191" t="s">
        <v>856</v>
      </c>
    </row>
    <row r="106" spans="2:15">
      <c r="B106" s="146" t="s">
        <v>857</v>
      </c>
      <c r="C106" s="149" t="s">
        <v>858</v>
      </c>
      <c r="D106" s="146" t="s">
        <v>859</v>
      </c>
      <c r="N106" s="191">
        <v>8</v>
      </c>
      <c r="O106" s="191" t="s">
        <v>860</v>
      </c>
    </row>
    <row r="107" spans="2:15">
      <c r="B107" s="146" t="s">
        <v>861</v>
      </c>
      <c r="C107" s="149" t="s">
        <v>862</v>
      </c>
      <c r="D107" s="146" t="s">
        <v>863</v>
      </c>
      <c r="N107" s="191">
        <v>9</v>
      </c>
      <c r="O107" s="191" t="s">
        <v>864</v>
      </c>
    </row>
    <row r="108" spans="2:15">
      <c r="B108" s="146" t="s">
        <v>865</v>
      </c>
      <c r="C108" s="149" t="s">
        <v>866</v>
      </c>
      <c r="D108" s="146" t="s">
        <v>867</v>
      </c>
      <c r="N108" s="191">
        <v>10</v>
      </c>
      <c r="O108" s="191" t="s">
        <v>868</v>
      </c>
    </row>
    <row r="109" spans="2:15">
      <c r="B109" s="146" t="s">
        <v>869</v>
      </c>
      <c r="C109" s="149" t="s">
        <v>870</v>
      </c>
      <c r="D109" s="146" t="s">
        <v>871</v>
      </c>
    </row>
    <row r="110" spans="2:15">
      <c r="B110" s="146" t="s">
        <v>872</v>
      </c>
      <c r="C110" s="149" t="s">
        <v>873</v>
      </c>
      <c r="D110" s="146" t="s">
        <v>874</v>
      </c>
    </row>
    <row r="111" spans="2:15">
      <c r="B111" s="146" t="s">
        <v>542</v>
      </c>
      <c r="C111" s="149" t="s">
        <v>541</v>
      </c>
      <c r="D111" s="146" t="s">
        <v>589</v>
      </c>
    </row>
    <row r="112" spans="2:15">
      <c r="B112" s="146" t="s">
        <v>544</v>
      </c>
      <c r="C112" s="149" t="s">
        <v>543</v>
      </c>
      <c r="D112" s="146" t="s">
        <v>546</v>
      </c>
    </row>
    <row r="113" spans="2:5">
      <c r="B113" s="146" t="s">
        <v>545</v>
      </c>
      <c r="C113" s="149" t="s">
        <v>104</v>
      </c>
      <c r="D113" s="146" t="s">
        <v>547</v>
      </c>
    </row>
    <row r="114" spans="2:5">
      <c r="B114" s="146" t="s">
        <v>311</v>
      </c>
      <c r="C114" s="149" t="s">
        <v>372</v>
      </c>
      <c r="D114" s="146" t="s">
        <v>405</v>
      </c>
    </row>
    <row r="115" spans="2:5">
      <c r="B115" s="146" t="s">
        <v>313</v>
      </c>
      <c r="C115" s="149" t="s">
        <v>312</v>
      </c>
      <c r="D115" s="146" t="s">
        <v>433</v>
      </c>
    </row>
    <row r="116" spans="2:5">
      <c r="B116" s="146" t="s">
        <v>315</v>
      </c>
      <c r="C116" s="149" t="s">
        <v>314</v>
      </c>
      <c r="D116" s="146" t="s">
        <v>434</v>
      </c>
    </row>
    <row r="117" spans="2:5" ht="13.5">
      <c r="B117" s="146" t="s">
        <v>875</v>
      </c>
      <c r="C117" s="149" t="s">
        <v>876</v>
      </c>
      <c r="D117" s="146" t="s">
        <v>877</v>
      </c>
    </row>
    <row r="118" spans="2:5" ht="13.5">
      <c r="B118" s="146" t="s">
        <v>878</v>
      </c>
      <c r="C118" s="149" t="s">
        <v>879</v>
      </c>
      <c r="D118" s="146" t="s">
        <v>880</v>
      </c>
    </row>
    <row r="119" spans="2:5" ht="13.5">
      <c r="B119" s="146" t="s">
        <v>881</v>
      </c>
      <c r="C119" s="149" t="s">
        <v>882</v>
      </c>
      <c r="D119" s="146" t="s">
        <v>883</v>
      </c>
    </row>
    <row r="120" spans="2:5" ht="14.25">
      <c r="B120" s="146" t="s">
        <v>884</v>
      </c>
      <c r="C120" s="149" t="s">
        <v>885</v>
      </c>
      <c r="D120" s="146" t="s">
        <v>886</v>
      </c>
    </row>
    <row r="121" spans="2:5">
      <c r="B121" s="146"/>
      <c r="C121" s="149"/>
      <c r="D121" s="146"/>
    </row>
    <row r="122" spans="2:5">
      <c r="B122" s="146"/>
      <c r="C122" s="149"/>
      <c r="D122" s="146"/>
    </row>
    <row r="123" spans="2:5" ht="13.5">
      <c r="B123" s="146" t="s">
        <v>178</v>
      </c>
      <c r="C123" s="149" t="s">
        <v>887</v>
      </c>
      <c r="D123" s="146" t="s">
        <v>483</v>
      </c>
      <c r="E123" s="145" t="s">
        <v>888</v>
      </c>
    </row>
    <row r="124" spans="2:5">
      <c r="B124" s="146" t="s">
        <v>179</v>
      </c>
      <c r="C124" s="149" t="s">
        <v>777</v>
      </c>
      <c r="D124" s="146" t="s">
        <v>484</v>
      </c>
    </row>
    <row r="125" spans="2:5">
      <c r="B125" s="146" t="s">
        <v>180</v>
      </c>
      <c r="C125" s="149" t="s">
        <v>889</v>
      </c>
      <c r="D125" s="146" t="s">
        <v>485</v>
      </c>
    </row>
    <row r="126" spans="2:5">
      <c r="B126" s="146" t="s">
        <v>181</v>
      </c>
      <c r="C126" s="149"/>
      <c r="D126" s="146" t="s">
        <v>486</v>
      </c>
    </row>
    <row r="127" spans="2:5">
      <c r="B127" s="146" t="s">
        <v>890</v>
      </c>
      <c r="C127" s="149" t="s">
        <v>891</v>
      </c>
      <c r="D127" s="146" t="s">
        <v>859</v>
      </c>
    </row>
    <row r="128" spans="2:5">
      <c r="B128" s="146" t="s">
        <v>892</v>
      </c>
      <c r="C128" s="149" t="s">
        <v>893</v>
      </c>
      <c r="D128" s="146" t="s">
        <v>863</v>
      </c>
    </row>
    <row r="129" spans="2:7" ht="13.5">
      <c r="B129" s="146" t="s">
        <v>894</v>
      </c>
      <c r="C129" s="149" t="s">
        <v>895</v>
      </c>
      <c r="D129" s="146" t="s">
        <v>867</v>
      </c>
      <c r="G129" s="192"/>
    </row>
    <row r="130" spans="2:7">
      <c r="B130" s="146" t="s">
        <v>896</v>
      </c>
      <c r="C130" s="149" t="s">
        <v>897</v>
      </c>
      <c r="D130" s="146" t="s">
        <v>871</v>
      </c>
      <c r="E130" s="193"/>
    </row>
    <row r="131" spans="2:7">
      <c r="B131" s="146" t="s">
        <v>898</v>
      </c>
      <c r="C131" s="149" t="s">
        <v>899</v>
      </c>
      <c r="D131" s="146" t="s">
        <v>874</v>
      </c>
    </row>
    <row r="132" spans="2:7">
      <c r="B132" s="146"/>
      <c r="C132" s="149"/>
      <c r="D132" s="146"/>
    </row>
    <row r="133" spans="2:7">
      <c r="B133" s="146"/>
      <c r="C133" s="149"/>
      <c r="D133" s="146"/>
    </row>
    <row r="134" spans="2:7">
      <c r="B134" s="215" t="s">
        <v>599</v>
      </c>
      <c r="C134" s="216"/>
      <c r="D134" s="217"/>
    </row>
    <row r="135" spans="2:7">
      <c r="B135" s="146" t="s">
        <v>241</v>
      </c>
      <c r="C135" s="149" t="s">
        <v>900</v>
      </c>
      <c r="D135" s="146" t="s">
        <v>255</v>
      </c>
      <c r="E135" s="145" t="s">
        <v>901</v>
      </c>
    </row>
    <row r="136" spans="2:7">
      <c r="B136" s="146" t="s">
        <v>492</v>
      </c>
      <c r="C136" s="149" t="s">
        <v>782</v>
      </c>
      <c r="D136" s="146" t="s">
        <v>587</v>
      </c>
    </row>
    <row r="137" spans="2:7">
      <c r="B137" s="146" t="s">
        <v>902</v>
      </c>
      <c r="C137" s="149" t="s">
        <v>903</v>
      </c>
      <c r="D137" s="146"/>
      <c r="E137" s="145" t="s">
        <v>904</v>
      </c>
    </row>
    <row r="138" spans="2:7">
      <c r="B138" s="146" t="s">
        <v>905</v>
      </c>
      <c r="C138" s="149" t="s">
        <v>906</v>
      </c>
      <c r="D138" s="146"/>
      <c r="E138" s="145" t="s">
        <v>904</v>
      </c>
    </row>
    <row r="139" spans="2:7">
      <c r="B139" s="146" t="s">
        <v>907</v>
      </c>
      <c r="C139" s="149" t="s">
        <v>908</v>
      </c>
      <c r="D139" s="146"/>
      <c r="E139" s="145" t="s">
        <v>904</v>
      </c>
    </row>
    <row r="140" spans="2:7">
      <c r="B140" s="146" t="s">
        <v>909</v>
      </c>
      <c r="C140" s="149" t="s">
        <v>910</v>
      </c>
      <c r="D140" s="146"/>
      <c r="E140" s="145" t="s">
        <v>904</v>
      </c>
    </row>
    <row r="141" spans="2:7">
      <c r="B141" s="146"/>
      <c r="C141" s="149"/>
      <c r="D141" s="146"/>
    </row>
    <row r="142" spans="2:7" ht="13.5">
      <c r="B142" s="146" t="s">
        <v>244</v>
      </c>
      <c r="C142" s="149" t="s">
        <v>243</v>
      </c>
      <c r="D142" s="146" t="s">
        <v>396</v>
      </c>
      <c r="E142" s="145" t="s">
        <v>390</v>
      </c>
    </row>
    <row r="143" spans="2:7">
      <c r="B143" s="146" t="s">
        <v>252</v>
      </c>
      <c r="C143" s="149">
        <v>4.5</v>
      </c>
      <c r="D143" s="146" t="s">
        <v>432</v>
      </c>
    </row>
    <row r="144" spans="2:7">
      <c r="B144" s="146" t="s">
        <v>256</v>
      </c>
      <c r="C144" s="149">
        <v>11.3</v>
      </c>
      <c r="D144" s="146" t="s">
        <v>432</v>
      </c>
    </row>
    <row r="145" spans="2:5">
      <c r="B145" s="146"/>
      <c r="C145" s="149"/>
      <c r="D145" s="146"/>
    </row>
    <row r="146" spans="2:5">
      <c r="B146" s="146" t="s">
        <v>270</v>
      </c>
      <c r="C146" s="149" t="s">
        <v>269</v>
      </c>
      <c r="D146" s="146" t="s">
        <v>585</v>
      </c>
      <c r="E146" s="145" t="s">
        <v>265</v>
      </c>
    </row>
    <row r="147" spans="2:5">
      <c r="B147" s="146" t="s">
        <v>272</v>
      </c>
      <c r="C147" s="149" t="s">
        <v>271</v>
      </c>
      <c r="D147" s="146" t="s">
        <v>585</v>
      </c>
      <c r="E147" s="145" t="s">
        <v>266</v>
      </c>
    </row>
    <row r="148" spans="2:5">
      <c r="B148" s="146" t="s">
        <v>274</v>
      </c>
      <c r="C148" s="149" t="s">
        <v>273</v>
      </c>
      <c r="D148" s="164" t="s">
        <v>397</v>
      </c>
      <c r="E148" s="145" t="s">
        <v>267</v>
      </c>
    </row>
    <row r="149" spans="2:5">
      <c r="B149" s="146" t="s">
        <v>276</v>
      </c>
      <c r="C149" s="149" t="s">
        <v>275</v>
      </c>
      <c r="D149" s="164" t="s">
        <v>418</v>
      </c>
      <c r="E149" s="145" t="s">
        <v>268</v>
      </c>
    </row>
    <row r="150" spans="2:5">
      <c r="B150" s="146"/>
      <c r="C150" s="149"/>
      <c r="D150" s="146"/>
    </row>
    <row r="151" spans="2:5">
      <c r="B151" s="146" t="s">
        <v>286</v>
      </c>
      <c r="C151" s="149">
        <v>4.2</v>
      </c>
      <c r="D151" s="146" t="s">
        <v>911</v>
      </c>
    </row>
    <row r="152" spans="2:5">
      <c r="B152" s="146" t="s">
        <v>285</v>
      </c>
      <c r="C152" s="149">
        <v>8</v>
      </c>
      <c r="D152" s="146" t="s">
        <v>911</v>
      </c>
    </row>
    <row r="153" spans="2:5">
      <c r="B153" s="146"/>
      <c r="C153" s="149"/>
      <c r="D153" s="146"/>
    </row>
    <row r="154" spans="2:5">
      <c r="B154" s="146" t="s">
        <v>319</v>
      </c>
      <c r="C154" s="149" t="s">
        <v>912</v>
      </c>
      <c r="D154" s="146" t="s">
        <v>398</v>
      </c>
      <c r="E154" s="145" t="s">
        <v>391</v>
      </c>
    </row>
    <row r="155" spans="2:5">
      <c r="B155" s="146" t="s">
        <v>324</v>
      </c>
      <c r="C155" s="149" t="s">
        <v>913</v>
      </c>
      <c r="D155" s="146" t="s">
        <v>398</v>
      </c>
      <c r="E155" s="145" t="s">
        <v>323</v>
      </c>
    </row>
    <row r="156" spans="2:5">
      <c r="B156" s="146" t="s">
        <v>329</v>
      </c>
      <c r="C156" s="149" t="s">
        <v>328</v>
      </c>
      <c r="D156" s="146" t="s">
        <v>399</v>
      </c>
      <c r="E156" s="145" t="s">
        <v>327</v>
      </c>
    </row>
    <row r="157" spans="2:5">
      <c r="B157" s="146" t="s">
        <v>331</v>
      </c>
      <c r="C157" s="149" t="s">
        <v>330</v>
      </c>
      <c r="D157" s="146" t="s">
        <v>399</v>
      </c>
      <c r="E157" s="145" t="s">
        <v>266</v>
      </c>
    </row>
    <row r="158" spans="2:5">
      <c r="B158" s="146" t="s">
        <v>333</v>
      </c>
      <c r="C158" s="149" t="s">
        <v>394</v>
      </c>
      <c r="D158" s="146" t="s">
        <v>357</v>
      </c>
      <c r="E158" s="145" t="s">
        <v>337</v>
      </c>
    </row>
    <row r="159" spans="2:5">
      <c r="B159" s="146"/>
      <c r="C159" s="149"/>
      <c r="D159" s="146"/>
    </row>
    <row r="160" spans="2:5">
      <c r="B160" s="146" t="s">
        <v>341</v>
      </c>
      <c r="C160" s="149" t="s">
        <v>341</v>
      </c>
      <c r="D160" s="146" t="s">
        <v>406</v>
      </c>
      <c r="E160" s="145" t="s">
        <v>392</v>
      </c>
    </row>
    <row r="161" spans="2:5">
      <c r="B161" s="146" t="s">
        <v>342</v>
      </c>
      <c r="C161" s="149" t="s">
        <v>342</v>
      </c>
      <c r="D161" s="146" t="s">
        <v>406</v>
      </c>
      <c r="E161" s="145" t="s">
        <v>489</v>
      </c>
    </row>
    <row r="162" spans="2:5">
      <c r="B162" s="146" t="s">
        <v>343</v>
      </c>
      <c r="C162" s="149" t="s">
        <v>343</v>
      </c>
      <c r="D162" s="146" t="s">
        <v>406</v>
      </c>
      <c r="E162" s="145" t="s">
        <v>393</v>
      </c>
    </row>
    <row r="163" spans="2:5">
      <c r="B163" s="146" t="s">
        <v>346</v>
      </c>
      <c r="C163" s="149">
        <v>3.8</v>
      </c>
      <c r="D163" s="146" t="s">
        <v>406</v>
      </c>
    </row>
    <row r="164" spans="2:5">
      <c r="B164" s="146" t="s">
        <v>347</v>
      </c>
      <c r="C164" s="149">
        <v>8</v>
      </c>
      <c r="D164" s="146" t="s">
        <v>406</v>
      </c>
    </row>
    <row r="165" spans="2:5">
      <c r="B165" s="146"/>
      <c r="C165" s="149" t="s">
        <v>914</v>
      </c>
      <c r="D165" s="146"/>
    </row>
    <row r="166" spans="2:5">
      <c r="B166" s="146"/>
      <c r="C166" s="149" t="s">
        <v>915</v>
      </c>
      <c r="D166" s="146"/>
    </row>
    <row r="167" spans="2:5">
      <c r="B167" s="146"/>
      <c r="C167" s="149" t="s">
        <v>916</v>
      </c>
      <c r="D167" s="146"/>
      <c r="E167" s="145" t="s">
        <v>917</v>
      </c>
    </row>
    <row r="168" spans="2:5">
      <c r="B168" s="146"/>
      <c r="C168" s="149"/>
      <c r="D168" s="146"/>
    </row>
    <row r="169" spans="2:5">
      <c r="B169" s="146"/>
      <c r="C169" s="149"/>
      <c r="D169" s="146"/>
    </row>
    <row r="170" spans="2:5">
      <c r="B170" s="146" t="s">
        <v>359</v>
      </c>
      <c r="C170" s="149">
        <v>4.5</v>
      </c>
      <c r="D170" s="146" t="s">
        <v>558</v>
      </c>
    </row>
    <row r="171" spans="2:5">
      <c r="B171" s="146" t="s">
        <v>360</v>
      </c>
      <c r="C171" s="149">
        <v>4</v>
      </c>
      <c r="D171" s="146" t="s">
        <v>559</v>
      </c>
    </row>
    <row r="172" spans="2:5">
      <c r="B172" s="146" t="s">
        <v>361</v>
      </c>
      <c r="C172" s="149">
        <v>3.4</v>
      </c>
      <c r="D172" s="146" t="s">
        <v>560</v>
      </c>
    </row>
    <row r="173" spans="2:5">
      <c r="B173" s="146" t="s">
        <v>552</v>
      </c>
      <c r="C173" s="149">
        <v>13.5</v>
      </c>
      <c r="D173" s="146" t="s">
        <v>555</v>
      </c>
      <c r="E173" s="165" t="s">
        <v>586</v>
      </c>
    </row>
    <row r="174" spans="2:5">
      <c r="B174" s="146" t="s">
        <v>553</v>
      </c>
      <c r="C174" s="149">
        <v>10</v>
      </c>
      <c r="D174" s="146" t="s">
        <v>556</v>
      </c>
    </row>
    <row r="175" spans="2:5">
      <c r="B175" s="146" t="s">
        <v>554</v>
      </c>
      <c r="C175" s="149">
        <v>8</v>
      </c>
      <c r="D175" s="146" t="s">
        <v>557</v>
      </c>
    </row>
    <row r="176" spans="2:5">
      <c r="B176" s="146"/>
      <c r="C176" s="149"/>
      <c r="D176" s="146"/>
    </row>
    <row r="177" spans="2:5">
      <c r="B177" s="146" t="s">
        <v>419</v>
      </c>
      <c r="C177" s="149" t="s">
        <v>414</v>
      </c>
      <c r="D177" s="146" t="s">
        <v>407</v>
      </c>
      <c r="E177" s="145" t="s">
        <v>411</v>
      </c>
    </row>
    <row r="178" spans="2:5">
      <c r="B178" s="146" t="s">
        <v>420</v>
      </c>
      <c r="C178" s="149" t="s">
        <v>415</v>
      </c>
      <c r="D178" s="146" t="s">
        <v>408</v>
      </c>
      <c r="E178" s="145" t="s">
        <v>412</v>
      </c>
    </row>
    <row r="179" spans="2:5">
      <c r="B179" s="146" t="s">
        <v>421</v>
      </c>
      <c r="C179" s="149" t="s">
        <v>416</v>
      </c>
      <c r="D179" s="146" t="s">
        <v>409</v>
      </c>
      <c r="E179" s="145" t="s">
        <v>413</v>
      </c>
    </row>
    <row r="180" spans="2:5">
      <c r="B180" s="146"/>
      <c r="C180" s="149"/>
      <c r="D180" s="146"/>
    </row>
    <row r="181" spans="2:5">
      <c r="B181" s="146" t="s">
        <v>428</v>
      </c>
      <c r="C181" s="149" t="s">
        <v>918</v>
      </c>
      <c r="D181" s="194" t="s">
        <v>919</v>
      </c>
      <c r="E181" s="145" t="s">
        <v>436</v>
      </c>
    </row>
    <row r="182" spans="2:5">
      <c r="B182" s="146" t="s">
        <v>427</v>
      </c>
      <c r="C182" s="149" t="s">
        <v>920</v>
      </c>
      <c r="D182" s="194" t="s">
        <v>921</v>
      </c>
      <c r="E182" s="145" t="s">
        <v>451</v>
      </c>
    </row>
    <row r="183" spans="2:5">
      <c r="B183" s="146" t="s">
        <v>425</v>
      </c>
      <c r="C183" s="149" t="s">
        <v>922</v>
      </c>
      <c r="D183" s="194" t="s">
        <v>923</v>
      </c>
      <c r="E183" s="145" t="s">
        <v>437</v>
      </c>
    </row>
    <row r="184" spans="2:5">
      <c r="B184" s="146" t="s">
        <v>426</v>
      </c>
      <c r="C184" s="149" t="s">
        <v>924</v>
      </c>
      <c r="D184" s="194" t="s">
        <v>925</v>
      </c>
      <c r="E184" s="145" t="s">
        <v>435</v>
      </c>
    </row>
    <row r="185" spans="2:5" ht="13.5">
      <c r="B185" s="146" t="s">
        <v>926</v>
      </c>
      <c r="C185" s="149" t="s">
        <v>927</v>
      </c>
      <c r="D185" s="194" t="s">
        <v>928</v>
      </c>
      <c r="E185" s="145" t="s">
        <v>929</v>
      </c>
    </row>
    <row r="186" spans="2:5" ht="13.5">
      <c r="B186" s="146" t="s">
        <v>798</v>
      </c>
      <c r="C186" s="149" t="s">
        <v>798</v>
      </c>
      <c r="D186" s="184" t="s">
        <v>930</v>
      </c>
      <c r="E186" s="145" t="s">
        <v>799</v>
      </c>
    </row>
    <row r="187" spans="2:5">
      <c r="B187" s="146" t="s">
        <v>931</v>
      </c>
      <c r="C187" s="149" t="s">
        <v>931</v>
      </c>
      <c r="D187" s="146"/>
      <c r="E187" s="145" t="s">
        <v>932</v>
      </c>
    </row>
    <row r="188" spans="2:5">
      <c r="B188" s="146"/>
      <c r="C188" s="149"/>
      <c r="D188" s="146"/>
    </row>
    <row r="189" spans="2:5">
      <c r="B189" s="146" t="s">
        <v>439</v>
      </c>
      <c r="C189" s="149" t="s">
        <v>438</v>
      </c>
      <c r="D189" s="146" t="s">
        <v>440</v>
      </c>
      <c r="E189" s="145" t="s">
        <v>441</v>
      </c>
    </row>
    <row r="190" spans="2:5">
      <c r="B190" s="146" t="s">
        <v>442</v>
      </c>
      <c r="C190" s="149" t="s">
        <v>442</v>
      </c>
      <c r="D190" s="146" t="s">
        <v>452</v>
      </c>
      <c r="E190" s="145" t="s">
        <v>443</v>
      </c>
    </row>
    <row r="191" spans="2:5">
      <c r="B191" s="146" t="s">
        <v>933</v>
      </c>
      <c r="C191" s="149" t="s">
        <v>934</v>
      </c>
      <c r="D191" s="146"/>
    </row>
    <row r="192" spans="2:5">
      <c r="B192" s="146"/>
      <c r="C192" s="149"/>
      <c r="D192" s="146"/>
    </row>
    <row r="193" spans="2:5">
      <c r="B193" s="146" t="s">
        <v>462</v>
      </c>
      <c r="C193" s="149" t="s">
        <v>444</v>
      </c>
      <c r="D193" s="146" t="s">
        <v>457</v>
      </c>
    </row>
    <row r="194" spans="2:5">
      <c r="B194" s="146" t="s">
        <v>463</v>
      </c>
      <c r="C194" s="149" t="s">
        <v>445</v>
      </c>
      <c r="D194" s="146" t="s">
        <v>457</v>
      </c>
      <c r="E194" s="145" t="s">
        <v>450</v>
      </c>
    </row>
    <row r="195" spans="2:5">
      <c r="B195" s="146" t="s">
        <v>464</v>
      </c>
      <c r="C195" s="149" t="s">
        <v>446</v>
      </c>
      <c r="D195" s="146" t="s">
        <v>723</v>
      </c>
    </row>
    <row r="196" spans="2:5">
      <c r="B196" s="146" t="s">
        <v>448</v>
      </c>
      <c r="C196" s="149" t="s">
        <v>447</v>
      </c>
      <c r="D196" s="146" t="s">
        <v>449</v>
      </c>
    </row>
    <row r="197" spans="2:5">
      <c r="B197" s="146" t="s">
        <v>459</v>
      </c>
      <c r="C197" s="149" t="s">
        <v>458</v>
      </c>
      <c r="D197" s="146" t="s">
        <v>456</v>
      </c>
      <c r="E197" s="145" t="s">
        <v>454</v>
      </c>
    </row>
    <row r="198" spans="2:5">
      <c r="B198" s="146" t="s">
        <v>461</v>
      </c>
      <c r="C198" s="149" t="s">
        <v>460</v>
      </c>
      <c r="D198" s="146" t="s">
        <v>453</v>
      </c>
      <c r="E198" s="145" t="s">
        <v>455</v>
      </c>
    </row>
    <row r="199" spans="2:5">
      <c r="B199" s="146"/>
      <c r="C199" s="149"/>
      <c r="D199" s="146"/>
    </row>
    <row r="200" spans="2:5">
      <c r="B200" s="146" t="s">
        <v>498</v>
      </c>
      <c r="C200" s="149" t="s">
        <v>495</v>
      </c>
      <c r="D200" s="146" t="s">
        <v>534</v>
      </c>
    </row>
    <row r="201" spans="2:5">
      <c r="B201" s="146" t="s">
        <v>496</v>
      </c>
      <c r="C201" s="149" t="s">
        <v>497</v>
      </c>
      <c r="D201" s="146" t="s">
        <v>533</v>
      </c>
    </row>
    <row r="202" spans="2:5">
      <c r="B202" s="146" t="s">
        <v>531</v>
      </c>
      <c r="C202" s="149" t="s">
        <v>526</v>
      </c>
      <c r="D202" s="146" t="s">
        <v>529</v>
      </c>
      <c r="E202" s="145" t="s">
        <v>696</v>
      </c>
    </row>
    <row r="203" spans="2:5">
      <c r="B203" s="146" t="s">
        <v>530</v>
      </c>
      <c r="C203" s="149" t="s">
        <v>527</v>
      </c>
      <c r="D203" s="146" t="s">
        <v>528</v>
      </c>
      <c r="E203" s="145" t="s">
        <v>524</v>
      </c>
    </row>
    <row r="204" spans="2:5">
      <c r="B204" s="146" t="s">
        <v>493</v>
      </c>
      <c r="C204" s="149" t="s">
        <v>494</v>
      </c>
      <c r="D204" s="146" t="s">
        <v>588</v>
      </c>
    </row>
    <row r="205" spans="2:5">
      <c r="B205" s="146"/>
      <c r="C205" s="149"/>
      <c r="D205" s="146"/>
    </row>
    <row r="206" spans="2:5">
      <c r="B206" s="146" t="s">
        <v>548</v>
      </c>
      <c r="C206" s="149" t="s">
        <v>578</v>
      </c>
      <c r="D206" s="146" t="s">
        <v>550</v>
      </c>
    </row>
    <row r="207" spans="2:5">
      <c r="B207" s="146" t="s">
        <v>549</v>
      </c>
      <c r="C207" s="149" t="s">
        <v>577</v>
      </c>
      <c r="D207" s="146" t="s">
        <v>590</v>
      </c>
    </row>
    <row r="208" spans="2:5">
      <c r="B208" s="146" t="s">
        <v>551</v>
      </c>
      <c r="C208" s="149" t="s">
        <v>725</v>
      </c>
      <c r="D208" s="146" t="s">
        <v>724</v>
      </c>
    </row>
    <row r="209" spans="2:5">
      <c r="B209" s="146"/>
      <c r="C209" s="149"/>
      <c r="D209" s="146"/>
    </row>
    <row r="210" spans="2:5">
      <c r="B210" s="146" t="s">
        <v>775</v>
      </c>
      <c r="C210" s="149" t="s">
        <v>935</v>
      </c>
      <c r="D210" s="146" t="s">
        <v>579</v>
      </c>
    </row>
    <row r="211" spans="2:5">
      <c r="B211" s="146" t="s">
        <v>601</v>
      </c>
      <c r="C211" s="149" t="s">
        <v>600</v>
      </c>
      <c r="D211" s="146" t="s">
        <v>602</v>
      </c>
      <c r="E211" s="145" t="s">
        <v>603</v>
      </c>
    </row>
    <row r="212" spans="2:5">
      <c r="B212" s="146"/>
      <c r="C212" s="149"/>
      <c r="D212" s="146"/>
    </row>
    <row r="213" spans="2:5">
      <c r="B213" s="146" t="s">
        <v>605</v>
      </c>
      <c r="C213" s="149" t="s">
        <v>604</v>
      </c>
      <c r="D213" s="146" t="s">
        <v>606</v>
      </c>
    </row>
    <row r="214" spans="2:5">
      <c r="B214" s="146"/>
      <c r="C214" s="149"/>
      <c r="D214" s="146"/>
    </row>
    <row r="215" spans="2:5">
      <c r="B215" s="146" t="s">
        <v>699</v>
      </c>
      <c r="C215" s="149" t="s">
        <v>705</v>
      </c>
      <c r="D215" s="146" t="s">
        <v>709</v>
      </c>
      <c r="E215" s="145" t="s">
        <v>711</v>
      </c>
    </row>
    <row r="216" spans="2:5">
      <c r="B216" s="146" t="s">
        <v>700</v>
      </c>
      <c r="C216" s="149" t="s">
        <v>706</v>
      </c>
      <c r="D216" s="146" t="s">
        <v>708</v>
      </c>
      <c r="E216" s="145" t="s">
        <v>712</v>
      </c>
    </row>
    <row r="217" spans="2:5">
      <c r="B217" s="146" t="s">
        <v>701</v>
      </c>
      <c r="C217" s="149" t="s">
        <v>704</v>
      </c>
      <c r="D217" s="146" t="s">
        <v>707</v>
      </c>
      <c r="E217" s="145" t="s">
        <v>713</v>
      </c>
    </row>
    <row r="218" spans="2:5">
      <c r="B218" s="146" t="s">
        <v>702</v>
      </c>
      <c r="C218" s="149" t="s">
        <v>703</v>
      </c>
      <c r="D218" s="146" t="s">
        <v>710</v>
      </c>
      <c r="E218" s="145" t="s">
        <v>714</v>
      </c>
    </row>
    <row r="219" spans="2:5">
      <c r="B219" s="146"/>
      <c r="C219" s="149"/>
      <c r="D219" s="146"/>
    </row>
    <row r="220" spans="2:5">
      <c r="B220" s="146" t="s">
        <v>743</v>
      </c>
      <c r="C220" s="149" t="s">
        <v>742</v>
      </c>
      <c r="D220" s="146" t="s">
        <v>936</v>
      </c>
    </row>
    <row r="221" spans="2:5" ht="13.15" customHeight="1">
      <c r="B221" s="146" t="s">
        <v>608</v>
      </c>
      <c r="C221" s="149" t="s">
        <v>609</v>
      </c>
      <c r="D221" s="146" t="s">
        <v>937</v>
      </c>
    </row>
    <row r="222" spans="2:5">
      <c r="B222" s="146"/>
      <c r="C222" s="149"/>
      <c r="D222" s="146"/>
    </row>
    <row r="223" spans="2:5">
      <c r="B223" s="146" t="s">
        <v>610</v>
      </c>
      <c r="C223" s="149" t="s">
        <v>611</v>
      </c>
      <c r="D223" s="146" t="s">
        <v>612</v>
      </c>
    </row>
    <row r="224" spans="2:5">
      <c r="B224" s="146" t="s">
        <v>613</v>
      </c>
      <c r="C224" s="149" t="s">
        <v>614</v>
      </c>
      <c r="D224" s="146" t="s">
        <v>615</v>
      </c>
    </row>
    <row r="225" spans="2:5">
      <c r="B225" s="146" t="s">
        <v>938</v>
      </c>
      <c r="C225" s="149" t="s">
        <v>798</v>
      </c>
      <c r="D225" s="146"/>
    </row>
    <row r="226" spans="2:5">
      <c r="B226" s="146"/>
      <c r="C226" s="149"/>
      <c r="D226" s="146"/>
    </row>
    <row r="227" spans="2:5">
      <c r="B227" s="146" t="s">
        <v>737</v>
      </c>
      <c r="C227" s="149" t="s">
        <v>939</v>
      </c>
      <c r="D227" s="146" t="s">
        <v>764</v>
      </c>
    </row>
    <row r="228" spans="2:5">
      <c r="B228" s="146" t="s">
        <v>616</v>
      </c>
      <c r="C228" s="149" t="s">
        <v>617</v>
      </c>
      <c r="D228" s="146" t="s">
        <v>663</v>
      </c>
    </row>
    <row r="229" spans="2:5">
      <c r="B229" s="146" t="s">
        <v>618</v>
      </c>
      <c r="C229" s="149" t="s">
        <v>619</v>
      </c>
      <c r="D229" s="146" t="s">
        <v>664</v>
      </c>
    </row>
    <row r="230" spans="2:5">
      <c r="B230" s="146"/>
      <c r="C230" s="149"/>
      <c r="D230" s="146"/>
    </row>
    <row r="231" spans="2:5">
      <c r="B231" s="146" t="s">
        <v>620</v>
      </c>
      <c r="C231" s="149" t="s">
        <v>621</v>
      </c>
      <c r="D231" s="146" t="s">
        <v>665</v>
      </c>
    </row>
    <row r="232" spans="2:5">
      <c r="B232" s="146" t="s">
        <v>622</v>
      </c>
      <c r="C232" s="149" t="s">
        <v>623</v>
      </c>
      <c r="D232" s="146" t="s">
        <v>624</v>
      </c>
    </row>
    <row r="233" spans="2:5">
      <c r="B233" s="146"/>
      <c r="C233" s="149"/>
      <c r="D233" s="146"/>
    </row>
    <row r="234" spans="2:5">
      <c r="B234" s="146" t="s">
        <v>940</v>
      </c>
      <c r="C234" s="149" t="s">
        <v>941</v>
      </c>
      <c r="D234" s="146" t="s">
        <v>942</v>
      </c>
    </row>
    <row r="235" spans="2:5">
      <c r="B235" s="146"/>
      <c r="C235" s="149"/>
      <c r="D235" s="146"/>
    </row>
    <row r="236" spans="2:5">
      <c r="B236" s="146" t="s">
        <v>625</v>
      </c>
      <c r="C236" s="149" t="s">
        <v>626</v>
      </c>
      <c r="D236" s="146" t="s">
        <v>666</v>
      </c>
    </row>
    <row r="237" spans="2:5">
      <c r="B237" s="146" t="s">
        <v>627</v>
      </c>
      <c r="C237" s="149" t="s">
        <v>628</v>
      </c>
      <c r="D237" s="146" t="s">
        <v>667</v>
      </c>
    </row>
    <row r="238" spans="2:5">
      <c r="B238" s="146" t="s">
        <v>629</v>
      </c>
      <c r="C238" s="149" t="s">
        <v>630</v>
      </c>
      <c r="D238" s="146" t="s">
        <v>668</v>
      </c>
    </row>
    <row r="239" spans="2:5">
      <c r="B239" s="146"/>
      <c r="C239" s="149"/>
      <c r="D239" s="146"/>
    </row>
    <row r="240" spans="2:5">
      <c r="B240" s="146" t="s">
        <v>943</v>
      </c>
      <c r="C240" s="149" t="s">
        <v>944</v>
      </c>
      <c r="D240" s="146" t="s">
        <v>945</v>
      </c>
      <c r="E240" s="145" t="s">
        <v>946</v>
      </c>
    </row>
    <row r="241" spans="2:5">
      <c r="B241" s="146" t="s">
        <v>947</v>
      </c>
      <c r="C241" s="149" t="s">
        <v>948</v>
      </c>
      <c r="D241" s="146"/>
      <c r="E241" s="145" t="s">
        <v>949</v>
      </c>
    </row>
    <row r="242" spans="2:5">
      <c r="B242" s="146" t="s">
        <v>950</v>
      </c>
      <c r="C242" s="149" t="s">
        <v>951</v>
      </c>
      <c r="D242" s="146"/>
      <c r="E242" s="145" t="s">
        <v>952</v>
      </c>
    </row>
    <row r="243" spans="2:5">
      <c r="B243" s="146" t="s">
        <v>953</v>
      </c>
      <c r="C243" s="149" t="s">
        <v>954</v>
      </c>
      <c r="D243" s="146"/>
      <c r="E243" s="145" t="s">
        <v>955</v>
      </c>
    </row>
    <row r="244" spans="2:5">
      <c r="B244" s="146" t="s">
        <v>956</v>
      </c>
      <c r="C244" s="149" t="s">
        <v>957</v>
      </c>
      <c r="D244" s="146"/>
      <c r="E244" s="145" t="s">
        <v>958</v>
      </c>
    </row>
    <row r="245" spans="2:5">
      <c r="B245" s="146" t="s">
        <v>959</v>
      </c>
      <c r="C245" s="149" t="s">
        <v>960</v>
      </c>
      <c r="D245" s="146"/>
      <c r="E245" s="145" t="s">
        <v>961</v>
      </c>
    </row>
    <row r="246" spans="2:5">
      <c r="B246" s="146" t="s">
        <v>962</v>
      </c>
      <c r="C246" s="149" t="s">
        <v>963</v>
      </c>
      <c r="D246" s="146"/>
      <c r="E246" s="145" t="s">
        <v>964</v>
      </c>
    </row>
    <row r="247" spans="2:5">
      <c r="B247" s="146" t="s">
        <v>965</v>
      </c>
      <c r="C247" s="149" t="s">
        <v>966</v>
      </c>
      <c r="D247" s="146"/>
      <c r="E247" s="145" t="s">
        <v>967</v>
      </c>
    </row>
    <row r="248" spans="2:5">
      <c r="B248" s="146" t="s">
        <v>968</v>
      </c>
      <c r="C248" s="149" t="s">
        <v>969</v>
      </c>
      <c r="D248" s="146"/>
      <c r="E248" s="145" t="s">
        <v>952</v>
      </c>
    </row>
    <row r="249" spans="2:5">
      <c r="B249" s="146" t="s">
        <v>970</v>
      </c>
      <c r="C249" s="149" t="s">
        <v>971</v>
      </c>
      <c r="D249" s="146"/>
      <c r="E249" s="145" t="s">
        <v>972</v>
      </c>
    </row>
    <row r="250" spans="2:5">
      <c r="B250" s="146" t="s">
        <v>973</v>
      </c>
      <c r="C250" s="149" t="s">
        <v>974</v>
      </c>
      <c r="D250" s="146"/>
      <c r="E250" s="145" t="s">
        <v>975</v>
      </c>
    </row>
    <row r="251" spans="2:5">
      <c r="B251" s="146" t="s">
        <v>976</v>
      </c>
      <c r="C251" s="149" t="s">
        <v>977</v>
      </c>
      <c r="D251" s="146"/>
      <c r="E251" s="145" t="s">
        <v>978</v>
      </c>
    </row>
    <row r="252" spans="2:5">
      <c r="B252" s="146"/>
      <c r="C252" s="149"/>
      <c r="D252" s="146"/>
    </row>
    <row r="253" spans="2:5">
      <c r="B253" s="146" t="s">
        <v>979</v>
      </c>
      <c r="C253" s="149" t="s">
        <v>980</v>
      </c>
      <c r="D253" s="146" t="s">
        <v>981</v>
      </c>
      <c r="E253" s="145" t="s">
        <v>982</v>
      </c>
    </row>
    <row r="254" spans="2:5">
      <c r="B254" s="146"/>
      <c r="C254" s="149"/>
      <c r="D254" s="146"/>
    </row>
    <row r="255" spans="2:5">
      <c r="B255" s="146" t="s">
        <v>631</v>
      </c>
      <c r="C255" s="149" t="s">
        <v>632</v>
      </c>
      <c r="D255" s="146" t="s">
        <v>633</v>
      </c>
    </row>
    <row r="256" spans="2:5">
      <c r="B256" s="146" t="s">
        <v>634</v>
      </c>
      <c r="C256" s="149" t="s">
        <v>635</v>
      </c>
      <c r="D256" s="146" t="s">
        <v>636</v>
      </c>
    </row>
    <row r="257" spans="2:4">
      <c r="B257" s="146"/>
      <c r="C257" s="149"/>
      <c r="D257" s="146"/>
    </row>
    <row r="258" spans="2:4">
      <c r="B258" s="146" t="s">
        <v>637</v>
      </c>
      <c r="C258" s="149" t="s">
        <v>638</v>
      </c>
      <c r="D258" s="146" t="s">
        <v>639</v>
      </c>
    </row>
    <row r="259" spans="2:4">
      <c r="B259" s="146"/>
      <c r="C259" s="149"/>
      <c r="D259" s="146"/>
    </row>
    <row r="260" spans="2:4">
      <c r="B260" s="146" t="s">
        <v>640</v>
      </c>
      <c r="C260" s="149" t="s">
        <v>641</v>
      </c>
      <c r="D260" s="146" t="s">
        <v>669</v>
      </c>
    </row>
    <row r="261" spans="2:4">
      <c r="B261" s="146"/>
      <c r="C261" s="149"/>
      <c r="D261" s="146"/>
    </row>
    <row r="262" spans="2:4">
      <c r="B262" s="146" t="s">
        <v>642</v>
      </c>
      <c r="C262" s="149" t="s">
        <v>643</v>
      </c>
      <c r="D262" s="146" t="s">
        <v>670</v>
      </c>
    </row>
    <row r="263" spans="2:4">
      <c r="B263" s="146" t="s">
        <v>644</v>
      </c>
      <c r="C263" s="149" t="s">
        <v>645</v>
      </c>
      <c r="D263" s="146" t="s">
        <v>671</v>
      </c>
    </row>
    <row r="264" spans="2:4">
      <c r="B264" s="146"/>
      <c r="C264" s="149"/>
      <c r="D264" s="146"/>
    </row>
    <row r="265" spans="2:4">
      <c r="B265" s="146" t="s">
        <v>983</v>
      </c>
      <c r="C265" s="149" t="s">
        <v>984</v>
      </c>
      <c r="D265" s="146"/>
    </row>
    <row r="266" spans="2:4">
      <c r="B266" s="146" t="s">
        <v>985</v>
      </c>
      <c r="C266" s="149" t="s">
        <v>986</v>
      </c>
      <c r="D266" s="146"/>
    </row>
    <row r="267" spans="2:4">
      <c r="B267" s="146"/>
      <c r="C267" s="149"/>
      <c r="D267" s="146"/>
    </row>
    <row r="268" spans="2:4">
      <c r="B268" s="146" t="s">
        <v>646</v>
      </c>
      <c r="C268" s="149" t="s">
        <v>734</v>
      </c>
      <c r="D268" s="146" t="s">
        <v>726</v>
      </c>
    </row>
    <row r="269" spans="2:4">
      <c r="B269" s="146" t="s">
        <v>647</v>
      </c>
      <c r="C269" s="149" t="s">
        <v>735</v>
      </c>
      <c r="D269" s="146" t="s">
        <v>726</v>
      </c>
    </row>
    <row r="270" spans="2:4">
      <c r="B270" s="146"/>
      <c r="C270" s="149"/>
      <c r="D270" s="146"/>
    </row>
    <row r="271" spans="2:4">
      <c r="B271" s="146" t="s">
        <v>648</v>
      </c>
      <c r="C271" s="149" t="s">
        <v>649</v>
      </c>
      <c r="D271" s="146" t="s">
        <v>672</v>
      </c>
    </row>
    <row r="272" spans="2:4">
      <c r="B272" s="146" t="s">
        <v>650</v>
      </c>
      <c r="C272" s="149" t="s">
        <v>651</v>
      </c>
      <c r="D272" s="146" t="s">
        <v>673</v>
      </c>
    </row>
    <row r="273" spans="2:5">
      <c r="B273" s="146" t="s">
        <v>652</v>
      </c>
      <c r="C273" s="149" t="s">
        <v>653</v>
      </c>
      <c r="D273" s="146" t="s">
        <v>674</v>
      </c>
    </row>
    <row r="274" spans="2:5">
      <c r="B274" s="146"/>
      <c r="C274" s="149"/>
      <c r="D274" s="146"/>
    </row>
    <row r="275" spans="2:5">
      <c r="B275" s="146" t="s">
        <v>744</v>
      </c>
      <c r="C275" s="149" t="s">
        <v>745</v>
      </c>
      <c r="D275" s="146"/>
      <c r="E275" s="145" t="s">
        <v>455</v>
      </c>
    </row>
    <row r="276" spans="2:5">
      <c r="B276" s="146" t="s">
        <v>746</v>
      </c>
      <c r="C276" s="149" t="s">
        <v>747</v>
      </c>
      <c r="D276" s="146"/>
      <c r="E276" s="145" t="s">
        <v>748</v>
      </c>
    </row>
    <row r="277" spans="2:5">
      <c r="B277" s="146" t="s">
        <v>654</v>
      </c>
      <c r="C277" s="149" t="s">
        <v>655</v>
      </c>
      <c r="D277" s="146" t="s">
        <v>675</v>
      </c>
    </row>
    <row r="278" spans="2:5" ht="13.5">
      <c r="B278" s="146" t="s">
        <v>656</v>
      </c>
      <c r="C278" s="149" t="s">
        <v>657</v>
      </c>
      <c r="D278" s="146" t="s">
        <v>676</v>
      </c>
    </row>
    <row r="279" spans="2:5">
      <c r="B279" s="146" t="s">
        <v>987</v>
      </c>
      <c r="C279" s="149" t="s">
        <v>988</v>
      </c>
      <c r="D279" s="146" t="s">
        <v>989</v>
      </c>
    </row>
    <row r="280" spans="2:5">
      <c r="B280" s="146" t="s">
        <v>658</v>
      </c>
      <c r="C280" s="149" t="s">
        <v>659</v>
      </c>
      <c r="D280" s="146" t="s">
        <v>677</v>
      </c>
    </row>
    <row r="281" spans="2:5">
      <c r="B281" s="146" t="s">
        <v>660</v>
      </c>
      <c r="C281" s="149" t="s">
        <v>661</v>
      </c>
      <c r="D281" s="146" t="s">
        <v>662</v>
      </c>
    </row>
    <row r="282" spans="2:5">
      <c r="B282" s="146" t="s">
        <v>749</v>
      </c>
      <c r="C282" s="149" t="s">
        <v>750</v>
      </c>
      <c r="D282" s="146"/>
    </row>
    <row r="283" spans="2:5">
      <c r="B283" s="146"/>
      <c r="C283" s="149"/>
      <c r="D283" s="146"/>
    </row>
    <row r="284" spans="2:5">
      <c r="B284" s="166" t="s">
        <v>678</v>
      </c>
      <c r="C284" s="167" t="s">
        <v>697</v>
      </c>
      <c r="D284" s="166" t="s">
        <v>765</v>
      </c>
      <c r="E284" s="145" t="s">
        <v>698</v>
      </c>
    </row>
    <row r="285" spans="2:5">
      <c r="B285" s="166" t="s">
        <v>679</v>
      </c>
      <c r="C285" s="167" t="s">
        <v>680</v>
      </c>
      <c r="D285" s="166" t="s">
        <v>766</v>
      </c>
      <c r="E285" s="145" t="s">
        <v>698</v>
      </c>
    </row>
    <row r="286" spans="2:5">
      <c r="B286" s="166" t="s">
        <v>681</v>
      </c>
      <c r="C286" s="167" t="s">
        <v>727</v>
      </c>
      <c r="D286" s="166" t="s">
        <v>767</v>
      </c>
      <c r="E286" s="145" t="s">
        <v>751</v>
      </c>
    </row>
    <row r="287" spans="2:5">
      <c r="B287" s="166" t="s">
        <v>682</v>
      </c>
      <c r="C287" s="167" t="s">
        <v>683</v>
      </c>
      <c r="D287" s="166" t="s">
        <v>768</v>
      </c>
      <c r="E287" s="145" t="s">
        <v>728</v>
      </c>
    </row>
    <row r="288" spans="2:5">
      <c r="B288" s="166" t="s">
        <v>695</v>
      </c>
      <c r="C288" s="167" t="s">
        <v>684</v>
      </c>
      <c r="D288" s="195" t="s">
        <v>776</v>
      </c>
      <c r="E288" s="145" t="s">
        <v>729</v>
      </c>
    </row>
    <row r="289" spans="2:5">
      <c r="B289" s="166" t="s">
        <v>685</v>
      </c>
      <c r="C289" s="167" t="s">
        <v>686</v>
      </c>
      <c r="D289" s="166" t="s">
        <v>769</v>
      </c>
      <c r="E289" s="145" t="s">
        <v>730</v>
      </c>
    </row>
    <row r="290" spans="2:5">
      <c r="B290" s="166" t="s">
        <v>687</v>
      </c>
      <c r="C290" s="167" t="s">
        <v>688</v>
      </c>
      <c r="D290" s="166" t="s">
        <v>770</v>
      </c>
      <c r="E290" s="145" t="s">
        <v>731</v>
      </c>
    </row>
    <row r="291" spans="2:5">
      <c r="B291" s="166" t="s">
        <v>689</v>
      </c>
      <c r="C291" s="167" t="s">
        <v>690</v>
      </c>
      <c r="D291" s="166" t="s">
        <v>771</v>
      </c>
      <c r="E291" s="145" t="s">
        <v>732</v>
      </c>
    </row>
    <row r="292" spans="2:5">
      <c r="B292" s="166" t="s">
        <v>691</v>
      </c>
      <c r="C292" s="167" t="s">
        <v>692</v>
      </c>
      <c r="D292" s="166" t="s">
        <v>771</v>
      </c>
      <c r="E292" s="145" t="s">
        <v>732</v>
      </c>
    </row>
    <row r="293" spans="2:5">
      <c r="B293" s="166" t="s">
        <v>693</v>
      </c>
      <c r="C293" s="167" t="s">
        <v>694</v>
      </c>
      <c r="D293" s="166" t="s">
        <v>771</v>
      </c>
      <c r="E293" s="145" t="s">
        <v>733</v>
      </c>
    </row>
    <row r="294" spans="2:5">
      <c r="B294" s="146"/>
      <c r="C294" s="149"/>
      <c r="D294" s="146"/>
    </row>
    <row r="295" spans="2:5">
      <c r="B295" s="146" t="s">
        <v>990</v>
      </c>
      <c r="C295" s="149" t="s">
        <v>991</v>
      </c>
      <c r="D295" s="146"/>
      <c r="E295" s="145" t="s">
        <v>991</v>
      </c>
    </row>
    <row r="296" spans="2:5">
      <c r="B296" s="146" t="s">
        <v>992</v>
      </c>
      <c r="C296" s="149" t="s">
        <v>993</v>
      </c>
      <c r="D296" s="146"/>
    </row>
    <row r="297" spans="2:5">
      <c r="B297" s="146"/>
      <c r="C297" s="149"/>
      <c r="D297" s="146"/>
    </row>
    <row r="298" spans="2:5">
      <c r="B298" s="146" t="s">
        <v>994</v>
      </c>
      <c r="C298" s="149" t="s">
        <v>995</v>
      </c>
      <c r="D298" s="146" t="s">
        <v>996</v>
      </c>
    </row>
    <row r="299" spans="2:5">
      <c r="B299" s="146" t="s">
        <v>943</v>
      </c>
      <c r="C299" s="149" t="s">
        <v>944</v>
      </c>
      <c r="D299" s="164" t="s">
        <v>945</v>
      </c>
      <c r="E299" s="145" t="s">
        <v>997</v>
      </c>
    </row>
    <row r="300" spans="2:5">
      <c r="B300" s="146" t="s">
        <v>998</v>
      </c>
      <c r="C300" s="149" t="s">
        <v>999</v>
      </c>
      <c r="D300" s="146"/>
    </row>
    <row r="301" spans="2:5">
      <c r="B301" s="146" t="s">
        <v>1000</v>
      </c>
      <c r="C301" s="149" t="s">
        <v>1001</v>
      </c>
      <c r="D301" s="146"/>
    </row>
    <row r="302" spans="2:5">
      <c r="B302" s="146" t="s">
        <v>947</v>
      </c>
      <c r="C302" s="149" t="s">
        <v>948</v>
      </c>
      <c r="D302" s="164"/>
      <c r="E302" s="145" t="s">
        <v>949</v>
      </c>
    </row>
    <row r="303" spans="2:5">
      <c r="B303" s="146" t="s">
        <v>1002</v>
      </c>
      <c r="C303" s="149" t="s">
        <v>1003</v>
      </c>
      <c r="D303" s="146" t="s">
        <v>1004</v>
      </c>
    </row>
    <row r="304" spans="2:5">
      <c r="B304" s="146" t="s">
        <v>1005</v>
      </c>
      <c r="C304" s="149" t="s">
        <v>1006</v>
      </c>
      <c r="D304" s="146" t="s">
        <v>1007</v>
      </c>
    </row>
    <row r="305" spans="2:5">
      <c r="B305" s="146" t="s">
        <v>1008</v>
      </c>
      <c r="C305" s="149" t="s">
        <v>1009</v>
      </c>
      <c r="D305" s="146" t="s">
        <v>1010</v>
      </c>
    </row>
    <row r="306" spans="2:5">
      <c r="B306" s="146" t="s">
        <v>950</v>
      </c>
      <c r="C306" s="149" t="s">
        <v>951</v>
      </c>
      <c r="D306" s="146"/>
      <c r="E306" s="145" t="s">
        <v>952</v>
      </c>
    </row>
    <row r="307" spans="2:5">
      <c r="B307" s="146" t="s">
        <v>1011</v>
      </c>
      <c r="C307" s="149" t="s">
        <v>954</v>
      </c>
      <c r="D307" s="146"/>
      <c r="E307" s="145" t="s">
        <v>955</v>
      </c>
    </row>
    <row r="308" spans="2:5">
      <c r="B308" s="146" t="s">
        <v>1012</v>
      </c>
      <c r="C308" s="149" t="s">
        <v>1013</v>
      </c>
      <c r="D308" s="146"/>
      <c r="E308" s="145" t="s">
        <v>958</v>
      </c>
    </row>
    <row r="309" spans="2:5">
      <c r="B309" s="146" t="s">
        <v>956</v>
      </c>
      <c r="C309" s="149" t="s">
        <v>957</v>
      </c>
      <c r="D309" s="146"/>
      <c r="E309" s="145" t="s">
        <v>958</v>
      </c>
    </row>
    <row r="310" spans="2:5">
      <c r="B310" s="146" t="s">
        <v>1014</v>
      </c>
      <c r="C310" s="149" t="s">
        <v>1015</v>
      </c>
      <c r="D310" s="146"/>
      <c r="E310" s="145" t="s">
        <v>967</v>
      </c>
    </row>
    <row r="311" spans="2:5">
      <c r="B311" s="146" t="s">
        <v>959</v>
      </c>
      <c r="C311" s="149" t="s">
        <v>960</v>
      </c>
      <c r="D311" s="146"/>
      <c r="E311" s="145" t="s">
        <v>961</v>
      </c>
    </row>
    <row r="312" spans="2:5">
      <c r="B312" s="146" t="s">
        <v>962</v>
      </c>
      <c r="C312" s="149" t="s">
        <v>963</v>
      </c>
      <c r="D312" s="146"/>
      <c r="E312" s="145" t="s">
        <v>964</v>
      </c>
    </row>
    <row r="313" spans="2:5">
      <c r="B313" s="146" t="s">
        <v>965</v>
      </c>
      <c r="C313" s="149" t="s">
        <v>966</v>
      </c>
      <c r="D313" s="146"/>
      <c r="E313" s="145" t="s">
        <v>967</v>
      </c>
    </row>
    <row r="314" spans="2:5">
      <c r="B314" s="146" t="s">
        <v>970</v>
      </c>
      <c r="C314" s="149" t="s">
        <v>971</v>
      </c>
      <c r="D314" s="146"/>
      <c r="E314" s="145" t="s">
        <v>972</v>
      </c>
    </row>
    <row r="315" spans="2:5">
      <c r="B315" s="146"/>
      <c r="C315" s="149"/>
      <c r="D315" s="146"/>
    </row>
    <row r="316" spans="2:5">
      <c r="B316" s="146" t="s">
        <v>1016</v>
      </c>
      <c r="C316" s="149" t="s">
        <v>1017</v>
      </c>
      <c r="D316" s="146"/>
      <c r="E316" s="145" t="s">
        <v>1018</v>
      </c>
    </row>
    <row r="317" spans="2:5">
      <c r="B317" s="146" t="s">
        <v>1019</v>
      </c>
      <c r="C317" s="149" t="s">
        <v>1020</v>
      </c>
      <c r="D317" s="146"/>
      <c r="E317" s="145" t="s">
        <v>1018</v>
      </c>
    </row>
    <row r="318" spans="2:5">
      <c r="B318" s="146" t="s">
        <v>1021</v>
      </c>
      <c r="C318" s="149" t="s">
        <v>1022</v>
      </c>
      <c r="D318" s="146"/>
      <c r="E318" s="145" t="s">
        <v>1023</v>
      </c>
    </row>
    <row r="319" spans="2:5">
      <c r="B319" s="146" t="s">
        <v>1024</v>
      </c>
      <c r="C319" s="149" t="s">
        <v>1025</v>
      </c>
      <c r="D319" s="146"/>
      <c r="E319" s="145" t="s">
        <v>1023</v>
      </c>
    </row>
    <row r="320" spans="2:5">
      <c r="B320" s="146"/>
      <c r="C320" s="149"/>
      <c r="D320" s="146"/>
    </row>
    <row r="321" spans="2:5">
      <c r="B321" s="146"/>
      <c r="C321" s="149"/>
      <c r="D321" s="146"/>
    </row>
    <row r="322" spans="2:5">
      <c r="B322" s="146"/>
      <c r="C322" s="149"/>
      <c r="D322" s="146"/>
    </row>
    <row r="323" spans="2:5">
      <c r="B323" s="146"/>
      <c r="C323" s="149"/>
      <c r="D323" s="146"/>
    </row>
    <row r="324" spans="2:5">
      <c r="B324" s="146"/>
      <c r="C324" s="149"/>
      <c r="D324" s="146"/>
    </row>
    <row r="325" spans="2:5">
      <c r="B325" s="146"/>
      <c r="C325" s="149"/>
      <c r="D325" s="146"/>
    </row>
    <row r="326" spans="2:5">
      <c r="B326" s="215" t="s">
        <v>1026</v>
      </c>
      <c r="C326" s="216"/>
      <c r="D326" s="217"/>
    </row>
    <row r="327" spans="2:5">
      <c r="B327" s="146" t="s">
        <v>1027</v>
      </c>
      <c r="C327" s="149" t="s">
        <v>1028</v>
      </c>
      <c r="D327" s="146"/>
      <c r="E327" s="145" t="s">
        <v>845</v>
      </c>
    </row>
    <row r="328" spans="2:5">
      <c r="B328" s="146"/>
      <c r="C328" s="149"/>
      <c r="D328" s="146"/>
    </row>
    <row r="329" spans="2:5" ht="13.5">
      <c r="B329" s="146" t="s">
        <v>1029</v>
      </c>
      <c r="C329" s="149" t="s">
        <v>1030</v>
      </c>
      <c r="D329" s="146" t="s">
        <v>1031</v>
      </c>
      <c r="E329" s="196"/>
    </row>
    <row r="330" spans="2:5">
      <c r="B330" s="146" t="s">
        <v>1032</v>
      </c>
      <c r="C330" s="149" t="s">
        <v>1033</v>
      </c>
      <c r="D330" s="146"/>
      <c r="E330" s="196" t="s">
        <v>1034</v>
      </c>
    </row>
    <row r="331" spans="2:5">
      <c r="B331" s="146" t="s">
        <v>1035</v>
      </c>
      <c r="C331" s="149" t="s">
        <v>1036</v>
      </c>
      <c r="D331" s="146"/>
      <c r="E331" s="145" t="s">
        <v>1037</v>
      </c>
    </row>
    <row r="332" spans="2:5">
      <c r="B332" s="146"/>
      <c r="C332" s="149"/>
      <c r="D332" s="146"/>
    </row>
    <row r="333" spans="2:5" ht="13.5">
      <c r="B333" s="146" t="s">
        <v>1038</v>
      </c>
      <c r="C333" s="149" t="s">
        <v>1039</v>
      </c>
      <c r="D333" s="184" t="s">
        <v>1040</v>
      </c>
      <c r="E333" s="145" t="s">
        <v>1041</v>
      </c>
    </row>
    <row r="334" spans="2:5">
      <c r="B334" s="146"/>
      <c r="C334" s="149"/>
      <c r="D334" s="146"/>
    </row>
    <row r="335" spans="2:5" ht="13.5">
      <c r="B335" s="146" t="s">
        <v>1042</v>
      </c>
      <c r="C335" s="149" t="s">
        <v>1043</v>
      </c>
      <c r="D335" s="146" t="s">
        <v>1044</v>
      </c>
      <c r="E335" s="145" t="s">
        <v>1045</v>
      </c>
    </row>
    <row r="336" spans="2:5">
      <c r="B336" s="146" t="s">
        <v>1046</v>
      </c>
      <c r="C336" s="149" t="s">
        <v>1047</v>
      </c>
      <c r="D336" s="146" t="s">
        <v>1048</v>
      </c>
    </row>
    <row r="337" spans="2:6">
      <c r="B337" s="146"/>
      <c r="C337" s="149"/>
      <c r="D337" s="146"/>
    </row>
    <row r="338" spans="2:6" ht="13.5">
      <c r="B338" s="146" t="s">
        <v>1049</v>
      </c>
      <c r="C338" s="149" t="s">
        <v>1050</v>
      </c>
      <c r="D338" s="184" t="s">
        <v>1051</v>
      </c>
      <c r="E338" s="145" t="s">
        <v>1052</v>
      </c>
    </row>
    <row r="339" spans="2:6" ht="13.5">
      <c r="B339" s="146" t="s">
        <v>1053</v>
      </c>
      <c r="C339" s="149" t="s">
        <v>1054</v>
      </c>
      <c r="D339" s="146"/>
      <c r="E339" s="145" t="s">
        <v>1055</v>
      </c>
    </row>
    <row r="340" spans="2:6">
      <c r="B340" s="146"/>
      <c r="C340" s="149"/>
      <c r="D340" s="146"/>
    </row>
    <row r="341" spans="2:6">
      <c r="B341" s="146" t="s">
        <v>1056</v>
      </c>
      <c r="C341" s="149" t="s">
        <v>1057</v>
      </c>
      <c r="D341" s="146"/>
    </row>
    <row r="342" spans="2:6">
      <c r="B342" s="146" t="s">
        <v>1058</v>
      </c>
      <c r="C342" s="149" t="s">
        <v>1059</v>
      </c>
      <c r="D342" s="146"/>
    </row>
    <row r="343" spans="2:6">
      <c r="B343" s="146"/>
      <c r="C343" s="149"/>
      <c r="D343" s="146"/>
    </row>
    <row r="344" spans="2:6" ht="13.5">
      <c r="B344" s="146" t="s">
        <v>1060</v>
      </c>
      <c r="C344" s="149" t="s">
        <v>1061</v>
      </c>
      <c r="D344" s="184" t="s">
        <v>1062</v>
      </c>
      <c r="E344" s="145" t="s">
        <v>1063</v>
      </c>
    </row>
    <row r="345" spans="2:6">
      <c r="B345" s="146"/>
      <c r="C345" s="149"/>
      <c r="D345" s="146"/>
    </row>
    <row r="346" spans="2:6" ht="13.5">
      <c r="B346" s="146"/>
      <c r="C346" s="149"/>
      <c r="D346" s="146"/>
      <c r="E346" s="192" t="s">
        <v>1064</v>
      </c>
    </row>
    <row r="347" spans="2:6" ht="13.5">
      <c r="B347" s="146" t="s">
        <v>1065</v>
      </c>
      <c r="C347" s="149" t="s">
        <v>1066</v>
      </c>
      <c r="D347" s="146" t="s">
        <v>1067</v>
      </c>
      <c r="E347" s="197">
        <v>6027</v>
      </c>
      <c r="F347" s="192" t="s">
        <v>1068</v>
      </c>
    </row>
    <row r="348" spans="2:6">
      <c r="B348" s="146" t="s">
        <v>1069</v>
      </c>
      <c r="C348" s="149" t="s">
        <v>1070</v>
      </c>
      <c r="D348" s="146" t="s">
        <v>1071</v>
      </c>
      <c r="E348" s="165">
        <v>0</v>
      </c>
    </row>
    <row r="349" spans="2:6">
      <c r="B349" s="146" t="s">
        <v>1072</v>
      </c>
      <c r="C349" s="149" t="s">
        <v>1073</v>
      </c>
      <c r="D349" s="146" t="s">
        <v>1074</v>
      </c>
      <c r="E349" s="165">
        <v>0</v>
      </c>
    </row>
    <row r="350" spans="2:6">
      <c r="B350" s="146" t="s">
        <v>1075</v>
      </c>
      <c r="C350" s="149" t="s">
        <v>1076</v>
      </c>
      <c r="D350" s="146" t="s">
        <v>1077</v>
      </c>
      <c r="E350" s="165">
        <v>0</v>
      </c>
    </row>
    <row r="351" spans="2:6" ht="13.5">
      <c r="B351" s="146" t="s">
        <v>1078</v>
      </c>
      <c r="C351" s="149" t="s">
        <v>1079</v>
      </c>
      <c r="D351" s="146" t="s">
        <v>1067</v>
      </c>
      <c r="E351" s="145" t="s">
        <v>1080</v>
      </c>
    </row>
    <row r="352" spans="2:6">
      <c r="B352" s="146" t="s">
        <v>1081</v>
      </c>
      <c r="C352" s="149" t="s">
        <v>1082</v>
      </c>
      <c r="D352" s="146" t="s">
        <v>1067</v>
      </c>
    </row>
    <row r="353" spans="2:5">
      <c r="B353" s="146" t="s">
        <v>1083</v>
      </c>
      <c r="C353" s="149" t="s">
        <v>1084</v>
      </c>
      <c r="D353" s="146" t="s">
        <v>1071</v>
      </c>
    </row>
    <row r="354" spans="2:5">
      <c r="B354" s="146" t="s">
        <v>1085</v>
      </c>
      <c r="C354" s="149" t="s">
        <v>1086</v>
      </c>
      <c r="D354" s="146" t="s">
        <v>1071</v>
      </c>
    </row>
    <row r="355" spans="2:5">
      <c r="B355" s="146" t="s">
        <v>1087</v>
      </c>
      <c r="C355" s="149" t="s">
        <v>1088</v>
      </c>
      <c r="D355" s="146" t="s">
        <v>1074</v>
      </c>
    </row>
    <row r="356" spans="2:5">
      <c r="B356" s="146" t="s">
        <v>1089</v>
      </c>
      <c r="C356" s="149" t="s">
        <v>1090</v>
      </c>
      <c r="D356" s="146" t="s">
        <v>1074</v>
      </c>
    </row>
    <row r="357" spans="2:5">
      <c r="B357" s="146" t="s">
        <v>1091</v>
      </c>
      <c r="C357" s="149" t="s">
        <v>1091</v>
      </c>
      <c r="D357" s="146" t="s">
        <v>1077</v>
      </c>
    </row>
    <row r="358" spans="2:5">
      <c r="B358" s="146" t="s">
        <v>1092</v>
      </c>
      <c r="C358" s="149" t="s">
        <v>1093</v>
      </c>
      <c r="D358" s="146" t="s">
        <v>1077</v>
      </c>
    </row>
    <row r="359" spans="2:5">
      <c r="B359" s="146"/>
      <c r="C359" s="149"/>
      <c r="D359" s="146"/>
    </row>
    <row r="360" spans="2:5" ht="13.5">
      <c r="B360" s="146" t="s">
        <v>1094</v>
      </c>
      <c r="C360" s="149" t="s">
        <v>1095</v>
      </c>
      <c r="D360" s="146" t="s">
        <v>1096</v>
      </c>
      <c r="E360" s="192" t="s">
        <v>1097</v>
      </c>
    </row>
    <row r="361" spans="2:5">
      <c r="B361" s="146"/>
      <c r="C361" s="149"/>
      <c r="D361" s="146"/>
    </row>
    <row r="362" spans="2:5" ht="13.5">
      <c r="B362" s="146" t="s">
        <v>1098</v>
      </c>
      <c r="C362" s="149" t="s">
        <v>1099</v>
      </c>
      <c r="D362" s="146"/>
      <c r="E362" s="145" t="s">
        <v>1100</v>
      </c>
    </row>
    <row r="363" spans="2:5">
      <c r="B363" s="146" t="s">
        <v>1101</v>
      </c>
      <c r="C363" s="149" t="s">
        <v>1102</v>
      </c>
      <c r="D363" s="146" t="s">
        <v>1103</v>
      </c>
    </row>
    <row r="364" spans="2:5">
      <c r="B364" s="146"/>
      <c r="C364" s="149"/>
      <c r="D364" s="146"/>
    </row>
    <row r="365" spans="2:5" ht="13.5">
      <c r="B365" s="146"/>
      <c r="C365" s="149"/>
      <c r="D365" s="146"/>
      <c r="E365" s="192"/>
    </row>
    <row r="366" spans="2:5">
      <c r="B366" s="146" t="s">
        <v>1104</v>
      </c>
      <c r="C366" s="149" t="s">
        <v>1105</v>
      </c>
      <c r="D366" s="164"/>
      <c r="E366" s="145" t="s">
        <v>978</v>
      </c>
    </row>
    <row r="367" spans="2:5" ht="13.5">
      <c r="B367" s="146" t="s">
        <v>1106</v>
      </c>
      <c r="C367" s="149" t="s">
        <v>1107</v>
      </c>
      <c r="D367" s="184" t="s">
        <v>1108</v>
      </c>
    </row>
    <row r="368" spans="2:5">
      <c r="B368" s="146" t="s">
        <v>1109</v>
      </c>
      <c r="C368" s="149" t="s">
        <v>1110</v>
      </c>
      <c r="D368" s="146"/>
    </row>
    <row r="369" spans="2:5">
      <c r="B369" s="146" t="s">
        <v>1111</v>
      </c>
      <c r="C369" s="149" t="s">
        <v>1112</v>
      </c>
      <c r="D369" s="146"/>
    </row>
    <row r="370" spans="2:5">
      <c r="B370" s="146" t="s">
        <v>1113</v>
      </c>
      <c r="C370" s="149" t="s">
        <v>1114</v>
      </c>
      <c r="D370" s="146"/>
    </row>
    <row r="371" spans="2:5">
      <c r="B371" s="146" t="s">
        <v>1115</v>
      </c>
      <c r="C371" s="149" t="s">
        <v>1116</v>
      </c>
      <c r="D371" s="146"/>
    </row>
    <row r="372" spans="2:5">
      <c r="B372" s="146" t="s">
        <v>1117</v>
      </c>
      <c r="C372" s="149" t="s">
        <v>1118</v>
      </c>
      <c r="D372" s="146"/>
    </row>
    <row r="373" spans="2:5">
      <c r="B373" s="146" t="s">
        <v>1119</v>
      </c>
      <c r="C373" s="149" t="s">
        <v>1120</v>
      </c>
      <c r="D373" s="146"/>
    </row>
    <row r="374" spans="2:5">
      <c r="B374" s="146" t="s">
        <v>1121</v>
      </c>
      <c r="C374" s="149" t="s">
        <v>1122</v>
      </c>
      <c r="D374" s="146"/>
    </row>
    <row r="375" spans="2:5">
      <c r="B375" s="146" t="s">
        <v>1123</v>
      </c>
      <c r="C375" s="149" t="s">
        <v>1124</v>
      </c>
      <c r="D375" s="146"/>
    </row>
    <row r="376" spans="2:5">
      <c r="B376" s="146"/>
      <c r="C376" s="149"/>
      <c r="D376" s="146"/>
    </row>
    <row r="377" spans="2:5" ht="13.5">
      <c r="B377" s="146" t="s">
        <v>1125</v>
      </c>
      <c r="C377" s="149" t="s">
        <v>1126</v>
      </c>
      <c r="D377" s="146" t="s">
        <v>1127</v>
      </c>
      <c r="E377" s="145" t="s">
        <v>1128</v>
      </c>
    </row>
    <row r="378" spans="2:5">
      <c r="B378" s="146" t="s">
        <v>1129</v>
      </c>
      <c r="C378" s="149" t="s">
        <v>1130</v>
      </c>
      <c r="D378" s="146"/>
    </row>
    <row r="379" spans="2:5">
      <c r="B379" s="146"/>
      <c r="C379" s="149"/>
      <c r="D379" s="146"/>
    </row>
    <row r="380" spans="2:5" ht="13.5">
      <c r="B380" s="198" t="s">
        <v>1131</v>
      </c>
      <c r="C380" s="199" t="s">
        <v>1132</v>
      </c>
      <c r="D380" s="200" t="s">
        <v>1133</v>
      </c>
      <c r="E380" s="145" t="s">
        <v>1134</v>
      </c>
    </row>
    <row r="381" spans="2:5">
      <c r="B381" s="146"/>
      <c r="C381" s="149"/>
      <c r="D381" s="146"/>
    </row>
    <row r="382" spans="2:5">
      <c r="B382" s="146"/>
      <c r="C382" s="149"/>
      <c r="D382" s="146"/>
    </row>
    <row r="383" spans="2:5">
      <c r="B383" s="146"/>
      <c r="C383" s="149"/>
      <c r="D383" s="146"/>
    </row>
    <row r="384" spans="2:5">
      <c r="B384" s="146"/>
      <c r="C384" s="149"/>
      <c r="D384" s="146"/>
    </row>
    <row r="385" spans="2:5">
      <c r="B385" s="146"/>
      <c r="C385" s="149"/>
      <c r="D385" s="146"/>
    </row>
    <row r="386" spans="2:5">
      <c r="B386" s="146"/>
      <c r="C386" s="149"/>
      <c r="D386" s="146"/>
    </row>
    <row r="387" spans="2:5">
      <c r="B387" s="146"/>
      <c r="C387" s="149"/>
      <c r="D387" s="146"/>
    </row>
    <row r="388" spans="2:5" ht="13.5">
      <c r="B388" s="146" t="s">
        <v>1135</v>
      </c>
      <c r="C388" s="149" t="s">
        <v>1136</v>
      </c>
      <c r="D388" s="201" t="s">
        <v>1137</v>
      </c>
      <c r="E388" s="145" t="s">
        <v>1138</v>
      </c>
    </row>
    <row r="389" spans="2:5" ht="13.5">
      <c r="B389" s="146" t="s">
        <v>1139</v>
      </c>
      <c r="C389" s="149" t="s">
        <v>1140</v>
      </c>
      <c r="D389" s="201" t="s">
        <v>1137</v>
      </c>
    </row>
    <row r="390" spans="2:5" ht="13.5">
      <c r="B390" s="146" t="s">
        <v>1141</v>
      </c>
      <c r="C390" s="149" t="s">
        <v>1118</v>
      </c>
      <c r="D390" s="201" t="s">
        <v>1137</v>
      </c>
    </row>
    <row r="391" spans="2:5" ht="13.5">
      <c r="B391" s="146" t="s">
        <v>1142</v>
      </c>
      <c r="C391" s="149" t="s">
        <v>1120</v>
      </c>
      <c r="D391" s="201" t="s">
        <v>1137</v>
      </c>
    </row>
    <row r="392" spans="2:5">
      <c r="B392" s="146" t="s">
        <v>1143</v>
      </c>
      <c r="C392" s="149" t="s">
        <v>1144</v>
      </c>
      <c r="D392" s="146" t="s">
        <v>1145</v>
      </c>
    </row>
    <row r="393" spans="2:5">
      <c r="B393" s="146" t="s">
        <v>1146</v>
      </c>
      <c r="C393" s="149" t="s">
        <v>1147</v>
      </c>
      <c r="D393" s="146" t="s">
        <v>1145</v>
      </c>
    </row>
    <row r="394" spans="2:5" ht="13.5">
      <c r="B394" s="146" t="s">
        <v>1148</v>
      </c>
      <c r="C394" s="149" t="s">
        <v>1149</v>
      </c>
      <c r="D394" s="146" t="s">
        <v>1145</v>
      </c>
      <c r="E394" s="192" t="s">
        <v>1150</v>
      </c>
    </row>
    <row r="395" spans="2:5">
      <c r="B395" s="146" t="s">
        <v>1151</v>
      </c>
      <c r="C395" s="149" t="s">
        <v>1152</v>
      </c>
      <c r="D395" s="146"/>
    </row>
    <row r="396" spans="2:5">
      <c r="B396" s="146" t="s">
        <v>1153</v>
      </c>
      <c r="C396" s="149" t="s">
        <v>1154</v>
      </c>
      <c r="D396" s="146"/>
    </row>
    <row r="397" spans="2:5">
      <c r="B397" s="146" t="s">
        <v>1155</v>
      </c>
      <c r="C397" s="149" t="s">
        <v>1156</v>
      </c>
      <c r="D397" s="146"/>
    </row>
    <row r="398" spans="2:5">
      <c r="B398" s="146" t="s">
        <v>1157</v>
      </c>
      <c r="C398" s="149" t="s">
        <v>1158</v>
      </c>
      <c r="D398" s="146"/>
    </row>
    <row r="399" spans="2:5" ht="13.5">
      <c r="B399" s="146" t="s">
        <v>1159</v>
      </c>
      <c r="C399" s="149" t="s">
        <v>1160</v>
      </c>
      <c r="D399" s="201" t="s">
        <v>1161</v>
      </c>
    </row>
    <row r="400" spans="2:5" ht="13.5">
      <c r="B400" s="146" t="s">
        <v>1162</v>
      </c>
      <c r="C400" s="149" t="s">
        <v>1163</v>
      </c>
      <c r="D400" s="146" t="s">
        <v>1164</v>
      </c>
    </row>
    <row r="401" spans="2:4">
      <c r="B401" s="146"/>
      <c r="C401" s="149"/>
      <c r="D401" s="146"/>
    </row>
    <row r="402" spans="2:4">
      <c r="B402" s="146"/>
      <c r="C402" s="149"/>
      <c r="D402" s="146"/>
    </row>
    <row r="403" spans="2:4">
      <c r="B403" s="146"/>
      <c r="C403" s="149"/>
      <c r="D403" s="146"/>
    </row>
    <row r="404" spans="2:4">
      <c r="B404" s="146"/>
      <c r="C404" s="149"/>
      <c r="D404" s="146"/>
    </row>
    <row r="405" spans="2:4">
      <c r="B405" s="146"/>
      <c r="C405" s="149"/>
      <c r="D405" s="146"/>
    </row>
    <row r="406" spans="2:4">
      <c r="B406" s="146"/>
      <c r="C406" s="149"/>
      <c r="D406" s="146"/>
    </row>
    <row r="407" spans="2:4">
      <c r="B407" s="146"/>
      <c r="C407" s="149"/>
      <c r="D407" s="146"/>
    </row>
    <row r="408" spans="2:4">
      <c r="B408" s="146"/>
      <c r="C408" s="149"/>
      <c r="D408" s="146"/>
    </row>
    <row r="409" spans="2:4">
      <c r="B409" s="146"/>
      <c r="C409" s="149"/>
      <c r="D409" s="146"/>
    </row>
    <row r="410" spans="2:4">
      <c r="B410" s="146"/>
      <c r="C410" s="149"/>
      <c r="D410" s="146"/>
    </row>
    <row r="411" spans="2:4">
      <c r="B411" s="146"/>
      <c r="C411" s="149"/>
      <c r="D411" s="146"/>
    </row>
    <row r="412" spans="2:4">
      <c r="B412" s="146"/>
      <c r="C412" s="149"/>
      <c r="D412" s="146"/>
    </row>
    <row r="413" spans="2:4">
      <c r="B413" s="146"/>
      <c r="C413" s="149"/>
      <c r="D413" s="146"/>
    </row>
    <row r="414" spans="2:4">
      <c r="B414" s="146"/>
      <c r="C414" s="149"/>
      <c r="D414" s="146"/>
    </row>
    <row r="415" spans="2:4">
      <c r="B415" s="146"/>
      <c r="C415" s="149"/>
      <c r="D415" s="146"/>
    </row>
    <row r="416" spans="2:4">
      <c r="B416" s="146"/>
      <c r="C416" s="149"/>
      <c r="D416" s="146"/>
    </row>
    <row r="417" spans="2:4">
      <c r="B417" s="146"/>
      <c r="C417" s="149"/>
      <c r="D417" s="146"/>
    </row>
    <row r="418" spans="2:4">
      <c r="B418" s="146"/>
      <c r="C418" s="149"/>
      <c r="D418" s="146"/>
    </row>
    <row r="419" spans="2:4">
      <c r="B419" s="146"/>
      <c r="C419" s="149"/>
      <c r="D419" s="146"/>
    </row>
    <row r="420" spans="2:4">
      <c r="B420" s="146"/>
      <c r="C420" s="149"/>
      <c r="D420" s="146"/>
    </row>
    <row r="421" spans="2:4">
      <c r="B421" s="146"/>
      <c r="C421" s="149"/>
      <c r="D421" s="146"/>
    </row>
    <row r="422" spans="2:4">
      <c r="B422" s="146"/>
      <c r="C422" s="149"/>
      <c r="D422" s="146"/>
    </row>
    <row r="423" spans="2:4">
      <c r="B423" s="146"/>
      <c r="C423" s="149"/>
      <c r="D423" s="146"/>
    </row>
    <row r="424" spans="2:4">
      <c r="B424" s="146"/>
      <c r="C424" s="149"/>
      <c r="D424" s="146"/>
    </row>
    <row r="425" spans="2:4">
      <c r="B425" s="146"/>
      <c r="C425" s="149"/>
      <c r="D425" s="146"/>
    </row>
    <row r="426" spans="2:4">
      <c r="B426" s="146"/>
      <c r="C426" s="149"/>
      <c r="D426" s="146"/>
    </row>
    <row r="427" spans="2:4">
      <c r="B427" s="146"/>
      <c r="C427" s="149"/>
      <c r="D427" s="146"/>
    </row>
    <row r="428" spans="2:4">
      <c r="B428" s="146"/>
      <c r="C428" s="149"/>
      <c r="D428" s="146"/>
    </row>
    <row r="429" spans="2:4">
      <c r="B429" s="146"/>
      <c r="C429" s="149"/>
      <c r="D429" s="146"/>
    </row>
    <row r="430" spans="2:4">
      <c r="B430" s="146"/>
      <c r="C430" s="149"/>
      <c r="D430" s="146"/>
    </row>
    <row r="431" spans="2:4">
      <c r="B431" s="146"/>
      <c r="C431" s="149"/>
      <c r="D431" s="146"/>
    </row>
    <row r="432" spans="2:4">
      <c r="B432" s="146"/>
      <c r="C432" s="149"/>
      <c r="D432" s="146"/>
    </row>
    <row r="433" spans="2:4">
      <c r="B433" s="146"/>
      <c r="C433" s="149"/>
      <c r="D433" s="146"/>
    </row>
    <row r="434" spans="2:4">
      <c r="B434" s="146"/>
      <c r="C434" s="149"/>
      <c r="D434" s="146"/>
    </row>
    <row r="435" spans="2:4">
      <c r="B435" s="146"/>
      <c r="C435" s="149"/>
      <c r="D435" s="146"/>
    </row>
    <row r="436" spans="2:4">
      <c r="B436" s="146"/>
      <c r="C436" s="149"/>
      <c r="D436" s="146"/>
    </row>
    <row r="437" spans="2:4">
      <c r="B437" s="146"/>
      <c r="C437" s="149"/>
      <c r="D437" s="146"/>
    </row>
    <row r="438" spans="2:4">
      <c r="B438" s="146"/>
      <c r="C438" s="149"/>
      <c r="D438" s="146"/>
    </row>
    <row r="439" spans="2:4">
      <c r="B439" s="146"/>
      <c r="C439" s="149"/>
      <c r="D439" s="146"/>
    </row>
    <row r="440" spans="2:4">
      <c r="B440" s="146"/>
      <c r="C440" s="149"/>
      <c r="D440" s="146"/>
    </row>
    <row r="441" spans="2:4">
      <c r="B441" s="146"/>
      <c r="C441" s="149"/>
      <c r="D441" s="146"/>
    </row>
    <row r="442" spans="2:4">
      <c r="B442" s="146"/>
      <c r="C442" s="149"/>
      <c r="D442" s="146"/>
    </row>
    <row r="443" spans="2:4">
      <c r="B443" s="146"/>
      <c r="C443" s="149"/>
      <c r="D443" s="146"/>
    </row>
    <row r="444" spans="2:4">
      <c r="B444" s="146"/>
      <c r="C444" s="149"/>
      <c r="D444" s="146"/>
    </row>
    <row r="445" spans="2:4">
      <c r="B445" s="146"/>
      <c r="C445" s="149"/>
      <c r="D445" s="146"/>
    </row>
    <row r="446" spans="2:4">
      <c r="B446" s="146"/>
      <c r="C446" s="149"/>
      <c r="D446" s="146"/>
    </row>
    <row r="447" spans="2:4">
      <c r="B447" s="146"/>
      <c r="C447" s="149"/>
      <c r="D447" s="146"/>
    </row>
    <row r="448" spans="2:4">
      <c r="B448" s="146"/>
      <c r="C448" s="149"/>
      <c r="D448" s="146"/>
    </row>
    <row r="449" spans="2:4">
      <c r="B449" s="146"/>
      <c r="C449" s="149"/>
      <c r="D449" s="146"/>
    </row>
    <row r="450" spans="2:4">
      <c r="B450" s="146"/>
      <c r="C450" s="149"/>
      <c r="D450" s="146"/>
    </row>
    <row r="451" spans="2:4">
      <c r="B451" s="146"/>
      <c r="C451" s="149"/>
      <c r="D451" s="146"/>
    </row>
    <row r="452" spans="2:4">
      <c r="B452" s="146"/>
      <c r="C452" s="149"/>
      <c r="D452" s="146"/>
    </row>
    <row r="453" spans="2:4">
      <c r="B453" s="146"/>
      <c r="C453" s="149"/>
      <c r="D453" s="146"/>
    </row>
    <row r="454" spans="2:4">
      <c r="B454" s="146"/>
      <c r="C454" s="149"/>
      <c r="D454" s="146"/>
    </row>
    <row r="455" spans="2:4">
      <c r="B455" s="146"/>
      <c r="C455" s="149"/>
      <c r="D455" s="146"/>
    </row>
    <row r="456" spans="2:4">
      <c r="B456" s="146"/>
      <c r="C456" s="149"/>
      <c r="D456" s="146"/>
    </row>
    <row r="457" spans="2:4">
      <c r="B457" s="146"/>
      <c r="C457" s="149"/>
      <c r="D457" s="146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3" customFormat="1">
      <c r="A1" s="223" t="s">
        <v>304</v>
      </c>
      <c r="B1" s="223"/>
      <c r="C1" s="223"/>
      <c r="I1" s="223" t="s">
        <v>305</v>
      </c>
      <c r="J1" s="223"/>
      <c r="K1" s="223"/>
      <c r="Q1" s="223" t="s">
        <v>306</v>
      </c>
      <c r="R1" s="223"/>
      <c r="S1" s="223"/>
      <c r="Y1" s="223" t="s">
        <v>307</v>
      </c>
      <c r="Z1" s="223"/>
      <c r="AA1" s="223"/>
      <c r="AG1" s="223" t="s">
        <v>367</v>
      </c>
      <c r="AH1" s="223"/>
      <c r="AI1" s="223"/>
    </row>
    <row r="2" spans="1:39" ht="13.5" thickBot="1">
      <c r="A2" s="224"/>
      <c r="B2" s="224"/>
      <c r="C2" s="224"/>
      <c r="I2" s="224"/>
      <c r="J2" s="224"/>
      <c r="K2" s="224"/>
      <c r="Q2" s="224"/>
      <c r="R2" s="224"/>
      <c r="S2" s="224"/>
      <c r="Y2" s="224"/>
      <c r="Z2" s="224"/>
      <c r="AA2" s="224"/>
      <c r="AG2" s="224"/>
      <c r="AH2" s="224"/>
      <c r="AI2" s="224"/>
    </row>
    <row r="3" spans="1:39" ht="14.25" thickTop="1">
      <c r="A3" s="106" t="s">
        <v>760</v>
      </c>
      <c r="B3" s="107" t="s">
        <v>761</v>
      </c>
      <c r="C3" s="108" t="s">
        <v>301</v>
      </c>
      <c r="I3" s="106" t="s">
        <v>760</v>
      </c>
      <c r="J3" s="107" t="s">
        <v>761</v>
      </c>
      <c r="K3" s="108" t="s">
        <v>301</v>
      </c>
      <c r="Q3" s="106" t="s">
        <v>760</v>
      </c>
      <c r="R3" s="107" t="s">
        <v>761</v>
      </c>
      <c r="S3" s="108" t="s">
        <v>301</v>
      </c>
      <c r="Y3" s="106" t="s">
        <v>760</v>
      </c>
      <c r="Z3" s="107" t="s">
        <v>761</v>
      </c>
      <c r="AA3" s="108" t="s">
        <v>301</v>
      </c>
      <c r="AG3" s="106" t="s">
        <v>760</v>
      </c>
      <c r="AH3" s="107" t="s">
        <v>761</v>
      </c>
      <c r="AI3" s="108" t="s">
        <v>301</v>
      </c>
    </row>
    <row r="4" spans="1:39" ht="14.25" thickBot="1">
      <c r="A4" s="109" t="s">
        <v>762</v>
      </c>
      <c r="B4" s="110" t="s">
        <v>302</v>
      </c>
      <c r="C4" s="111" t="s">
        <v>303</v>
      </c>
      <c r="I4" s="109" t="s">
        <v>762</v>
      </c>
      <c r="J4" s="110" t="s">
        <v>302</v>
      </c>
      <c r="K4" s="111" t="s">
        <v>303</v>
      </c>
      <c r="Q4" s="109" t="s">
        <v>762</v>
      </c>
      <c r="R4" s="110" t="s">
        <v>302</v>
      </c>
      <c r="S4" s="111" t="s">
        <v>303</v>
      </c>
      <c r="Y4" s="109" t="s">
        <v>762</v>
      </c>
      <c r="Z4" s="110" t="s">
        <v>302</v>
      </c>
      <c r="AA4" s="111" t="s">
        <v>303</v>
      </c>
      <c r="AG4" s="109" t="s">
        <v>762</v>
      </c>
      <c r="AH4" s="110" t="s">
        <v>302</v>
      </c>
      <c r="AI4" s="111" t="s">
        <v>303</v>
      </c>
    </row>
    <row r="5" spans="1:39" ht="13.5" thickTop="1">
      <c r="A5" s="112">
        <v>60</v>
      </c>
      <c r="B5" s="113">
        <v>7.4626425597732222</v>
      </c>
      <c r="C5" s="114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2">
        <v>60</v>
      </c>
      <c r="J5" s="113">
        <v>7.5789999999999997</v>
      </c>
      <c r="K5" s="114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2">
        <v>50</v>
      </c>
      <c r="R5" s="113">
        <v>4.1459999999999999</v>
      </c>
      <c r="S5" s="114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5">
        <v>85</v>
      </c>
      <c r="Z5" s="116">
        <v>0.3209209991701934</v>
      </c>
      <c r="AA5" s="117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5">
        <v>80</v>
      </c>
      <c r="AH5" s="116">
        <v>1.6574088400433546</v>
      </c>
      <c r="AI5" s="117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18">
        <v>59.5</v>
      </c>
      <c r="B6" s="119">
        <v>7.5985654903640008</v>
      </c>
      <c r="C6" s="120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18">
        <v>59.5</v>
      </c>
      <c r="J6" s="119">
        <v>7.7169999999999996</v>
      </c>
      <c r="K6" s="120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18">
        <v>49.5</v>
      </c>
      <c r="R6" s="119">
        <v>4.2149999999999999</v>
      </c>
      <c r="S6" s="120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1">
        <v>84.5</v>
      </c>
      <c r="Z6" s="122">
        <v>0.32601078140660411</v>
      </c>
      <c r="AA6" s="123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1">
        <v>79.5</v>
      </c>
      <c r="AH6" s="122">
        <v>1.6808741168561849</v>
      </c>
      <c r="AI6" s="123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18">
        <v>59</v>
      </c>
      <c r="B7" s="119">
        <v>7.7373289242327132</v>
      </c>
      <c r="C7" s="120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18">
        <v>59</v>
      </c>
      <c r="J7" s="119">
        <v>7.8570000000000002</v>
      </c>
      <c r="K7" s="120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18">
        <v>49</v>
      </c>
      <c r="R7" s="119">
        <v>4.2850000000000001</v>
      </c>
      <c r="S7" s="120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1">
        <v>84</v>
      </c>
      <c r="Z7" s="122">
        <v>0.33119521834913379</v>
      </c>
      <c r="AA7" s="123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1">
        <v>79</v>
      </c>
      <c r="AH7" s="122">
        <v>1.7047340020511903</v>
      </c>
      <c r="AI7" s="123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18">
        <v>58.5</v>
      </c>
      <c r="B8" s="119">
        <v>7.8789999273785547</v>
      </c>
      <c r="C8" s="120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18">
        <v>58.5</v>
      </c>
      <c r="J8" s="119">
        <v>8</v>
      </c>
      <c r="K8" s="120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18">
        <v>48.5</v>
      </c>
      <c r="R8" s="119">
        <v>4.3559999999999999</v>
      </c>
      <c r="S8" s="120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1">
        <v>83.5</v>
      </c>
      <c r="Z8" s="122">
        <v>0.33647630703610693</v>
      </c>
      <c r="AA8" s="123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1">
        <v>78.5</v>
      </c>
      <c r="AH8" s="122">
        <v>1.7289960807724467</v>
      </c>
      <c r="AI8" s="123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18">
        <v>58</v>
      </c>
      <c r="B9" s="119">
        <v>8.02364732014669</v>
      </c>
      <c r="C9" s="120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18">
        <v>58</v>
      </c>
      <c r="J9" s="119">
        <v>8.1460000000000008</v>
      </c>
      <c r="K9" s="120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18">
        <v>48</v>
      </c>
      <c r="R9" s="119">
        <v>4.4290000000000003</v>
      </c>
      <c r="S9" s="120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1">
        <v>83</v>
      </c>
      <c r="Z9" s="122">
        <v>0.34185609126724681</v>
      </c>
      <c r="AA9" s="123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1">
        <v>78</v>
      </c>
      <c r="AH9" s="122">
        <v>1.7536681010014268</v>
      </c>
      <c r="AI9" s="123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18">
        <v>57.5</v>
      </c>
      <c r="B10" s="119">
        <v>8.1713417271322779</v>
      </c>
      <c r="C10" s="120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18">
        <v>57.5</v>
      </c>
      <c r="J10" s="119">
        <v>8.2949999999999999</v>
      </c>
      <c r="K10" s="120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18">
        <v>47.5</v>
      </c>
      <c r="R10" s="119">
        <v>4.5030000000000001</v>
      </c>
      <c r="S10" s="120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1">
        <v>82.5</v>
      </c>
      <c r="Z10" s="122">
        <v>0.34733666279943415</v>
      </c>
      <c r="AA10" s="123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1">
        <v>77.5</v>
      </c>
      <c r="AH10" s="122">
        <v>1.7787579774003373</v>
      </c>
      <c r="AI10" s="123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18">
        <v>57</v>
      </c>
      <c r="B11" s="119">
        <v>8.3221556286063354</v>
      </c>
      <c r="C11" s="120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18">
        <v>57</v>
      </c>
      <c r="J11" s="119">
        <v>8.4469999999999992</v>
      </c>
      <c r="K11" s="120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18">
        <v>47</v>
      </c>
      <c r="R11" s="119">
        <v>4.5789999999999997</v>
      </c>
      <c r="S11" s="120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1">
        <v>82</v>
      </c>
      <c r="Z11" s="122">
        <v>0.35292016257544911</v>
      </c>
      <c r="AA11" s="123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1">
        <v>77</v>
      </c>
      <c r="AH11" s="122">
        <v>1.8042737952538148</v>
      </c>
      <c r="AI11" s="123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18">
        <v>56.5</v>
      </c>
      <c r="B12" s="119">
        <v>8.4761634135126265</v>
      </c>
      <c r="C12" s="120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18">
        <v>56.5</v>
      </c>
      <c r="J12" s="119">
        <v>8.6029999999999998</v>
      </c>
      <c r="K12" s="120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18">
        <v>46.5</v>
      </c>
      <c r="R12" s="119">
        <v>4.6559999999999997</v>
      </c>
      <c r="S12" s="120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1">
        <v>81.5</v>
      </c>
      <c r="Z12" s="122">
        <v>0.35860878198664442</v>
      </c>
      <c r="AA12" s="123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1">
        <v>76.5</v>
      </c>
      <c r="AH12" s="122">
        <v>1.830223814512058</v>
      </c>
      <c r="AI12" s="123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18">
        <v>56</v>
      </c>
      <c r="B13" s="119">
        <v>8.633441434086718</v>
      </c>
      <c r="C13" s="120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18">
        <v>56</v>
      </c>
      <c r="J13" s="119">
        <v>8.7609999999999992</v>
      </c>
      <c r="K13" s="120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18">
        <v>46</v>
      </c>
      <c r="R13" s="119">
        <v>4.7350000000000003</v>
      </c>
      <c r="S13" s="120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1">
        <v>81</v>
      </c>
      <c r="Z13" s="122">
        <v>0.36440476417058099</v>
      </c>
      <c r="AA13" s="123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1">
        <v>76</v>
      </c>
      <c r="AH13" s="122">
        <v>1.8566164739379136</v>
      </c>
      <c r="AI13" s="123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18">
        <v>55.5</v>
      </c>
      <c r="B14" s="119">
        <v>8.794068062149373</v>
      </c>
      <c r="C14" s="120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18">
        <v>55.5</v>
      </c>
      <c r="J14" s="119">
        <v>8.923</v>
      </c>
      <c r="K14" s="120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18">
        <v>45.5</v>
      </c>
      <c r="R14" s="119">
        <v>4.8150000000000004</v>
      </c>
      <c r="S14" s="120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1">
        <v>80.5</v>
      </c>
      <c r="Z14" s="122">
        <v>0.37031040534461324</v>
      </c>
      <c r="AA14" s="123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1">
        <v>75.5</v>
      </c>
      <c r="AH14" s="122">
        <v>1.8834603953611426</v>
      </c>
      <c r="AI14" s="123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18">
        <v>55</v>
      </c>
      <c r="B15" s="119">
        <v>8.9581237471290613</v>
      </c>
      <c r="C15" s="120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18">
        <v>55</v>
      </c>
      <c r="J15" s="119">
        <v>9.0890000000000004</v>
      </c>
      <c r="K15" s="120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18">
        <v>45</v>
      </c>
      <c r="R15" s="119">
        <v>4.8970000000000002</v>
      </c>
      <c r="S15" s="120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1">
        <v>80</v>
      </c>
      <c r="Z15" s="122">
        <v>0.37632805617654069</v>
      </c>
      <c r="AA15" s="123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1">
        <v>75</v>
      </c>
      <c r="AH15" s="122">
        <v>1.9107643880425134</v>
      </c>
      <c r="AI15" s="123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18">
        <v>54.5</v>
      </c>
      <c r="B16" s="119">
        <v>9.1256910758697227</v>
      </c>
      <c r="C16" s="120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18">
        <v>54.5</v>
      </c>
      <c r="J16" s="119">
        <v>9.2579999999999991</v>
      </c>
      <c r="K16" s="120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18">
        <v>44.5</v>
      </c>
      <c r="R16" s="119">
        <v>4.9809999999999999</v>
      </c>
      <c r="S16" s="120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1">
        <v>79.5</v>
      </c>
      <c r="Z16" s="122">
        <v>0.38246012319337452</v>
      </c>
      <c r="AA16" s="123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1">
        <v>74.5</v>
      </c>
      <c r="AH16" s="122">
        <v>1.9385374531509092</v>
      </c>
      <c r="AI16" s="123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18">
        <v>54</v>
      </c>
      <c r="B17" s="119">
        <v>9.2968548342817812</v>
      </c>
      <c r="C17" s="120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18">
        <v>54</v>
      </c>
      <c r="J17" s="119">
        <v>9.43</v>
      </c>
      <c r="K17" s="120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18">
        <v>44</v>
      </c>
      <c r="R17" s="119">
        <v>5.0659999999999998</v>
      </c>
      <c r="S17" s="120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1">
        <v>79</v>
      </c>
      <c r="Z17" s="122">
        <v>0.3887090702293845</v>
      </c>
      <c r="AA17" s="123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1">
        <v>74</v>
      </c>
      <c r="AH17" s="122">
        <v>1.9667887883567232</v>
      </c>
      <c r="AI17" s="123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18">
        <v>53.5</v>
      </c>
      <c r="B18" s="119">
        <v>9.471702070896864</v>
      </c>
      <c r="C18" s="120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18">
        <v>53.5</v>
      </c>
      <c r="J18" s="119">
        <v>9.6069999999999993</v>
      </c>
      <c r="K18" s="120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18">
        <v>43.5</v>
      </c>
      <c r="R18" s="119">
        <v>5.1529999999999996</v>
      </c>
      <c r="S18" s="120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1">
        <v>78.5</v>
      </c>
      <c r="Z18" s="122">
        <v>0.39507741991456585</v>
      </c>
      <c r="AA18" s="123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1">
        <v>73.5</v>
      </c>
      <c r="AH18" s="122">
        <v>1.9955277925445651</v>
      </c>
      <c r="AI18" s="123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18">
        <v>53</v>
      </c>
      <c r="B19" s="119">
        <v>9.6503221623881696</v>
      </c>
      <c r="C19" s="120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18">
        <v>53</v>
      </c>
      <c r="J19" s="119">
        <v>9.7870000000000008</v>
      </c>
      <c r="K19" s="120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18">
        <v>43</v>
      </c>
      <c r="R19" s="119">
        <v>5.2409999999999997</v>
      </c>
      <c r="S19" s="120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1">
        <v>78</v>
      </c>
      <c r="Z19" s="122">
        <v>0.4015677552047644</v>
      </c>
      <c r="AA19" s="123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1">
        <v>73</v>
      </c>
      <c r="AH19" s="122">
        <v>2.0247640706487497</v>
      </c>
      <c r="AI19" s="123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18">
        <v>52.5</v>
      </c>
      <c r="B20" s="119">
        <v>9.8328068811210638</v>
      </c>
      <c r="C20" s="120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18">
        <v>52.5</v>
      </c>
      <c r="J20" s="119">
        <v>9.9700000000000006</v>
      </c>
      <c r="K20" s="120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18">
        <v>42.5</v>
      </c>
      <c r="R20" s="119">
        <v>5.3319999999999999</v>
      </c>
      <c r="S20" s="120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1">
        <v>77.5</v>
      </c>
      <c r="Z20" s="122">
        <v>0.40818272095465846</v>
      </c>
      <c r="AA20" s="123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1">
        <v>72.5</v>
      </c>
      <c r="AH20" s="122">
        <v>2.0545074386150559</v>
      </c>
      <c r="AI20" s="123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18">
        <v>52</v>
      </c>
      <c r="B21" s="119">
        <v>10.019250464800328</v>
      </c>
      <c r="C21" s="120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18">
        <v>52</v>
      </c>
      <c r="J21" s="119">
        <v>10.157999999999999</v>
      </c>
      <c r="K21" s="120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18">
        <v>42</v>
      </c>
      <c r="R21" s="119">
        <v>5.4240000000000004</v>
      </c>
      <c r="S21" s="120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1">
        <v>77</v>
      </c>
      <c r="Z21" s="122">
        <v>0.41492502553491517</v>
      </c>
      <c r="AA21" s="123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1">
        <v>72</v>
      </c>
      <c r="AH21" s="122">
        <v>2.0847679284921687</v>
      </c>
      <c r="AI21" s="123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18">
        <v>51.5</v>
      </c>
      <c r="B22" s="119">
        <v>10.209749688282766</v>
      </c>
      <c r="C22" s="120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18">
        <v>51.5</v>
      </c>
      <c r="J22" s="119">
        <v>10.35</v>
      </c>
      <c r="K22" s="120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18">
        <v>41.5</v>
      </c>
      <c r="R22" s="119">
        <v>5.5179999999999998</v>
      </c>
      <c r="S22" s="120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1">
        <v>76.5</v>
      </c>
      <c r="Z22" s="122">
        <v>0.42179744249480772</v>
      </c>
      <c r="AA22" s="123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1">
        <v>71.5</v>
      </c>
      <c r="AH22" s="122">
        <v>2.1155557936565361</v>
      </c>
      <c r="AI22" s="123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18">
        <v>51</v>
      </c>
      <c r="B23" s="119">
        <v>10.404403937626901</v>
      </c>
      <c r="C23" s="120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18">
        <v>51</v>
      </c>
      <c r="J23" s="119">
        <v>10.545999999999999</v>
      </c>
      <c r="K23" s="120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18">
        <v>41</v>
      </c>
      <c r="R23" s="119">
        <v>5.6139999999999999</v>
      </c>
      <c r="S23" s="120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1">
        <v>76</v>
      </c>
      <c r="Z23" s="122">
        <v>0.42880281227169859</v>
      </c>
      <c r="AA23" s="123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1">
        <v>71</v>
      </c>
      <c r="AH23" s="122">
        <v>2.1468815141744479</v>
      </c>
      <c r="AI23" s="123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18">
        <v>50.5</v>
      </c>
      <c r="B24" s="119">
        <v>10.603315286452615</v>
      </c>
      <c r="C24" s="120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18">
        <v>50.5</v>
      </c>
      <c r="J24" s="119">
        <v>10.746</v>
      </c>
      <c r="K24" s="120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18">
        <v>40.5</v>
      </c>
      <c r="R24" s="119">
        <v>5.7110000000000003</v>
      </c>
      <c r="S24" s="120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1">
        <v>75.5</v>
      </c>
      <c r="Z24" s="122">
        <v>0.43594404394874975</v>
      </c>
      <c r="AA24" s="123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1">
        <v>70.5</v>
      </c>
      <c r="AH24" s="122">
        <v>2.1787558023050799</v>
      </c>
      <c r="AI24" s="123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18">
        <v>50</v>
      </c>
      <c r="B25" s="119">
        <v>10.806588574687787</v>
      </c>
      <c r="C25" s="120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18">
        <v>50</v>
      </c>
      <c r="J25" s="119">
        <v>10.95</v>
      </c>
      <c r="K25" s="120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18">
        <v>40</v>
      </c>
      <c r="R25" s="119">
        <v>5.8109999999999999</v>
      </c>
      <c r="S25" s="120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1">
        <v>75</v>
      </c>
      <c r="Z25" s="122">
        <v>0.44322411706232878</v>
      </c>
      <c r="AA25" s="123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1">
        <v>70</v>
      </c>
      <c r="AH25" s="122">
        <v>2.2111896081486195</v>
      </c>
      <c r="AI25" s="123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18">
        <v>49.5</v>
      </c>
      <c r="B26" s="119">
        <v>11.014331489780144</v>
      </c>
      <c r="C26" s="120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18">
        <v>49.5</v>
      </c>
      <c r="J26" s="119">
        <v>11.159000000000001</v>
      </c>
      <c r="K26" s="120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18">
        <v>39.5</v>
      </c>
      <c r="R26" s="119">
        <v>5.9130000000000003</v>
      </c>
      <c r="S26" s="120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1">
        <v>74.5</v>
      </c>
      <c r="Z26" s="122">
        <v>0.45064608346061852</v>
      </c>
      <c r="AA26" s="123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1">
        <v>69.5</v>
      </c>
      <c r="AH26" s="122">
        <v>2.2441941254435318</v>
      </c>
      <c r="AI26" s="123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18">
        <v>49</v>
      </c>
      <c r="B27" s="119">
        <v>11.226654650456096</v>
      </c>
      <c r="C27" s="120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18">
        <v>49</v>
      </c>
      <c r="J27" s="119">
        <v>11.372</v>
      </c>
      <c r="K27" s="120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18">
        <v>39</v>
      </c>
      <c r="R27" s="119">
        <v>6.0170000000000003</v>
      </c>
      <c r="S27" s="120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1">
        <v>74</v>
      </c>
      <c r="Z27" s="122">
        <v>0.45821306921495975</v>
      </c>
      <c r="AA27" s="123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1">
        <v>69</v>
      </c>
      <c r="AH27" s="122">
        <v>2.2777807975172486</v>
      </c>
      <c r="AI27" s="123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18">
        <v>48.5</v>
      </c>
      <c r="B28" s="119">
        <v>11.443671693111078</v>
      </c>
      <c r="C28" s="120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18">
        <v>48.5</v>
      </c>
      <c r="J28" s="119">
        <v>11.590999999999999</v>
      </c>
      <c r="K28" s="120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18">
        <v>38.5</v>
      </c>
      <c r="R28" s="119">
        <v>6.1230000000000002</v>
      </c>
      <c r="S28" s="120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1">
        <v>73.5</v>
      </c>
      <c r="Z28" s="122">
        <v>0.46592827658549452</v>
      </c>
      <c r="AA28" s="123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1">
        <v>68.5</v>
      </c>
      <c r="AH28" s="122">
        <v>2.3119613233945526</v>
      </c>
      <c r="AI28" s="123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18">
        <v>48</v>
      </c>
      <c r="B29" s="119">
        <v>11.665499360918469</v>
      </c>
      <c r="C29" s="120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18">
        <v>48</v>
      </c>
      <c r="J29" s="119">
        <v>11.813000000000001</v>
      </c>
      <c r="K29" s="120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18">
        <v>38</v>
      </c>
      <c r="R29" s="119">
        <v>6.2309999999999999</v>
      </c>
      <c r="S29" s="120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1">
        <v>73</v>
      </c>
      <c r="Z29" s="122">
        <v>0.47379498604282666</v>
      </c>
      <c r="AA29" s="123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1">
        <v>68</v>
      </c>
      <c r="AH29" s="122">
        <v>2.346747664068221</v>
      </c>
      <c r="AI29" s="123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18">
        <v>47.5</v>
      </c>
      <c r="B30" s="119">
        <v>11.892257595747539</v>
      </c>
      <c r="C30" s="120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18">
        <v>47.5</v>
      </c>
      <c r="J30" s="119">
        <v>12.041</v>
      </c>
      <c r="K30" s="120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18">
        <v>37.5</v>
      </c>
      <c r="R30" s="119">
        <v>6.3419999999999996</v>
      </c>
      <c r="S30" s="120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1">
        <v>72.5</v>
      </c>
      <c r="Z30" s="122">
        <v>0.48181655834729586</v>
      </c>
      <c r="AA30" s="123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1">
        <v>67.5</v>
      </c>
      <c r="AH30" s="122">
        <v>2.3821520489366592</v>
      </c>
      <c r="AI30" s="123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18">
        <v>47</v>
      </c>
      <c r="B31" s="119">
        <v>12.124069632983852</v>
      </c>
      <c r="C31" s="120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18">
        <v>47</v>
      </c>
      <c r="J31" s="119">
        <v>12.273999999999999</v>
      </c>
      <c r="K31" s="120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18">
        <v>37</v>
      </c>
      <c r="R31" s="119">
        <v>6.4539999999999997</v>
      </c>
      <c r="S31" s="120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1">
        <v>72</v>
      </c>
      <c r="Z31" s="122">
        <v>0.48999643668770321</v>
      </c>
      <c r="AA31" s="123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1">
        <v>67</v>
      </c>
      <c r="AH31" s="122">
        <v>2.4181869824130908</v>
      </c>
      <c r="AI31" s="123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18">
        <v>46.5</v>
      </c>
      <c r="B32" s="119">
        <v>12.361062099348965</v>
      </c>
      <c r="C32" s="120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18">
        <v>46.5</v>
      </c>
      <c r="J32" s="119">
        <v>12.510999999999999</v>
      </c>
      <c r="K32" s="120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18">
        <v>36.5</v>
      </c>
      <c r="R32" s="119">
        <v>6.569</v>
      </c>
      <c r="S32" s="120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1">
        <v>71.5</v>
      </c>
      <c r="Z32" s="122">
        <v>0.49833814888122957</v>
      </c>
      <c r="AA32" s="123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1">
        <v>66.5</v>
      </c>
      <c r="AH32" s="122">
        <v>2.4548652507114452</v>
      </c>
      <c r="AI32" s="123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18">
        <v>46</v>
      </c>
      <c r="B33" s="119">
        <v>12.603365113819367</v>
      </c>
      <c r="C33" s="120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18">
        <v>46</v>
      </c>
      <c r="J33" s="119">
        <v>12.754</v>
      </c>
      <c r="K33" s="120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18">
        <v>36</v>
      </c>
      <c r="R33" s="119">
        <v>6.6870000000000003</v>
      </c>
      <c r="S33" s="120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1">
        <v>71</v>
      </c>
      <c r="Z33" s="122">
        <v>0.5068453096364478</v>
      </c>
      <c r="AA33" s="123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1">
        <v>66</v>
      </c>
      <c r="AH33" s="122">
        <v>2.4921999288137582</v>
      </c>
      <c r="AI33" s="123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18">
        <v>45.5</v>
      </c>
      <c r="B34" s="119">
        <v>12.851112391748249</v>
      </c>
      <c r="C34" s="120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18">
        <v>45.5</v>
      </c>
      <c r="J34" s="119">
        <v>13.003</v>
      </c>
      <c r="K34" s="120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18">
        <v>35.5</v>
      </c>
      <c r="R34" s="119">
        <v>6.8070000000000004</v>
      </c>
      <c r="S34" s="120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1">
        <v>70.5</v>
      </c>
      <c r="Z34" s="122">
        <v>0.51552162288134307</v>
      </c>
      <c r="AA34" s="123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1">
        <v>65.5</v>
      </c>
      <c r="AH34" s="122">
        <v>2.5302043876246967</v>
      </c>
      <c r="AI34" s="123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18">
        <v>45</v>
      </c>
      <c r="B35" s="119">
        <v>13.1044413522974</v>
      </c>
      <c r="C35" s="120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18">
        <v>45</v>
      </c>
      <c r="J35" s="119">
        <v>13.257</v>
      </c>
      <c r="K35" s="120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18">
        <v>35</v>
      </c>
      <c r="R35" s="119">
        <v>6.9290000000000003</v>
      </c>
      <c r="S35" s="120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1">
        <v>70</v>
      </c>
      <c r="Z35" s="122">
        <v>0.52437088415829236</v>
      </c>
      <c r="AA35" s="123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1">
        <v>65</v>
      </c>
      <c r="AH35" s="122">
        <v>2.5688923013183036</v>
      </c>
      <c r="AI35" s="123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18">
        <v>44.5</v>
      </c>
      <c r="B36" s="119">
        <v>13.363493229290125</v>
      </c>
      <c r="C36" s="120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18">
        <v>44.5</v>
      </c>
      <c r="J36" s="119">
        <v>13.516</v>
      </c>
      <c r="K36" s="120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18">
        <v>34.5</v>
      </c>
      <c r="R36" s="119">
        <v>7.0540000000000003</v>
      </c>
      <c r="S36" s="120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1">
        <v>69.5</v>
      </c>
      <c r="Z36" s="122">
        <v>0.53339698308811667</v>
      </c>
      <c r="AA36" s="123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1">
        <v>64.5</v>
      </c>
      <c r="AH36" s="122">
        <v>2.6082776548824351</v>
      </c>
      <c r="AI36" s="123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18">
        <v>44</v>
      </c>
      <c r="B37" s="119">
        <v>13.628413185599875</v>
      </c>
      <c r="C37" s="120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18">
        <v>44</v>
      </c>
      <c r="J37" s="119">
        <v>13.731999999999999</v>
      </c>
      <c r="K37" s="120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18">
        <v>34</v>
      </c>
      <c r="R37" s="119">
        <v>7.181</v>
      </c>
      <c r="S37" s="120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1">
        <v>69</v>
      </c>
      <c r="Z37" s="122">
        <v>0.54260390590525565</v>
      </c>
      <c r="AA37" s="123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1">
        <v>64</v>
      </c>
      <c r="AH37" s="122">
        <v>2.6483747518670855</v>
      </c>
      <c r="AI37" s="123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18">
        <v>43.5</v>
      </c>
      <c r="B38" s="119">
        <v>13.899350431193739</v>
      </c>
      <c r="C38" s="120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18">
        <v>43.5</v>
      </c>
      <c r="J38" s="119">
        <v>14.053000000000001</v>
      </c>
      <c r="K38" s="120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18">
        <v>33.5</v>
      </c>
      <c r="R38" s="119">
        <v>7.3120000000000003</v>
      </c>
      <c r="S38" s="120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1">
        <v>68.5</v>
      </c>
      <c r="Z38" s="122">
        <v>0.55199573806627567</v>
      </c>
      <c r="AA38" s="123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1">
        <v>63.5</v>
      </c>
      <c r="AH38" s="122">
        <v>2.6891982223419402</v>
      </c>
      <c r="AI38" s="123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18">
        <v>43</v>
      </c>
      <c r="B39" s="119">
        <v>14.176458344953367</v>
      </c>
      <c r="C39" s="120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18">
        <v>43</v>
      </c>
      <c r="J39" s="119">
        <v>14.33</v>
      </c>
      <c r="K39" s="120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18">
        <v>33</v>
      </c>
      <c r="R39" s="119">
        <v>7.4450000000000003</v>
      </c>
      <c r="S39" s="120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1">
        <v>68</v>
      </c>
      <c r="Z39" s="122">
        <v>0.56157666693396469</v>
      </c>
      <c r="AA39" s="123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1">
        <v>63</v>
      </c>
      <c r="AH39" s="122">
        <v>2.7307630310697291</v>
      </c>
      <c r="AI39" s="123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18">
        <v>42.5</v>
      </c>
      <c r="B40" s="119">
        <v>14.459894600401057</v>
      </c>
      <c r="C40" s="120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18">
        <v>42.5</v>
      </c>
      <c r="J40" s="119">
        <v>14.614000000000001</v>
      </c>
      <c r="K40" s="120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18">
        <v>32.5</v>
      </c>
      <c r="R40" s="119">
        <v>7.58</v>
      </c>
      <c r="S40" s="120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1">
        <v>67.5</v>
      </c>
      <c r="Z40" s="122">
        <v>0.57135098453933164</v>
      </c>
      <c r="AA40" s="123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1">
        <v>62.5</v>
      </c>
      <c r="AH40" s="122">
        <v>2.7730844859012644</v>
      </c>
      <c r="AI40" s="123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18">
        <v>42</v>
      </c>
      <c r="B41" s="119">
        <v>14.749821295462505</v>
      </c>
      <c r="C41" s="120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18">
        <v>42</v>
      </c>
      <c r="J41" s="119">
        <v>14.903</v>
      </c>
      <c r="K41" s="120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18">
        <v>32</v>
      </c>
      <c r="R41" s="119">
        <v>7.7190000000000003</v>
      </c>
      <c r="S41" s="120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1">
        <v>67</v>
      </c>
      <c r="Z41" s="122">
        <v>0.58132309042390307</v>
      </c>
      <c r="AA41" s="123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1">
        <v>62</v>
      </c>
      <c r="AH41" s="122">
        <v>2.8161782463990161</v>
      </c>
      <c r="AI41" s="123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18">
        <v>41.5</v>
      </c>
      <c r="B42" s="119">
        <v>15.046405086402913</v>
      </c>
      <c r="C42" s="120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18">
        <v>41.5</v>
      </c>
      <c r="J42" s="119">
        <v>15.2</v>
      </c>
      <c r="K42" s="120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18">
        <v>31.5</v>
      </c>
      <c r="R42" s="119">
        <v>7.86</v>
      </c>
      <c r="S42" s="120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1">
        <v>66.5</v>
      </c>
      <c r="Z42" s="122">
        <v>0.59149749456481371</v>
      </c>
      <c r="AA42" s="123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1">
        <v>61.5</v>
      </c>
      <c r="AH42" s="122">
        <v>2.8600603326955416</v>
      </c>
      <c r="AI42" s="123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18">
        <v>41</v>
      </c>
      <c r="B43" s="119">
        <v>15.34981732607738</v>
      </c>
      <c r="C43" s="120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18">
        <v>41</v>
      </c>
      <c r="J43" s="119">
        <v>15.503</v>
      </c>
      <c r="K43" s="120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18">
        <v>31</v>
      </c>
      <c r="R43" s="119">
        <v>8.0050000000000008</v>
      </c>
      <c r="S43" s="120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1">
        <v>66</v>
      </c>
      <c r="Z43" s="122">
        <v>0.60187882038523421</v>
      </c>
      <c r="AA43" s="123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1">
        <v>61</v>
      </c>
      <c r="AH43" s="122">
        <v>2.9047471345939386</v>
      </c>
      <c r="AI43" s="123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18">
        <v>40.5</v>
      </c>
      <c r="B44" s="119">
        <v>15.660234206642031</v>
      </c>
      <c r="C44" s="120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18">
        <v>40.5</v>
      </c>
      <c r="J44" s="119">
        <v>15.813000000000001</v>
      </c>
      <c r="K44" s="120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4">
        <v>30.5</v>
      </c>
      <c r="R44" s="125">
        <v>8.1519999999999992</v>
      </c>
      <c r="S44" s="126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1">
        <v>65.5</v>
      </c>
      <c r="Z44" s="122">
        <v>0.61247180785277322</v>
      </c>
      <c r="AA44" s="123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1">
        <v>60.5</v>
      </c>
      <c r="AH44" s="122">
        <v>2.9502554209172978</v>
      </c>
      <c r="AI44" s="123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18">
        <v>40</v>
      </c>
      <c r="B45" s="119">
        <v>15.977836906877176</v>
      </c>
      <c r="C45" s="120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18">
        <v>40</v>
      </c>
      <c r="J45" s="119">
        <v>16.13</v>
      </c>
      <c r="K45" s="120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2">
        <v>30</v>
      </c>
      <c r="R45" s="113">
        <v>8.3030000000000008</v>
      </c>
      <c r="S45" s="114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1">
        <v>65</v>
      </c>
      <c r="Z45" s="122">
        <v>0.62328131666858311</v>
      </c>
      <c r="AA45" s="123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1">
        <v>60</v>
      </c>
      <c r="AH45" s="122">
        <v>2.9966023491143678</v>
      </c>
      <c r="AI45" s="123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18">
        <v>39.5</v>
      </c>
      <c r="B46" s="119">
        <v>16.302811744279129</v>
      </c>
      <c r="C46" s="120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18">
        <v>39.5</v>
      </c>
      <c r="J46" s="119">
        <v>16.454000000000001</v>
      </c>
      <c r="K46" s="120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18">
        <v>29.5</v>
      </c>
      <c r="R46" s="119">
        <v>8.4570000000000007</v>
      </c>
      <c r="S46" s="120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1">
        <v>64.5</v>
      </c>
      <c r="Z46" s="122">
        <v>0.63431232955000794</v>
      </c>
      <c r="AA46" s="123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1">
        <v>59.5</v>
      </c>
      <c r="AH46" s="122">
        <v>3.0438054751294197</v>
      </c>
      <c r="AI46" s="123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18">
        <v>39</v>
      </c>
      <c r="B47" s="119">
        <v>16.635350332083178</v>
      </c>
      <c r="C47" s="120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18">
        <v>39</v>
      </c>
      <c r="J47" s="119">
        <v>16.786000000000001</v>
      </c>
      <c r="K47" s="120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18">
        <v>29</v>
      </c>
      <c r="R47" s="119">
        <v>8.6140000000000008</v>
      </c>
      <c r="S47" s="120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1">
        <v>64</v>
      </c>
      <c r="Z47" s="122">
        <v>0.64556995560963581</v>
      </c>
      <c r="AA47" s="123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1">
        <v>59</v>
      </c>
      <c r="AH47" s="122">
        <v>3.0918827635433628</v>
      </c>
      <c r="AI47" s="123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18">
        <v>38.5</v>
      </c>
      <c r="B48" s="119">
        <v>16.975649741385325</v>
      </c>
      <c r="C48" s="120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18">
        <v>38.5</v>
      </c>
      <c r="J48" s="119">
        <v>17.125</v>
      </c>
      <c r="K48" s="120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18">
        <v>28.5</v>
      </c>
      <c r="R48" s="119">
        <v>8.7750000000000004</v>
      </c>
      <c r="S48" s="120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1">
        <v>63.5</v>
      </c>
      <c r="Z48" s="122">
        <v>0.65705943383378795</v>
      </c>
      <c r="AA48" s="123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1">
        <v>58.5</v>
      </c>
      <c r="AH48" s="122">
        <v>3.1408525979949733</v>
      </c>
      <c r="AI48" s="123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18">
        <v>38</v>
      </c>
      <c r="B49" s="119">
        <v>17.323912668537233</v>
      </c>
      <c r="C49" s="120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18">
        <v>38</v>
      </c>
      <c r="J49" s="119">
        <v>17.472000000000001</v>
      </c>
      <c r="K49" s="120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18">
        <v>28</v>
      </c>
      <c r="R49" s="119">
        <v>8.9390000000000001</v>
      </c>
      <c r="S49" s="120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1">
        <v>63</v>
      </c>
      <c r="Z49" s="122">
        <v>0.66878613666353703</v>
      </c>
      <c r="AA49" s="123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1">
        <v>58</v>
      </c>
      <c r="AH49" s="122">
        <v>3.1907337918899499</v>
      </c>
      <c r="AI49" s="123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18">
        <v>37.5</v>
      </c>
      <c r="B50" s="119">
        <v>17.680347607993887</v>
      </c>
      <c r="C50" s="120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18">
        <v>37.5</v>
      </c>
      <c r="J50" s="119">
        <v>17.827000000000002</v>
      </c>
      <c r="K50" s="120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18">
        <v>27.5</v>
      </c>
      <c r="R50" s="119">
        <v>9.1069999999999993</v>
      </c>
      <c r="S50" s="120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1">
        <v>62.5</v>
      </c>
      <c r="Z50" s="122">
        <v>0.68075557368145334</v>
      </c>
      <c r="AA50" s="123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1">
        <v>57.5</v>
      </c>
      <c r="AH50" s="122">
        <v>3.241545599406535</v>
      </c>
      <c r="AI50" s="123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18">
        <v>37</v>
      </c>
      <c r="B51" s="119">
        <v>18.045169030801258</v>
      </c>
      <c r="C51" s="120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18">
        <v>37</v>
      </c>
      <c r="J51" s="119">
        <v>18.190000000000001</v>
      </c>
      <c r="K51" s="120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18">
        <v>27</v>
      </c>
      <c r="R51" s="119">
        <v>9.2780000000000005</v>
      </c>
      <c r="S51" s="120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1">
        <v>62</v>
      </c>
      <c r="Z51" s="122">
        <v>0.69297339540738667</v>
      </c>
      <c r="AA51" s="123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1">
        <v>57</v>
      </c>
      <c r="AH51" s="122">
        <v>3.2933077268066335</v>
      </c>
      <c r="AI51" s="123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18">
        <v>36.5</v>
      </c>
      <c r="B52" s="119">
        <v>18.41859756891624</v>
      </c>
      <c r="C52" s="120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18">
        <v>36.5</v>
      </c>
      <c r="J52" s="119">
        <v>18.561</v>
      </c>
      <c r="K52" s="120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18">
        <v>26.5</v>
      </c>
      <c r="R52" s="119">
        <v>9.4529999999999994</v>
      </c>
      <c r="S52" s="120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1">
        <v>61.5</v>
      </c>
      <c r="Z52" s="122">
        <v>0.70544539720668098</v>
      </c>
      <c r="AA52" s="123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1">
        <v>56.5</v>
      </c>
      <c r="AH52" s="122">
        <v>3.3460403440612989</v>
      </c>
      <c r="AI52" s="123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18">
        <v>36</v>
      </c>
      <c r="B53" s="119">
        <v>18.800860205559601</v>
      </c>
      <c r="C53" s="120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18">
        <v>36</v>
      </c>
      <c r="J53" s="119">
        <v>18.940999999999999</v>
      </c>
      <c r="K53" s="120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18">
        <v>26</v>
      </c>
      <c r="R53" s="119">
        <v>9.6319999999999997</v>
      </c>
      <c r="S53" s="120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1">
        <v>61</v>
      </c>
      <c r="Z53" s="122">
        <v>0.71817752331438789</v>
      </c>
      <c r="AA53" s="123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1">
        <v>56</v>
      </c>
      <c r="AH53" s="122">
        <v>3.3997640968001992</v>
      </c>
      <c r="AI53" s="123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18">
        <v>35.5</v>
      </c>
      <c r="B54" s="119">
        <v>19.192190471808594</v>
      </c>
      <c r="C54" s="120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18">
        <v>35.5</v>
      </c>
      <c r="J54" s="119">
        <v>19.329999999999998</v>
      </c>
      <c r="K54" s="120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18">
        <v>25.5</v>
      </c>
      <c r="R54" s="119">
        <v>9.8149999999999995</v>
      </c>
      <c r="S54" s="120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1">
        <v>60.5</v>
      </c>
      <c r="Z54" s="122">
        <v>0.7311758709790519</v>
      </c>
      <c r="AA54" s="123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1">
        <v>55.5</v>
      </c>
      <c r="AH54" s="122">
        <v>3.4545001185947721</v>
      </c>
      <c r="AI54" s="123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18">
        <v>35</v>
      </c>
      <c r="B55" s="119">
        <v>19.592828649644026</v>
      </c>
      <c r="C55" s="120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18">
        <v>35</v>
      </c>
      <c r="J55" s="119">
        <v>19.728000000000002</v>
      </c>
      <c r="K55" s="120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18">
        <v>25</v>
      </c>
      <c r="R55" s="119">
        <v>10</v>
      </c>
      <c r="S55" s="120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1">
        <v>60</v>
      </c>
      <c r="Z55" s="122">
        <v>0.74444669472990876</v>
      </c>
      <c r="AA55" s="123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1">
        <v>55</v>
      </c>
      <c r="AH55" s="122">
        <v>3.5102700435846632</v>
      </c>
      <c r="AI55" s="123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18">
        <v>34.5</v>
      </c>
      <c r="B56" s="119">
        <v>20.003021981673712</v>
      </c>
      <c r="C56" s="120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18">
        <v>34.5</v>
      </c>
      <c r="J56" s="119">
        <v>20.135000000000002</v>
      </c>
      <c r="K56" s="120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18">
        <v>24.5</v>
      </c>
      <c r="R56" s="119">
        <v>10.19</v>
      </c>
      <c r="S56" s="120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1">
        <v>59.5</v>
      </c>
      <c r="Z56" s="122">
        <v>0.75799641077130453</v>
      </c>
      <c r="AA56" s="123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1">
        <v>54.5</v>
      </c>
      <c r="AH56" s="122">
        <v>3.5670960194584782</v>
      </c>
      <c r="AI56" s="123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18">
        <v>34</v>
      </c>
      <c r="B57" s="119">
        <v>20.423024887762569</v>
      </c>
      <c r="C57" s="120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18">
        <v>34</v>
      </c>
      <c r="J57" s="119">
        <v>20.552</v>
      </c>
      <c r="K57" s="120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18">
        <v>24</v>
      </c>
      <c r="R57" s="119">
        <v>10.39</v>
      </c>
      <c r="S57" s="120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1">
        <v>59</v>
      </c>
      <c r="Z57" s="122">
        <v>0.77183160150840635</v>
      </c>
      <c r="AA57" s="123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1">
        <v>54</v>
      </c>
      <c r="AH57" s="122">
        <v>3.6250007207987767</v>
      </c>
      <c r="AI57" s="123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18">
        <v>33.5</v>
      </c>
      <c r="B58" s="119">
        <v>20.85309918880764</v>
      </c>
      <c r="C58" s="120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18">
        <v>33.5</v>
      </c>
      <c r="J58" s="119">
        <v>20.978999999999999</v>
      </c>
      <c r="K58" s="120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18">
        <v>23.5</v>
      </c>
      <c r="R58" s="119">
        <v>10.59</v>
      </c>
      <c r="S58" s="120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1">
        <v>58.5</v>
      </c>
      <c r="Z58" s="122">
        <v>0.78595902020832908</v>
      </c>
      <c r="AA58" s="123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1">
        <v>53.5</v>
      </c>
      <c r="AH58" s="122">
        <v>3.6840073628029266</v>
      </c>
      <c r="AI58" s="123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18">
        <v>33</v>
      </c>
      <c r="B59" s="119">
        <v>21.293514337904604</v>
      </c>
      <c r="C59" s="120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18">
        <v>33</v>
      </c>
      <c r="J59" s="119">
        <v>21.414999999999999</v>
      </c>
      <c r="K59" s="120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18">
        <v>23</v>
      </c>
      <c r="R59" s="119">
        <v>10.79</v>
      </c>
      <c r="S59" s="120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1">
        <v>58</v>
      </c>
      <c r="Z59" s="122">
        <v>0.80038559580092428</v>
      </c>
      <c r="AA59" s="123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1">
        <v>53</v>
      </c>
      <c r="AH59" s="122">
        <v>3.7441397153906268</v>
      </c>
      <c r="AI59" s="123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18">
        <v>32.5</v>
      </c>
      <c r="B60" s="119">
        <v>21.7445476591618</v>
      </c>
      <c r="C60" s="120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18">
        <v>32.5</v>
      </c>
      <c r="J60" s="119">
        <v>21.861999999999998</v>
      </c>
      <c r="K60" s="120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18">
        <v>22.5</v>
      </c>
      <c r="R60" s="119">
        <v>11</v>
      </c>
      <c r="S60" s="120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1">
        <v>57.5</v>
      </c>
      <c r="Z60" s="122">
        <v>0.81511843782370907</v>
      </c>
      <c r="AA60" s="123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1">
        <v>52.5</v>
      </c>
      <c r="AH60" s="122">
        <v>3.8054221177102594</v>
      </c>
      <c r="AI60" s="123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18">
        <v>32</v>
      </c>
      <c r="B61" s="119">
        <v>22.20648459442641</v>
      </c>
      <c r="C61" s="120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18">
        <v>32</v>
      </c>
      <c r="J61" s="119">
        <v>22.318999999999999</v>
      </c>
      <c r="K61" s="120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18">
        <v>22</v>
      </c>
      <c r="R61" s="119">
        <v>11.21</v>
      </c>
      <c r="S61" s="120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1">
        <v>57</v>
      </c>
      <c r="Z61" s="122">
        <v>0.83016484151547609</v>
      </c>
      <c r="AA61" s="123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1">
        <v>52</v>
      </c>
      <c r="AH61" s="122">
        <v>3.8678794930558618</v>
      </c>
      <c r="AI61" s="123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18">
        <v>31.5</v>
      </c>
      <c r="B62" s="119">
        <v>22.679618958197103</v>
      </c>
      <c r="C62" s="120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18">
        <v>31.5</v>
      </c>
      <c r="J62" s="119">
        <v>22.786999999999999</v>
      </c>
      <c r="K62" s="120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18">
        <v>21.5</v>
      </c>
      <c r="R62" s="119">
        <v>11.43</v>
      </c>
      <c r="S62" s="120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1">
        <v>56.5</v>
      </c>
      <c r="Z62" s="122">
        <v>0.84553229306330135</v>
      </c>
      <c r="AA62" s="123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1">
        <v>51.5</v>
      </c>
      <c r="AH62" s="122">
        <v>3.9315373642075593</v>
      </c>
      <c r="AI62" s="123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18">
        <v>31</v>
      </c>
      <c r="B63" s="119">
        <v>23.164253201007043</v>
      </c>
      <c r="C63" s="120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18">
        <v>31</v>
      </c>
      <c r="J63" s="119">
        <v>23.266999999999999</v>
      </c>
      <c r="K63" s="120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18">
        <v>21</v>
      </c>
      <c r="R63" s="119">
        <v>11.65</v>
      </c>
      <c r="S63" s="120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1">
        <v>56</v>
      </c>
      <c r="Z63" s="122">
        <v>0.86122847500781741</v>
      </c>
      <c r="AA63" s="123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1">
        <v>51</v>
      </c>
      <c r="AH63" s="122">
        <v>3.9964218692076612</v>
      </c>
      <c r="AI63" s="123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4">
        <v>30.5</v>
      </c>
      <c r="B64" s="125">
        <v>23.660698681572121</v>
      </c>
      <c r="C64" s="126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4">
        <v>30.5</v>
      </c>
      <c r="J64" s="125">
        <v>23.757000000000001</v>
      </c>
      <c r="K64" s="126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18">
        <v>20.5</v>
      </c>
      <c r="R64" s="119">
        <v>11.88</v>
      </c>
      <c r="S64" s="120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1">
        <v>55.5</v>
      </c>
      <c r="Z64" s="122">
        <v>0.8772612718118411</v>
      </c>
      <c r="AA64" s="123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1">
        <v>50.5</v>
      </c>
      <c r="AH64" s="122">
        <v>4.0625597775867881</v>
      </c>
      <c r="AI64" s="123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2">
        <v>30</v>
      </c>
      <c r="B65" s="113">
        <v>24.169275948008831</v>
      </c>
      <c r="C65" s="114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2">
        <v>30</v>
      </c>
      <c r="J65" s="113">
        <v>24.26</v>
      </c>
      <c r="K65" s="114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18">
        <v>20</v>
      </c>
      <c r="R65" s="119">
        <v>12.11</v>
      </c>
      <c r="S65" s="120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1">
        <v>55</v>
      </c>
      <c r="Z65" s="122">
        <v>0.89363877559746929</v>
      </c>
      <c r="AA65" s="123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1">
        <v>50</v>
      </c>
      <c r="AH65" s="122">
        <v>4.1299785070527353</v>
      </c>
      <c r="AI65" s="123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18">
        <v>29.5</v>
      </c>
      <c r="B66" s="119">
        <v>24.690315028437993</v>
      </c>
      <c r="C66" s="120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18">
        <v>29.5</v>
      </c>
      <c r="J66" s="119">
        <v>24.774000000000001</v>
      </c>
      <c r="K66" s="120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18">
        <v>19.5</v>
      </c>
      <c r="R66" s="119">
        <v>12.35</v>
      </c>
      <c r="S66" s="120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1">
        <v>54.5</v>
      </c>
      <c r="Z66" s="122">
        <v>0.91036929205713346</v>
      </c>
      <c r="AA66" s="123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1">
        <v>49.5</v>
      </c>
      <c r="AH66" s="122">
        <v>4.1987061406568316</v>
      </c>
      <c r="AI66" s="123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18">
        <v>29</v>
      </c>
      <c r="B67" s="119">
        <v>25.224155731301323</v>
      </c>
      <c r="C67" s="120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18">
        <v>29</v>
      </c>
      <c r="J67" s="119">
        <v>25.300999999999998</v>
      </c>
      <c r="K67" s="120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18">
        <v>19</v>
      </c>
      <c r="R67" s="119">
        <v>12.59</v>
      </c>
      <c r="S67" s="120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1">
        <v>54</v>
      </c>
      <c r="Z67" s="122">
        <v>0.92746134654404477</v>
      </c>
      <c r="AA67" s="123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1">
        <v>49</v>
      </c>
      <c r="AH67" s="122">
        <v>4.2687714444524785</v>
      </c>
      <c r="AI67" s="123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18">
        <v>28.5</v>
      </c>
      <c r="B68" s="119">
        <v>25.771147955729983</v>
      </c>
      <c r="C68" s="120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18">
        <v>28.5</v>
      </c>
      <c r="J68" s="119">
        <v>25.84</v>
      </c>
      <c r="K68" s="120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18">
        <v>18.5</v>
      </c>
      <c r="R68" s="119">
        <v>12.84</v>
      </c>
      <c r="S68" s="120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1">
        <v>53.5</v>
      </c>
      <c r="Z68" s="122">
        <v>0.94492369034789458</v>
      </c>
      <c r="AA68" s="123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1">
        <v>48.5</v>
      </c>
      <c r="AH68" s="122">
        <v>4.3402038856606833</v>
      </c>
      <c r="AI68" s="123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18">
        <v>28</v>
      </c>
      <c r="B69" s="119">
        <v>26.331652012316315</v>
      </c>
      <c r="C69" s="120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18">
        <v>28</v>
      </c>
      <c r="J69" s="119">
        <v>26.393000000000001</v>
      </c>
      <c r="K69" s="120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18">
        <v>18</v>
      </c>
      <c r="R69" s="119">
        <v>13.1</v>
      </c>
      <c r="S69" s="120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1">
        <v>53</v>
      </c>
      <c r="Z69" s="122">
        <v>0.96276530716164088</v>
      </c>
      <c r="AA69" s="123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1">
        <v>48</v>
      </c>
      <c r="AH69" s="122">
        <v>4.4130336513584458</v>
      </c>
      <c r="AI69" s="123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18">
        <v>27.5</v>
      </c>
      <c r="B70" s="119">
        <v>26.906038954652725</v>
      </c>
      <c r="C70" s="120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18">
        <v>27.5</v>
      </c>
      <c r="J70" s="119">
        <v>26.957999999999998</v>
      </c>
      <c r="K70" s="120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18">
        <v>17.5</v>
      </c>
      <c r="R70" s="119">
        <v>13.36</v>
      </c>
      <c r="S70" s="120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1">
        <v>52.5</v>
      </c>
      <c r="Z70" s="122">
        <v>0.9809954197455838</v>
      </c>
      <c r="AA70" s="123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1">
        <v>47.5</v>
      </c>
      <c r="AH70" s="122">
        <v>4.4872916677061374</v>
      </c>
      <c r="AI70" s="123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18">
        <v>27</v>
      </c>
      <c r="B71" s="119">
        <v>27.49469092201468</v>
      </c>
      <c r="C71" s="120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18">
        <v>27</v>
      </c>
      <c r="J71" s="119">
        <v>27.538</v>
      </c>
      <c r="K71" s="120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18">
        <v>17</v>
      </c>
      <c r="R71" s="119">
        <v>13.62</v>
      </c>
      <c r="S71" s="120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1">
        <v>52</v>
      </c>
      <c r="Z71" s="122">
        <v>0.9996234967950246</v>
      </c>
      <c r="AA71" s="123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1">
        <v>47</v>
      </c>
      <c r="AH71" s="122">
        <v>4.5630096197306571</v>
      </c>
      <c r="AI71" s="123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18">
        <v>26.5</v>
      </c>
      <c r="B72" s="119">
        <v>28.098001493578334</v>
      </c>
      <c r="C72" s="120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18">
        <v>26.5</v>
      </c>
      <c r="J72" s="119">
        <v>28.131</v>
      </c>
      <c r="K72" s="120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18">
        <v>16.5</v>
      </c>
      <c r="R72" s="119">
        <v>13.9</v>
      </c>
      <c r="S72" s="120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1">
        <v>51.5</v>
      </c>
      <c r="Z72" s="122">
        <v>1.0186592600180535</v>
      </c>
      <c r="AA72" s="123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1">
        <v>46.5</v>
      </c>
      <c r="AH72" s="122">
        <v>4.6402199716810317</v>
      </c>
      <c r="AI72" s="123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18">
        <v>26</v>
      </c>
      <c r="B73" s="119">
        <v>28.716376054577818</v>
      </c>
      <c r="C73" s="120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18">
        <v>26</v>
      </c>
      <c r="J73" s="119">
        <v>28.739000000000001</v>
      </c>
      <c r="K73" s="120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18">
        <v>16</v>
      </c>
      <c r="R73" s="119">
        <v>14.17</v>
      </c>
      <c r="S73" s="120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1">
        <v>51</v>
      </c>
      <c r="Z73" s="122">
        <v>1.0381126914302996</v>
      </c>
      <c r="AA73" s="123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1">
        <v>46</v>
      </c>
      <c r="AH73" s="122">
        <v>4.7189559879752458</v>
      </c>
      <c r="AI73" s="123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18">
        <v>25.5</v>
      </c>
      <c r="B74" s="119">
        <v>29.350232174821247</v>
      </c>
      <c r="C74" s="120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18">
        <v>25.5</v>
      </c>
      <c r="J74" s="119">
        <v>29.361999999999998</v>
      </c>
      <c r="K74" s="120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18">
        <v>15.5</v>
      </c>
      <c r="R74" s="119">
        <v>14.46</v>
      </c>
      <c r="S74" s="120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27">
        <v>50.5</v>
      </c>
      <c r="Z74" s="128">
        <v>1.0579940408734809</v>
      </c>
      <c r="AA74" s="129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27">
        <v>45.5</v>
      </c>
      <c r="AH74" s="128">
        <v>4.7992517547556401</v>
      </c>
      <c r="AI74" s="129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0">
        <v>25</v>
      </c>
      <c r="B75" s="131">
        <v>30</v>
      </c>
      <c r="C75" s="132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0">
        <v>25</v>
      </c>
      <c r="J75" s="131">
        <v>30</v>
      </c>
      <c r="K75" s="132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18">
        <v>15</v>
      </c>
      <c r="R75" s="119">
        <v>14.75</v>
      </c>
      <c r="S75" s="120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5">
        <v>50</v>
      </c>
      <c r="Z75" s="116">
        <v>1.0783138337651927</v>
      </c>
      <c r="AA75" s="117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5">
        <v>45</v>
      </c>
      <c r="AH75" s="116">
        <v>4.8811422020726862</v>
      </c>
      <c r="AI75" s="117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18">
        <v>24.5</v>
      </c>
      <c r="B76" s="119">
        <v>30.666122656241935</v>
      </c>
      <c r="C76" s="120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18">
        <v>24.5</v>
      </c>
      <c r="J76" s="119">
        <v>30.654</v>
      </c>
      <c r="K76" s="120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18">
        <v>14.5</v>
      </c>
      <c r="R76" s="119">
        <v>15.05</v>
      </c>
      <c r="S76" s="120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1">
        <v>49.5</v>
      </c>
      <c r="Z76" s="122">
        <v>1.0990828790872234</v>
      </c>
      <c r="AA76" s="123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1">
        <v>44.5</v>
      </c>
      <c r="AH76" s="122">
        <v>4.9646631267163741</v>
      </c>
      <c r="AI76" s="123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18">
        <v>24</v>
      </c>
      <c r="B77" s="119">
        <v>31.349056668374551</v>
      </c>
      <c r="C77" s="120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18">
        <v>24</v>
      </c>
      <c r="J77" s="119">
        <v>31.323</v>
      </c>
      <c r="K77" s="120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18">
        <v>14</v>
      </c>
      <c r="R77" s="119">
        <v>15.35</v>
      </c>
      <c r="S77" s="120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1">
        <v>49</v>
      </c>
      <c r="Z77" s="122">
        <v>1.1203122776201806</v>
      </c>
      <c r="AA77" s="123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1">
        <v>44</v>
      </c>
      <c r="AH77" s="122">
        <v>5.0498512157154156</v>
      </c>
      <c r="AI77" s="123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18">
        <v>23.5</v>
      </c>
      <c r="B78" s="119">
        <v>32.049272392381852</v>
      </c>
      <c r="C78" s="120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18">
        <v>23.5</v>
      </c>
      <c r="J78" s="119">
        <v>32.01</v>
      </c>
      <c r="K78" s="120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18">
        <v>13.5</v>
      </c>
      <c r="R78" s="119">
        <v>15.67</v>
      </c>
      <c r="S78" s="120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1">
        <v>48.5</v>
      </c>
      <c r="Z78" s="122">
        <v>1.1420134304324565</v>
      </c>
      <c r="AA78" s="123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1">
        <v>43.5</v>
      </c>
      <c r="AH78" s="122">
        <v>5.1367440705257206</v>
      </c>
      <c r="AI78" s="123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18">
        <v>23</v>
      </c>
      <c r="B79" s="119">
        <v>32.767254462555719</v>
      </c>
      <c r="C79" s="120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18">
        <v>23</v>
      </c>
      <c r="J79" s="119">
        <v>32.713000000000001</v>
      </c>
      <c r="K79" s="120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18">
        <v>13</v>
      </c>
      <c r="R79" s="119">
        <v>15.99</v>
      </c>
      <c r="S79" s="120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1">
        <v>48</v>
      </c>
      <c r="Z79" s="122">
        <v>1.1641980476316767</v>
      </c>
      <c r="AA79" s="123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1">
        <v>43</v>
      </c>
      <c r="AH79" s="122">
        <v>5.2253802319290701</v>
      </c>
      <c r="AI79" s="123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18">
        <v>22.5</v>
      </c>
      <c r="B80" s="119">
        <v>33.503502253861235</v>
      </c>
      <c r="C80" s="120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18">
        <v>22.5</v>
      </c>
      <c r="J80" s="119">
        <v>33.433</v>
      </c>
      <c r="K80" s="120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18">
        <v>12.5</v>
      </c>
      <c r="R80" s="119">
        <v>16.309999999999999</v>
      </c>
      <c r="S80" s="120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1">
        <v>47.5</v>
      </c>
      <c r="Z80" s="122">
        <v>1.1868781573872624</v>
      </c>
      <c r="AA80" s="123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1">
        <v>42.5</v>
      </c>
      <c r="AH80" s="122">
        <v>5.3157992056652343</v>
      </c>
      <c r="AI80" s="123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18">
        <v>22</v>
      </c>
      <c r="B81" s="119">
        <v>34.258530360053257</v>
      </c>
      <c r="C81" s="120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18">
        <v>22</v>
      </c>
      <c r="J81" s="119">
        <v>34.171999999999997</v>
      </c>
      <c r="K81" s="120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18">
        <v>12</v>
      </c>
      <c r="R81" s="119">
        <v>16.649999999999999</v>
      </c>
      <c r="S81" s="120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1">
        <v>47</v>
      </c>
      <c r="Z81" s="122">
        <v>1.2100661152327983</v>
      </c>
      <c r="AA81" s="123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1">
        <v>42</v>
      </c>
      <c r="AH81" s="122">
        <v>5.4080414888198955</v>
      </c>
      <c r="AI81" s="123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18">
        <v>21.5</v>
      </c>
      <c r="B82" s="119">
        <v>35.032869088102622</v>
      </c>
      <c r="C82" s="120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18">
        <v>21.5</v>
      </c>
      <c r="J82" s="119">
        <v>34.929000000000002</v>
      </c>
      <c r="K82" s="120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18">
        <v>11.5</v>
      </c>
      <c r="R82" s="119">
        <v>16.989999999999998</v>
      </c>
      <c r="S82" s="120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1">
        <v>46.5</v>
      </c>
      <c r="Z82" s="122">
        <v>1.2337746136574301</v>
      </c>
      <c r="AA82" s="123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1">
        <v>41.5</v>
      </c>
      <c r="AH82" s="122">
        <v>5.502148596992674</v>
      </c>
      <c r="AI82" s="123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18">
        <v>21</v>
      </c>
      <c r="B83" s="119">
        <v>35.827064969508854</v>
      </c>
      <c r="C83" s="120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18">
        <v>21</v>
      </c>
      <c r="J83" s="119">
        <v>35.704000000000001</v>
      </c>
      <c r="K83" s="120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18">
        <v>11</v>
      </c>
      <c r="R83" s="119">
        <v>17.34</v>
      </c>
      <c r="S83" s="120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1">
        <v>46</v>
      </c>
      <c r="Z83" s="122">
        <v>1.2580166919956302</v>
      </c>
      <c r="AA83" s="123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1">
        <v>41</v>
      </c>
      <c r="AH83" s="122">
        <v>5.5981630922701351</v>
      </c>
      <c r="AI83" s="123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18">
        <v>20.5</v>
      </c>
      <c r="B84" s="119">
        <v>36.641681289098393</v>
      </c>
      <c r="C84" s="120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18">
        <v>20.5</v>
      </c>
      <c r="J84" s="119">
        <v>36.5</v>
      </c>
      <c r="K84" s="120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4">
        <v>10.5</v>
      </c>
      <c r="R84" s="125">
        <v>17.7</v>
      </c>
      <c r="S84" s="126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1">
        <v>45.5</v>
      </c>
      <c r="Z84" s="122">
        <v>1.2828057466250939</v>
      </c>
      <c r="AA84" s="123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1">
        <v>40.5</v>
      </c>
      <c r="AH84" s="122">
        <v>5.6961286120289598</v>
      </c>
      <c r="AI84" s="123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18">
        <v>20</v>
      </c>
      <c r="B85" s="119">
        <v>37.477298631929038</v>
      </c>
      <c r="C85" s="120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18">
        <v>20</v>
      </c>
      <c r="J85" s="119">
        <v>37.314999999999998</v>
      </c>
      <c r="K85" s="120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2">
        <v>10</v>
      </c>
      <c r="R85" s="113">
        <v>18.07</v>
      </c>
      <c r="S85" s="114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1">
        <v>45</v>
      </c>
      <c r="Z85" s="122">
        <v>1.3081555414827568</v>
      </c>
      <c r="AA85" s="123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1">
        <v>40</v>
      </c>
      <c r="AH85" s="122">
        <v>5.7960898985960059</v>
      </c>
      <c r="AI85" s="123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18">
        <v>19.5</v>
      </c>
      <c r="B86" s="119">
        <v>38.334515448942859</v>
      </c>
      <c r="C86" s="120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18">
        <v>19.5</v>
      </c>
      <c r="J86" s="119">
        <v>38.15</v>
      </c>
      <c r="K86" s="120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18">
        <v>9.5</v>
      </c>
      <c r="R86" s="119">
        <v>18.45</v>
      </c>
      <c r="S86" s="120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1">
        <v>44.5</v>
      </c>
      <c r="Z86" s="122">
        <v>1.3340802189094694</v>
      </c>
      <c r="AA86" s="123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1">
        <v>39.5</v>
      </c>
      <c r="AH86" s="122">
        <v>5.898092829792283</v>
      </c>
      <c r="AI86" s="123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18">
        <v>19</v>
      </c>
      <c r="B87" s="119">
        <v>39.213948642034843</v>
      </c>
      <c r="C87" s="120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18">
        <v>19</v>
      </c>
      <c r="J87" s="119">
        <v>39.006999999999998</v>
      </c>
      <c r="K87" s="120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18">
        <v>9</v>
      </c>
      <c r="R87" s="119">
        <v>18.829999999999998</v>
      </c>
      <c r="S87" s="120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1">
        <v>44</v>
      </c>
      <c r="Z87" s="122">
        <v>1.3605943108339218</v>
      </c>
      <c r="AA87" s="123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1">
        <v>39</v>
      </c>
      <c r="AH87" s="122">
        <v>6.0021844503896906</v>
      </c>
      <c r="AI87" s="123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18">
        <v>18.5</v>
      </c>
      <c r="B88" s="119">
        <v>40.116234169226757</v>
      </c>
      <c r="C88" s="120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18">
        <v>18.5</v>
      </c>
      <c r="J88" s="119">
        <v>39.886000000000003</v>
      </c>
      <c r="K88" s="120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18">
        <v>8.5</v>
      </c>
      <c r="R88" s="119">
        <v>19.23</v>
      </c>
      <c r="S88" s="120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1">
        <v>43.5</v>
      </c>
      <c r="Z88" s="122">
        <v>1.3877127503070403</v>
      </c>
      <c r="AA88" s="123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1">
        <v>38.5</v>
      </c>
      <c r="AH88" s="122">
        <v>6.1084130045087219</v>
      </c>
      <c r="AI88" s="123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18">
        <v>18</v>
      </c>
      <c r="B89" s="119">
        <v>41.042027670662968</v>
      </c>
      <c r="C89" s="120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18">
        <v>18</v>
      </c>
      <c r="J89" s="119">
        <v>40.786000000000001</v>
      </c>
      <c r="K89" s="120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18">
        <v>8</v>
      </c>
      <c r="R89" s="119">
        <v>19.63</v>
      </c>
      <c r="S89" s="120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1">
        <v>43</v>
      </c>
      <c r="Z89" s="122">
        <v>1.4154508833982622</v>
      </c>
      <c r="AA89" s="123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1">
        <v>38</v>
      </c>
      <c r="AH89" s="122">
        <v>6.2168279689885768</v>
      </c>
      <c r="AI89" s="123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18">
        <v>17.5</v>
      </c>
      <c r="B90" s="119">
        <v>41.992005116168883</v>
      </c>
      <c r="C90" s="120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18">
        <v>17.5</v>
      </c>
      <c r="J90" s="119">
        <v>41.71</v>
      </c>
      <c r="K90" s="120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18">
        <v>7.5</v>
      </c>
      <c r="R90" s="119">
        <v>20.04</v>
      </c>
      <c r="S90" s="120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1">
        <v>42.5</v>
      </c>
      <c r="Z90" s="122">
        <v>1.4438244814656378</v>
      </c>
      <c r="AA90" s="123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1">
        <v>37.5</v>
      </c>
      <c r="AH90" s="122">
        <v>6.3274800877597537</v>
      </c>
      <c r="AI90" s="123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18">
        <v>17</v>
      </c>
      <c r="B91" s="119">
        <v>42.966863475141572</v>
      </c>
      <c r="C91" s="120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18">
        <v>17</v>
      </c>
      <c r="J91" s="119">
        <v>42.656999999999996</v>
      </c>
      <c r="K91" s="120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18">
        <v>7</v>
      </c>
      <c r="R91" s="119">
        <v>20.47</v>
      </c>
      <c r="S91" s="120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1">
        <v>42</v>
      </c>
      <c r="Z91" s="122">
        <v>1.4728497538119831</v>
      </c>
      <c r="AA91" s="123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1">
        <v>37</v>
      </c>
      <c r="AH91" s="122">
        <v>6.4404214072524137</v>
      </c>
      <c r="AI91" s="123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18">
        <v>16.5</v>
      </c>
      <c r="B92" s="119">
        <v>43.96732140956864</v>
      </c>
      <c r="C92" s="120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18">
        <v>16.5</v>
      </c>
      <c r="J92" s="119">
        <v>43.628</v>
      </c>
      <c r="K92" s="120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18">
        <v>6.5</v>
      </c>
      <c r="R92" s="119">
        <v>20.9</v>
      </c>
      <c r="S92" s="120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1">
        <v>41.5</v>
      </c>
      <c r="Z92" s="122">
        <v>1.50254336073978</v>
      </c>
      <c r="AA92" s="123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1">
        <v>36.5</v>
      </c>
      <c r="AH92" s="122">
        <v>6.5557053128729974</v>
      </c>
      <c r="AI92" s="123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18">
        <v>16</v>
      </c>
      <c r="B93" s="119">
        <v>44.994119991000716</v>
      </c>
      <c r="C93" s="120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18">
        <v>16</v>
      </c>
      <c r="J93" s="119">
        <v>44.624000000000002</v>
      </c>
      <c r="K93" s="120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18">
        <v>6</v>
      </c>
      <c r="R93" s="119">
        <v>21.35</v>
      </c>
      <c r="S93" s="120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1">
        <v>41</v>
      </c>
      <c r="Z93" s="122">
        <v>1.5329224270179331</v>
      </c>
      <c r="AA93" s="123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1">
        <v>36</v>
      </c>
      <c r="AH93" s="122">
        <v>6.6733865665848047</v>
      </c>
      <c r="AI93" s="123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18">
        <v>15.5</v>
      </c>
      <c r="B94" s="119">
        <v>46.048023442334326</v>
      </c>
      <c r="C94" s="120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18">
        <v>15.5</v>
      </c>
      <c r="J94" s="119">
        <v>45.646000000000001</v>
      </c>
      <c r="K94" s="120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18">
        <v>5.5</v>
      </c>
      <c r="R94" s="119">
        <v>21.8</v>
      </c>
      <c r="S94" s="120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1">
        <v>40.5</v>
      </c>
      <c r="Z94" s="122">
        <v>1.5640045557740483</v>
      </c>
      <c r="AA94" s="123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1">
        <v>35.5</v>
      </c>
      <c r="AH94" s="122">
        <v>6.7935213456269823</v>
      </c>
      <c r="AI94" s="123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18">
        <v>15</v>
      </c>
      <c r="B95" s="119">
        <v>47.129819905290482</v>
      </c>
      <c r="C95" s="120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18">
        <v>15</v>
      </c>
      <c r="J95" s="119">
        <v>46.694000000000003</v>
      </c>
      <c r="K95" s="120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18">
        <v>5</v>
      </c>
      <c r="R95" s="119">
        <v>22.27</v>
      </c>
      <c r="S95" s="120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1">
        <v>40</v>
      </c>
      <c r="Z95" s="122">
        <v>1.5958078428260545</v>
      </c>
      <c r="AA95" s="123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1">
        <v>35</v>
      </c>
      <c r="AH95" s="122">
        <v>6.9161672824100382</v>
      </c>
      <c r="AI95" s="123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18">
        <v>14.5</v>
      </c>
      <c r="B96" s="119">
        <v>48.240322234508703</v>
      </c>
      <c r="C96" s="120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18">
        <v>14.5</v>
      </c>
      <c r="J96" s="119">
        <v>47.768999999999998</v>
      </c>
      <c r="K96" s="120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18">
        <v>4.5</v>
      </c>
      <c r="R96" s="119">
        <v>22.75</v>
      </c>
      <c r="S96" s="120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1">
        <v>39.5</v>
      </c>
      <c r="Z96" s="122">
        <v>1.6283508914678788</v>
      </c>
      <c r="AA96" s="123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1">
        <v>34.5</v>
      </c>
      <c r="AH96" s="122">
        <v>7.0413835056254479</v>
      </c>
      <c r="AI96" s="123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18">
        <v>14</v>
      </c>
      <c r="B97" s="119">
        <v>49.380368819209771</v>
      </c>
      <c r="C97" s="120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18">
        <v>14</v>
      </c>
      <c r="J97" s="119">
        <v>48.872</v>
      </c>
      <c r="K97" s="120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18">
        <v>4</v>
      </c>
      <c r="R97" s="119">
        <v>23.24</v>
      </c>
      <c r="S97" s="120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1">
        <v>39</v>
      </c>
      <c r="Z97" s="122">
        <v>1.661652827724021</v>
      </c>
      <c r="AA97" s="123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1">
        <v>34</v>
      </c>
      <c r="AH97" s="122">
        <v>7.1692306826092933</v>
      </c>
      <c r="AI97" s="123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18">
        <v>13.5</v>
      </c>
      <c r="B98" s="119">
        <v>50.55082443341233</v>
      </c>
      <c r="C98" s="120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18">
        <v>13.5</v>
      </c>
      <c r="J98" s="119">
        <v>50.003999999999998</v>
      </c>
      <c r="K98" s="120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18">
        <v>3.5</v>
      </c>
      <c r="R98" s="119">
        <v>23.74</v>
      </c>
      <c r="S98" s="120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1">
        <v>38.5</v>
      </c>
      <c r="Z98" s="122">
        <v>1.6957333160885781</v>
      </c>
      <c r="AA98" s="123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1">
        <v>33.5</v>
      </c>
      <c r="AH98" s="122">
        <v>7.2997710630009642</v>
      </c>
      <c r="AI98" s="123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18">
        <v>13</v>
      </c>
      <c r="B99" s="119">
        <v>51.752581115728198</v>
      </c>
      <c r="C99" s="120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18">
        <v>13</v>
      </c>
      <c r="J99" s="119">
        <v>51.164999999999999</v>
      </c>
      <c r="K99" s="120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18">
        <v>3</v>
      </c>
      <c r="R99" s="119">
        <v>24.25</v>
      </c>
      <c r="S99" s="120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1">
        <v>38</v>
      </c>
      <c r="Z99" s="122">
        <v>1.7306125757647566</v>
      </c>
      <c r="AA99" s="123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1">
        <v>33</v>
      </c>
      <c r="AH99" s="122">
        <v>7.4330685237387613</v>
      </c>
      <c r="AI99" s="123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18">
        <v>12.5</v>
      </c>
      <c r="B100" s="119">
        <v>52.986559079796415</v>
      </c>
      <c r="C100" s="120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18">
        <v>12.5</v>
      </c>
      <c r="J100" s="119">
        <v>52.356000000000002</v>
      </c>
      <c r="K100" s="120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18">
        <v>2.5</v>
      </c>
      <c r="R100" s="119">
        <v>24.78</v>
      </c>
      <c r="S100" s="120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1">
        <v>37.5</v>
      </c>
      <c r="Z100" s="122">
        <v>1.7663113974213838</v>
      </c>
      <c r="AA100" s="123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1">
        <v>32.5</v>
      </c>
      <c r="AH100" s="122">
        <v>7.5691886154369294</v>
      </c>
      <c r="AI100" s="123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18">
        <v>12</v>
      </c>
      <c r="B101" s="119">
        <v>54.25370765645323</v>
      </c>
      <c r="C101" s="120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18">
        <v>12</v>
      </c>
      <c r="J101" s="119">
        <v>53.579000000000001</v>
      </c>
      <c r="K101" s="120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18">
        <v>2</v>
      </c>
      <c r="R101" s="119">
        <v>25.32</v>
      </c>
      <c r="S101" s="120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1">
        <v>37</v>
      </c>
      <c r="Z101" s="122">
        <v>1.8028511604835842</v>
      </c>
      <c r="AA101" s="123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1">
        <v>32</v>
      </c>
      <c r="AH101" s="122">
        <v>7.7081986101895188</v>
      </c>
      <c r="AI101" s="123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18">
        <v>11.5</v>
      </c>
      <c r="B102" s="119">
        <v>55.555006268779188</v>
      </c>
      <c r="C102" s="120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18">
        <v>11.5</v>
      </c>
      <c r="J102" s="119">
        <v>54.832999999999998</v>
      </c>
      <c r="K102" s="120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18">
        <v>1.5</v>
      </c>
      <c r="R102" s="119">
        <v>25.87</v>
      </c>
      <c r="S102" s="120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1">
        <v>36.5</v>
      </c>
      <c r="Z102" s="122">
        <v>1.8402538509753139</v>
      </c>
      <c r="AA102" s="123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1">
        <v>31.5</v>
      </c>
      <c r="AH102" s="122">
        <v>7.8501675508471287</v>
      </c>
      <c r="AI102" s="123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18">
        <v>11</v>
      </c>
      <c r="B103" s="119">
        <v>56.891465441201497</v>
      </c>
      <c r="C103" s="120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18">
        <v>11</v>
      </c>
      <c r="J103" s="119">
        <v>56.121000000000002</v>
      </c>
      <c r="K103" s="120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18">
        <v>1</v>
      </c>
      <c r="R103" s="119">
        <v>26.44</v>
      </c>
      <c r="S103" s="120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1">
        <v>36</v>
      </c>
      <c r="Z103" s="122">
        <v>1.8785420799320702</v>
      </c>
      <c r="AA103" s="123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1">
        <v>31</v>
      </c>
      <c r="AH103" s="122">
        <v>7.99516630181673</v>
      </c>
      <c r="AI103" s="123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18">
        <v>10.5</v>
      </c>
      <c r="B104" s="119">
        <v>58.264127843875933</v>
      </c>
      <c r="C104" s="120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18">
        <v>10.5</v>
      </c>
      <c r="J104" s="119">
        <v>57.442</v>
      </c>
      <c r="K104" s="120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18">
        <v>0.5</v>
      </c>
      <c r="R104" s="119">
        <v>27.02</v>
      </c>
      <c r="S104" s="120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1">
        <v>35.5</v>
      </c>
      <c r="Z104" s="122">
        <v>1.9177391024026176</v>
      </c>
      <c r="AA104" s="123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1">
        <v>30.5</v>
      </c>
      <c r="AH104" s="122">
        <v>8.1432676014333261</v>
      </c>
      <c r="AI104" s="123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18">
        <v>10</v>
      </c>
      <c r="B105" s="119">
        <v>59.674069373614898</v>
      </c>
      <c r="C105" s="120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18">
        <v>10</v>
      </c>
      <c r="J105" s="119">
        <v>58.798999999999999</v>
      </c>
      <c r="K105" s="120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0">
        <v>0</v>
      </c>
      <c r="R105" s="131">
        <v>27.62</v>
      </c>
      <c r="S105" s="132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1">
        <v>35</v>
      </c>
      <c r="Z105" s="122">
        <v>1.9578688370595239</v>
      </c>
      <c r="AA105" s="123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1">
        <v>30</v>
      </c>
      <c r="AH105" s="122">
        <v>8.294546115956674</v>
      </c>
      <c r="AI105" s="123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18">
        <v>9.5</v>
      </c>
      <c r="B106" s="119">
        <v>61.122400272676096</v>
      </c>
      <c r="C106" s="120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18">
        <v>9.5</v>
      </c>
      <c r="J106" s="119">
        <v>60.191000000000003</v>
      </c>
      <c r="K106" s="120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18">
        <v>-0.5</v>
      </c>
      <c r="R106" s="119">
        <v>28.23</v>
      </c>
      <c r="S106" s="120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1">
        <v>34.5</v>
      </c>
      <c r="Z106" s="122">
        <v>1.9989558864383685</v>
      </c>
      <c r="AA106" s="123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1">
        <v>29.5</v>
      </c>
      <c r="AH106" s="122">
        <v>8.4490784952466669</v>
      </c>
      <c r="AI106" s="123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18">
        <v>9</v>
      </c>
      <c r="B107" s="119">
        <v>62.61026628677228</v>
      </c>
      <c r="C107" s="120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18">
        <v>9</v>
      </c>
      <c r="J107" s="119">
        <v>61.62</v>
      </c>
      <c r="K107" s="120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18">
        <v>-1</v>
      </c>
      <c r="R107" s="119">
        <v>28.86</v>
      </c>
      <c r="S107" s="120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1">
        <v>34</v>
      </c>
      <c r="Z107" s="122">
        <v>2.0410255578269285</v>
      </c>
      <c r="AA107" s="123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1">
        <v>29</v>
      </c>
      <c r="AH107" s="122">
        <v>8.6069434301731906</v>
      </c>
      <c r="AI107" s="123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18">
        <v>8.5</v>
      </c>
      <c r="B108" s="119">
        <v>64.138849863712878</v>
      </c>
      <c r="C108" s="120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18">
        <v>8.5</v>
      </c>
      <c r="J108" s="119">
        <v>63.088000000000001</v>
      </c>
      <c r="K108" s="120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18">
        <v>-1.5</v>
      </c>
      <c r="R108" s="119">
        <v>29.5</v>
      </c>
      <c r="S108" s="120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1">
        <v>33.5</v>
      </c>
      <c r="Z108" s="122">
        <v>2.0841038848256943</v>
      </c>
      <c r="AA108" s="123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1">
        <v>28.5</v>
      </c>
      <c r="AH108" s="122">
        <v>8.7682217118179935</v>
      </c>
      <c r="AI108" s="123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18">
        <v>8</v>
      </c>
      <c r="B109" s="119">
        <v>65.709371394139424</v>
      </c>
      <c r="C109" s="120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18">
        <v>8</v>
      </c>
      <c r="J109" s="119">
        <v>64.596000000000004</v>
      </c>
      <c r="K109" s="120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18">
        <v>-2</v>
      </c>
      <c r="R109" s="119">
        <v>30.16</v>
      </c>
      <c r="S109" s="120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1">
        <v>33</v>
      </c>
      <c r="Z109" s="122">
        <v>2.1282176496021501</v>
      </c>
      <c r="AA109" s="123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1">
        <v>28</v>
      </c>
      <c r="AH109" s="122">
        <v>8.9329962925296442</v>
      </c>
      <c r="AI109" s="123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18">
        <v>7.5</v>
      </c>
      <c r="B110" s="119">
        <v>67.323090495868954</v>
      </c>
      <c r="C110" s="120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18">
        <v>7.5</v>
      </c>
      <c r="J110" s="119">
        <v>66.141000000000005</v>
      </c>
      <c r="K110" s="120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18">
        <v>-2.5</v>
      </c>
      <c r="R110" s="119">
        <v>30.84</v>
      </c>
      <c r="S110" s="120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1">
        <v>32.5</v>
      </c>
      <c r="Z110" s="122">
        <v>2.173394405861925</v>
      </c>
      <c r="AA110" s="123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1">
        <v>27.5</v>
      </c>
      <c r="AH110" s="122">
        <v>9.1013523488916999</v>
      </c>
      <c r="AI110" s="123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18">
        <v>7</v>
      </c>
      <c r="B111" s="119">
        <v>68.981307343416788</v>
      </c>
      <c r="C111" s="120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18">
        <v>7</v>
      </c>
      <c r="J111" s="119">
        <v>67.73</v>
      </c>
      <c r="K111" s="120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18">
        <v>-3</v>
      </c>
      <c r="R111" s="119">
        <v>31.53</v>
      </c>
      <c r="S111" s="120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1">
        <v>32</v>
      </c>
      <c r="Z111" s="122">
        <v>2.2196625025607926</v>
      </c>
      <c r="AA111" s="123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1">
        <v>27</v>
      </c>
      <c r="AH111" s="122">
        <v>9.2733773466704932</v>
      </c>
      <c r="AI111" s="123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18">
        <v>6.5</v>
      </c>
      <c r="B112" s="119">
        <v>70.685364044321958</v>
      </c>
      <c r="C112" s="120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18">
        <v>6.5</v>
      </c>
      <c r="J112" s="119">
        <v>69.361000000000004</v>
      </c>
      <c r="K112" s="120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18">
        <v>-3.5</v>
      </c>
      <c r="R112" s="119">
        <v>32.24</v>
      </c>
      <c r="S112" s="120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1">
        <v>31.5</v>
      </c>
      <c r="Z112" s="122">
        <v>2.2670511083821014</v>
      </c>
      <c r="AA112" s="123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1">
        <v>26.5</v>
      </c>
      <c r="AH112" s="122">
        <v>9.449161107807047</v>
      </c>
      <c r="AI112" s="123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18">
        <v>6</v>
      </c>
      <c r="B113" s="119">
        <v>72.43664606396419</v>
      </c>
      <c r="C113" s="120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18">
        <v>6</v>
      </c>
      <c r="J113" s="119">
        <v>71.036000000000001</v>
      </c>
      <c r="K113" s="120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18">
        <v>-4</v>
      </c>
      <c r="R113" s="119">
        <v>32.97</v>
      </c>
      <c r="S113" s="120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1">
        <v>31</v>
      </c>
      <c r="Z113" s="122">
        <v>2.3155902370050812</v>
      </c>
      <c r="AA113" s="123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1">
        <v>26</v>
      </c>
      <c r="AH113" s="122">
        <v>9.6287958795236346</v>
      </c>
      <c r="AI113" s="123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18">
        <v>5.5</v>
      </c>
      <c r="B114" s="119">
        <v>74.236583700616123</v>
      </c>
      <c r="C114" s="120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18">
        <v>5.5</v>
      </c>
      <c r="J114" s="119">
        <v>72.757000000000005</v>
      </c>
      <c r="K114" s="120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18">
        <v>-4.5</v>
      </c>
      <c r="R114" s="119">
        <v>33.72</v>
      </c>
      <c r="S114" s="120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1">
        <v>30.5</v>
      </c>
      <c r="Z114" s="122">
        <v>2.3653107731907625</v>
      </c>
      <c r="AA114" s="123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1">
        <v>25.5</v>
      </c>
      <c r="AH114" s="122">
        <v>9.8123764056150478</v>
      </c>
      <c r="AI114" s="123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18">
        <v>5</v>
      </c>
      <c r="B115" s="119">
        <v>76.086653612540559</v>
      </c>
      <c r="C115" s="120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18">
        <v>5</v>
      </c>
      <c r="J115" s="119">
        <v>74.524000000000001</v>
      </c>
      <c r="K115" s="120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18">
        <v>-5</v>
      </c>
      <c r="R115" s="119">
        <v>34.479999999999997</v>
      </c>
      <c r="S115" s="120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1">
        <v>30</v>
      </c>
      <c r="Z115" s="122">
        <v>2.4162444997123895</v>
      </c>
      <c r="AA115" s="123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1">
        <v>25</v>
      </c>
      <c r="AH115" s="122">
        <v>9.9999999999998224</v>
      </c>
      <c r="AI115" s="123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18">
        <v>4.5</v>
      </c>
      <c r="B116" s="119">
        <v>77.988380399009088</v>
      </c>
      <c r="C116" s="120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18">
        <v>4.5</v>
      </c>
      <c r="J116" s="119">
        <v>76.34</v>
      </c>
      <c r="K116" s="120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18">
        <v>-5.5</v>
      </c>
      <c r="R116" s="119">
        <v>35.270000000000003</v>
      </c>
      <c r="S116" s="120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1">
        <v>29.5</v>
      </c>
      <c r="Z116" s="122">
        <v>2.4684241251588359</v>
      </c>
      <c r="AA116" s="123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1">
        <v>24.5</v>
      </c>
      <c r="AH116" s="122">
        <v>10.191766622606913</v>
      </c>
      <c r="AI116" s="123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18">
        <v>4</v>
      </c>
      <c r="B117" s="119">
        <v>79.943338237181905</v>
      </c>
      <c r="C117" s="120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18">
        <v>4</v>
      </c>
      <c r="J117" s="119">
        <v>78.204999999999998</v>
      </c>
      <c r="K117" s="120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18">
        <v>-6</v>
      </c>
      <c r="R117" s="119">
        <v>36.08</v>
      </c>
      <c r="S117" s="120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1">
        <v>29</v>
      </c>
      <c r="Z117" s="122">
        <v>2.5218833126400115</v>
      </c>
      <c r="AA117" s="123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1">
        <v>24</v>
      </c>
      <c r="AH117" s="122">
        <v>10.38777895767736</v>
      </c>
      <c r="AI117" s="123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18">
        <v>3.5</v>
      </c>
      <c r="B118" s="119">
        <v>81.953152576862749</v>
      </c>
      <c r="C118" s="120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18">
        <v>3.5</v>
      </c>
      <c r="J118" s="119">
        <v>80.120999999999995</v>
      </c>
      <c r="K118" s="120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18">
        <v>-6.5</v>
      </c>
      <c r="R118" s="119">
        <v>36.909999999999997</v>
      </c>
      <c r="S118" s="120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1">
        <v>28.5</v>
      </c>
      <c r="Z118" s="122">
        <v>2.5766567094244355</v>
      </c>
      <c r="AA118" s="123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1">
        <v>23.5</v>
      </c>
      <c r="AH118" s="122">
        <v>10.588142494564234</v>
      </c>
      <c r="AI118" s="123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18">
        <v>3</v>
      </c>
      <c r="B119" s="119">
        <v>84.019501895212557</v>
      </c>
      <c r="C119" s="120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18">
        <v>3</v>
      </c>
      <c r="J119" s="119">
        <v>82.088999999999999</v>
      </c>
      <c r="K119" s="120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18">
        <v>-7</v>
      </c>
      <c r="R119" s="119">
        <v>37.76</v>
      </c>
      <c r="S119" s="120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1">
        <v>28</v>
      </c>
      <c r="Z119" s="122">
        <v>2.632779977540161</v>
      </c>
      <c r="AA119" s="123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1">
        <v>23</v>
      </c>
      <c r="AH119" s="122">
        <v>10.792965611114267</v>
      </c>
      <c r="AI119" s="123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18">
        <v>2.5</v>
      </c>
      <c r="B120" s="119">
        <v>86.144119513582979</v>
      </c>
      <c r="C120" s="120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18">
        <v>2.5</v>
      </c>
      <c r="J120" s="119">
        <v>84.111999999999995</v>
      </c>
      <c r="K120" s="120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18">
        <v>-7.5</v>
      </c>
      <c r="R120" s="119">
        <v>38.630000000000003</v>
      </c>
      <c r="S120" s="120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1">
        <v>27.5</v>
      </c>
      <c r="Z120" s="122">
        <v>2.6902898253712451</v>
      </c>
      <c r="AA120" s="123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1">
        <v>22.5</v>
      </c>
      <c r="AH120" s="122">
        <v>11.002359659721172</v>
      </c>
      <c r="AI120" s="123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18">
        <v>2</v>
      </c>
      <c r="B121" s="119">
        <v>88.328795478704762</v>
      </c>
      <c r="C121" s="120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18">
        <v>2</v>
      </c>
      <c r="J121" s="119">
        <v>86.19</v>
      </c>
      <c r="K121" s="120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18">
        <v>-8</v>
      </c>
      <c r="R121" s="119">
        <v>39.53</v>
      </c>
      <c r="S121" s="120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1">
        <v>27</v>
      </c>
      <c r="Z121" s="122">
        <v>2.7492240402829928</v>
      </c>
      <c r="AA121" s="123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1">
        <v>22</v>
      </c>
      <c r="AH121" s="122">
        <v>11.216439056141096</v>
      </c>
      <c r="AI121" s="123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18">
        <v>1.5</v>
      </c>
      <c r="B122" s="119">
        <v>90.575378510550905</v>
      </c>
      <c r="C122" s="120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18">
        <v>1.5</v>
      </c>
      <c r="J122" s="119">
        <v>88.325999999999993</v>
      </c>
      <c r="K122" s="120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18">
        <v>-8.5</v>
      </c>
      <c r="R122" s="119">
        <v>40.450000000000003</v>
      </c>
      <c r="S122" s="120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1">
        <v>26.5</v>
      </c>
      <c r="Z122" s="122">
        <v>2.8096215223104184</v>
      </c>
      <c r="AA122" s="123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1">
        <v>21.5</v>
      </c>
      <c r="AH122" s="122">
        <v>11.435321371165413</v>
      </c>
      <c r="AI122" s="123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18">
        <v>1</v>
      </c>
      <c r="B123" s="119">
        <v>92.885778019272564</v>
      </c>
      <c r="C123" s="120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18">
        <v>1</v>
      </c>
      <c r="J123" s="119">
        <v>90.521000000000001</v>
      </c>
      <c r="K123" s="120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18">
        <v>-9</v>
      </c>
      <c r="R123" s="119">
        <v>41.39</v>
      </c>
      <c r="S123" s="120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1">
        <v>26</v>
      </c>
      <c r="Z123" s="122">
        <v>2.8715223189454249</v>
      </c>
      <c r="AA123" s="123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1">
        <v>21</v>
      </c>
      <c r="AH123" s="122">
        <v>11.659127425249041</v>
      </c>
      <c r="AI123" s="123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4">
        <v>0.5</v>
      </c>
      <c r="B124" s="125">
        <v>95.261966193696352</v>
      </c>
      <c r="C124" s="126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4">
        <v>0.5</v>
      </c>
      <c r="J124" s="125">
        <v>92.777000000000001</v>
      </c>
      <c r="K124" s="126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4">
        <v>-9.5</v>
      </c>
      <c r="R124" s="125">
        <v>42.36</v>
      </c>
      <c r="S124" s="126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1">
        <v>25.5</v>
      </c>
      <c r="Z124" s="122">
        <v>2.9349676610595408</v>
      </c>
      <c r="AA124" s="123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1">
        <v>20.5</v>
      </c>
      <c r="AH124" s="122">
        <v>11.887981386196342</v>
      </c>
      <c r="AI124" s="123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2">
        <v>0</v>
      </c>
      <c r="B125" s="113">
        <v>97.705980163957392</v>
      </c>
      <c r="C125" s="114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2">
        <v>0</v>
      </c>
      <c r="J125" s="113">
        <v>95.096000000000004</v>
      </c>
      <c r="K125" s="114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2">
        <v>-10</v>
      </c>
      <c r="R125" s="113">
        <v>43.35</v>
      </c>
      <c r="S125" s="114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3">
        <v>25</v>
      </c>
      <c r="Z125" s="134">
        <v>3</v>
      </c>
      <c r="AA125" s="135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6">
        <v>20</v>
      </c>
      <c r="AH125" s="137">
        <v>12.122010870009888</v>
      </c>
      <c r="AI125" s="138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18">
        <v>-0.5</v>
      </c>
      <c r="B126" s="119">
        <v>100.21992424093382</v>
      </c>
      <c r="C126" s="120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18">
        <v>-0.5</v>
      </c>
      <c r="J126" s="119">
        <v>97.48</v>
      </c>
      <c r="K126" s="120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18">
        <v>-10.5</v>
      </c>
      <c r="R126" s="119">
        <v>44.37</v>
      </c>
      <c r="S126" s="120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1">
        <v>24.5</v>
      </c>
      <c r="Z126" s="122">
        <v>3.0666630458986517</v>
      </c>
      <c r="AA126" s="123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39">
        <v>19.5</v>
      </c>
      <c r="AH126" s="140">
        <v>12.361347045012161</v>
      </c>
      <c r="AI126" s="141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18">
        <v>-1</v>
      </c>
      <c r="B127" s="119">
        <v>102.80597223524789</v>
      </c>
      <c r="C127" s="120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18">
        <v>-1</v>
      </c>
      <c r="J127" s="119">
        <v>99.930999999999997</v>
      </c>
      <c r="K127" s="120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18">
        <v>-11</v>
      </c>
      <c r="R127" s="119">
        <v>45.42</v>
      </c>
      <c r="S127" s="120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1">
        <v>24</v>
      </c>
      <c r="Z127" s="122">
        <v>3.1350018072338601</v>
      </c>
      <c r="AA127" s="123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39">
        <v>19</v>
      </c>
      <c r="AH127" s="140">
        <v>12.606124739352826</v>
      </c>
      <c r="AI127" s="141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18">
        <v>-1.5</v>
      </c>
      <c r="B128" s="119">
        <v>105.46636985869146</v>
      </c>
      <c r="C128" s="120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18">
        <v>-1.5</v>
      </c>
      <c r="J128" s="119">
        <v>102.45</v>
      </c>
      <c r="K128" s="120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18">
        <v>-11.5</v>
      </c>
      <c r="R128" s="119">
        <v>46.5</v>
      </c>
      <c r="S128" s="120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1">
        <v>23.5</v>
      </c>
      <c r="Z128" s="122">
        <v>3.2050626316877495</v>
      </c>
      <c r="AA128" s="123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39">
        <v>18.5</v>
      </c>
      <c r="AH128" s="140">
        <v>12.856482552020404</v>
      </c>
      <c r="AI128" s="141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18">
        <v>-2</v>
      </c>
      <c r="B129" s="119">
        <v>108.20343721103865</v>
      </c>
      <c r="C129" s="120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18">
        <v>-2</v>
      </c>
      <c r="J129" s="119">
        <v>105.04</v>
      </c>
      <c r="K129" s="120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18">
        <v>-12</v>
      </c>
      <c r="R129" s="119">
        <v>47.6</v>
      </c>
      <c r="S129" s="120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1">
        <v>23</v>
      </c>
      <c r="Z129" s="122">
        <v>3.2768932483416817</v>
      </c>
      <c r="AA129" s="123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39">
        <v>18</v>
      </c>
      <c r="AH129" s="140">
        <v>13.112562967479453</v>
      </c>
      <c r="AI129" s="141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18">
        <v>-2.5</v>
      </c>
      <c r="B130" s="119">
        <v>111.01957135531316</v>
      </c>
      <c r="C130" s="120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18">
        <v>-2.5</v>
      </c>
      <c r="J130" s="119">
        <v>107.7</v>
      </c>
      <c r="K130" s="120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18">
        <v>-12.5</v>
      </c>
      <c r="R130" s="119">
        <v>48.74</v>
      </c>
      <c r="S130" s="120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1">
        <v>22.5</v>
      </c>
      <c r="Z130" s="122">
        <v>3.350542811254809</v>
      </c>
      <c r="AA130" s="123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39">
        <v>17.5</v>
      </c>
      <c r="AH130" s="140">
        <v>13.374512474060026</v>
      </c>
      <c r="AI130" s="141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18">
        <v>-3</v>
      </c>
      <c r="B131" s="119">
        <v>113.91724898468526</v>
      </c>
      <c r="C131" s="120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18">
        <v>-3</v>
      </c>
      <c r="J131" s="119">
        <v>110.44</v>
      </c>
      <c r="K131" s="120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18">
        <v>-13</v>
      </c>
      <c r="R131" s="119">
        <v>49.91</v>
      </c>
      <c r="S131" s="120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1">
        <v>22</v>
      </c>
      <c r="Z131" s="122">
        <v>3.4260619444720266</v>
      </c>
      <c r="AA131" s="123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39">
        <v>17</v>
      </c>
      <c r="AH131" s="140">
        <v>13.642481686231045</v>
      </c>
      <c r="AI131" s="141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18">
        <v>-3.5</v>
      </c>
      <c r="B132" s="119">
        <v>116.89902918428605</v>
      </c>
      <c r="C132" s="120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18">
        <v>-3.5</v>
      </c>
      <c r="J132" s="119">
        <v>113.26</v>
      </c>
      <c r="K132" s="120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18">
        <v>-13.5</v>
      </c>
      <c r="R132" s="119">
        <v>51.1</v>
      </c>
      <c r="S132" s="120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1">
        <v>21.5</v>
      </c>
      <c r="Z132" s="122">
        <v>3.5035027885087184</v>
      </c>
      <c r="AA132" s="123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39">
        <v>16.5</v>
      </c>
      <c r="AH132" s="140">
        <v>13.916625470893658</v>
      </c>
      <c r="AI132" s="141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18">
        <v>-4</v>
      </c>
      <c r="B133" s="119">
        <v>119.96755629134174</v>
      </c>
      <c r="C133" s="120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18">
        <v>-4</v>
      </c>
      <c r="J133" s="119">
        <v>116.16</v>
      </c>
      <c r="K133" s="120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18">
        <v>-14</v>
      </c>
      <c r="R133" s="119">
        <v>52.33</v>
      </c>
      <c r="S133" s="120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1">
        <v>21</v>
      </c>
      <c r="Z133" s="122">
        <v>3.5829190483620201</v>
      </c>
      <c r="AA133" s="123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39">
        <v>16</v>
      </c>
      <c r="AH133" s="140">
        <v>14.197103077835211</v>
      </c>
      <c r="AI133" s="141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18">
        <v>-4.5</v>
      </c>
      <c r="B134" s="119">
        <v>123.12556285715372</v>
      </c>
      <c r="C134" s="120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18">
        <v>-4.5</v>
      </c>
      <c r="J134" s="119">
        <v>119.14</v>
      </c>
      <c r="K134" s="120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18">
        <v>-14.5</v>
      </c>
      <c r="R134" s="119">
        <v>53.6</v>
      </c>
      <c r="S134" s="120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1">
        <v>20.5</v>
      </c>
      <c r="Z134" s="122">
        <v>3.6643660430990823</v>
      </c>
      <c r="AA134" s="123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39">
        <v>15.5</v>
      </c>
      <c r="AH134" s="140">
        <v>14.484078274491184</v>
      </c>
      <c r="AI134" s="141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18">
        <v>-5</v>
      </c>
      <c r="B135" s="119">
        <v>126.37587271456684</v>
      </c>
      <c r="C135" s="120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18">
        <v>-5</v>
      </c>
      <c r="J135" s="119">
        <v>122.2</v>
      </c>
      <c r="K135" s="120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18">
        <v>-15</v>
      </c>
      <c r="R135" s="119">
        <v>54.9</v>
      </c>
      <c r="S135" s="120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1">
        <v>20</v>
      </c>
      <c r="Z135" s="122">
        <v>3.7479007570750889</v>
      </c>
      <c r="AA135" s="123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39">
        <v>15</v>
      </c>
      <c r="AH135" s="140">
        <v>14.777719485165806</v>
      </c>
      <c r="AI135" s="141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18">
        <v>-5.5</v>
      </c>
      <c r="B136" s="119">
        <v>129.72140415470582</v>
      </c>
      <c r="C136" s="120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18">
        <v>-5.5</v>
      </c>
      <c r="J136" s="119">
        <v>125.35</v>
      </c>
      <c r="K136" s="120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18">
        <v>-15.5</v>
      </c>
      <c r="R136" s="119">
        <v>56.23</v>
      </c>
      <c r="S136" s="120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1">
        <v>19.5</v>
      </c>
      <c r="Z136" s="122">
        <v>3.8335818928354639</v>
      </c>
      <c r="AA136" s="123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39">
        <v>14.5</v>
      </c>
      <c r="AH136" s="140">
        <v>15.078199934871115</v>
      </c>
      <c r="AI136" s="141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18">
        <v>-6</v>
      </c>
      <c r="B137" s="119">
        <v>133.16517321688002</v>
      </c>
      <c r="C137" s="120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18">
        <v>-6</v>
      </c>
      <c r="J137" s="119">
        <v>128.6</v>
      </c>
      <c r="K137" s="120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18">
        <v>-16</v>
      </c>
      <c r="R137" s="119">
        <v>57.6</v>
      </c>
      <c r="S137" s="120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1">
        <v>19</v>
      </c>
      <c r="Z137" s="122">
        <v>3.9214699257581582</v>
      </c>
      <c r="AA137" s="123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39">
        <v>14</v>
      </c>
      <c r="AH137" s="140">
        <v>15.385697797944957</v>
      </c>
      <c r="AI137" s="141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18">
        <v>-6.5</v>
      </c>
      <c r="B138" s="119">
        <v>136.71029709570499</v>
      </c>
      <c r="C138" s="120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18">
        <v>-6.5</v>
      </c>
      <c r="J138" s="119">
        <v>131.94</v>
      </c>
      <c r="K138" s="120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18">
        <v>-16.5</v>
      </c>
      <c r="R138" s="119">
        <v>59.01</v>
      </c>
      <c r="S138" s="120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1">
        <v>18.5</v>
      </c>
      <c r="Z138" s="122">
        <v>4.0116271604937275</v>
      </c>
      <c r="AA138" s="123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39">
        <v>13.5</v>
      </c>
      <c r="AH138" s="140">
        <v>15.700396351620988</v>
      </c>
      <c r="AI138" s="141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18">
        <v>-7</v>
      </c>
      <c r="B139" s="119">
        <v>140.35999766961885</v>
      </c>
      <c r="C139" s="120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18">
        <v>-7</v>
      </c>
      <c r="J139" s="119">
        <v>135.37</v>
      </c>
      <c r="K139" s="120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18">
        <v>-17</v>
      </c>
      <c r="R139" s="119">
        <v>60.46</v>
      </c>
      <c r="S139" s="120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1">
        <v>18</v>
      </c>
      <c r="Z139" s="122">
        <v>4.104117789263575</v>
      </c>
      <c r="AA139" s="123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39">
        <v>13</v>
      </c>
      <c r="AH139" s="140">
        <v>16.022484134724145</v>
      </c>
      <c r="AI139" s="141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18">
        <v>-7.5</v>
      </c>
      <c r="B140" s="119">
        <v>144.11760515512387</v>
      </c>
      <c r="C140" s="120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18">
        <v>-7.5</v>
      </c>
      <c r="J140" s="119">
        <v>138.9</v>
      </c>
      <c r="K140" s="120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18">
        <v>-17.5</v>
      </c>
      <c r="R140" s="119">
        <v>61.95</v>
      </c>
      <c r="S140" s="120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1">
        <v>17.5</v>
      </c>
      <c r="Z140" s="122">
        <v>4.1990079520773769</v>
      </c>
      <c r="AA140" s="123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39">
        <v>12.5</v>
      </c>
      <c r="AH140" s="140">
        <v>16.352155111675359</v>
      </c>
      <c r="AI140" s="141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18">
        <v>-8</v>
      </c>
      <c r="B141" s="119">
        <v>147.98656189123034</v>
      </c>
      <c r="C141" s="120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18">
        <v>-8</v>
      </c>
      <c r="J141" s="119">
        <v>142.54</v>
      </c>
      <c r="K141" s="120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18">
        <v>-18</v>
      </c>
      <c r="R141" s="119">
        <v>63.48</v>
      </c>
      <c r="S141" s="120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1">
        <v>17</v>
      </c>
      <c r="Z141" s="122">
        <v>4.2963657989337882</v>
      </c>
      <c r="AA141" s="123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39">
        <v>12</v>
      </c>
      <c r="AH141" s="140">
        <v>16.68960884199592</v>
      </c>
      <c r="AI141" s="141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18">
        <v>-8.5</v>
      </c>
      <c r="B142" s="119">
        <v>151.97042625873289</v>
      </c>
      <c r="C142" s="120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18">
        <v>-8.5</v>
      </c>
      <c r="J142" s="119">
        <v>146.28</v>
      </c>
      <c r="K142" s="120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18">
        <v>-18.5</v>
      </c>
      <c r="R142" s="119">
        <v>65.05</v>
      </c>
      <c r="S142" s="120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1">
        <v>16.5</v>
      </c>
      <c r="Z142" s="122">
        <v>4.3962615540700911</v>
      </c>
      <c r="AA142" s="123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39">
        <v>11.5</v>
      </c>
      <c r="AH142" s="140">
        <v>17.035050655506971</v>
      </c>
      <c r="AI142" s="141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18">
        <v>-9</v>
      </c>
      <c r="B143" s="119">
        <v>156.07287673911196</v>
      </c>
      <c r="C143" s="120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18">
        <v>-9</v>
      </c>
      <c r="J143" s="119">
        <v>150.13</v>
      </c>
      <c r="K143" s="120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18">
        <v>-19</v>
      </c>
      <c r="R143" s="119">
        <v>66.67</v>
      </c>
      <c r="S143" s="120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1">
        <v>16</v>
      </c>
      <c r="Z143" s="122">
        <v>4.4987675823285089</v>
      </c>
      <c r="AA143" s="123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39">
        <v>11</v>
      </c>
      <c r="AH143" s="140">
        <v>17.388691833429068</v>
      </c>
      <c r="AI143" s="141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18">
        <v>-9.5</v>
      </c>
      <c r="B144" s="119">
        <v>160.29771611801385</v>
      </c>
      <c r="C144" s="120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18">
        <v>-9.5</v>
      </c>
      <c r="J144" s="119">
        <v>154.1</v>
      </c>
      <c r="K144" s="120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18">
        <v>-19.5</v>
      </c>
      <c r="R144" s="119">
        <v>68.33</v>
      </c>
      <c r="S144" s="120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27">
        <v>15.5</v>
      </c>
      <c r="Z144" s="128">
        <v>4.6039584577094157</v>
      </c>
      <c r="AA144" s="129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39">
        <v>10.5</v>
      </c>
      <c r="AH144" s="140">
        <v>17.750749795594508</v>
      </c>
      <c r="AI144" s="141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18">
        <v>-10</v>
      </c>
      <c r="B145" s="119">
        <v>164.64887583843239</v>
      </c>
      <c r="C145" s="120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18">
        <v>-10</v>
      </c>
      <c r="J145" s="119">
        <v>158.18</v>
      </c>
      <c r="K145" s="120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18">
        <v>-20</v>
      </c>
      <c r="R145" s="119">
        <v>70.040000000000006</v>
      </c>
      <c r="S145" s="120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5">
        <v>15</v>
      </c>
      <c r="Z145" s="116">
        <v>4.711911034183494</v>
      </c>
      <c r="AA145" s="117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39">
        <v>10</v>
      </c>
      <c r="AH145" s="140">
        <v>18.121448293991815</v>
      </c>
      <c r="AI145" s="141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18">
        <v>-10.5</v>
      </c>
      <c r="B146" s="119">
        <v>169.1304205088922</v>
      </c>
      <c r="C146" s="120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18">
        <v>-10.5</v>
      </c>
      <c r="J146" s="119">
        <v>162.38</v>
      </c>
      <c r="K146" s="120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1">
        <v>14.5</v>
      </c>
      <c r="Z146" s="122">
        <v>4.8227045188373232</v>
      </c>
      <c r="AA146" s="123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39">
        <v>9.5</v>
      </c>
      <c r="AH146" s="140">
        <v>18.501017612871323</v>
      </c>
      <c r="AI146" s="141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18">
        <v>-11</v>
      </c>
      <c r="B147" s="119">
        <v>173.74655257210964</v>
      </c>
      <c r="C147" s="120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18">
        <v>-11</v>
      </c>
      <c r="J147" s="119">
        <v>166.71</v>
      </c>
      <c r="K147" s="120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1">
        <v>14</v>
      </c>
      <c r="Z147" s="122">
        <v>4.9364205474295701</v>
      </c>
      <c r="AA147" s="123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39">
        <v>9</v>
      </c>
      <c r="AH147" s="140">
        <v>18.889694775649268</v>
      </c>
      <c r="AI147" s="141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18">
        <v>-11.5</v>
      </c>
      <c r="B148" s="119">
        <v>178.50161713979412</v>
      </c>
      <c r="C148" s="120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18">
        <v>-11.5</v>
      </c>
      <c r="J148" s="119">
        <v>171.16</v>
      </c>
      <c r="K148" s="120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1">
        <v>13.5</v>
      </c>
      <c r="Z148" s="122">
        <v>5.053143262436623</v>
      </c>
      <c r="AA148" s="123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39">
        <v>8.5</v>
      </c>
      <c r="AH148" s="140">
        <v>19.287723758857066</v>
      </c>
      <c r="AI148" s="141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18">
        <v>-12</v>
      </c>
      <c r="B149" s="119">
        <v>183.40010699944045</v>
      </c>
      <c r="C149" s="120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18">
        <v>-12</v>
      </c>
      <c r="J149" s="119">
        <v>175.75</v>
      </c>
      <c r="K149" s="120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1">
        <v>13</v>
      </c>
      <c r="Z149" s="122">
        <v>5.1729593936698439</v>
      </c>
      <c r="AA149" s="123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39">
        <v>8</v>
      </c>
      <c r="AH149" s="140">
        <v>19.695355713391638</v>
      </c>
      <c r="AI149" s="141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18">
        <v>-12.5</v>
      </c>
      <c r="B150" s="119">
        <v>188.44666779916517</v>
      </c>
      <c r="C150" s="120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18">
        <v>-12.5</v>
      </c>
      <c r="J150" s="119">
        <v>180.48</v>
      </c>
      <c r="K150" s="120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1">
        <v>12.5</v>
      </c>
      <c r="Z150" s="122">
        <v>5.2959583415484968</v>
      </c>
      <c r="AA150" s="123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39">
        <v>7.5</v>
      </c>
      <c r="AH150" s="140">
        <v>20.112849193332284</v>
      </c>
      <c r="AI150" s="141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18">
        <v>-13</v>
      </c>
      <c r="B151" s="119">
        <v>193.64610341683309</v>
      </c>
      <c r="C151" s="120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18">
        <v>-13</v>
      </c>
      <c r="J151" s="119">
        <v>185.34</v>
      </c>
      <c r="K151" s="120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1">
        <v>12</v>
      </c>
      <c r="Z151" s="122">
        <v>5.4222322631151272</v>
      </c>
      <c r="AA151" s="123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39">
        <v>7</v>
      </c>
      <c r="AH151" s="140">
        <v>20.540470392601037</v>
      </c>
      <c r="AI151" s="141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18">
        <v>-13.5</v>
      </c>
      <c r="B152" s="119">
        <v>199.00338151993205</v>
      </c>
      <c r="C152" s="120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18">
        <v>-13.5</v>
      </c>
      <c r="J152" s="119">
        <v>190.35</v>
      </c>
      <c r="K152" s="120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1">
        <v>11.5</v>
      </c>
      <c r="Z152" s="122">
        <v>5.5518761608836522</v>
      </c>
      <c r="AA152" s="123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39">
        <v>6.5</v>
      </c>
      <c r="AH152" s="140">
        <v>20.97849338975254</v>
      </c>
      <c r="AI152" s="141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18">
        <v>-14</v>
      </c>
      <c r="B153" s="119">
        <v>204.52363932286843</v>
      </c>
      <c r="C153" s="120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18">
        <v>-14</v>
      </c>
      <c r="J153" s="119">
        <v>195.51</v>
      </c>
      <c r="K153" s="120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1">
        <v>11</v>
      </c>
      <c r="Z153" s="122">
        <v>5.6849879746112411</v>
      </c>
      <c r="AA153" s="123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39">
        <v>6</v>
      </c>
      <c r="AH153" s="140">
        <v>21.427200401191609</v>
      </c>
      <c r="AI153" s="141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18">
        <v>-14.5</v>
      </c>
      <c r="B154" s="119">
        <v>210.21218954857383</v>
      </c>
      <c r="C154" s="120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18">
        <v>-14.5</v>
      </c>
      <c r="J154" s="119">
        <v>200.83</v>
      </c>
      <c r="K154" s="120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1">
        <v>10.5</v>
      </c>
      <c r="Z154" s="122">
        <v>5.8216686760905363</v>
      </c>
      <c r="AA154" s="123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39">
        <v>5.5</v>
      </c>
      <c r="AH154" s="140">
        <v>21.886882043129383</v>
      </c>
      <c r="AI154" s="141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18">
        <v>-15</v>
      </c>
      <c r="B155" s="119">
        <v>216.07452660153459</v>
      </c>
      <c r="C155" s="120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18">
        <v>-15</v>
      </c>
      <c r="J155" s="119">
        <v>206.31</v>
      </c>
      <c r="K155" s="120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1">
        <v>10</v>
      </c>
      <c r="Z155" s="122">
        <v>5.9620223670590882</v>
      </c>
      <c r="AA155" s="123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39">
        <v>5</v>
      </c>
      <c r="AH155" s="140">
        <v>22.357837602595886</v>
      </c>
      <c r="AI155" s="141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18">
        <v>-15.5</v>
      </c>
      <c r="B156" s="119">
        <v>222.11633295959609</v>
      </c>
      <c r="C156" s="120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18">
        <v>-15.5</v>
      </c>
      <c r="J156" s="119">
        <v>211.95</v>
      </c>
      <c r="K156" s="120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1">
        <v>9.5</v>
      </c>
      <c r="Z156" s="122">
        <v>6.106156380327489</v>
      </c>
      <c r="AA156" s="123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39">
        <v>4.5</v>
      </c>
      <c r="AH156" s="140">
        <v>22.84037531784843</v>
      </c>
      <c r="AI156" s="141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18">
        <v>-16</v>
      </c>
      <c r="B157" s="119">
        <v>228.34348579212153</v>
      </c>
      <c r="C157" s="120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18">
        <v>-16</v>
      </c>
      <c r="J157" s="119">
        <v>217.77</v>
      </c>
      <c r="K157" s="120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1">
        <v>9</v>
      </c>
      <c r="Z157" s="122">
        <v>6.2541813842300025</v>
      </c>
      <c r="AA157" s="123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39">
        <v>4</v>
      </c>
      <c r="AH157" s="140">
        <v>23.334812668518222</v>
      </c>
      <c r="AI157" s="141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18">
        <v>-16.5</v>
      </c>
      <c r="B158" s="119">
        <v>234.76206381233948</v>
      </c>
      <c r="C158" s="120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18">
        <v>-16.5</v>
      </c>
      <c r="J158" s="119">
        <v>223.76</v>
      </c>
      <c r="K158" s="120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1">
        <v>8.5</v>
      </c>
      <c r="Z158" s="122">
        <v>6.4062114905047114</v>
      </c>
      <c r="AA158" s="123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39">
        <v>3.5</v>
      </c>
      <c r="AH158" s="140">
        <v>23.841476675859351</v>
      </c>
      <c r="AI158" s="141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18">
        <v>-17</v>
      </c>
      <c r="B159" s="119">
        <v>241.37835437195281</v>
      </c>
      <c r="C159" s="120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18">
        <v>-17</v>
      </c>
      <c r="J159" s="119">
        <v>229.94</v>
      </c>
      <c r="K159" s="120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1">
        <v>8</v>
      </c>
      <c r="Z159" s="122">
        <v>6.5623643657131936</v>
      </c>
      <c r="AA159" s="123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39">
        <v>3</v>
      </c>
      <c r="AH159" s="140">
        <v>24.360704213472708</v>
      </c>
      <c r="AI159" s="141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18">
        <v>-17.5</v>
      </c>
      <c r="B160" s="119">
        <v>248.19886080634797</v>
      </c>
      <c r="C160" s="120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18">
        <v>-17.5</v>
      </c>
      <c r="J160" s="119">
        <v>236.31</v>
      </c>
      <c r="K160" s="120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1">
        <v>7.5</v>
      </c>
      <c r="Z160" s="122">
        <v>6.7227613463133711</v>
      </c>
      <c r="AA160" s="123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39">
        <v>2.5</v>
      </c>
      <c r="AH160" s="140">
        <v>24.892842328897025</v>
      </c>
      <c r="AI160" s="141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18">
        <v>-18</v>
      </c>
      <c r="B161" s="119">
        <v>255.23031003900456</v>
      </c>
      <c r="C161" s="120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18">
        <v>-18</v>
      </c>
      <c r="J161" s="119">
        <v>242.87</v>
      </c>
      <c r="K161" s="120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1">
        <v>7</v>
      </c>
      <c r="Z161" s="122">
        <v>6.8875275575019312</v>
      </c>
      <c r="AA161" s="123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39">
        <v>2</v>
      </c>
      <c r="AH161" s="140">
        <v>25.438248576469181</v>
      </c>
      <c r="AI161" s="141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18">
        <v>-18.5</v>
      </c>
      <c r="B162" s="119">
        <v>262.47966045396834</v>
      </c>
      <c r="C162" s="120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18">
        <v>-18.5</v>
      </c>
      <c r="J162" s="119">
        <v>249.63</v>
      </c>
      <c r="K162" s="120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1">
        <v>6.5</v>
      </c>
      <c r="Z162" s="122">
        <v>7.0567920359462031</v>
      </c>
      <c r="AA162" s="123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39">
        <v>1.5</v>
      </c>
      <c r="AH162" s="140">
        <v>25.99729136187856</v>
      </c>
      <c r="AI162" s="141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18">
        <v>-19</v>
      </c>
      <c r="B163" s="119">
        <v>269.95411004553921</v>
      </c>
      <c r="C163" s="120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18">
        <v>-19</v>
      </c>
      <c r="J163" s="119">
        <v>256.60000000000002</v>
      </c>
      <c r="K163" s="120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1">
        <v>6</v>
      </c>
      <c r="Z163" s="122">
        <v>7.2306878565290376</v>
      </c>
      <c r="AA163" s="123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39">
        <v>1</v>
      </c>
      <c r="AH163" s="140">
        <v>26.570350298848521</v>
      </c>
      <c r="AI163" s="141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18">
        <v>-19.5</v>
      </c>
      <c r="B164" s="119">
        <v>277.66110485459154</v>
      </c>
      <c r="C164" s="120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18">
        <v>-19.5</v>
      </c>
      <c r="J164" s="119">
        <v>263.79000000000002</v>
      </c>
      <c r="K164" s="120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1">
        <v>5.5</v>
      </c>
      <c r="Z164" s="122">
        <v>7.4093522632335675</v>
      </c>
      <c r="AA164" s="123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39">
        <v>0.5</v>
      </c>
      <c r="AH164" s="140">
        <v>27.15781657840612</v>
      </c>
      <c r="AI164" s="141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18">
        <v>-20</v>
      </c>
      <c r="B165" s="119">
        <v>285.60834770125172</v>
      </c>
      <c r="C165" s="120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18">
        <v>-20</v>
      </c>
      <c r="J165" s="119">
        <v>271.20999999999998</v>
      </c>
      <c r="K165" s="120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1">
        <v>5</v>
      </c>
      <c r="Z165" s="122">
        <v>7.5929268042975124</v>
      </c>
      <c r="AA165" s="123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39">
        <v>0</v>
      </c>
      <c r="AH165" s="140">
        <v>27.760093351206816</v>
      </c>
      <c r="AI165" s="141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18">
        <v>-20.5</v>
      </c>
      <c r="B166" s="119">
        <v>293.80380722393937</v>
      </c>
      <c r="C166" s="120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18">
        <v>-20.5</v>
      </c>
      <c r="J166" s="119">
        <v>278.85000000000002</v>
      </c>
      <c r="K166" s="120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1">
        <v>4.5</v>
      </c>
      <c r="Z166" s="122">
        <v>7.7815574717720724</v>
      </c>
      <c r="AA166" s="123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39">
        <v>-0.5</v>
      </c>
      <c r="AH166" s="140">
        <v>28.3775961234122</v>
      </c>
      <c r="AI166" s="141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18">
        <v>-21</v>
      </c>
      <c r="B167" s="119">
        <v>302.25572723508014</v>
      </c>
      <c r="C167" s="120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18">
        <v>-21</v>
      </c>
      <c r="J167" s="119">
        <v>286.73</v>
      </c>
      <c r="K167" s="120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1">
        <v>4</v>
      </c>
      <c r="Z167" s="122">
        <v>7.9753948456215937</v>
      </c>
      <c r="AA167" s="123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39">
        <v>-1</v>
      </c>
      <c r="AH167" s="140">
        <v>29.010753166627339</v>
      </c>
      <c r="AI167" s="141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18">
        <v>-21.5</v>
      </c>
      <c r="B168" s="119">
        <v>310.97263640412581</v>
      </c>
      <c r="C168" s="120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18">
        <v>-21.5</v>
      </c>
      <c r="J168" s="119">
        <v>294.86</v>
      </c>
      <c r="K168" s="120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1">
        <v>3.5</v>
      </c>
      <c r="Z168" s="122">
        <v>8.1745942425064335</v>
      </c>
      <c r="AA168" s="123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39">
        <v>-1.5</v>
      </c>
      <c r="AH168" s="140">
        <v>29.660005942435653</v>
      </c>
      <c r="AI168" s="141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18">
        <v>-22</v>
      </c>
      <c r="B169" s="119">
        <v>319.96335827879693</v>
      </c>
      <c r="C169" s="120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18">
        <v>-22</v>
      </c>
      <c r="J169" s="119">
        <v>303.25</v>
      </c>
      <c r="K169" s="120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1">
        <v>3</v>
      </c>
      <c r="Z169" s="122">
        <v>8.3793158693926664</v>
      </c>
      <c r="AA169" s="123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39">
        <v>-2</v>
      </c>
      <c r="AH169" s="140">
        <v>30.325809542077703</v>
      </c>
      <c r="AI169" s="141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18">
        <v>-22.5</v>
      </c>
      <c r="B170" s="119">
        <v>329.23702165581977</v>
      </c>
      <c r="C170" s="120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18">
        <v>-22.5</v>
      </c>
      <c r="J170" s="119">
        <v>311.89</v>
      </c>
      <c r="K170" s="120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1">
        <v>2.5</v>
      </c>
      <c r="Z170" s="122">
        <v>8.5897249821388204</v>
      </c>
      <c r="AA170" s="123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39">
        <v>-2.5</v>
      </c>
      <c r="AH170" s="140">
        <v>31.008633141858059</v>
      </c>
      <c r="AI170" s="141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18">
        <v>-23</v>
      </c>
      <c r="B171" s="119">
        <v>338.80307131272843</v>
      </c>
      <c r="C171" s="120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18">
        <v>-23</v>
      </c>
      <c r="J171" s="119">
        <v>320.82</v>
      </c>
      <c r="K171" s="120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1">
        <v>2</v>
      </c>
      <c r="Z171" s="122">
        <v>8.8059920492104897</v>
      </c>
      <c r="AA171" s="123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39">
        <v>-3</v>
      </c>
      <c r="AH171" s="140">
        <v>31.708960474871297</v>
      </c>
      <c r="AI171" s="141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18">
        <v>-23.5</v>
      </c>
      <c r="B172" s="119">
        <v>348.67127911265652</v>
      </c>
      <c r="C172" s="120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18">
        <v>-23.5</v>
      </c>
      <c r="J172" s="119">
        <v>330.02</v>
      </c>
      <c r="K172" s="120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1">
        <v>1.5</v>
      </c>
      <c r="Z172" s="122">
        <v>9.0282929206803164</v>
      </c>
      <c r="AA172" s="123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39">
        <v>-3.5</v>
      </c>
      <c r="AH172" s="140">
        <v>32.427290319676125</v>
      </c>
      <c r="AI172" s="141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18">
        <v>-24</v>
      </c>
      <c r="B173" s="119">
        <v>358.85175549436093</v>
      </c>
      <c r="C173" s="120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18">
        <v>-24</v>
      </c>
      <c r="J173" s="119">
        <v>339.52</v>
      </c>
      <c r="K173" s="120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1">
        <v>1</v>
      </c>
      <c r="Z173" s="122">
        <v>9.256809002672977</v>
      </c>
      <c r="AA173" s="123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39">
        <v>-4</v>
      </c>
      <c r="AH173" s="140">
        <v>33.164137006564111</v>
      </c>
      <c r="AI173" s="141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18">
        <v>-24.5</v>
      </c>
      <c r="B174" s="119">
        <v>369.3549613600718</v>
      </c>
      <c r="C174" s="120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18">
        <v>-24.5</v>
      </c>
      <c r="J174" s="119">
        <v>349.32</v>
      </c>
      <c r="K174" s="120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1">
        <v>0.5</v>
      </c>
      <c r="Z174" s="122">
        <v>9.4917274374193941</v>
      </c>
      <c r="AA174" s="123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39">
        <v>-4.5</v>
      </c>
      <c r="AH174" s="140">
        <v>33.920030942094911</v>
      </c>
      <c r="AI174" s="141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18">
        <v>-25</v>
      </c>
      <c r="B175" s="119">
        <v>380.19172037412289</v>
      </c>
      <c r="C175" s="120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18">
        <v>-25</v>
      </c>
      <c r="J175" s="119">
        <v>359.43</v>
      </c>
      <c r="K175" s="120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1">
        <v>0</v>
      </c>
      <c r="Z175" s="122">
        <v>9.7332412890882765</v>
      </c>
      <c r="AA175" s="123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39">
        <v>-5</v>
      </c>
      <c r="AH175" s="140">
        <v>34.695519152606039</v>
      </c>
      <c r="AI175" s="141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18">
        <v>-25.5</v>
      </c>
      <c r="B176" s="119">
        <v>391.37323168564649</v>
      </c>
      <c r="C176" s="120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18">
        <v>-25.5</v>
      </c>
      <c r="J176" s="119">
        <v>369.87</v>
      </c>
      <c r="K176" s="120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1">
        <v>-0.5</v>
      </c>
      <c r="Z176" s="122">
        <v>9.9815497355661105</v>
      </c>
      <c r="AA176" s="123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39">
        <v>-5.5</v>
      </c>
      <c r="AH176" s="140">
        <v>35.491165847421357</v>
      </c>
      <c r="AI176" s="141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18">
        <v>-26</v>
      </c>
      <c r="B177" s="119">
        <v>402.91108308899283</v>
      </c>
      <c r="C177" s="120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18">
        <v>-26</v>
      </c>
      <c r="J177" s="119">
        <v>380.64</v>
      </c>
      <c r="K177" s="120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1">
        <v>-1</v>
      </c>
      <c r="Z177" s="122">
        <v>10.236858266362573</v>
      </c>
      <c r="AA177" s="123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39">
        <v>-6</v>
      </c>
      <c r="AH177" s="140">
        <v>36.307553002523342</v>
      </c>
      <c r="AI177" s="141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18">
        <v>-26.5</v>
      </c>
      <c r="B178" s="119">
        <v>414.81726463589382</v>
      </c>
      <c r="C178" s="120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18">
        <v>-26.5</v>
      </c>
      <c r="J178" s="119">
        <v>391.76</v>
      </c>
      <c r="K178" s="120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1">
        <v>-1.5</v>
      </c>
      <c r="Z178" s="122">
        <v>10.499378886819938</v>
      </c>
      <c r="AA178" s="123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39">
        <v>-6.5</v>
      </c>
      <c r="AH178" s="140">
        <v>37.145280965478698</v>
      </c>
      <c r="AI178" s="141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18">
        <v>-27</v>
      </c>
      <c r="B179" s="119">
        <v>427.10418271373203</v>
      </c>
      <c r="C179" s="120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18">
        <v>-27</v>
      </c>
      <c r="J179" s="119">
        <v>403.24</v>
      </c>
      <c r="K179" s="120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1">
        <v>-2</v>
      </c>
      <c r="Z179" s="122">
        <v>10.769330328810433</v>
      </c>
      <c r="AA179" s="123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39">
        <v>-7</v>
      </c>
      <c r="AH179" s="140">
        <v>38.004969082440866</v>
      </c>
      <c r="AI179" s="141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18">
        <v>-27.5</v>
      </c>
      <c r="B180" s="119">
        <v>439.78467460469824</v>
      </c>
      <c r="C180" s="120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18">
        <v>-27.5</v>
      </c>
      <c r="J180" s="119">
        <v>415.1</v>
      </c>
      <c r="K180" s="120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1">
        <v>-2.5</v>
      </c>
      <c r="Z180" s="122">
        <v>11.046938268109285</v>
      </c>
      <c r="AA180" s="123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39">
        <v>-7.5</v>
      </c>
      <c r="AH180" s="140">
        <v>38.887256348088094</v>
      </c>
      <c r="AI180" s="141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18">
        <v>-28</v>
      </c>
      <c r="B181" s="119">
        <v>452.87202354092375</v>
      </c>
      <c r="C181" s="120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18">
        <v>-28</v>
      </c>
      <c r="J181" s="119">
        <v>427.33</v>
      </c>
      <c r="K181" s="120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1">
        <v>-3</v>
      </c>
      <c r="Z181" s="122">
        <v>11.332435548633615</v>
      </c>
      <c r="AA181" s="123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39">
        <v>-8</v>
      </c>
      <c r="AH181" s="140">
        <v>39.792802079388814</v>
      </c>
      <c r="AI181" s="141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18">
        <v>-28.5</v>
      </c>
      <c r="B182" s="119">
        <v>466.37997427110605</v>
      </c>
      <c r="C182" s="120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18">
        <v>-28.5</v>
      </c>
      <c r="J182" s="119">
        <v>439.97</v>
      </c>
      <c r="K182" s="120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1">
        <v>-3.5</v>
      </c>
      <c r="Z182" s="122">
        <v>11.626062413743327</v>
      </c>
      <c r="AA182" s="123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39">
        <v>-8.5</v>
      </c>
      <c r="AH182" s="140">
        <v>40.722286614126496</v>
      </c>
      <c r="AI182" s="141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18">
        <v>-29</v>
      </c>
      <c r="B183" s="119">
        <v>480.32274915448545</v>
      </c>
      <c r="C183" s="120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18">
        <v>-29</v>
      </c>
      <c r="J183" s="119">
        <v>456.02</v>
      </c>
      <c r="K183" s="120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1">
        <v>-4</v>
      </c>
      <c r="Z183" s="122">
        <v>11.928066744801344</v>
      </c>
      <c r="AA183" s="123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39">
        <v>-9</v>
      </c>
      <c r="AH183" s="140">
        <v>41.676412035148751</v>
      </c>
      <c r="AI183" s="141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4">
        <v>-29.5</v>
      </c>
      <c r="B184" s="125">
        <v>494.7150647984185</v>
      </c>
      <c r="C184" s="126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4">
        <v>-29.5</v>
      </c>
      <c r="J184" s="125">
        <v>466.49</v>
      </c>
      <c r="K184" s="126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1">
        <v>-4.5</v>
      </c>
      <c r="Z184" s="122">
        <v>12.23870430719608</v>
      </c>
      <c r="AA184" s="123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2">
        <v>-9.5</v>
      </c>
      <c r="AH184" s="143">
        <v>42.655902921350801</v>
      </c>
      <c r="AI184" s="144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2">
        <v>-30</v>
      </c>
      <c r="B185" s="113">
        <v>509.57214925617967</v>
      </c>
      <c r="C185" s="114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2">
        <v>-30</v>
      </c>
      <c r="J185" s="113">
        <v>480.41</v>
      </c>
      <c r="K185" s="114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1">
        <v>-5</v>
      </c>
      <c r="Z185" s="122">
        <v>12.558239004031464</v>
      </c>
      <c r="AA185" s="123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6">
        <v>-10</v>
      </c>
      <c r="AH185" s="137">
        <v>43.661507126443723</v>
      </c>
      <c r="AI185" s="138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18">
        <v>-30.5</v>
      </c>
      <c r="B186" s="119">
        <v>524.90975980196527</v>
      </c>
      <c r="C186" s="120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18">
        <v>-30.5</v>
      </c>
      <c r="J186" s="119">
        <v>494.78</v>
      </c>
      <c r="K186" s="120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1">
        <v>-5.5</v>
      </c>
      <c r="Z186" s="122">
        <v>12.886943137693525</v>
      </c>
      <c r="AA186" s="123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39">
        <v>-10.5</v>
      </c>
      <c r="AH186" s="140">
        <v>44.693996586600136</v>
      </c>
      <c r="AI186" s="141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18">
        <v>-31</v>
      </c>
      <c r="B187" s="119">
        <v>540.74420130048816</v>
      </c>
      <c r="C187" s="120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18">
        <v>-31</v>
      </c>
      <c r="J187" s="119">
        <v>509.63</v>
      </c>
      <c r="K187" s="120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1">
        <v>-6</v>
      </c>
      <c r="Z187" s="122">
        <v>13.225097679505108</v>
      </c>
      <c r="AA187" s="123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39">
        <v>-11</v>
      </c>
      <c r="AH187" s="140">
        <v>45.754168158116777</v>
      </c>
      <c r="AI187" s="141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18">
        <v>-31.5</v>
      </c>
      <c r="B188" s="119">
        <v>557.09234518889582</v>
      </c>
      <c r="C188" s="120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18">
        <v>-31.5</v>
      </c>
      <c r="J188" s="119">
        <v>524.97</v>
      </c>
      <c r="K188" s="120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1">
        <v>-6.5</v>
      </c>
      <c r="Z188" s="122">
        <v>13.572992547685008</v>
      </c>
      <c r="AA188" s="123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39">
        <v>-11.5</v>
      </c>
      <c r="AH188" s="140">
        <v>46.842844486280391</v>
      </c>
      <c r="AI188" s="141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18">
        <v>-32</v>
      </c>
      <c r="B189" s="119">
        <v>573.97164908910383</v>
      </c>
      <c r="C189" s="120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18">
        <v>-32</v>
      </c>
      <c r="J189" s="119">
        <v>540.80999999999995</v>
      </c>
      <c r="K189" s="120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1">
        <v>-7</v>
      </c>
      <c r="Z189" s="122">
        <v>13.930926893827747</v>
      </c>
      <c r="AA189" s="123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39">
        <v>-12</v>
      </c>
      <c r="AH189" s="140">
        <v>47.960874906672984</v>
      </c>
      <c r="AI189" s="141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18">
        <v>-32.5</v>
      </c>
      <c r="B190" s="119">
        <v>591.4001770690362</v>
      </c>
      <c r="C190" s="120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18">
        <v>-32.5</v>
      </c>
      <c r="J190" s="119">
        <v>557.19000000000005</v>
      </c>
      <c r="K190" s="120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1">
        <v>-7.5</v>
      </c>
      <c r="Z190" s="122">
        <v>14.299209398126585</v>
      </c>
      <c r="AA190" s="123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39">
        <v>-12.5</v>
      </c>
      <c r="AH190" s="140">
        <v>49.109136380206586</v>
      </c>
      <c r="AI190" s="141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18">
        <v>-33</v>
      </c>
      <c r="B191" s="119">
        <v>609.39662057156147</v>
      </c>
      <c r="C191" s="120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18">
        <v>-33</v>
      </c>
      <c r="J191" s="119">
        <v>574.11</v>
      </c>
      <c r="K191" s="120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1">
        <v>-8</v>
      </c>
      <c r="Z191" s="122">
        <v>14.678158573560321</v>
      </c>
      <c r="AA191" s="123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39">
        <v>-13</v>
      </c>
      <c r="AH191" s="140">
        <v>50.288534463226327</v>
      </c>
      <c r="AI191" s="141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18">
        <v>-33.5</v>
      </c>
      <c r="B192" s="119">
        <v>627.98032003032233</v>
      </c>
      <c r="C192" s="120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18">
        <v>-33.5</v>
      </c>
      <c r="J192" s="119">
        <v>591.6</v>
      </c>
      <c r="K192" s="120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1">
        <v>-8.5</v>
      </c>
      <c r="Z192" s="122">
        <v>15.068103079271372</v>
      </c>
      <c r="AA192" s="123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39">
        <v>-13.5</v>
      </c>
      <c r="AH192" s="140">
        <v>51.50000431408445</v>
      </c>
      <c r="AI192" s="141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18">
        <v>-34</v>
      </c>
      <c r="B193" s="119">
        <v>647.17128719193647</v>
      </c>
      <c r="C193" s="120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18">
        <v>-34</v>
      </c>
      <c r="J193" s="119">
        <v>609.66999999999996</v>
      </c>
      <c r="K193" s="120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1">
        <v>-9</v>
      </c>
      <c r="Z193" s="122">
        <v>15.469382043359182</v>
      </c>
      <c r="AA193" s="123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39">
        <v>-14</v>
      </c>
      <c r="AH193" s="140">
        <v>52.744511737638213</v>
      </c>
      <c r="AI193" s="141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18">
        <v>-34.5</v>
      </c>
      <c r="B194" s="119">
        <v>666.99022816442118</v>
      </c>
      <c r="C194" s="120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18">
        <v>-34.5</v>
      </c>
      <c r="J194" s="119">
        <v>628.36</v>
      </c>
      <c r="K194" s="120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1">
        <v>-9.5</v>
      </c>
      <c r="Z194" s="122">
        <v>15.882345395320179</v>
      </c>
      <c r="AA194" s="123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39">
        <v>-14.5</v>
      </c>
      <c r="AH194" s="140">
        <v>54.023054269195875</v>
      </c>
      <c r="AI194" s="141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18">
        <v>-35</v>
      </c>
      <c r="B195" s="119">
        <v>687.45856721197117</v>
      </c>
      <c r="C195" s="120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18">
        <v>-35</v>
      </c>
      <c r="J195" s="119">
        <v>647.66999999999996</v>
      </c>
      <c r="K195" s="120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1">
        <v>-10</v>
      </c>
      <c r="Z195" s="122">
        <v>16.307354208359989</v>
      </c>
      <c r="AA195" s="123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39">
        <v>-15</v>
      </c>
      <c r="AH195" s="140">
        <v>55.336662299491152</v>
      </c>
      <c r="AI195" s="141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18">
        <v>-35.5</v>
      </c>
      <c r="B196" s="119">
        <v>708.59847131654442</v>
      </c>
      <c r="C196" s="120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18">
        <v>-35.5</v>
      </c>
      <c r="J196" s="119">
        <v>667.64</v>
      </c>
      <c r="K196" s="120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1">
        <v>-10.5</v>
      </c>
      <c r="Z196" s="122">
        <v>16.744781051811092</v>
      </c>
      <c r="AA196" s="123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39">
        <v>-15.5</v>
      </c>
      <c r="AH196" s="140">
        <v>56.68640024233742</v>
      </c>
      <c r="AI196" s="141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18">
        <v>-36</v>
      </c>
      <c r="B197" s="119">
        <v>730.43287552697643</v>
      </c>
      <c r="C197" s="120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18">
        <v>-36</v>
      </c>
      <c r="J197" s="119">
        <v>688.28</v>
      </c>
      <c r="K197" s="120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1">
        <v>-11</v>
      </c>
      <c r="Z197" s="122">
        <v>17.195010353882978</v>
      </c>
      <c r="AA197" s="123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39">
        <v>-16</v>
      </c>
      <c r="AH197" s="140">
        <v>58.073367746683218</v>
      </c>
      <c r="AI197" s="141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18">
        <v>-36.5</v>
      </c>
      <c r="B198" s="119">
        <v>752.98550911660493</v>
      </c>
      <c r="C198" s="120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18">
        <v>-36.5</v>
      </c>
      <c r="J198" s="119">
        <v>709.63</v>
      </c>
      <c r="K198" s="120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1">
        <v>-11.5</v>
      </c>
      <c r="Z198" s="122">
        <v>17.658438774977114</v>
      </c>
      <c r="AA198" s="123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39">
        <v>-16.5</v>
      </c>
      <c r="AH198" s="140">
        <v>59.498700954864212</v>
      </c>
      <c r="AI198" s="141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18">
        <v>-37</v>
      </c>
      <c r="B199" s="119">
        <v>776.28092257066669</v>
      </c>
      <c r="C199" s="120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18">
        <v>-37</v>
      </c>
      <c r="J199" s="119">
        <v>731.7</v>
      </c>
      <c r="K199" s="120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1">
        <v>-12</v>
      </c>
      <c r="Z199" s="122">
        <v>18.135475591792563</v>
      </c>
      <c r="AA199" s="123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39">
        <v>-17</v>
      </c>
      <c r="AH199" s="140">
        <v>60.963573808921069</v>
      </c>
      <c r="AI199" s="141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18">
        <v>-37.5</v>
      </c>
      <c r="B200" s="119">
        <v>800.34451542486693</v>
      </c>
      <c r="C200" s="120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18">
        <v>-37.5</v>
      </c>
      <c r="J200" s="119">
        <v>754.53</v>
      </c>
      <c r="K200" s="120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1">
        <v>-12.5</v>
      </c>
      <c r="Z200" s="122">
        <v>18.626543092451442</v>
      </c>
      <c r="AA200" s="123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39">
        <v>-17.5</v>
      </c>
      <c r="AH200" s="140">
        <v>62.469199406933704</v>
      </c>
      <c r="AI200" s="141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18">
        <v>-38</v>
      </c>
      <c r="B201" s="119">
        <v>825.20256497681555</v>
      </c>
      <c r="C201" s="120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18">
        <v>-38</v>
      </c>
      <c r="J201" s="119">
        <v>778.14</v>
      </c>
      <c r="K201" s="120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1">
        <v>-13</v>
      </c>
      <c r="Z201" s="122">
        <v>19.132076982868764</v>
      </c>
      <c r="AA201" s="123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39">
        <v>-18</v>
      </c>
      <c r="AH201" s="140">
        <v>64.016831411410308</v>
      </c>
      <c r="AI201" s="141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18">
        <v>-38.5</v>
      </c>
      <c r="B202" s="119">
        <v>850.88225589209651</v>
      </c>
      <c r="C202" s="120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18">
        <v>-38.5</v>
      </c>
      <c r="J202" s="119">
        <v>802.57</v>
      </c>
      <c r="K202" s="120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1">
        <v>-13.5</v>
      </c>
      <c r="Z202" s="122">
        <v>19.652526804586852</v>
      </c>
      <c r="AA202" s="123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39">
        <v>-18.5</v>
      </c>
      <c r="AH202" s="140">
        <v>65.607765511848228</v>
      </c>
      <c r="AI202" s="141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18">
        <v>-39</v>
      </c>
      <c r="B203" s="119">
        <v>877.4117107269177</v>
      </c>
      <c r="C203" s="120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18">
        <v>-39</v>
      </c>
      <c r="J203" s="119">
        <v>827.84</v>
      </c>
      <c r="K203" s="120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1">
        <v>-14</v>
      </c>
      <c r="Z203" s="122">
        <v>20.188356364295206</v>
      </c>
      <c r="AA203" s="123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39">
        <v>-19</v>
      </c>
      <c r="AH203" s="140">
        <v>67.243340943685581</v>
      </c>
      <c r="AI203" s="141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18">
        <v>-39.5</v>
      </c>
      <c r="B204" s="119">
        <v>904.82002138938697</v>
      </c>
      <c r="C204" s="120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18">
        <v>-39.5</v>
      </c>
      <c r="J204" s="119">
        <v>853.98</v>
      </c>
      <c r="K204" s="120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1">
        <v>-14.5</v>
      </c>
      <c r="Z204" s="122">
        <v>20.740044175246581</v>
      </c>
      <c r="AA204" s="123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39">
        <v>-19.5</v>
      </c>
      <c r="AH204" s="140">
        <v>68.92494206594705</v>
      </c>
      <c r="AI204" s="141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18">
        <v>-40</v>
      </c>
      <c r="B205" s="119">
        <v>933.13728156145191</v>
      </c>
      <c r="C205" s="120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18">
        <v>-40</v>
      </c>
      <c r="J205" s="119">
        <v>881.03</v>
      </c>
      <c r="K205" s="120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1">
        <v>-15</v>
      </c>
      <c r="Z205" s="122">
        <v>21.308083910779253</v>
      </c>
      <c r="AA205" s="123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39">
        <v>-20</v>
      </c>
      <c r="AH205" s="140">
        <v>70.653999999999058</v>
      </c>
      <c r="AI205" s="141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1">
        <v>-15.5</v>
      </c>
      <c r="Z206" s="122">
        <v>21.892984870145256</v>
      </c>
      <c r="AA206" s="123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39">
        <v>-20.5</v>
      </c>
      <c r="AH206" s="140">
        <v>72.431994331922766</v>
      </c>
      <c r="AI206" s="141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1">
        <v>-16</v>
      </c>
      <c r="Z207" s="122">
        <v>22.495272456838237</v>
      </c>
      <c r="AA207" s="123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39">
        <v>-21</v>
      </c>
      <c r="AH207" s="140">
        <v>74.260454881128183</v>
      </c>
      <c r="AI207" s="141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1">
        <v>-16.5</v>
      </c>
      <c r="Z208" s="122">
        <v>23.115488669607398</v>
      </c>
      <c r="AA208" s="123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39">
        <v>-21.5</v>
      </c>
      <c r="AH208" s="140">
        <v>76.140963537953226</v>
      </c>
      <c r="AI208" s="141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1">
        <v>-17</v>
      </c>
      <c r="Z209" s="122">
        <v>23.75419260632837</v>
      </c>
      <c r="AA209" s="123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39">
        <v>-22</v>
      </c>
      <c r="AH209" s="140">
        <v>78.075156173089269</v>
      </c>
      <c r="AI209" s="141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1">
        <v>-17.5</v>
      </c>
      <c r="Z210" s="122">
        <v>24.411960980896815</v>
      </c>
      <c r="AA210" s="123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39">
        <v>-22.5</v>
      </c>
      <c r="AH210" s="140">
        <v>80.064724621830223</v>
      </c>
      <c r="AI210" s="141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1">
        <v>-18</v>
      </c>
      <c r="Z211" s="122">
        <v>25.089388653292517</v>
      </c>
      <c r="AA211" s="123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39">
        <v>-23</v>
      </c>
      <c r="AH211" s="140">
        <v>82.111418746246883</v>
      </c>
      <c r="AI211" s="141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1">
        <v>-18.5</v>
      </c>
      <c r="Z212" s="122">
        <v>25.78708917294901</v>
      </c>
      <c r="AA212" s="123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39">
        <v>-23.5</v>
      </c>
      <c r="AH212" s="140">
        <v>84.217048578535781</v>
      </c>
      <c r="AI212" s="141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1">
        <v>-19</v>
      </c>
      <c r="Z213" s="122">
        <v>26.505695335547038</v>
      </c>
      <c r="AA213" s="123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39">
        <v>-24</v>
      </c>
      <c r="AH213" s="140">
        <v>86.383486548941931</v>
      </c>
      <c r="AI213" s="141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27">
        <v>-19.5</v>
      </c>
      <c r="Z214" s="128">
        <v>27.245859753331654</v>
      </c>
      <c r="AA214" s="129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39">
        <v>-24.5</v>
      </c>
      <c r="AH214" s="140">
        <v>88.612669801779248</v>
      </c>
      <c r="AI214" s="141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5">
        <v>-20</v>
      </c>
      <c r="Z215" s="116">
        <v>28.008255439031274</v>
      </c>
      <c r="AA215" s="117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39">
        <v>-25</v>
      </c>
      <c r="AH215" s="140">
        <v>90.906602603266563</v>
      </c>
      <c r="AI215" s="141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1">
        <v>-20.5</v>
      </c>
      <c r="Z216" s="122">
        <v>28.793576403436553</v>
      </c>
      <c r="AA216" s="123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39">
        <v>-25.5</v>
      </c>
      <c r="AH216" s="140">
        <v>93.26735884502294</v>
      </c>
      <c r="AI216" s="141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1">
        <v>-21</v>
      </c>
      <c r="Z217" s="122">
        <v>29.602538266668958</v>
      </c>
      <c r="AA217" s="123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39">
        <v>-26</v>
      </c>
      <c r="AH217" s="140">
        <v>95.69708464726375</v>
      </c>
      <c r="AI217" s="141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1">
        <v>-21.5</v>
      </c>
      <c r="Z218" s="122">
        <v>30.435878883146444</v>
      </c>
      <c r="AA218" s="123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39">
        <v>-26.5</v>
      </c>
      <c r="AH218" s="140">
        <v>98.19800106590624</v>
      </c>
      <c r="AI218" s="141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1">
        <v>-22</v>
      </c>
      <c r="Z219" s="122">
        <v>31.294358980216025</v>
      </c>
      <c r="AA219" s="123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39">
        <v>-27</v>
      </c>
      <c r="AH219" s="140">
        <v>100.77240690798193</v>
      </c>
      <c r="AI219" s="141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1">
        <v>-22.5</v>
      </c>
      <c r="Z220" s="122">
        <v>32.178762810397288</v>
      </c>
      <c r="AA220" s="123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39">
        <v>-27.5</v>
      </c>
      <c r="AH220" s="140">
        <v>103.42268165995598</v>
      </c>
      <c r="AI220" s="141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1">
        <v>-23</v>
      </c>
      <c r="Z221" s="122">
        <v>33.089898817140934</v>
      </c>
      <c r="AA221" s="123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39">
        <v>-28</v>
      </c>
      <c r="AH221" s="140">
        <v>106.15128853374992</v>
      </c>
      <c r="AI221" s="141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1">
        <v>-23.5</v>
      </c>
      <c r="Z222" s="122">
        <v>34.028600313969768</v>
      </c>
      <c r="AA222" s="123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39">
        <v>-28.5</v>
      </c>
      <c r="AH222" s="140">
        <v>108.96077763548658</v>
      </c>
      <c r="AI222" s="141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1">
        <v>-24</v>
      </c>
      <c r="Z223" s="122">
        <v>34.995726176822409</v>
      </c>
      <c r="AA223" s="123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39">
        <v>-29</v>
      </c>
      <c r="AH223" s="140">
        <v>111.85378926219936</v>
      </c>
      <c r="AI223" s="141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1">
        <v>-24.5</v>
      </c>
      <c r="Z224" s="122">
        <v>35.992161549378146</v>
      </c>
      <c r="AA224" s="123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39">
        <v>-29.5</v>
      </c>
      <c r="AH224" s="140">
        <v>114.83305733198102</v>
      </c>
      <c r="AI224" s="141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1">
        <v>-25</v>
      </c>
      <c r="Z225" s="122">
        <v>37.018818561091258</v>
      </c>
      <c r="AA225" s="123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39">
        <v>-30</v>
      </c>
      <c r="AH225" s="140">
        <v>117.90141295330618</v>
      </c>
      <c r="AI225" s="141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1">
        <v>-25.5</v>
      </c>
      <c r="Z226" s="122">
        <v>38.076637057603293</v>
      </c>
      <c r="AA226" s="123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39">
        <v>-30.5</v>
      </c>
      <c r="AH226" s="140">
        <v>121.06178813949494</v>
      </c>
      <c r="AI226" s="141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1">
        <v>-26</v>
      </c>
      <c r="Z227" s="122">
        <v>39.166585343148071</v>
      </c>
      <c r="AA227" s="123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39">
        <v>-31</v>
      </c>
      <c r="AH227" s="140">
        <v>124.31721967459063</v>
      </c>
      <c r="AI227" s="141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1">
        <v>-26.5</v>
      </c>
      <c r="Z228" s="122">
        <v>40.289660934501242</v>
      </c>
      <c r="AA228" s="123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39">
        <v>-31.5</v>
      </c>
      <c r="AH228" s="140">
        <v>127.67085313718384</v>
      </c>
      <c r="AI228" s="141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1">
        <v>-27</v>
      </c>
      <c r="Z229" s="122">
        <v>41.446891325949423</v>
      </c>
      <c r="AA229" s="123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39">
        <v>-32</v>
      </c>
      <c r="AH229" s="140">
        <v>131.12594708901892</v>
      </c>
      <c r="AI229" s="141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1">
        <v>-27.5</v>
      </c>
      <c r="Z230" s="122">
        <v>42.639334764692592</v>
      </c>
      <c r="AA230" s="123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39">
        <v>-32.5</v>
      </c>
      <c r="AH230" s="140">
        <v>134.68587743552899</v>
      </c>
      <c r="AI230" s="141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1">
        <v>-28</v>
      </c>
      <c r="Z231" s="122">
        <v>43.868081036003822</v>
      </c>
      <c r="AA231" s="123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39">
        <v>-33</v>
      </c>
      <c r="AH231" s="140">
        <v>138.35414196578668</v>
      </c>
      <c r="AI231" s="141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1">
        <v>-28.5</v>
      </c>
      <c r="Z232" s="122">
        <v>45.134252257385633</v>
      </c>
      <c r="AA232" s="123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39">
        <v>-33.5</v>
      </c>
      <c r="AH232" s="140">
        <v>142.13436507968302</v>
      </c>
      <c r="AI232" s="141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1">
        <v>-29</v>
      </c>
      <c r="Z233" s="122">
        <v>46.439003680879523</v>
      </c>
      <c r="AA233" s="123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39">
        <v>-34</v>
      </c>
      <c r="AH233" s="140">
        <v>146.03030271049741</v>
      </c>
      <c r="AI233" s="141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1">
        <v>-29.5</v>
      </c>
      <c r="Z234" s="122">
        <v>47.783524502576405</v>
      </c>
      <c r="AA234" s="123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39">
        <v>-34.5</v>
      </c>
      <c r="AH234" s="140">
        <v>150.04584745144885</v>
      </c>
      <c r="AI234" s="141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1">
        <v>-30</v>
      </c>
      <c r="Z235" s="122">
        <v>49.169038678272742</v>
      </c>
      <c r="AA235" s="123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39">
        <v>-35</v>
      </c>
      <c r="AH235" s="140">
        <v>154.18503389513509</v>
      </c>
      <c r="AI235" s="141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1">
        <v>-30.5</v>
      </c>
      <c r="Z236" s="122">
        <v>50.596805744111663</v>
      </c>
      <c r="AA236" s="123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39">
        <v>-35.5</v>
      </c>
      <c r="AH236" s="140">
        <v>158.45204419524401</v>
      </c>
      <c r="AI236" s="141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1">
        <v>-31</v>
      </c>
      <c r="Z237" s="122">
        <v>52.068121640916388</v>
      </c>
      <c r="AA237" s="123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39">
        <v>-36</v>
      </c>
      <c r="AH237" s="140">
        <v>162.8512138603358</v>
      </c>
      <c r="AI237" s="141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1">
        <v>-31.5</v>
      </c>
      <c r="Z238" s="122">
        <v>53.584319540802973</v>
      </c>
      <c r="AA238" s="123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39">
        <v>-36.5</v>
      </c>
      <c r="AH238" s="140">
        <v>167.38703778992914</v>
      </c>
      <c r="AI238" s="141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1">
        <v>-32</v>
      </c>
      <c r="Z239" s="122">
        <v>55.146770674519459</v>
      </c>
      <c r="AA239" s="123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39">
        <v>-37</v>
      </c>
      <c r="AH239" s="140">
        <v>172.0641765636237</v>
      </c>
      <c r="AI239" s="141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1">
        <v>-32.5</v>
      </c>
      <c r="Z240" s="122">
        <v>56.756885157809897</v>
      </c>
      <c r="AA240" s="123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39">
        <v>-37.5</v>
      </c>
      <c r="AH240" s="140">
        <v>176.88746299449971</v>
      </c>
      <c r="AI240" s="141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1">
        <v>-33</v>
      </c>
      <c r="Z241" s="122">
        <v>58.416112814948335</v>
      </c>
      <c r="AA241" s="123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39">
        <v>-38</v>
      </c>
      <c r="AH241" s="140">
        <v>181.86190895851212</v>
      </c>
      <c r="AI241" s="141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1">
        <v>-33.5</v>
      </c>
      <c r="Z242" s="122">
        <v>60.125943997420222</v>
      </c>
      <c r="AA242" s="123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39">
        <v>-38.5</v>
      </c>
      <c r="AH242" s="140">
        <v>186.99271251222339</v>
      </c>
      <c r="AI242" s="141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1">
        <v>-34</v>
      </c>
      <c r="Z243" s="122">
        <v>61.887910395555537</v>
      </c>
      <c r="AA243" s="123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39">
        <v>-39</v>
      </c>
      <c r="AH243" s="140">
        <v>192.28526531169578</v>
      </c>
      <c r="AI243" s="141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1">
        <v>-34.5</v>
      </c>
      <c r="Z244" s="122">
        <v>63.703585840722702</v>
      </c>
      <c r="AA244" s="123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2">
        <v>-39.5</v>
      </c>
      <c r="AH244" s="143">
        <v>197.74516034608368</v>
      </c>
      <c r="AI244" s="144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1">
        <v>-35</v>
      </c>
      <c r="Z245" s="122">
        <v>65.574587095502324</v>
      </c>
      <c r="AA245" s="123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1">
        <v>-35.5</v>
      </c>
      <c r="Z246" s="122">
        <v>67.502574629044673</v>
      </c>
      <c r="AA246" s="123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1">
        <v>-36</v>
      </c>
      <c r="Z247" s="122">
        <v>69.489253374587761</v>
      </c>
      <c r="AA247" s="123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1">
        <v>-36.5</v>
      </c>
      <c r="Z248" s="122">
        <v>71.536373465888744</v>
      </c>
      <c r="AA248" s="123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1">
        <v>-37</v>
      </c>
      <c r="Z249" s="122">
        <v>73.645730949050986</v>
      </c>
      <c r="AA249" s="123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1">
        <v>-37.5</v>
      </c>
      <c r="Z250" s="122">
        <v>75.819168465991453</v>
      </c>
      <c r="AA250" s="123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1">
        <v>-38</v>
      </c>
      <c r="Z251" s="122">
        <v>78.058575905485839</v>
      </c>
      <c r="AA251" s="123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1">
        <v>-38.5</v>
      </c>
      <c r="Z252" s="122">
        <v>80.365891017465884</v>
      </c>
      <c r="AA252" s="123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1">
        <v>-39</v>
      </c>
      <c r="Z253" s="122">
        <v>82.743099985907321</v>
      </c>
      <c r="AA253" s="123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1">
        <v>-39.5</v>
      </c>
      <c r="Z254" s="122">
        <v>85.192237955333596</v>
      </c>
      <c r="AA254" s="123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1">
        <v>-40</v>
      </c>
      <c r="Z255" s="122">
        <v>87.715389505627513</v>
      </c>
      <c r="AA255" s="123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3" customFormat="1" ht="13.5">
      <c r="A1" s="204" t="s">
        <v>757</v>
      </c>
      <c r="B1" s="204" t="s">
        <v>242</v>
      </c>
      <c r="C1" s="203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3" t="s">
        <v>797</v>
      </c>
    </row>
    <row r="19" spans="1:3">
      <c r="A19" s="53" t="s">
        <v>370</v>
      </c>
      <c r="B19" s="53" t="s">
        <v>758</v>
      </c>
    </row>
    <row r="20" spans="1:3">
      <c r="A20" s="53" t="s">
        <v>522</v>
      </c>
      <c r="B20" s="53" t="s">
        <v>759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