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saveExternalLinkValues="0"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F:\06_vs_code\06_Default_Sheet_Change_xlsm_to_xlsm\Default\"/>
    </mc:Choice>
  </mc:AlternateContent>
  <bookViews>
    <workbookView xWindow="-105" yWindow="-105" windowWidth="23250" windowHeight="12570" tabRatio="646" activeTab="3"/>
  </bookViews>
  <sheets>
    <sheet name="History" sheetId="5" r:id="rId1"/>
    <sheet name="Test Setup" sheetId="31" r:id="rId2"/>
    <sheet name="Test Case" sheetId="22" r:id="rId3"/>
    <sheet name="Tables" sheetId="34" r:id="rId4"/>
    <sheet name="Sensor" sheetId="33" r:id="rId5"/>
    <sheet name="용어" sheetId="32" r:id="rId6"/>
  </sheets>
  <functionGroups builtInGroupCount="18"/>
  <externalReferences>
    <externalReference r:id="rId7"/>
  </externalReferences>
  <definedNames>
    <definedName name="_xlnm._FilterDatabase" localSheetId="2" hidden="1">'Test Case'!$A$1:$A$2695</definedName>
    <definedName name="_xlnm._FilterDatabase" localSheetId="1" hidden="1">'Test Setup'!$J$1:$J$473</definedName>
    <definedName name="_Order1" hidden="1">255</definedName>
    <definedName name="AAFOpen">Tables!$C$362</definedName>
    <definedName name="AC_INTAKE_EN_DIS" localSheetId="3">Tables!$K$69</definedName>
    <definedName name="AcDisp" localSheetId="3">Tables!$C$77</definedName>
    <definedName name="AcnECompCnsmptPwrVal">Tables!$C$368</definedName>
    <definedName name="AcnReqSwi" localSheetId="3">Tables!$C$80</definedName>
    <definedName name="Act_Def" localSheetId="3">Tables!$C$92</definedName>
    <definedName name="Act_DrMode" localSheetId="3">Tables!$C$90</definedName>
    <definedName name="Act_DrTemp" localSheetId="3">Tables!$C$94</definedName>
    <definedName name="Act_Intake" localSheetId="3">Tables!$C$89</definedName>
    <definedName name="Act_PsMode" localSheetId="3">Tables!$C$91</definedName>
    <definedName name="Act_PsTemp" localSheetId="3">Tables!$C$95</definedName>
    <definedName name="Act_RrTemp_Cool" localSheetId="3">Tables!$C$96</definedName>
    <definedName name="Act_RrTemp_Warm" localSheetId="3">Tables!$C$97</definedName>
    <definedName name="activation_feuille" localSheetId="1" hidden="1" xlm="1">#REF!</definedName>
    <definedName name="activation_feuille" hidden="1" xlm="1">#REF!</definedName>
    <definedName name="ADS_Max" localSheetId="3">Tables!$C$152</definedName>
    <definedName name="ADS_Min" localSheetId="3">Tables!$C$151</definedName>
    <definedName name="ADSOnOffSet" localSheetId="3">Tables!$C$155</definedName>
    <definedName name="AfterBlower_ICU" localSheetId="3">Tables!$C$279</definedName>
    <definedName name="AfterBlower_OR" localSheetId="3">Tables!$C$278</definedName>
    <definedName name="AfterBlower_OS" localSheetId="3">Tables!$C$277</definedName>
    <definedName name="AfterBlower_OTA_mode" localSheetId="3">Tables!$C$282</definedName>
    <definedName name="AfterBlower_PDC" localSheetId="3">Tables!$C$280</definedName>
    <definedName name="AfterBlower_Symbol" localSheetId="3">Tables!$C$281</definedName>
    <definedName name="AfterBlower_USMSet" localSheetId="3">Tables!$C$275</definedName>
    <definedName name="AfterBlower_USMSta" localSheetId="3">Tables!$C$276</definedName>
    <definedName name="AirconPressureSensorValue" localSheetId="3">Tables!$C$227</definedName>
    <definedName name="AirconPrsRns" localSheetId="3">Tables!$C$273</definedName>
    <definedName name="Amb_IN" localSheetId="3">Tables!$C$102</definedName>
    <definedName name="Amb_OUT" localSheetId="3">Tables!$C$124</definedName>
    <definedName name="ATS_FrDrBlowerUpDn">Tables!$C$265</definedName>
    <definedName name="AutoBlowerHi_1" localSheetId="3">Tables!$C$175</definedName>
    <definedName name="AutoBlowerHi_2" localSheetId="3">Tables!$C$174</definedName>
    <definedName name="AutoBlowerHi_3" localSheetId="3">Tables!$C$173</definedName>
    <definedName name="AutoBlowerLow_1" localSheetId="3">Tables!$C$172</definedName>
    <definedName name="AutoBlowerLow_2" localSheetId="3">Tables!$C$171</definedName>
    <definedName name="AutoBlowerLow_3" localSheetId="3">Tables!$C$170</definedName>
    <definedName name="AutoCutMode" localSheetId="3">Tables!$C$272</definedName>
    <definedName name="AutoDefog_EN_DIS" localSheetId="3">Tables!$K$70</definedName>
    <definedName name="AutoDefogBlink" localSheetId="3">Tables!$C$158</definedName>
    <definedName name="AutoDefogSysOff_Disp" localSheetId="3">Tables!$C$154</definedName>
    <definedName name="AutoDisp" localSheetId="3">Tables!$C$74</definedName>
    <definedName name="AutoFre_EN_DIS" localSheetId="3">Tables!$K$71</definedName>
    <definedName name="AutoFresh_USM_Set" localSheetId="3">Tables!$C$156</definedName>
    <definedName name="AutoFrshUSMSta" localSheetId="3">Tables!$C$157</definedName>
    <definedName name="AUTOStep" localSheetId="3">Tables!$C$84</definedName>
    <definedName name="AutoWashMode" localSheetId="3">Tables!$C$271</definedName>
    <definedName name="AVN_CluUSMReset" localSheetId="3">Tables!$C$148</definedName>
    <definedName name="AVN_TempUnit_Set" localSheetId="3">Tables!$C$178</definedName>
    <definedName name="AVN_UnitReset" localSheetId="3">Tables!$C$179</definedName>
    <definedName name="BAT_ON_Initialize" localSheetId="3">Tables!$G$76</definedName>
    <definedName name="BatChllrTgtRpm">Tables!$C$394</definedName>
    <definedName name="BatEwpFltSta">Tables!$C$392</definedName>
    <definedName name="BATT_V">Tables!$C$100</definedName>
    <definedName name="BattChlrVlv_FltCode">Tables!$C$396</definedName>
    <definedName name="BattChlrVlvSta">Tables!$C$395</definedName>
    <definedName name="BattCompPwrCnsmptn">Tables!$C$367</definedName>
    <definedName name="BatteryEWPOper">Tables!$C$336</definedName>
    <definedName name="BattEvapVlv_FltCode">Tables!$C$398</definedName>
    <definedName name="BattEvapVlvSta">Tables!$C$397</definedName>
    <definedName name="BattPwrSum">Tables!$C$375</definedName>
    <definedName name="Blower_Motor_Relay">Tables!$C$234</definedName>
    <definedName name="BLW_Front" localSheetId="3">Tables!$C$93</definedName>
    <definedName name="BLW_IS_IN" localSheetId="3">Tables!$C$232</definedName>
    <definedName name="BLW_MAX" localSheetId="3">Tables!$C$231</definedName>
    <definedName name="BMS_Interlock_Req">Tables!$C$244</definedName>
    <definedName name="Button_CAN_Signal_EN_DIS" localSheetId="3">Tables!$K$75</definedName>
    <definedName name="Cell_Humidity" localSheetId="3">Tables!$C$116</definedName>
    <definedName name="Cell_Temp" localSheetId="3">Tables!$C$115</definedName>
    <definedName name="Celo_Auto" localSheetId="3">Tables!$K$51</definedName>
    <definedName name="Celo_Blower_Max" localSheetId="3">Tables!$C$144</definedName>
    <definedName name="Celo_Blower_Min" localSheetId="3">Tables!$C$143</definedName>
    <definedName name="Celo_DEF" localSheetId="3">Tables!$K$49</definedName>
    <definedName name="Celo_Mix" localSheetId="3">Tables!$K$50</definedName>
    <definedName name="CELOModeSta" localSheetId="3">Tables!$C$142</definedName>
    <definedName name="CHRG_ChargeStatus">Tables!$C$338</definedName>
    <definedName name="CionDiag_V" localSheetId="3">Tables!$C$111</definedName>
    <definedName name="CLEAN_Sign" localSheetId="3">Tables!$C$269</definedName>
    <definedName name="CLI_eComp_Interlock_Status">Tables!$C$298</definedName>
    <definedName name="ClmtLimOpSta">Tables!$C$331</definedName>
    <definedName name="ClmtPwrCnsmptn">Tables!$C$370</definedName>
    <definedName name="ClmtPwrSum">Tables!$C$374</definedName>
    <definedName name="ClmtTxtPopupOSD" localSheetId="3">Tables!$C$196</definedName>
    <definedName name="CLU_TempUnitSetReq" localSheetId="3">Tables!$C$177</definedName>
    <definedName name="CLU_USM_StaRst1Req" localSheetId="3">Tables!$C$149</definedName>
    <definedName name="CO2_EN_DIS" localSheetId="3">Tables!$K$73</definedName>
    <definedName name="CO2_OnOffSta" localSheetId="3">Tables!$C$203</definedName>
    <definedName name="CO2_OUT" localSheetId="3">Tables!$C$201</definedName>
    <definedName name="CO2_PPM_V" localSheetId="3">Tables!$C$200</definedName>
    <definedName name="CO2_Set" localSheetId="3">Tables!$C$202</definedName>
    <definedName name="CO2_Warning" localSheetId="3">Tables!$C$204</definedName>
    <definedName name="col_country" localSheetId="3">Tables!$C$40</definedName>
    <definedName name="Command_Blw" localSheetId="3">Tables!$C$223</definedName>
    <definedName name="Compressor" localSheetId="3">Tables!$C$229</definedName>
    <definedName name="CompSpd_rpm" localSheetId="3">Tables!$C$81</definedName>
    <definedName name="Const_mild_blower_v" localSheetId="3">Tables!$C$20</definedName>
    <definedName name="const_TempMd" localSheetId="3">Tables!$C$41</definedName>
    <definedName name="const_TempUnit" localSheetId="3">Tables!$C$42</definedName>
    <definedName name="const_TempUnit_1" localSheetId="3">Tables!$C$50</definedName>
    <definedName name="const_TempUnit_2" localSheetId="3">Tables!$C$51</definedName>
    <definedName name="const_Tset_default" localSheetId="3">Tables!$C$43</definedName>
    <definedName name="const_Tset_default_1" localSheetId="3">Tables!$C$52</definedName>
    <definedName name="const_Tset_default_2" localSheetId="3">Tables!$C$53</definedName>
    <definedName name="const_Tset_invalid" localSheetId="3">Tables!$C$47</definedName>
    <definedName name="const_Tset_invalid_1" localSheetId="3">Tables!$C$60</definedName>
    <definedName name="const_Tset_invalid_2" localSheetId="3">Tables!$C$61</definedName>
    <definedName name="const_Tset_max" localSheetId="3">Tables!$C$46</definedName>
    <definedName name="const_Tset_max_1" localSheetId="3">Tables!$C$58</definedName>
    <definedName name="const_Tset_max_2" localSheetId="3">Tables!$C$59</definedName>
    <definedName name="const_Tset_min" localSheetId="3">Tables!$C$45</definedName>
    <definedName name="const_Tset_min_1" localSheetId="3">Tables!$C$56</definedName>
    <definedName name="const_Tset_min_2" localSheetId="3">Tables!$C$57</definedName>
    <definedName name="const_Tset_off" localSheetId="3">Tables!$C$44</definedName>
    <definedName name="const_Tset_off_1" localSheetId="3">Tables!$C$54</definedName>
    <definedName name="const_Tset_off_2" localSheetId="3">Tables!$C$55</definedName>
    <definedName name="const_Tset_resolution" localSheetId="3">Tables!$C$48</definedName>
    <definedName name="const_Tset_resolution_1" localSheetId="3">Tables!$C$62</definedName>
    <definedName name="const_Tset_resolution_2" localSheetId="3">Tables!$C$63</definedName>
    <definedName name="Coolingfan_Duty">Tables!$C$333</definedName>
    <definedName name="CstPwrDr_W">Tables!$C$372</definedName>
    <definedName name="CstPwrPs_W">Tables!$C$373</definedName>
    <definedName name="DATC_CtrlablSta">Tables!$C$187</definedName>
    <definedName name="DATC_OpSta">Tables!$C$186</definedName>
    <definedName name="DEF_Logic" localSheetId="3">Tables!$G$71</definedName>
    <definedName name="DEFDisp" localSheetId="3">Tables!$C$83</definedName>
    <definedName name="DefLogic_USM_Set" localSheetId="3">Tables!$C$146</definedName>
    <definedName name="DfgLgcUSMSta" localSheetId="3">Tables!$C$147</definedName>
    <definedName name="DiagCodeDis">Tables!$C$86</definedName>
    <definedName name="DriverOnlyDisp" localSheetId="3">Tables!$C$82</definedName>
    <definedName name="DrOnly_Max">Tables!$S$12</definedName>
    <definedName name="DrOnly_Min">Tables!$S$4</definedName>
    <definedName name="DrTempDispC" localSheetId="3">Tables!$C$70</definedName>
    <definedName name="DrTempDispF" localSheetId="3">Tables!$C$72</definedName>
    <definedName name="DrvngModSwSta" localSheetId="3">Tables!$C$213</definedName>
    <definedName name="DTC_Clear_Service">Tables!$C$303</definedName>
    <definedName name="DTC_Code">Tables!$C$295</definedName>
    <definedName name="DTC_Read_Service">Tables!$C$304</definedName>
    <definedName name="DTC_Resp">Tables!$C$305</definedName>
    <definedName name="Duct_ALL_V" localSheetId="3">Tables!$C$105</definedName>
    <definedName name="Duct_DEF_OUT">Tables!$C$131</definedName>
    <definedName name="Duct_DEF_V">Tables!$C$110</definedName>
    <definedName name="Duct_FrFloor_OUT">Tables!$C$129</definedName>
    <definedName name="Duct_FrFloor_V">Tables!$C$108</definedName>
    <definedName name="Duct_FrVent_OUT">Tables!$C$127</definedName>
    <definedName name="Duct_FrVent_V">Tables!$C$106</definedName>
    <definedName name="Duct_PsFloor_OUT">Tables!$C$130</definedName>
    <definedName name="Duct_PsFloor_V">Tables!$C$109</definedName>
    <definedName name="Duct_PsVent_OUT">Tables!$C$128</definedName>
    <definedName name="Duct_PsVent_V">Tables!$C$107</definedName>
    <definedName name="EcoClmtLimSet">Tables!$C$329</definedName>
    <definedName name="EcoClmtLimSta">Tables!$C$330</definedName>
    <definedName name="Ecomp_CompCst_W">Tables!$C$371</definedName>
    <definedName name="eComp_Interlock_Sta">Tables!$C$240</definedName>
    <definedName name="EMS_Vehicle_Speed">Tables!$C$249</definedName>
    <definedName name="Eng_ACRS" localSheetId="3">Tables!$C$258</definedName>
    <definedName name="Eng_IdleRpm" localSheetId="3">Tables!$C$228</definedName>
    <definedName name="EngColTemp" localSheetId="3">Tables!$C$135</definedName>
    <definedName name="EngColTemp_ECT" localSheetId="3">Tables!$G$73</definedName>
    <definedName name="EngDsplceTyp" localSheetId="3">Tables!$C$217</definedName>
    <definedName name="ENGINE_rpm" localSheetId="3">Tables!$C$210</definedName>
    <definedName name="EngStartReq" localSheetId="3">Tables!$C$207</definedName>
    <definedName name="EngTyp1" localSheetId="3">Tables!$C$215</definedName>
    <definedName name="EngTyp2" localSheetId="3">Tables!$C$216</definedName>
    <definedName name="EV_Ready">Tables!$C$366</definedName>
    <definedName name="EvaDr_IN" localSheetId="3">Tables!$C$103</definedName>
    <definedName name="EvaDr_OUT" localSheetId="3">Tables!$C$125</definedName>
    <definedName name="EvaPs_IN" localSheetId="3">Tables!$C$104</definedName>
    <definedName name="EvaPs_OUT" localSheetId="3">Tables!$C$126</definedName>
    <definedName name="FATC_Interlock_Req">Tables!$C$242</definedName>
    <definedName name="FLAG_Country" localSheetId="3">Tables!$C$39</definedName>
    <definedName name="FrChgReqDis" localSheetId="3">Tables!$C$224</definedName>
    <definedName name="FrontBlwDisp" localSheetId="3">Tables!$C$79</definedName>
    <definedName name="GO" localSheetId="1" hidden="1" xlm="1">#REF!</definedName>
    <definedName name="GO" hidden="1" xlm="1">#REF!</definedName>
    <definedName name="hev_HEU_Per">Tables!$C$380</definedName>
    <definedName name="HEV_Ready">Tables!$C$251</definedName>
    <definedName name="HP_ModSta">Tables!$C$327</definedName>
    <definedName name="HTCU_Vehicle_Speed">Tables!$C$250</definedName>
    <definedName name="HtrEwpForecedOpt">Tables!$C$344</definedName>
    <definedName name="HU_MainBlowerUpDn">Tables!$C$266</definedName>
    <definedName name="HvBat_ADOS">Tables!$C$377</definedName>
    <definedName name="HVPP_CstPwrDr_W">Tables!$C$390</definedName>
    <definedName name="HVPP_CstPwrPs_W">Tables!$C$391</definedName>
    <definedName name="HVPPTargetDutyDr_Perc">Tables!$C$399</definedName>
    <definedName name="HVPPTargetDutyPs_Perc">Tables!$C$400</definedName>
    <definedName name="IBU_WasherSw" localSheetId="3">Tables!$C$194</definedName>
    <definedName name="Incar_IN" localSheetId="3">Tables!$C$101</definedName>
    <definedName name="Incar_OUT" localSheetId="3">Tables!$C$123</definedName>
    <definedName name="IntakeDisp" localSheetId="3">Tables!$C$78</definedName>
    <definedName name="IntakeSta" localSheetId="3">Tables!$C$189</definedName>
    <definedName name="ION_Sign" localSheetId="3">Tables!$C$268</definedName>
    <definedName name="IsgStat" localSheetId="3">Tables!$C$208</definedName>
    <definedName name="IsgStopReq" localSheetId="3">Tables!$C$206</definedName>
    <definedName name="K4_Max" localSheetId="3">Tables!$N$31</definedName>
    <definedName name="K4_Min" localSheetId="3">Tables!$N$24</definedName>
    <definedName name="LHD_RHD" localSheetId="3">Tables!$G$75</definedName>
    <definedName name="list_Country" localSheetId="3">Tables!$E$40:$H$40</definedName>
    <definedName name="LtrEwpFltSt">Tables!$C$393</definedName>
    <definedName name="Main_Relay_Sta">Tables!$C$245</definedName>
    <definedName name="MAX_COOL" localSheetId="3">Tables!$G$68</definedName>
    <definedName name="MAX_HOT" localSheetId="3">Tables!$G$69</definedName>
    <definedName name="MCU_Interlock_Req">Tables!$C$243</definedName>
    <definedName name="MFSW_WasherSw" localSheetId="3">Tables!$C$193</definedName>
    <definedName name="Mg1_TV">Tables!$C$363</definedName>
    <definedName name="Mg1HeatsinkTemperatureValue">Tables!$C$341</definedName>
    <definedName name="Mg2HeatsinkTemperatureValue">Tables!$C$342</definedName>
    <definedName name="MIX_Logic" localSheetId="3">Tables!$G$70</definedName>
    <definedName name="MltAutBlrTxt" localSheetId="3">Tables!$C$85</definedName>
    <definedName name="ModDisp" localSheetId="3">Tables!$C$76</definedName>
    <definedName name="Navi_AirConditionWarning" localSheetId="3">Tables!$C$190</definedName>
    <definedName name="OBC_Interlock_Req">Tables!$C$247</definedName>
    <definedName name="OpSta">Tables!$C$225</definedName>
    <definedName name="OPU_Interlock_Req">Tables!$C$248</definedName>
    <definedName name="P_SIGNAL_BCHILLER">Tables!$C$119</definedName>
    <definedName name="P_SIGNAL_COMP_OUT">Tables!$C$117</definedName>
    <definedName name="Partial_Cool">Tables!$G$78</definedName>
    <definedName name="Partial_HOT">Tables!$G$79</definedName>
    <definedName name="PeEwpRPMReq">Tables!$C$335</definedName>
    <definedName name="PeEwpRPMReq_EN_DIS">Tables!$G$77</definedName>
    <definedName name="Photo_L_V" localSheetId="3">Tables!$C$112</definedName>
    <definedName name="Photo_R_V" localSheetId="3">Tables!$C$113</definedName>
    <definedName name="PM_Blower_Max" localSheetId="3">Tables!$C$164</definedName>
    <definedName name="PM_Blower_Min" localSheetId="3">Tables!$C$163</definedName>
    <definedName name="PM_MassConcentration_2p5" localSheetId="3">Tables!$C$162</definedName>
    <definedName name="PM_PMSnsrRespErr" localSheetId="3">Tables!$C$161</definedName>
    <definedName name="PM_PMSnsrSts" localSheetId="3">Tables!$C$160</definedName>
    <definedName name="PreCharging_Sta">Tables!$C$246</definedName>
    <definedName name="PsTempDispC" localSheetId="3">Tables!$C$71</definedName>
    <definedName name="PsTempDispF" localSheetId="3">Tables!$C$73</definedName>
    <definedName name="PTC_EN_DIS" localSheetId="3">Tables!$K$76</definedName>
    <definedName name="PTC_RELAY_Sta" localSheetId="3">Tables!$C$211</definedName>
    <definedName name="PtcOprPrm">Tables!$C$388</definedName>
    <definedName name="PtcPrmPwr_W">Tables!$C$389</definedName>
    <definedName name="PtcPwrCnsmptnVal">Tables!$C$369</definedName>
    <definedName name="PTGM_Status" localSheetId="3">Tables!$C$256</definedName>
    <definedName name="PTGM_Type" localSheetId="3">Tables!$C$255</definedName>
    <definedName name="RAC_AcnCtrlReq" localSheetId="3">Tables!$C$181</definedName>
    <definedName name="RAC_DfrstCtrlReq" localSheetId="3">Tables!$C$184</definedName>
    <definedName name="RAC_TempModTyp" localSheetId="3">Tables!$C$183</definedName>
    <definedName name="RAC_TempSetVal" localSheetId="3">Tables!$C$182</definedName>
    <definedName name="RLY_AC" localSheetId="3">Tables!$C$195</definedName>
    <definedName name="SchedRmtFcn_OpSta">Tables!$C$185</definedName>
    <definedName name="SelfDiagCode" localSheetId="3">Tables!$K$74</definedName>
    <definedName name="SelfDiagDisp">Tables!$C$296</definedName>
    <definedName name="Service_Lamp_Req">Tables!$C$241</definedName>
    <definedName name="SmartVent_Set" localSheetId="3">Tables!$C$236</definedName>
    <definedName name="SmartVent_Status" localSheetId="3">Tables!$C$237</definedName>
    <definedName name="SmartVent_Symbol" localSheetId="3">Tables!$C$238</definedName>
    <definedName name="SunRoof_Open" localSheetId="3">Tables!$C$260</definedName>
    <definedName name="SyncDisp" localSheetId="3">Tables!$C$75</definedName>
    <definedName name="T_SIGNAL_BCHILLER">Tables!$C$120</definedName>
    <definedName name="T_SIGNAL_COMP_OUT">Tables!$C$118</definedName>
    <definedName name="T_windshield" localSheetId="3">Tables!$C$114</definedName>
    <definedName name="Tbl_ADS_blower_Dn" localSheetId="3">Tables!$E$62:$F$63</definedName>
    <definedName name="Tbl_ADS_blower_Up" localSheetId="3">Tables!$E$57:$F$58</definedName>
    <definedName name="Tbl_Amb_Sensor" localSheetId="3">[1]Sensor!$M$5:$O$205</definedName>
    <definedName name="Tbl_Amb_Sensor">Sensor!$M$5:$O$205</definedName>
    <definedName name="Tbl_AUTOStep" localSheetId="3">Tables!$N$49:$P$52</definedName>
    <definedName name="Tbl_Blower_DrOnly_Offset">Tables!$S$4:$V$13</definedName>
    <definedName name="Tbl_Blower_Volt" localSheetId="3">Tables!$B$4:$C$21</definedName>
    <definedName name="Tbl_BlowerDn_Display" localSheetId="3">Tables!$J$37:$L$45</definedName>
    <definedName name="Tbl_BlowerLimit_AmbDn_Volt" localSheetId="3">Tables!$P$6:$Q$17</definedName>
    <definedName name="Tbl_BlowerLimit_AmbUp_Volt" localSheetId="3">Tables!$N$6:$O$17</definedName>
    <definedName name="Tbl_BlowerUp_Display" localSheetId="3">Tables!$J$25:$L$33</definedName>
    <definedName name="Tbl_Blw_Step_Ctl">Tables!$O$80:$S$89</definedName>
    <definedName name="Tbl_Button_Display_ASSTS" localSheetId="3">'[1]Test Setup'!$J$8:$DO$114</definedName>
    <definedName name="Tbl_Button_Display_ASSTS">'Test Setup'!$J$8:$BQ$477</definedName>
    <definedName name="Tbl_CO2_Snr" localSheetId="3">Tables!$J$56:$L$61</definedName>
    <definedName name="Tbl_DefFB_Volt" localSheetId="3">Tables!$J$4:$K$21</definedName>
    <definedName name="Tbl_Duct_Sensor" localSheetId="3">[1]Sensor!$AC$5:$AE$255</definedName>
    <definedName name="Tbl_Duct_Sensor">Sensor!$AC$5:$AE$255</definedName>
    <definedName name="Tbl_ECT_blower" localSheetId="3">Tables!$E$52:$F$53</definedName>
    <definedName name="Tbl_Eva_Sensor" localSheetId="3">[1]Sensor!$U$5:$W$145</definedName>
    <definedName name="Tbl_Eva_Sensor">Sensor!$U$5:$W$145</definedName>
    <definedName name="Tbl_GlassTemp_Sensor">Sensor!$AK$5:$AM$244</definedName>
    <definedName name="Tbl_HP_Cycle">Tables!$N$98:$O$108</definedName>
    <definedName name="Tbl_Incar_Sensor" localSheetId="3">[1]Sensor!$E$5:$G$205</definedName>
    <definedName name="Tbl_Incar_Sensor">Sensor!$E$5:$G$205</definedName>
    <definedName name="Tbl_IntakeFB_Volt" localSheetId="3">Tables!$B$25:$C$37</definedName>
    <definedName name="Tbl_K4MinBlowerLimit_V" localSheetId="3">Tables!$N$24:$Q$31</definedName>
    <definedName name="Tbl_MltAutBlrTxt" localSheetId="3">Tables!$N$56:$P$59</definedName>
    <definedName name="Tbl_ModeFB_Volt" localSheetId="3">Tables!$F$4:$G$21</definedName>
    <definedName name="Tbl_PM_blower_Dn" localSheetId="3">Tables!$G$62:$H$63</definedName>
    <definedName name="Tbl_PM_blower_Up" localSheetId="3">Tables!$G$57:$H$58</definedName>
    <definedName name="Tbl_RrTempFB_Volt_Floor" localSheetId="3">Tables!$R$68:$T$76</definedName>
    <definedName name="Tbl_RrTempFB_Volt_Vent" localSheetId="3">Tables!$N$68:$P$76</definedName>
    <definedName name="Tbl_TempFB_Volt" localSheetId="3">Tables!$F$25:$G$37</definedName>
    <definedName name="Tbl_WaterVlvSta">Tables!$N$93:$P$94</definedName>
    <definedName name="TempChange_degCF" localSheetId="3">Tables!$K$68</definedName>
    <definedName name="TempDispUnit" localSheetId="3">Tables!$C$69</definedName>
    <definedName name="TqStndValExt" localSheetId="3">Tables!$C$218</definedName>
    <definedName name="TunnelFuncOff4AutoDfgReq">Tables!$C$191</definedName>
    <definedName name="User_Profile" localSheetId="3">Tables!$C$221</definedName>
    <definedName name="User_Profile2" localSheetId="3">Tables!$C$220</definedName>
    <definedName name="V01_DiagFunctnValue">Tables!$C$351</definedName>
    <definedName name="V01_EXV">Tables!$C$347</definedName>
    <definedName name="V01_EXV_DP">Tables!$E$347</definedName>
    <definedName name="V01_SystemState">Tables!$C$352</definedName>
    <definedName name="V02_DiagFunctnValue">Tables!$C$353</definedName>
    <definedName name="V02_EXV">Tables!$C$348</definedName>
    <definedName name="V02_EXV_DP">Tables!$E$348</definedName>
    <definedName name="V02_SystemState">Tables!$C$354</definedName>
    <definedName name="V04_3way">Tables!$C$349</definedName>
    <definedName name="V04_3way_DP">Tables!$E$349</definedName>
    <definedName name="V04_DiagFunctnValue">Tables!$C$355</definedName>
    <definedName name="V04_SystemState">Tables!$C$356</definedName>
    <definedName name="V05_2way">Tables!$C$350</definedName>
    <definedName name="V05_2way_DP">Tables!$E$350</definedName>
    <definedName name="V05_DiagFunctnValue">Tables!$C$357</definedName>
    <definedName name="V05_SystemState">Tables!$C$358</definedName>
    <definedName name="VC_IVRActivity" localSheetId="3">Tables!$C$263</definedName>
    <definedName name="VC_VRActivity" localSheetId="3">Tables!$C$262</definedName>
    <definedName name="VCU_HvBat_ADOS">Tables!$C$378</definedName>
    <definedName name="Vehicle_Startup">Tables!$C$253</definedName>
    <definedName name="VS_VehSpd_Kmh" localSheetId="3">Tables!$C$136</definedName>
    <definedName name="Washer_EN_DIS" localSheetId="3">Tables!$K$72</definedName>
    <definedName name="WaterCooling_ROTV">Tables!$C$360</definedName>
    <definedName name="WaterVlvSta">Tables!$C$339</definedName>
    <definedName name="WheelSpeed_FL">Tables!$C$137</definedName>
    <definedName name="WheelSpeed_FR">Tables!$C$138</definedName>
    <definedName name="WheelSpeed_RL">Tables!$C$139</definedName>
    <definedName name="WheelSpeed_RR">Tables!$C$140</definedName>
    <definedName name="WhlHeat_Ast" localSheetId="3">Tables!$C$292</definedName>
    <definedName name="WhlHeat_Drv" localSheetId="3">Tables!$C$291</definedName>
    <definedName name="WhlHeat_Heat_Set" localSheetId="3">Tables!$C$285</definedName>
    <definedName name="WhlHeat_Heat_Sta" localSheetId="3">Tables!$C$287</definedName>
    <definedName name="WhlHeat_ICU" localSheetId="3">Tables!$C$293</definedName>
    <definedName name="WhlHeat_LH_Step" localSheetId="3">Tables!$C$289</definedName>
    <definedName name="WhlHeat_RH_Step" localSheetId="3">Tables!$C$290</definedName>
    <definedName name="WhlHeat_Whl_Set" localSheetId="3">Tables!$C$284</definedName>
    <definedName name="WhlHeat_Whl_Sta" localSheetId="3">Tables!$C$286</definedName>
    <definedName name="WhlHeat_Whl_Step" localSheetId="3">Tables!$C$288</definedName>
    <definedName name="WshFldUSMSet" localSheetId="3">Tables!$C$197</definedName>
    <definedName name="WshFldUSMSta" localSheetId="3">Tables!$C$198</definedName>
    <definedName name="통합_DISP_사양" localSheetId="3">Tables!$G$72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3" i="34" l="1"/>
  <c r="F63" i="34"/>
  <c r="C63" i="34"/>
  <c r="H62" i="34"/>
  <c r="F62" i="34"/>
  <c r="C61" i="34"/>
  <c r="C59" i="34"/>
  <c r="H58" i="34"/>
  <c r="F58" i="34"/>
  <c r="H57" i="34"/>
  <c r="F57" i="34"/>
  <c r="C57" i="34"/>
  <c r="C55" i="34"/>
  <c r="F53" i="34"/>
  <c r="C53" i="34"/>
  <c r="F52" i="34"/>
  <c r="C51" i="34"/>
  <c r="C40" i="34"/>
  <c r="C47" i="34" s="1"/>
  <c r="C60" i="34" s="1"/>
  <c r="C48" i="34" l="1"/>
  <c r="C62" i="34" s="1"/>
  <c r="C41" i="34"/>
  <c r="C45" i="34"/>
  <c r="C56" i="34" s="1"/>
  <c r="C44" i="34"/>
  <c r="C54" i="34" s="1"/>
  <c r="C42" i="34"/>
  <c r="C50" i="34" s="1"/>
  <c r="C46" i="34"/>
  <c r="C58" i="34" s="1"/>
  <c r="C43" i="34"/>
  <c r="C52" i="34" s="1"/>
  <c r="F2015" i="22" l="1"/>
  <c r="F1988" i="22" a="1"/>
  <c r="F1988" i="22" l="1"/>
  <c r="I468" i="31" l="1"/>
  <c r="I463" i="31"/>
  <c r="I458" i="31"/>
  <c r="I453" i="31"/>
  <c r="I446" i="31"/>
  <c r="I441" i="31"/>
  <c r="I432" i="31"/>
  <c r="I427" i="31"/>
  <c r="I421" i="31"/>
  <c r="I416" i="31"/>
  <c r="I405" i="31"/>
  <c r="I399" i="31"/>
  <c r="I376" i="31"/>
  <c r="I357" i="31"/>
  <c r="I371" i="31"/>
  <c r="I366" i="31"/>
  <c r="I361" i="31"/>
  <c r="I352" i="31"/>
  <c r="I347" i="31"/>
  <c r="I336" i="31"/>
  <c r="I342" i="31"/>
  <c r="I331" i="31"/>
  <c r="I319" i="31"/>
  <c r="I315" i="31"/>
  <c r="I307" i="31"/>
  <c r="I302" i="31"/>
  <c r="I294" i="31"/>
  <c r="I285" i="31"/>
  <c r="I278" i="31"/>
  <c r="I268" i="31"/>
  <c r="I263" i="31"/>
  <c r="I258" i="31"/>
  <c r="I255" i="31"/>
  <c r="I250" i="31"/>
  <c r="I245" i="31"/>
  <c r="I240" i="31"/>
  <c r="I234" i="31"/>
  <c r="I228" i="31"/>
  <c r="I212" i="31"/>
  <c r="I203" i="31"/>
  <c r="I198" i="31"/>
  <c r="I193" i="31"/>
  <c r="I179" i="31"/>
  <c r="I162" i="31"/>
  <c r="I93" i="31"/>
  <c r="I88" i="31"/>
  <c r="I139" i="31"/>
  <c r="I71" i="31"/>
  <c r="I130" i="31"/>
  <c r="I122" i="31"/>
  <c r="I117" i="31"/>
  <c r="I111" i="31"/>
  <c r="I106" i="31"/>
  <c r="I101" i="31"/>
  <c r="I63" i="31"/>
  <c r="I56" i="31"/>
  <c r="I50" i="31"/>
  <c r="I45" i="31"/>
  <c r="I28" i="31"/>
  <c r="I23" i="31"/>
  <c r="I15" i="31"/>
  <c r="I8" i="31"/>
  <c r="U448" i="31"/>
  <c r="I273" i="31" l="1"/>
  <c r="I221" i="31"/>
  <c r="T397" i="31"/>
  <c r="T396" i="31"/>
  <c r="T395" i="31"/>
  <c r="T394" i="31"/>
  <c r="I1876" i="22"/>
  <c r="I1875" i="22"/>
  <c r="I1874" i="22"/>
  <c r="I1873" i="22"/>
  <c r="I1866" i="22"/>
  <c r="I1865" i="22"/>
  <c r="I1864" i="22"/>
  <c r="I1863" i="22"/>
  <c r="I1858" i="22"/>
  <c r="I1857" i="22"/>
  <c r="I1856" i="22"/>
  <c r="I1855" i="22"/>
  <c r="I1850" i="22"/>
  <c r="I1849" i="22"/>
  <c r="I1848" i="22"/>
  <c r="I1847" i="22"/>
  <c r="I1842" i="22"/>
  <c r="I1841" i="22"/>
  <c r="I1840" i="22"/>
  <c r="I1839" i="22"/>
  <c r="G1876" i="22"/>
  <c r="G1875" i="22"/>
  <c r="G1874" i="22"/>
  <c r="G1873" i="22"/>
  <c r="G1866" i="22"/>
  <c r="G1865" i="22"/>
  <c r="G1864" i="22"/>
  <c r="G1863" i="22"/>
  <c r="G1858" i="22"/>
  <c r="G1857" i="22"/>
  <c r="G1856" i="22"/>
  <c r="G1855" i="22"/>
  <c r="G1850" i="22"/>
  <c r="G1849" i="22"/>
  <c r="G1848" i="22"/>
  <c r="G1847" i="22"/>
  <c r="G1842" i="22"/>
  <c r="G1841" i="22"/>
  <c r="G1840" i="22"/>
  <c r="G1839" i="22"/>
  <c r="T98" i="31" l="1"/>
  <c r="U98" i="31"/>
  <c r="E570" i="22"/>
  <c r="U103" i="31"/>
  <c r="I595" i="22"/>
  <c r="G595" i="22"/>
  <c r="E590" i="22"/>
  <c r="U42" i="31"/>
  <c r="F590" i="22" a="1"/>
  <c r="F570" i="22" a="1"/>
  <c r="F570" i="22" l="1"/>
  <c r="F590" i="22"/>
  <c r="AG472" i="31" l="1"/>
  <c r="AG470" i="31"/>
  <c r="H1177" i="22" l="1"/>
  <c r="I1177" i="22" s="1"/>
  <c r="G1177" i="22"/>
  <c r="I1174" i="22" l="1"/>
  <c r="G1174" i="22"/>
  <c r="E1169" i="22"/>
  <c r="I1885" i="22"/>
  <c r="G1885" i="22"/>
  <c r="E1880" i="22"/>
  <c r="I1096" i="22"/>
  <c r="I1095" i="22"/>
  <c r="G1096" i="22"/>
  <c r="G1095" i="22"/>
  <c r="E1089" i="22"/>
  <c r="E1088" i="22"/>
  <c r="G1800" i="22"/>
  <c r="T306" i="31"/>
  <c r="T305" i="31"/>
  <c r="M305" i="31"/>
  <c r="M306" i="31" s="1"/>
  <c r="L305" i="31"/>
  <c r="L306" i="31" s="1"/>
  <c r="K305" i="31"/>
  <c r="K306" i="31" s="1"/>
  <c r="U304" i="31"/>
  <c r="I2594" i="22"/>
  <c r="I2593" i="22"/>
  <c r="I586" i="22"/>
  <c r="G586" i="22" a="1"/>
  <c r="G586" i="22" s="1"/>
  <c r="I585" i="22"/>
  <c r="G585" i="22"/>
  <c r="I584" i="22"/>
  <c r="G584" i="22"/>
  <c r="F583" i="22"/>
  <c r="F582" i="22"/>
  <c r="E582" i="22"/>
  <c r="I580" i="22"/>
  <c r="G580" i="22" a="1"/>
  <c r="G580" i="22" s="1"/>
  <c r="I579" i="22"/>
  <c r="G579" i="22"/>
  <c r="I578" i="22"/>
  <c r="G578" i="22"/>
  <c r="F577" i="22"/>
  <c r="F576" i="22"/>
  <c r="E576" i="22"/>
  <c r="I574" i="22"/>
  <c r="G574" i="22" a="1"/>
  <c r="G574" i="22" s="1"/>
  <c r="I573" i="22"/>
  <c r="G573" i="22"/>
  <c r="I572" i="22"/>
  <c r="G572" i="22"/>
  <c r="F571" i="22"/>
  <c r="I568" i="22"/>
  <c r="I567" i="22"/>
  <c r="I566" i="22"/>
  <c r="I562" i="22"/>
  <c r="I561" i="22"/>
  <c r="I560" i="22"/>
  <c r="I556" i="22"/>
  <c r="I555" i="22"/>
  <c r="I554" i="22"/>
  <c r="G556" i="22" a="1"/>
  <c r="G556" i="22" s="1"/>
  <c r="G568" i="22" a="1"/>
  <c r="G568" i="22" s="1"/>
  <c r="G567" i="22"/>
  <c r="G566" i="22"/>
  <c r="G562" i="22" a="1"/>
  <c r="G562" i="22" s="1"/>
  <c r="G561" i="22"/>
  <c r="G560" i="22"/>
  <c r="G555" i="22"/>
  <c r="G554" i="22"/>
  <c r="F565" i="22"/>
  <c r="F564" i="22"/>
  <c r="E564" i="22"/>
  <c r="F559" i="22"/>
  <c r="F558" i="22"/>
  <c r="E558" i="22"/>
  <c r="F553" i="22"/>
  <c r="E552" i="22"/>
  <c r="D550" i="22"/>
  <c r="H548" i="22"/>
  <c r="I548" i="22" s="1"/>
  <c r="G548" i="22"/>
  <c r="I547" i="22"/>
  <c r="G547" i="22"/>
  <c r="H543" i="22"/>
  <c r="I543" i="22" s="1"/>
  <c r="G543" i="22"/>
  <c r="I542" i="22"/>
  <c r="G542" i="22"/>
  <c r="H538" i="22"/>
  <c r="I538" i="22" s="1"/>
  <c r="G538" i="22"/>
  <c r="I537" i="22"/>
  <c r="G537" i="22"/>
  <c r="L90" i="31"/>
  <c r="L91" i="31" s="1"/>
  <c r="L92" i="31" s="1"/>
  <c r="M90" i="31"/>
  <c r="M91" i="31" s="1"/>
  <c r="M92" i="31" s="1"/>
  <c r="K90" i="31"/>
  <c r="K91" i="31" s="1"/>
  <c r="U95" i="31"/>
  <c r="F552" i="22" s="1"/>
  <c r="U90" i="31"/>
  <c r="F535" i="22" s="1"/>
  <c r="F546" i="22"/>
  <c r="F545" i="22"/>
  <c r="E545" i="22"/>
  <c r="F541" i="22"/>
  <c r="F540" i="22"/>
  <c r="E540" i="22"/>
  <c r="F536" i="22"/>
  <c r="E535" i="22"/>
  <c r="D533" i="22"/>
  <c r="H406" i="22"/>
  <c r="I406" i="22" s="1"/>
  <c r="G406" i="22"/>
  <c r="H405" i="22"/>
  <c r="I405" i="22" s="1"/>
  <c r="G405" i="22"/>
  <c r="I404" i="22"/>
  <c r="G404" i="22"/>
  <c r="F403" i="22"/>
  <c r="F402" i="22"/>
  <c r="E402" i="22"/>
  <c r="H400" i="22"/>
  <c r="I400" i="22" s="1"/>
  <c r="G400" i="22"/>
  <c r="H399" i="22"/>
  <c r="I399" i="22" s="1"/>
  <c r="G399" i="22"/>
  <c r="I398" i="22"/>
  <c r="G398" i="22"/>
  <c r="F397" i="22"/>
  <c r="F396" i="22"/>
  <c r="E396" i="22"/>
  <c r="H394" i="22"/>
  <c r="I394" i="22" s="1"/>
  <c r="G394" i="22"/>
  <c r="H393" i="22"/>
  <c r="I393" i="22" s="1"/>
  <c r="G393" i="22"/>
  <c r="H388" i="22"/>
  <c r="I388" i="22" s="1"/>
  <c r="H387" i="22"/>
  <c r="I387" i="22" s="1"/>
  <c r="G388" i="22"/>
  <c r="G387" i="22"/>
  <c r="H382" i="22"/>
  <c r="I382" i="22" s="1"/>
  <c r="H381" i="22"/>
  <c r="I381" i="22" s="1"/>
  <c r="G382" i="22"/>
  <c r="G381" i="22"/>
  <c r="E376" i="22"/>
  <c r="U58" i="31"/>
  <c r="F376" i="22" s="1"/>
  <c r="K59" i="31"/>
  <c r="K60" i="31" s="1"/>
  <c r="K61" i="31" s="1"/>
  <c r="K62" i="31" s="1"/>
  <c r="M59" i="31"/>
  <c r="M60" i="31" s="1"/>
  <c r="M61" i="31" s="1"/>
  <c r="M62" i="31" s="1"/>
  <c r="L59" i="31"/>
  <c r="L60" i="31" s="1"/>
  <c r="L61" i="31" s="1"/>
  <c r="L62" i="31" s="1"/>
  <c r="I392" i="22"/>
  <c r="G392" i="22"/>
  <c r="F391" i="22"/>
  <c r="F390" i="22"/>
  <c r="E390" i="22"/>
  <c r="I386" i="22"/>
  <c r="G386" i="22"/>
  <c r="F385" i="22"/>
  <c r="F384" i="22"/>
  <c r="E384" i="22"/>
  <c r="I380" i="22"/>
  <c r="G380" i="22"/>
  <c r="I379" i="22"/>
  <c r="G379" i="22"/>
  <c r="I378" i="22"/>
  <c r="G378" i="22"/>
  <c r="F377" i="22"/>
  <c r="E374" i="22"/>
  <c r="E373" i="22"/>
  <c r="D371" i="22"/>
  <c r="F335" i="22"/>
  <c r="F330" i="22"/>
  <c r="F323" i="22"/>
  <c r="H332" i="22"/>
  <c r="I332" i="22" s="1"/>
  <c r="I331" i="22"/>
  <c r="I336" i="22"/>
  <c r="H337" i="22"/>
  <c r="I337" i="22" s="1"/>
  <c r="G337" i="22"/>
  <c r="G336" i="22"/>
  <c r="G332" i="22"/>
  <c r="G331" i="22"/>
  <c r="F334" i="22"/>
  <c r="E334" i="22"/>
  <c r="F373" i="22" a="1"/>
  <c r="F1088" i="22" a="1"/>
  <c r="AG306" i="31" a="1"/>
  <c r="F1089" i="22" a="1"/>
  <c r="F374" i="22" a="1"/>
  <c r="F1169" i="22" a="1"/>
  <c r="AG304" i="31" a="1"/>
  <c r="F1880" i="22" a="1"/>
  <c r="D569" i="22" l="1"/>
  <c r="F1169" i="22"/>
  <c r="F1880" i="22"/>
  <c r="F1088" i="22"/>
  <c r="F1089" i="22"/>
  <c r="AG304" i="31"/>
  <c r="AG306" i="31"/>
  <c r="D563" i="22"/>
  <c r="D575" i="22"/>
  <c r="D557" i="22"/>
  <c r="D581" i="22"/>
  <c r="D539" i="22"/>
  <c r="D544" i="22"/>
  <c r="M95" i="31"/>
  <c r="M96" i="31" s="1"/>
  <c r="M97" i="31" s="1"/>
  <c r="M98" i="31" s="1"/>
  <c r="M99" i="31" s="1"/>
  <c r="M100" i="31" s="1"/>
  <c r="K92" i="31"/>
  <c r="K95" i="31"/>
  <c r="K96" i="31" s="1"/>
  <c r="K97" i="31" s="1"/>
  <c r="K99" i="31" s="1"/>
  <c r="K100" i="31" s="1"/>
  <c r="L95" i="31"/>
  <c r="L96" i="31" s="1"/>
  <c r="L97" i="31" s="1"/>
  <c r="D401" i="22"/>
  <c r="D389" i="22"/>
  <c r="D395" i="22"/>
  <c r="D383" i="22"/>
  <c r="M65" i="31"/>
  <c r="K65" i="31"/>
  <c r="L65" i="31"/>
  <c r="F373" i="22"/>
  <c r="F374" i="22"/>
  <c r="D333" i="22"/>
  <c r="L98" i="31" l="1"/>
  <c r="L99" i="31" s="1"/>
  <c r="L100" i="31" s="1"/>
  <c r="AG305" i="31"/>
  <c r="U47" i="31"/>
  <c r="F329" i="22"/>
  <c r="E329" i="22"/>
  <c r="H327" i="22"/>
  <c r="I327" i="22" s="1"/>
  <c r="G327" i="22"/>
  <c r="I326" i="22"/>
  <c r="G326" i="22"/>
  <c r="G325" i="22"/>
  <c r="G324" i="22"/>
  <c r="F322" i="22"/>
  <c r="E322" i="22"/>
  <c r="E320" i="22"/>
  <c r="E319" i="22"/>
  <c r="D317" i="22"/>
  <c r="D328" i="22" l="1"/>
  <c r="I227" i="22" l="1"/>
  <c r="G227" i="22"/>
  <c r="I226" i="22"/>
  <c r="G226" i="22"/>
  <c r="I220" i="22"/>
  <c r="G220" i="22"/>
  <c r="I219" i="22"/>
  <c r="G219" i="22"/>
  <c r="I213" i="22"/>
  <c r="G213" i="22"/>
  <c r="I212" i="22"/>
  <c r="G212" i="22"/>
  <c r="I206" i="22"/>
  <c r="G206" i="22"/>
  <c r="I205" i="22"/>
  <c r="G205" i="22"/>
  <c r="H264" i="22"/>
  <c r="I264" i="22" s="1"/>
  <c r="G264" i="22"/>
  <c r="I263" i="22"/>
  <c r="G263" i="22"/>
  <c r="F262" i="22"/>
  <c r="F261" i="22"/>
  <c r="E261" i="22"/>
  <c r="H259" i="22"/>
  <c r="I259" i="22" s="1"/>
  <c r="G259" i="22"/>
  <c r="I258" i="22"/>
  <c r="G258" i="22"/>
  <c r="F257" i="22"/>
  <c r="F256" i="22"/>
  <c r="E256" i="22"/>
  <c r="H254" i="22"/>
  <c r="I254" i="22" s="1"/>
  <c r="G254" i="22"/>
  <c r="I253" i="22"/>
  <c r="G253" i="22"/>
  <c r="F252" i="22"/>
  <c r="F251" i="22"/>
  <c r="E251" i="22"/>
  <c r="F267" i="22"/>
  <c r="I312" i="22"/>
  <c r="I315" i="22"/>
  <c r="I309" i="22"/>
  <c r="I306" i="22"/>
  <c r="I303" i="22"/>
  <c r="I300" i="22"/>
  <c r="I297" i="22"/>
  <c r="G315" i="22"/>
  <c r="G314" i="22"/>
  <c r="G312" i="22"/>
  <c r="G311" i="22"/>
  <c r="G309" i="22"/>
  <c r="G308" i="22"/>
  <c r="G306" i="22"/>
  <c r="G305" i="22"/>
  <c r="G303" i="22"/>
  <c r="G302" i="22"/>
  <c r="G300" i="22"/>
  <c r="G299" i="22"/>
  <c r="G297" i="22"/>
  <c r="G296" i="22"/>
  <c r="F295" i="22"/>
  <c r="D294" i="22" s="1"/>
  <c r="E295" i="22"/>
  <c r="E298" i="22" s="1"/>
  <c r="E301" i="22" s="1"/>
  <c r="E304" i="22" s="1"/>
  <c r="E307" i="22" s="1"/>
  <c r="E310" i="22" s="1"/>
  <c r="E313" i="22" s="1"/>
  <c r="I293" i="22"/>
  <c r="I290" i="22"/>
  <c r="I287" i="22"/>
  <c r="G293" i="22"/>
  <c r="G292" i="22"/>
  <c r="G290" i="22"/>
  <c r="G289" i="22"/>
  <c r="G287" i="22"/>
  <c r="G286" i="22"/>
  <c r="I284" i="22"/>
  <c r="I281" i="22"/>
  <c r="I278" i="22"/>
  <c r="I275" i="22"/>
  <c r="G284" i="22"/>
  <c r="G283" i="22"/>
  <c r="G281" i="22"/>
  <c r="G280" i="22"/>
  <c r="G278" i="22"/>
  <c r="G277" i="22"/>
  <c r="U52" i="31"/>
  <c r="U30" i="31"/>
  <c r="F203" i="22" s="1"/>
  <c r="G275" i="22"/>
  <c r="G274" i="22"/>
  <c r="F273" i="22"/>
  <c r="E273" i="22"/>
  <c r="H271" i="22"/>
  <c r="I271" i="22" s="1"/>
  <c r="G271" i="22"/>
  <c r="I270" i="22"/>
  <c r="G270" i="22"/>
  <c r="I269" i="22"/>
  <c r="G269" i="22"/>
  <c r="E267" i="22"/>
  <c r="D265" i="22"/>
  <c r="H208" i="22"/>
  <c r="I208" i="22" s="1"/>
  <c r="H249" i="22"/>
  <c r="I249" i="22" s="1"/>
  <c r="G249" i="22"/>
  <c r="I248" i="22"/>
  <c r="G248" i="22"/>
  <c r="F247" i="22"/>
  <c r="F246" i="22"/>
  <c r="E246" i="22"/>
  <c r="H244" i="22"/>
  <c r="I244" i="22" s="1"/>
  <c r="G244" i="22"/>
  <c r="I243" i="22"/>
  <c r="G243" i="22"/>
  <c r="F242" i="22"/>
  <c r="F241" i="22"/>
  <c r="E241" i="22"/>
  <c r="H239" i="22"/>
  <c r="I239" i="22" s="1"/>
  <c r="G239" i="22"/>
  <c r="I238" i="22"/>
  <c r="G238" i="22"/>
  <c r="F237" i="22"/>
  <c r="F236" i="22"/>
  <c r="E236" i="22"/>
  <c r="H234" i="22"/>
  <c r="I234" i="22" s="1"/>
  <c r="G234" i="22"/>
  <c r="I233" i="22"/>
  <c r="G233" i="22"/>
  <c r="F232" i="22"/>
  <c r="F231" i="22"/>
  <c r="E231" i="22"/>
  <c r="H229" i="22"/>
  <c r="I229" i="22" s="1"/>
  <c r="G229" i="22"/>
  <c r="I228" i="22"/>
  <c r="G228" i="22"/>
  <c r="F225" i="22"/>
  <c r="F224" i="22"/>
  <c r="E224" i="22"/>
  <c r="H222" i="22"/>
  <c r="I222" i="22" s="1"/>
  <c r="G222" i="22"/>
  <c r="I221" i="22"/>
  <c r="G221" i="22"/>
  <c r="F218" i="22"/>
  <c r="F217" i="22"/>
  <c r="E217" i="22"/>
  <c r="H215" i="22"/>
  <c r="I215" i="22" s="1"/>
  <c r="G215" i="22"/>
  <c r="I214" i="22"/>
  <c r="G214" i="22"/>
  <c r="F211" i="22"/>
  <c r="F210" i="22"/>
  <c r="E210" i="22"/>
  <c r="G208" i="22"/>
  <c r="I207" i="22"/>
  <c r="G207" i="22"/>
  <c r="F204" i="22"/>
  <c r="E203" i="22"/>
  <c r="D201" i="22"/>
  <c r="AF304" i="31" l="1"/>
  <c r="AF306" i="31"/>
  <c r="AF305" i="31"/>
  <c r="E276" i="22"/>
  <c r="E279" i="22" s="1"/>
  <c r="E282" i="22" s="1"/>
  <c r="E285" i="22" s="1"/>
  <c r="E288" i="22" s="1"/>
  <c r="E291" i="22" s="1"/>
  <c r="D272" i="22"/>
  <c r="F279" i="22"/>
  <c r="F282" i="22" s="1"/>
  <c r="F285" i="22" s="1"/>
  <c r="F288" i="22" s="1"/>
  <c r="F291" i="22" s="1"/>
  <c r="I274" i="22"/>
  <c r="I286" i="22"/>
  <c r="I289" i="22"/>
  <c r="I299" i="22"/>
  <c r="I305" i="22"/>
  <c r="I296" i="22"/>
  <c r="I302" i="22"/>
  <c r="I308" i="22"/>
  <c r="I292" i="22"/>
  <c r="I314" i="22"/>
  <c r="I311" i="22"/>
  <c r="I277" i="22"/>
  <c r="I280" i="22"/>
  <c r="I283" i="22"/>
  <c r="D255" i="22"/>
  <c r="D260" i="22"/>
  <c r="D250" i="22"/>
  <c r="F301" i="22"/>
  <c r="F304" i="22" s="1"/>
  <c r="F307" i="22" s="1"/>
  <c r="F310" i="22" s="1"/>
  <c r="F313" i="22" s="1"/>
  <c r="D240" i="22"/>
  <c r="D216" i="22"/>
  <c r="D230" i="22"/>
  <c r="D245" i="22"/>
  <c r="D209" i="22"/>
  <c r="D235" i="22"/>
  <c r="D223" i="22"/>
  <c r="F1172" i="22" l="1"/>
  <c r="F1269" i="22" a="1"/>
  <c r="F1269" i="22" l="1"/>
  <c r="U317" i="31" l="1"/>
  <c r="I2693" i="22" l="1"/>
  <c r="U470" i="31"/>
  <c r="D2681" i="22"/>
  <c r="D2668" i="22"/>
  <c r="G2537" i="22"/>
  <c r="H2571" i="22"/>
  <c r="I2571" i="22" s="1"/>
  <c r="G2580" i="22"/>
  <c r="G2571" i="22"/>
  <c r="H2543" i="22"/>
  <c r="I2543" i="22" s="1"/>
  <c r="G2543" i="22"/>
  <c r="G2562" i="22"/>
  <c r="AV452" i="31"/>
  <c r="H2580" i="22" s="1"/>
  <c r="I2580" i="22" s="1"/>
  <c r="AV450" i="31"/>
  <c r="H2562" i="22" s="1"/>
  <c r="I2562" i="22" s="1"/>
  <c r="I2533" i="22"/>
  <c r="G2533" i="22"/>
  <c r="T450" i="31"/>
  <c r="E2526" i="22"/>
  <c r="G2554" i="22"/>
  <c r="F2549" i="22"/>
  <c r="G2437" i="22"/>
  <c r="I2118" i="22"/>
  <c r="G2118" i="22" a="1"/>
  <c r="G2118" i="22" s="1"/>
  <c r="I2110" i="22"/>
  <c r="G2110" i="22" a="1"/>
  <c r="G2110" i="22" s="1"/>
  <c r="I2059" i="22"/>
  <c r="I2038" i="22"/>
  <c r="E1988" i="22"/>
  <c r="T334" i="31"/>
  <c r="Y452" i="31"/>
  <c r="Y450" i="31"/>
  <c r="Y449" i="31"/>
  <c r="Y339" i="31"/>
  <c r="Y335" i="31"/>
  <c r="Y333" i="31"/>
  <c r="I1956" i="22" s="1"/>
  <c r="Y297" i="31"/>
  <c r="Y300" i="31" s="1"/>
  <c r="Y291" i="31"/>
  <c r="Y292" i="31" s="1"/>
  <c r="Y124" i="31"/>
  <c r="Y13" i="31"/>
  <c r="Y18" i="31"/>
  <c r="Y22" i="31"/>
  <c r="Y73" i="31"/>
  <c r="Y78" i="31"/>
  <c r="Y83" i="31"/>
  <c r="Y87" i="31"/>
  <c r="F2526" i="22" a="1"/>
  <c r="F2032" i="22" a="1"/>
  <c r="F2030" i="22" a="1"/>
  <c r="F2057" i="22" a="1"/>
  <c r="F2031" i="22" a="1"/>
  <c r="F2526" i="22" l="1"/>
  <c r="F2057" i="22"/>
  <c r="F2032" i="22"/>
  <c r="F2031" i="22"/>
  <c r="F2030" i="22"/>
  <c r="Y299" i="31"/>
  <c r="K307" i="31" l="1"/>
  <c r="H1777" i="22"/>
  <c r="H1776" i="22"/>
  <c r="H1775" i="22"/>
  <c r="H1774" i="22"/>
  <c r="H1773" i="22"/>
  <c r="I1773" i="22" s="1"/>
  <c r="F1771" i="22"/>
  <c r="H1663" i="22"/>
  <c r="I1663" i="22" s="1"/>
  <c r="G1663" i="22"/>
  <c r="H1662" i="22"/>
  <c r="I1662" i="22" s="1"/>
  <c r="G1662" i="22"/>
  <c r="H1625" i="22"/>
  <c r="I1625" i="22" s="1"/>
  <c r="G1625" i="22"/>
  <c r="H1624" i="22"/>
  <c r="I1624" i="22" s="1"/>
  <c r="G1624" i="22"/>
  <c r="H1623" i="22"/>
  <c r="I1623" i="22" s="1"/>
  <c r="G1623" i="22"/>
  <c r="H1622" i="22"/>
  <c r="I1622" i="22" s="1"/>
  <c r="G1622" i="22"/>
  <c r="M281" i="31"/>
  <c r="M282" i="31" s="1"/>
  <c r="M283" i="31" s="1"/>
  <c r="M284" i="31" s="1"/>
  <c r="L281" i="31"/>
  <c r="L282" i="31" s="1"/>
  <c r="L283" i="31" s="1"/>
  <c r="L284" i="31" s="1"/>
  <c r="K281" i="31"/>
  <c r="K282" i="31" s="1"/>
  <c r="K283" i="31" s="1"/>
  <c r="K284" i="31" s="1"/>
  <c r="E1669" i="22"/>
  <c r="E1672" i="22"/>
  <c r="E1671" i="22"/>
  <c r="E1670" i="22"/>
  <c r="F1669" i="22"/>
  <c r="U465" i="31" l="1"/>
  <c r="E2632" i="22"/>
  <c r="F2632" i="22"/>
  <c r="F2633" i="22"/>
  <c r="E2610" i="22"/>
  <c r="G2615" i="22"/>
  <c r="F2614" i="22"/>
  <c r="U460" i="31"/>
  <c r="F2592" i="22"/>
  <c r="U455" i="31"/>
  <c r="H2582" i="22" l="1"/>
  <c r="I2582" i="22" s="1"/>
  <c r="G2582" i="22"/>
  <c r="H2573" i="22"/>
  <c r="I2573" i="22" s="1"/>
  <c r="G2573" i="22"/>
  <c r="H2564" i="22"/>
  <c r="I2564" i="22" s="1"/>
  <c r="G2564" i="22"/>
  <c r="H2545" i="22"/>
  <c r="I2545" i="22" s="1"/>
  <c r="G2545" i="22"/>
  <c r="F2532" i="22"/>
  <c r="V449" i="31"/>
  <c r="F2553" i="22" s="1"/>
  <c r="U443" i="31"/>
  <c r="T439" i="31"/>
  <c r="T438" i="31"/>
  <c r="E2475" i="22" s="1"/>
  <c r="T436" i="31"/>
  <c r="E2465" i="22" s="1"/>
  <c r="T435" i="31"/>
  <c r="E2460" i="22" s="1"/>
  <c r="U434" i="31"/>
  <c r="H2489" i="22"/>
  <c r="I2489" i="22" s="1"/>
  <c r="G2489" i="22"/>
  <c r="I2488" i="22"/>
  <c r="G2488" i="22"/>
  <c r="F2487" i="22"/>
  <c r="E2486" i="22"/>
  <c r="F2485" i="22"/>
  <c r="D2484" i="22" s="1"/>
  <c r="E2485" i="22"/>
  <c r="H2483" i="22"/>
  <c r="I2483" i="22" s="1"/>
  <c r="G2483" i="22"/>
  <c r="I2482" i="22"/>
  <c r="G2482" i="22"/>
  <c r="F2481" i="22"/>
  <c r="F2480" i="22"/>
  <c r="E2480" i="22"/>
  <c r="H2478" i="22"/>
  <c r="I2478" i="22" s="1"/>
  <c r="G2478" i="22"/>
  <c r="I2477" i="22"/>
  <c r="G2477" i="22"/>
  <c r="F2476" i="22"/>
  <c r="F2475" i="22"/>
  <c r="H2473" i="22"/>
  <c r="I2473" i="22" s="1"/>
  <c r="G2473" i="22"/>
  <c r="I2472" i="22"/>
  <c r="G2472" i="22"/>
  <c r="F2471" i="22"/>
  <c r="F2470" i="22"/>
  <c r="E2470" i="22"/>
  <c r="H2468" i="22"/>
  <c r="I2468" i="22" s="1"/>
  <c r="G2468" i="22"/>
  <c r="I2467" i="22"/>
  <c r="G2467" i="22"/>
  <c r="F2466" i="22"/>
  <c r="F2465" i="22"/>
  <c r="H2463" i="22"/>
  <c r="I2463" i="22" s="1"/>
  <c r="G2463" i="22"/>
  <c r="I2462" i="22"/>
  <c r="G2462" i="22"/>
  <c r="F2461" i="22"/>
  <c r="F2460" i="22"/>
  <c r="F2435" i="22"/>
  <c r="E2433" i="22"/>
  <c r="E9" i="22"/>
  <c r="U424" i="31"/>
  <c r="F2412" i="22" s="1"/>
  <c r="E2412" i="22"/>
  <c r="U423" i="31"/>
  <c r="F2404" i="22" s="1"/>
  <c r="E2411" i="22"/>
  <c r="D2410" i="22" s="1"/>
  <c r="E2404" i="22"/>
  <c r="E2403" i="22"/>
  <c r="E2402" i="22"/>
  <c r="M260" i="31"/>
  <c r="L260" i="31"/>
  <c r="K260" i="31"/>
  <c r="U418" i="31"/>
  <c r="F2386" i="22"/>
  <c r="I2330" i="22"/>
  <c r="I2329" i="22"/>
  <c r="I2325" i="22"/>
  <c r="I2324" i="22"/>
  <c r="I2320" i="22"/>
  <c r="I2319" i="22"/>
  <c r="I2318" i="22"/>
  <c r="I2317" i="22"/>
  <c r="I2316" i="22"/>
  <c r="I2334" i="22"/>
  <c r="I2340" i="22"/>
  <c r="I2336" i="22"/>
  <c r="I2335" i="22"/>
  <c r="I2342" i="22"/>
  <c r="I2341" i="22"/>
  <c r="I2379" i="22"/>
  <c r="I2378" i="22"/>
  <c r="I2377" i="22"/>
  <c r="I2376" i="22"/>
  <c r="I2375" i="22"/>
  <c r="I2369" i="22"/>
  <c r="I2368" i="22"/>
  <c r="I2367" i="22"/>
  <c r="I2366" i="22"/>
  <c r="I2365" i="22"/>
  <c r="I2360" i="22"/>
  <c r="I2359" i="22"/>
  <c r="I2358" i="22"/>
  <c r="I2357" i="22"/>
  <c r="I2356" i="22"/>
  <c r="I2351" i="22"/>
  <c r="I2350" i="22"/>
  <c r="I2349" i="22"/>
  <c r="I2348" i="22"/>
  <c r="I2347" i="22"/>
  <c r="T414" i="31"/>
  <c r="T413" i="31"/>
  <c r="T411" i="31"/>
  <c r="T410" i="31"/>
  <c r="T409" i="31"/>
  <c r="T408" i="31"/>
  <c r="BP7" i="31"/>
  <c r="BO7" i="31"/>
  <c r="BN7" i="31"/>
  <c r="BM7" i="31"/>
  <c r="BL7" i="31"/>
  <c r="D2479" i="22" l="1"/>
  <c r="D2469" i="22"/>
  <c r="D2474" i="22"/>
  <c r="D2464" i="22"/>
  <c r="D2459" i="22"/>
  <c r="E2353" i="22" l="1"/>
  <c r="E2344" i="22"/>
  <c r="G2369" i="22"/>
  <c r="G2368" i="22"/>
  <c r="G2367" i="22"/>
  <c r="G2366" i="22"/>
  <c r="G2365" i="22"/>
  <c r="F2364" i="22"/>
  <c r="E2363" i="22"/>
  <c r="F2362" i="22"/>
  <c r="F2363" i="22" s="1"/>
  <c r="E2362" i="22"/>
  <c r="G2360" i="22"/>
  <c r="G2359" i="22"/>
  <c r="G2358" i="22"/>
  <c r="G2357" i="22"/>
  <c r="G2356" i="22"/>
  <c r="F2355" i="22"/>
  <c r="E2354" i="22"/>
  <c r="F2353" i="22"/>
  <c r="F2354" i="22" s="1"/>
  <c r="G2351" i="22"/>
  <c r="G2350" i="22"/>
  <c r="G2349" i="22"/>
  <c r="G2348" i="22"/>
  <c r="G2347" i="22"/>
  <c r="G2346" i="22"/>
  <c r="F2345" i="22"/>
  <c r="F2344" i="22"/>
  <c r="D2343" i="22" s="1"/>
  <c r="E2308" i="22"/>
  <c r="BJ404" i="31"/>
  <c r="I2297" i="22" s="1"/>
  <c r="BI404" i="31"/>
  <c r="I2296" i="22" s="1"/>
  <c r="AG404" i="31"/>
  <c r="AF404" i="31" s="1"/>
  <c r="I2298" i="22" s="1"/>
  <c r="G2299" i="22"/>
  <c r="G2298" i="22"/>
  <c r="G2297" i="22"/>
  <c r="G2296" i="22"/>
  <c r="F2295" i="22"/>
  <c r="F2294" i="22"/>
  <c r="E2294" i="22"/>
  <c r="U401" i="31"/>
  <c r="V380" i="31"/>
  <c r="F2212" i="22" s="1"/>
  <c r="F2239" i="22"/>
  <c r="F2240" i="22"/>
  <c r="G2241" i="22"/>
  <c r="I2241" i="22"/>
  <c r="G2242" i="22" a="1"/>
  <c r="G2242" i="22" s="1"/>
  <c r="I2242" i="22"/>
  <c r="G2243" i="22"/>
  <c r="I2243" i="22"/>
  <c r="T379" i="31"/>
  <c r="E2204" i="22" s="1"/>
  <c r="F2196" i="22"/>
  <c r="H2216" i="22"/>
  <c r="I2216" i="22" s="1"/>
  <c r="G2216" i="22"/>
  <c r="I2215" i="22"/>
  <c r="G2215" i="22"/>
  <c r="I2214" i="22"/>
  <c r="G2214" i="22" a="1"/>
  <c r="G2214" i="22" s="1"/>
  <c r="I2213" i="22"/>
  <c r="G2213" i="22"/>
  <c r="F2211" i="22"/>
  <c r="D2210" i="22" s="1"/>
  <c r="E2211" i="22"/>
  <c r="H2209" i="22"/>
  <c r="I2209" i="22" s="1"/>
  <c r="G2209" i="22"/>
  <c r="I2208" i="22"/>
  <c r="G2208" i="22"/>
  <c r="I2207" i="22"/>
  <c r="G2207" i="22" a="1"/>
  <c r="G2207" i="22" s="1"/>
  <c r="I2206" i="22"/>
  <c r="G2206" i="22"/>
  <c r="F2205" i="22"/>
  <c r="F2204" i="22"/>
  <c r="H2202" i="22"/>
  <c r="I2202" i="22" s="1"/>
  <c r="G2202" i="22"/>
  <c r="I2201" i="22"/>
  <c r="G2201" i="22"/>
  <c r="I2200" i="22"/>
  <c r="G2200" i="22" a="1"/>
  <c r="G2200" i="22" s="1"/>
  <c r="I2199" i="22"/>
  <c r="G2199" i="22"/>
  <c r="I2198" i="22"/>
  <c r="G2198" i="22"/>
  <c r="I2197" i="22"/>
  <c r="G2197" i="22"/>
  <c r="E2194" i="22"/>
  <c r="E2193" i="22"/>
  <c r="D2191" i="22"/>
  <c r="U378" i="31"/>
  <c r="F2194" i="22" s="1"/>
  <c r="G2176" i="22"/>
  <c r="I2166" i="22"/>
  <c r="U359" i="31"/>
  <c r="U363" i="31"/>
  <c r="U344" i="31"/>
  <c r="F2088" i="22"/>
  <c r="F2193" i="22" a="1"/>
  <c r="I2299" i="22" l="1"/>
  <c r="D2293" i="22"/>
  <c r="D2203" i="22"/>
  <c r="F2193" i="22"/>
  <c r="G2059" i="22" l="1"/>
  <c r="E2057" i="22"/>
  <c r="U209" i="31"/>
  <c r="U223" i="31"/>
  <c r="U333" i="31"/>
  <c r="U327" i="31"/>
  <c r="U321" i="31"/>
  <c r="D1682" i="22"/>
  <c r="E1586" i="22"/>
  <c r="I1560" i="22"/>
  <c r="I1555" i="22"/>
  <c r="G1578" i="22"/>
  <c r="G1577" i="22"/>
  <c r="G1573" i="22"/>
  <c r="G1572" i="22"/>
  <c r="G1561" i="22"/>
  <c r="G1560" i="22"/>
  <c r="G1556" i="22"/>
  <c r="G1555" i="22"/>
  <c r="F1548" i="22"/>
  <c r="F1523" i="22"/>
  <c r="F1946" i="22" a="1"/>
  <c r="F1946" i="22" l="1"/>
  <c r="G1479" i="22"/>
  <c r="I1479" i="22"/>
  <c r="F1473" i="22"/>
  <c r="U247" i="31"/>
  <c r="U230" i="31"/>
  <c r="E1356" i="22"/>
  <c r="E1358" i="22"/>
  <c r="U226" i="31"/>
  <c r="I1331" i="22" l="1"/>
  <c r="G1331" i="22"/>
  <c r="I1309" i="22" l="1"/>
  <c r="G1309" i="22"/>
  <c r="I1227" i="22"/>
  <c r="G1227" i="22"/>
  <c r="E1220" i="22"/>
  <c r="E1223" i="22"/>
  <c r="AG201" i="31"/>
  <c r="F1220" i="22" a="1"/>
  <c r="F1220" i="22" l="1"/>
  <c r="E1170" i="22" l="1"/>
  <c r="Q192" i="31"/>
  <c r="D1154" i="22"/>
  <c r="D1132" i="22"/>
  <c r="D1119" i="22"/>
  <c r="D1113" i="22"/>
  <c r="F1170" i="22" a="1"/>
  <c r="F1170" i="22" l="1"/>
  <c r="E1090" i="22" l="1"/>
  <c r="D1067" i="22"/>
  <c r="D1038" i="22"/>
  <c r="D1000" i="22"/>
  <c r="D1009" i="22"/>
  <c r="D906" i="22"/>
  <c r="F907" i="22"/>
  <c r="F891" i="22"/>
  <c r="E891" i="22"/>
  <c r="D854" i="22"/>
  <c r="F855" i="22"/>
  <c r="F822" i="22"/>
  <c r="D821" i="22"/>
  <c r="U124" i="31"/>
  <c r="D717" i="22"/>
  <c r="D716" i="22"/>
  <c r="D715" i="22"/>
  <c r="D712" i="22"/>
  <c r="D671" i="22"/>
  <c r="D670" i="22"/>
  <c r="D669" i="22"/>
  <c r="D666" i="22"/>
  <c r="D706" i="22"/>
  <c r="D660" i="22"/>
  <c r="M120" i="31"/>
  <c r="L120" i="31"/>
  <c r="K120" i="31"/>
  <c r="L114" i="31"/>
  <c r="M114" i="31"/>
  <c r="K114" i="31"/>
  <c r="AP114" i="31"/>
  <c r="AN114" i="31"/>
  <c r="AF115" i="31"/>
  <c r="AG115" i="31"/>
  <c r="AN115" i="31"/>
  <c r="AP115" i="31"/>
  <c r="AW115" i="31"/>
  <c r="AV115" i="31"/>
  <c r="AW121" i="31"/>
  <c r="AV121" i="31"/>
  <c r="AP121" i="31"/>
  <c r="AN121" i="31"/>
  <c r="AG121" i="31"/>
  <c r="AF121" i="31"/>
  <c r="E644" i="22"/>
  <c r="I638" i="22"/>
  <c r="I632" i="22"/>
  <c r="I626" i="22"/>
  <c r="I610" i="22"/>
  <c r="I604" i="22"/>
  <c r="I598" i="22"/>
  <c r="F1114" i="22" a="1"/>
  <c r="F1120" i="22" a="1"/>
  <c r="F1090" i="22" a="1"/>
  <c r="F1133" i="22" a="1"/>
  <c r="F1133" i="22" l="1"/>
  <c r="F1120" i="22"/>
  <c r="F1114" i="22"/>
  <c r="F1090" i="22"/>
  <c r="G598" i="22"/>
  <c r="G604" i="22"/>
  <c r="G610" i="22"/>
  <c r="U87" i="31"/>
  <c r="I647" i="22"/>
  <c r="G647" i="22"/>
  <c r="E643" i="22"/>
  <c r="F643" i="22" a="1"/>
  <c r="F643" i="22" l="1"/>
  <c r="I458" i="22" l="1"/>
  <c r="I457" i="22"/>
  <c r="I456" i="22"/>
  <c r="F455" i="22"/>
  <c r="F454" i="22"/>
  <c r="E454" i="22"/>
  <c r="F416" i="22" l="1"/>
  <c r="E416" i="22"/>
  <c r="U22" i="31"/>
  <c r="D166" i="22"/>
  <c r="D193" i="22"/>
  <c r="D186" i="22"/>
  <c r="E175" i="22"/>
  <c r="E174" i="22"/>
  <c r="F111" i="22" l="1"/>
  <c r="E111" i="22"/>
  <c r="D143" i="22"/>
  <c r="G170" i="22"/>
  <c r="F169" i="22"/>
  <c r="F167" i="22"/>
  <c r="E167" i="22"/>
  <c r="I165" i="22"/>
  <c r="G165" i="22"/>
  <c r="I164" i="22"/>
  <c r="G164" i="22"/>
  <c r="I163" i="22"/>
  <c r="G163" i="22"/>
  <c r="I162" i="22"/>
  <c r="G162" i="22"/>
  <c r="G161" i="22"/>
  <c r="G160" i="22"/>
  <c r="I159" i="22"/>
  <c r="G159" i="22"/>
  <c r="I158" i="22"/>
  <c r="G158" i="22"/>
  <c r="F157" i="22"/>
  <c r="F155" i="22"/>
  <c r="I153" i="22"/>
  <c r="G153" i="22"/>
  <c r="I152" i="22"/>
  <c r="G152" i="22"/>
  <c r="I151" i="22"/>
  <c r="G151" i="22"/>
  <c r="I150" i="22"/>
  <c r="G150" i="22"/>
  <c r="G149" i="22"/>
  <c r="G148" i="22"/>
  <c r="I147" i="22"/>
  <c r="G147" i="22"/>
  <c r="I146" i="22"/>
  <c r="G146" i="22"/>
  <c r="F145" i="22"/>
  <c r="G142" i="22"/>
  <c r="I141" i="22"/>
  <c r="G141" i="22"/>
  <c r="I140" i="22"/>
  <c r="G140" i="22"/>
  <c r="I139" i="22"/>
  <c r="G139" i="22"/>
  <c r="G138" i="22"/>
  <c r="G137" i="22"/>
  <c r="I136" i="22"/>
  <c r="G136" i="22"/>
  <c r="I135" i="22"/>
  <c r="G135" i="22"/>
  <c r="F134" i="22"/>
  <c r="F133" i="22"/>
  <c r="E133" i="22"/>
  <c r="I131" i="22"/>
  <c r="G131" i="22"/>
  <c r="I130" i="22"/>
  <c r="G130" i="22"/>
  <c r="I129" i="22"/>
  <c r="G129" i="22"/>
  <c r="I128" i="22"/>
  <c r="G128" i="22"/>
  <c r="G127" i="22"/>
  <c r="G126" i="22"/>
  <c r="I125" i="22"/>
  <c r="G125" i="22"/>
  <c r="I124" i="22"/>
  <c r="G124" i="22"/>
  <c r="F123" i="22"/>
  <c r="F122" i="22"/>
  <c r="E122" i="22"/>
  <c r="T21" i="31"/>
  <c r="E155" i="22" s="1"/>
  <c r="AN19" i="31"/>
  <c r="I142" i="22" s="1"/>
  <c r="D132" i="22" l="1"/>
  <c r="D154" i="22"/>
  <c r="D75" i="22"/>
  <c r="F76" i="22"/>
  <c r="D108" i="22"/>
  <c r="F36" i="22" a="1"/>
  <c r="F36" i="22" l="1"/>
  <c r="U186" i="31" l="1"/>
  <c r="U182" i="31"/>
  <c r="E1108" i="22"/>
  <c r="F1108" i="22"/>
  <c r="F1109" i="22"/>
  <c r="G1110" i="22"/>
  <c r="I1110" i="22"/>
  <c r="G1111" i="22"/>
  <c r="I1111" i="22"/>
  <c r="G1112" i="22"/>
  <c r="I1112" i="22"/>
  <c r="P178" i="31"/>
  <c r="D1107" i="22" l="1"/>
  <c r="G638" i="22" l="1"/>
  <c r="G632" i="22" l="1"/>
  <c r="I625" i="22"/>
  <c r="G626" i="22"/>
  <c r="P169" i="31"/>
  <c r="E907" i="22"/>
  <c r="G934" i="22"/>
  <c r="I934" i="22"/>
  <c r="G935" i="22"/>
  <c r="I935" i="22"/>
  <c r="G936" i="22"/>
  <c r="I936" i="22"/>
  <c r="G937" i="22"/>
  <c r="I937" i="22"/>
  <c r="E855" i="22"/>
  <c r="E822" i="22"/>
  <c r="E939" i="22"/>
  <c r="F939" i="22"/>
  <c r="F940" i="22"/>
  <c r="G941" i="22"/>
  <c r="I941" i="22"/>
  <c r="G942" i="22"/>
  <c r="I942" i="22"/>
  <c r="G943" i="22"/>
  <c r="I943" i="22"/>
  <c r="G944" i="22"/>
  <c r="I944" i="22"/>
  <c r="G945" i="22"/>
  <c r="I945" i="22"/>
  <c r="D938" i="22" l="1"/>
  <c r="I351" i="22"/>
  <c r="G344" i="22"/>
  <c r="G343" i="22"/>
  <c r="I367" i="22"/>
  <c r="I366" i="22"/>
  <c r="G367" i="22"/>
  <c r="G366" i="22"/>
  <c r="G351" i="22"/>
  <c r="G358" i="22"/>
  <c r="G357" i="22"/>
  <c r="G350" i="22"/>
  <c r="K66" i="31"/>
  <c r="K104" i="31"/>
  <c r="K105" i="31" s="1"/>
  <c r="K109" i="31"/>
  <c r="K110" i="31" s="1"/>
  <c r="K112" i="31"/>
  <c r="K115" i="31"/>
  <c r="K118" i="31"/>
  <c r="K121" i="31"/>
  <c r="K125" i="31"/>
  <c r="K126" i="31" s="1"/>
  <c r="K12" i="31"/>
  <c r="K13" i="31" s="1"/>
  <c r="K14" i="31" s="1"/>
  <c r="K17" i="31" s="1"/>
  <c r="K18" i="31" s="1"/>
  <c r="K19" i="31" s="1"/>
  <c r="K20" i="31" s="1"/>
  <c r="K21" i="31" s="1"/>
  <c r="K22" i="31" s="1"/>
  <c r="K133" i="31"/>
  <c r="K134" i="31" s="1"/>
  <c r="K135" i="31" s="1"/>
  <c r="K136" i="31" s="1"/>
  <c r="K141" i="31" s="1"/>
  <c r="K142" i="31" s="1"/>
  <c r="K143" i="31" s="1"/>
  <c r="K144" i="31" s="1"/>
  <c r="K145" i="31" s="1"/>
  <c r="K146" i="31" s="1"/>
  <c r="K147" i="31" s="1"/>
  <c r="K148" i="31" s="1"/>
  <c r="K149" i="31" s="1"/>
  <c r="K165" i="31"/>
  <c r="K166" i="31" s="1"/>
  <c r="K167" i="31" s="1"/>
  <c r="K168" i="31" s="1"/>
  <c r="K169" i="31" s="1"/>
  <c r="K170" i="31" s="1"/>
  <c r="K171" i="31" s="1"/>
  <c r="K172" i="31" s="1"/>
  <c r="K201" i="31"/>
  <c r="K202" i="31" s="1"/>
  <c r="K206" i="31"/>
  <c r="K207" i="31" s="1"/>
  <c r="K210" i="31"/>
  <c r="K211" i="31" s="1"/>
  <c r="K215" i="31"/>
  <c r="K216" i="31" s="1"/>
  <c r="K219" i="31" s="1"/>
  <c r="K220" i="31" s="1"/>
  <c r="K224" i="31"/>
  <c r="K227" i="31"/>
  <c r="K231" i="31"/>
  <c r="K233" i="31" s="1"/>
  <c r="K232" i="31"/>
  <c r="K237" i="31"/>
  <c r="K239" i="31" s="1"/>
  <c r="K238" i="31"/>
  <c r="K243" i="31"/>
  <c r="K244" i="31" s="1"/>
  <c r="K248" i="31"/>
  <c r="K249" i="31" s="1"/>
  <c r="K253" i="31"/>
  <c r="K254" i="31" s="1"/>
  <c r="K261" i="31"/>
  <c r="K262" i="31" s="1"/>
  <c r="K266" i="31"/>
  <c r="K267" i="31" s="1"/>
  <c r="K271" i="31"/>
  <c r="K272" i="31" s="1"/>
  <c r="K275" i="31" s="1"/>
  <c r="K276" i="31" s="1"/>
  <c r="K277" i="31" s="1"/>
  <c r="K288" i="31"/>
  <c r="K309" i="31"/>
  <c r="K310" i="31" s="1"/>
  <c r="K311" i="31" s="1"/>
  <c r="K312" i="31" s="1"/>
  <c r="K313" i="31" s="1"/>
  <c r="K314" i="31" s="1"/>
  <c r="K318" i="31"/>
  <c r="K321" i="31" s="1"/>
  <c r="K322" i="31" s="1"/>
  <c r="K323" i="31" s="1"/>
  <c r="K324" i="31" s="1"/>
  <c r="K334" i="31"/>
  <c r="K335" i="31" s="1"/>
  <c r="K345" i="31"/>
  <c r="K346" i="31" s="1"/>
  <c r="K350" i="31"/>
  <c r="K351" i="31" s="1"/>
  <c r="K355" i="31"/>
  <c r="K356" i="31" s="1"/>
  <c r="K360" i="31"/>
  <c r="K363" i="31" s="1"/>
  <c r="K364" i="31" s="1"/>
  <c r="K365" i="31" s="1"/>
  <c r="K368" i="31" s="1"/>
  <c r="K369" i="31" s="1"/>
  <c r="K370" i="31" s="1"/>
  <c r="K374" i="31"/>
  <c r="K375" i="31" s="1"/>
  <c r="K379" i="31"/>
  <c r="K402" i="31"/>
  <c r="K403" i="31" s="1"/>
  <c r="K404" i="31" s="1"/>
  <c r="K408" i="31"/>
  <c r="K409" i="31" s="1"/>
  <c r="K410" i="31" s="1"/>
  <c r="K411" i="31" s="1"/>
  <c r="K471" i="31"/>
  <c r="K472" i="31" s="1"/>
  <c r="K338" i="31" l="1"/>
  <c r="K339" i="31" s="1"/>
  <c r="K340" i="31" s="1"/>
  <c r="K341" i="31" s="1"/>
  <c r="K289" i="31"/>
  <c r="K291" i="31"/>
  <c r="K173" i="31"/>
  <c r="K175" i="31"/>
  <c r="K176" i="31" s="1"/>
  <c r="K177" i="31" s="1"/>
  <c r="K178" i="31" s="1"/>
  <c r="K182" i="31" s="1"/>
  <c r="K183" i="31" s="1"/>
  <c r="K184" i="31" s="1"/>
  <c r="K185" i="31" s="1"/>
  <c r="K186" i="31" s="1"/>
  <c r="K189" i="31" s="1"/>
  <c r="K190" i="31" s="1"/>
  <c r="K191" i="31" s="1"/>
  <c r="K192" i="31" s="1"/>
  <c r="K196" i="31" s="1"/>
  <c r="K197" i="31" s="1"/>
  <c r="K67" i="31"/>
  <c r="K69" i="31" s="1"/>
  <c r="K380" i="31"/>
  <c r="K382" i="31"/>
  <c r="K383" i="31" s="1"/>
  <c r="K384" i="31" s="1"/>
  <c r="K385" i="31" s="1"/>
  <c r="K386" i="31" s="1"/>
  <c r="K150" i="31"/>
  <c r="K152" i="31"/>
  <c r="K153" i="31" s="1"/>
  <c r="K154" i="31" s="1"/>
  <c r="K155" i="31" s="1"/>
  <c r="K156" i="31" s="1"/>
  <c r="K157" i="31" s="1"/>
  <c r="K158" i="31" s="1"/>
  <c r="K159" i="31" s="1"/>
  <c r="K160" i="31" s="1"/>
  <c r="K161" i="31" s="1"/>
  <c r="K325" i="31"/>
  <c r="K327" i="31"/>
  <c r="K328" i="31" s="1"/>
  <c r="K329" i="31" s="1"/>
  <c r="K330" i="31" s="1"/>
  <c r="K415" i="31"/>
  <c r="K418" i="31" s="1"/>
  <c r="K419" i="31" s="1"/>
  <c r="K420" i="31" s="1"/>
  <c r="K423" i="31" s="1"/>
  <c r="K424" i="31" s="1"/>
  <c r="K425" i="31" s="1"/>
  <c r="K426" i="31" s="1"/>
  <c r="K429" i="31" s="1"/>
  <c r="K430" i="31" s="1"/>
  <c r="K431" i="31" s="1"/>
  <c r="K434" i="31" s="1"/>
  <c r="K435" i="31" s="1"/>
  <c r="K436" i="31" s="1"/>
  <c r="K437" i="31" s="1"/>
  <c r="K438" i="31" s="1"/>
  <c r="K439" i="31" s="1"/>
  <c r="K440" i="31" s="1"/>
  <c r="K443" i="31" s="1"/>
  <c r="K412" i="31"/>
  <c r="K413" i="31" s="1"/>
  <c r="K414" i="31" s="1"/>
  <c r="K388" i="31" l="1"/>
  <c r="K389" i="31" s="1"/>
  <c r="K390" i="31" s="1"/>
  <c r="K444" i="31"/>
  <c r="K445" i="31" s="1"/>
  <c r="K449" i="31" s="1"/>
  <c r="K450" i="31" s="1"/>
  <c r="K451" i="31" s="1"/>
  <c r="K452" i="31" s="1"/>
  <c r="K455" i="31" s="1"/>
  <c r="K456" i="31" s="1"/>
  <c r="K457" i="31" s="1"/>
  <c r="K460" i="31" s="1"/>
  <c r="K461" i="31" s="1"/>
  <c r="K462" i="31" s="1"/>
  <c r="K465" i="31" s="1"/>
  <c r="K466" i="31" s="1"/>
  <c r="K467" i="31" s="1"/>
  <c r="K187" i="31"/>
  <c r="K70" i="31"/>
  <c r="K292" i="31"/>
  <c r="K293" i="31" s="1"/>
  <c r="K296" i="31" s="1"/>
  <c r="K297" i="31" s="1"/>
  <c r="K298" i="31" s="1"/>
  <c r="K299" i="31" s="1"/>
  <c r="K300" i="31" s="1"/>
  <c r="I648" i="22"/>
  <c r="G648" i="22"/>
  <c r="I694" i="22"/>
  <c r="G694" i="22"/>
  <c r="AG114" i="31"/>
  <c r="AF114" i="31" s="1"/>
  <c r="G456" i="22"/>
  <c r="K391" i="31" l="1"/>
  <c r="K393" i="31"/>
  <c r="K394" i="31"/>
  <c r="K395" i="31" s="1"/>
  <c r="K396" i="31" s="1"/>
  <c r="K397" i="31" s="1"/>
  <c r="K398" i="31" s="1"/>
  <c r="K73" i="31"/>
  <c r="K74" i="31" s="1"/>
  <c r="K75" i="31" s="1"/>
  <c r="K77" i="31" s="1"/>
  <c r="K78" i="31" s="1"/>
  <c r="K79" i="31" s="1"/>
  <c r="K80" i="31" s="1"/>
  <c r="K81" i="31" s="1"/>
  <c r="K82" i="31" s="1"/>
  <c r="K83" i="31" s="1"/>
  <c r="K84" i="31" s="1"/>
  <c r="K85" i="31" s="1"/>
  <c r="K86" i="31" s="1"/>
  <c r="H1665" i="22"/>
  <c r="I1665" i="22" s="1"/>
  <c r="G1665" i="22"/>
  <c r="H1664" i="22"/>
  <c r="I1664" i="22" s="1"/>
  <c r="G1664" i="22"/>
  <c r="I1661" i="22"/>
  <c r="G1661" i="22" a="1"/>
  <c r="G1661" i="22" s="1"/>
  <c r="I1660" i="22"/>
  <c r="G1660" i="22"/>
  <c r="I1659" i="22"/>
  <c r="G1659" i="22"/>
  <c r="I1658" i="22"/>
  <c r="G1658" i="22"/>
  <c r="I1657" i="22"/>
  <c r="G1657" i="22"/>
  <c r="G1656" i="22"/>
  <c r="G1655" i="22"/>
  <c r="G1654" i="22"/>
  <c r="G1653" i="22"/>
  <c r="I1652" i="22"/>
  <c r="G1652" i="22"/>
  <c r="I1651" i="22"/>
  <c r="G1651" i="22"/>
  <c r="F1650" i="22"/>
  <c r="F1649" i="22"/>
  <c r="G1647" i="22"/>
  <c r="G1646" i="22"/>
  <c r="G1645" i="22"/>
  <c r="G1644" i="22"/>
  <c r="F1643" i="22"/>
  <c r="H1640" i="22"/>
  <c r="I1640" i="22" s="1"/>
  <c r="G1640" i="22"/>
  <c r="H1639" i="22"/>
  <c r="I1639" i="22" s="1"/>
  <c r="G1639" i="22"/>
  <c r="H1638" i="22"/>
  <c r="I1638" i="22" s="1"/>
  <c r="G1638" i="22"/>
  <c r="H1637" i="22"/>
  <c r="I1637" i="22" s="1"/>
  <c r="G1637" i="22"/>
  <c r="I1636" i="22"/>
  <c r="G1636" i="22" a="1"/>
  <c r="G1636" i="22" s="1"/>
  <c r="I1635" i="22"/>
  <c r="G1635" i="22"/>
  <c r="I1634" i="22"/>
  <c r="G1634" i="22"/>
  <c r="I1633" i="22"/>
  <c r="G1633" i="22"/>
  <c r="I1632" i="22"/>
  <c r="G1632" i="22"/>
  <c r="I1631" i="22"/>
  <c r="G1631" i="22"/>
  <c r="I1630" i="22"/>
  <c r="G1630" i="22"/>
  <c r="I1629" i="22"/>
  <c r="G1629" i="22"/>
  <c r="F1628" i="22"/>
  <c r="F1627" i="22"/>
  <c r="I1621" i="22"/>
  <c r="G1621" i="22" a="1"/>
  <c r="G1621" i="22" s="1"/>
  <c r="I1620" i="22"/>
  <c r="G1620" i="22"/>
  <c r="I1619" i="22"/>
  <c r="G1619" i="22"/>
  <c r="I1618" i="22"/>
  <c r="G1618" i="22"/>
  <c r="I1617" i="22"/>
  <c r="G1617" i="22"/>
  <c r="I1616" i="22"/>
  <c r="G1616" i="22"/>
  <c r="I1615" i="22"/>
  <c r="G1615" i="22"/>
  <c r="I1614" i="22"/>
  <c r="G1614" i="22"/>
  <c r="F1613" i="22"/>
  <c r="F1612" i="22"/>
  <c r="H1610" i="22"/>
  <c r="I1610" i="22" s="1"/>
  <c r="G1610" i="22"/>
  <c r="H1609" i="22"/>
  <c r="I1609" i="22" s="1"/>
  <c r="G1609" i="22"/>
  <c r="H1608" i="22"/>
  <c r="I1608" i="22" s="1"/>
  <c r="G1608" i="22"/>
  <c r="H1607" i="22"/>
  <c r="I1607" i="22" s="1"/>
  <c r="G1607" i="22"/>
  <c r="I1606" i="22"/>
  <c r="G1606" i="22" a="1"/>
  <c r="G1606" i="22" s="1"/>
  <c r="I1605" i="22"/>
  <c r="G1605" i="22"/>
  <c r="I1604" i="22"/>
  <c r="G1604" i="22"/>
  <c r="I1603" i="22"/>
  <c r="G1603" i="22"/>
  <c r="I1602" i="22"/>
  <c r="G1602" i="22"/>
  <c r="G1601" i="22"/>
  <c r="G1600" i="22"/>
  <c r="G1599" i="22"/>
  <c r="G1598" i="22"/>
  <c r="G1597" i="22"/>
  <c r="I1596" i="22"/>
  <c r="G1596" i="22"/>
  <c r="I1595" i="22"/>
  <c r="G1595" i="22"/>
  <c r="I1594" i="22"/>
  <c r="G1594" i="22"/>
  <c r="I1593" i="22"/>
  <c r="G1593" i="22"/>
  <c r="I1592" i="22"/>
  <c r="G1592" i="22"/>
  <c r="F1591" i="22"/>
  <c r="E1590" i="22"/>
  <c r="E1589" i="22"/>
  <c r="E1588" i="22"/>
  <c r="E1587" i="22"/>
  <c r="E1583" i="22"/>
  <c r="E1582" i="22"/>
  <c r="T284" i="31"/>
  <c r="E1649" i="22" s="1"/>
  <c r="T283" i="31"/>
  <c r="E1642" i="22" s="1"/>
  <c r="T282" i="31"/>
  <c r="E1627" i="22" s="1"/>
  <c r="T281" i="31"/>
  <c r="E1612" i="22" s="1"/>
  <c r="F1582" i="22" a="1"/>
  <c r="F1583" i="22" a="1"/>
  <c r="D1648" i="22" l="1"/>
  <c r="D1626" i="22"/>
  <c r="D1611" i="22"/>
  <c r="F1582" i="22"/>
  <c r="F1583" i="22"/>
  <c r="E2589" i="22" l="1"/>
  <c r="T457" i="31"/>
  <c r="I96" i="22" l="1"/>
  <c r="G96" i="22"/>
  <c r="I95" i="22"/>
  <c r="G95" i="22"/>
  <c r="I94" i="22"/>
  <c r="G94" i="22"/>
  <c r="I93" i="22"/>
  <c r="G93" i="22"/>
  <c r="G92" i="22"/>
  <c r="G91" i="22"/>
  <c r="I90" i="22"/>
  <c r="G90" i="22"/>
  <c r="I89" i="22"/>
  <c r="G89" i="22"/>
  <c r="F88" i="22"/>
  <c r="F87" i="22"/>
  <c r="E87" i="22"/>
  <c r="D86" i="22" s="1"/>
  <c r="V55" i="31" l="1"/>
  <c r="F365" i="22" s="1"/>
  <c r="AW54" i="31"/>
  <c r="AV54" i="31"/>
  <c r="V54" i="31"/>
  <c r="T54" i="31"/>
  <c r="I369" i="22"/>
  <c r="G369" i="22"/>
  <c r="I368" i="22"/>
  <c r="G368" i="22"/>
  <c r="E364" i="22"/>
  <c r="E363" i="22"/>
  <c r="F362" i="22"/>
  <c r="D361" i="22" s="1"/>
  <c r="E362" i="22"/>
  <c r="G2690" i="22" a="1"/>
  <c r="G2690" i="22" s="1"/>
  <c r="G2676" i="22" a="1"/>
  <c r="G2676" i="22" s="1"/>
  <c r="G2663" i="22" a="1"/>
  <c r="G2663" i="22" s="1"/>
  <c r="G2606" i="22" a="1"/>
  <c r="G2606" i="22" s="1"/>
  <c r="G2604" i="22" a="1"/>
  <c r="G2604" i="22" s="1"/>
  <c r="G2599" i="22" a="1"/>
  <c r="G2599" i="22" s="1"/>
  <c r="G2594" i="22" a="1"/>
  <c r="G2594" i="22" s="1"/>
  <c r="G2552" i="22" a="1"/>
  <c r="G2552" i="22" s="1"/>
  <c r="G2542" i="22" a="1"/>
  <c r="G2542" i="22" s="1"/>
  <c r="G2520" i="22" a="1"/>
  <c r="G2520" i="22" s="1"/>
  <c r="G2511" i="22" a="1"/>
  <c r="G2511" i="22" s="1"/>
  <c r="G2502" i="22" a="1"/>
  <c r="G2502" i="22" s="1"/>
  <c r="G2236" i="22" a="1"/>
  <c r="G2236" i="22" s="1"/>
  <c r="G2230" i="22" a="1"/>
  <c r="G2230" i="22" s="1"/>
  <c r="G2223" i="22" a="1"/>
  <c r="G2223" i="22" s="1"/>
  <c r="G1541" i="22" a="1"/>
  <c r="G1541" i="22" s="1"/>
  <c r="G1534" i="22" a="1"/>
  <c r="G1534" i="22" s="1"/>
  <c r="G1527" i="22" a="1"/>
  <c r="G1527" i="22" s="1"/>
  <c r="G1516" i="22" a="1"/>
  <c r="G1516" i="22" s="1"/>
  <c r="G1511" i="22" a="1"/>
  <c r="G1511" i="22" s="1"/>
  <c r="G1506" i="22" a="1"/>
  <c r="G1506" i="22" s="1"/>
  <c r="G1396" i="22" a="1"/>
  <c r="G1396" i="22" s="1"/>
  <c r="G1081" i="22" a="1"/>
  <c r="G1081" i="22" s="1"/>
  <c r="G1072" i="22" a="1"/>
  <c r="G1072" i="22" s="1"/>
  <c r="G1059" i="22" a="1"/>
  <c r="G1059" i="22" s="1"/>
  <c r="G1043" i="22" a="1"/>
  <c r="G1043" i="22" s="1"/>
  <c r="G1034" i="22" a="1"/>
  <c r="G1034" i="22" s="1"/>
  <c r="G1025" i="22" a="1"/>
  <c r="G1025" i="22" s="1"/>
  <c r="G1015" i="22" a="1"/>
  <c r="G1015" i="22" s="1"/>
  <c r="G1005" i="22" a="1"/>
  <c r="G1005" i="22" s="1"/>
  <c r="G996" i="22" a="1"/>
  <c r="G996" i="22" s="1"/>
  <c r="G987" i="22" a="1"/>
  <c r="G987" i="22" s="1"/>
  <c r="G977" i="22" a="1"/>
  <c r="G977" i="22" s="1"/>
  <c r="G726" i="22" a="1"/>
  <c r="G726" i="22" s="1"/>
  <c r="G714" i="22" a="1"/>
  <c r="G714" i="22" s="1"/>
  <c r="G702" i="22" a="1"/>
  <c r="G702" i="22" s="1"/>
  <c r="G680" i="22" a="1"/>
  <c r="G680" i="22" s="1"/>
  <c r="G668" i="22" a="1"/>
  <c r="G668" i="22" s="1"/>
  <c r="G656" i="22" a="1"/>
  <c r="G656" i="22" s="1"/>
  <c r="G639" i="22" a="1"/>
  <c r="G639" i="22" s="1"/>
  <c r="G633" i="22" a="1"/>
  <c r="G633" i="22" s="1"/>
  <c r="G627" i="22" a="1"/>
  <c r="G627" i="22" s="1"/>
  <c r="G611" i="22" a="1"/>
  <c r="G611" i="22" s="1"/>
  <c r="G605" i="22" a="1"/>
  <c r="G605" i="22" s="1"/>
  <c r="G599" i="22" a="1"/>
  <c r="G599" i="22" s="1"/>
  <c r="E8" i="22"/>
  <c r="D121" i="22" s="1"/>
  <c r="E2631" i="22"/>
  <c r="T430" i="31"/>
  <c r="F2446" i="22"/>
  <c r="I2450" i="22"/>
  <c r="F2121" i="22"/>
  <c r="E2050" i="22"/>
  <c r="E2045" i="22"/>
  <c r="E1925" i="22"/>
  <c r="E1900" i="22"/>
  <c r="E1793" i="22"/>
  <c r="E1408" i="22"/>
  <c r="F1383" i="22"/>
  <c r="U216" i="31"/>
  <c r="U233" i="31"/>
  <c r="F1381" i="22" s="1"/>
  <c r="N231" i="31"/>
  <c r="N232" i="31" s="1"/>
  <c r="T233" i="31"/>
  <c r="E1381" i="22" s="1"/>
  <c r="M232" i="31"/>
  <c r="L232" i="31"/>
  <c r="I1384" i="22"/>
  <c r="G1384" i="22"/>
  <c r="E1194" i="22"/>
  <c r="E1186" i="22"/>
  <c r="E1179" i="22"/>
  <c r="V196" i="31"/>
  <c r="F1182" i="22" s="1"/>
  <c r="G1188" i="22"/>
  <c r="G1187" i="22"/>
  <c r="G1184" i="22"/>
  <c r="G1183" i="22"/>
  <c r="G1176" i="22"/>
  <c r="G1175" i="22"/>
  <c r="G1180" i="22"/>
  <c r="G1181" i="22"/>
  <c r="AG55" i="31"/>
  <c r="AG54" i="31"/>
  <c r="D1380" i="22" l="1"/>
  <c r="E1171" i="22"/>
  <c r="E1172" i="22"/>
  <c r="E1093" i="22"/>
  <c r="E1055" i="22"/>
  <c r="E972" i="22"/>
  <c r="E803" i="22"/>
  <c r="F1173" i="22"/>
  <c r="I849" i="22"/>
  <c r="G849" i="22"/>
  <c r="I857" i="22"/>
  <c r="G857" i="22"/>
  <c r="I865" i="22"/>
  <c r="G865" i="22"/>
  <c r="I873" i="22"/>
  <c r="G873" i="22"/>
  <c r="I881" i="22"/>
  <c r="G881" i="22"/>
  <c r="I840" i="22"/>
  <c r="G840" i="22"/>
  <c r="I832" i="22"/>
  <c r="G832" i="22"/>
  <c r="I824" i="22"/>
  <c r="G824" i="22"/>
  <c r="I805" i="22"/>
  <c r="G805" i="22"/>
  <c r="AN14" i="31"/>
  <c r="P109" i="31"/>
  <c r="P110" i="31" s="1"/>
  <c r="I624" i="22"/>
  <c r="G624" i="22"/>
  <c r="E617" i="22"/>
  <c r="F617" i="22" a="1"/>
  <c r="AF54" i="31" a="1"/>
  <c r="F1155" i="22" a="1"/>
  <c r="F607" i="22" a="1"/>
  <c r="AF54" i="31" l="1"/>
  <c r="F1155" i="22"/>
  <c r="F617" i="22"/>
  <c r="F607" i="22"/>
  <c r="F2144" i="22" l="1"/>
  <c r="E2144" i="22"/>
  <c r="I2538" i="22" l="1"/>
  <c r="G2538" i="22"/>
  <c r="H2544" i="22"/>
  <c r="I2544" i="22" s="1"/>
  <c r="G2544" i="22"/>
  <c r="F2619" i="22"/>
  <c r="F2624" i="22"/>
  <c r="E2372" i="22"/>
  <c r="F2371" i="22"/>
  <c r="D2370" i="22" s="1"/>
  <c r="E2371" i="22"/>
  <c r="G2376" i="22"/>
  <c r="G2375" i="22"/>
  <c r="U339" i="31"/>
  <c r="F1998" i="22" s="1"/>
  <c r="I1996" i="22"/>
  <c r="G1996" i="22"/>
  <c r="I2026" i="22"/>
  <c r="G2026" i="22"/>
  <c r="I2025" i="22"/>
  <c r="G2025" i="22"/>
  <c r="I2024" i="22"/>
  <c r="G2024" i="22"/>
  <c r="G2023" i="22"/>
  <c r="F2020" i="22"/>
  <c r="F2019" i="22"/>
  <c r="E2019" i="22"/>
  <c r="I2014" i="22"/>
  <c r="G2014" i="22"/>
  <c r="I2013" i="22"/>
  <c r="G2013" i="22"/>
  <c r="I2012" i="22"/>
  <c r="G2012" i="22"/>
  <c r="G2011" i="22"/>
  <c r="F2008" i="22"/>
  <c r="F2007" i="22"/>
  <c r="E2007" i="22"/>
  <c r="I2005" i="22"/>
  <c r="G2005" i="22"/>
  <c r="I2004" i="22"/>
  <c r="G2004" i="22"/>
  <c r="I2003" i="22"/>
  <c r="G2003" i="22"/>
  <c r="G2002" i="22"/>
  <c r="F1999" i="22"/>
  <c r="E1998" i="22"/>
  <c r="T335" i="31"/>
  <c r="E1963" i="22"/>
  <c r="P334" i="31"/>
  <c r="P335" i="31" s="1"/>
  <c r="M334" i="31"/>
  <c r="M335" i="31" s="1"/>
  <c r="L334" i="31"/>
  <c r="L335" i="31" s="1"/>
  <c r="E1947" i="22"/>
  <c r="H1961" i="22"/>
  <c r="I1961" i="22" s="1"/>
  <c r="G1961" i="22"/>
  <c r="H1960" i="22"/>
  <c r="I1960" i="22" s="1"/>
  <c r="G1960" i="22"/>
  <c r="H1959" i="22"/>
  <c r="I1959" i="22" s="1"/>
  <c r="G1959" i="22"/>
  <c r="I1958" i="22"/>
  <c r="G1958" i="22"/>
  <c r="I1957" i="22"/>
  <c r="G1957" i="22"/>
  <c r="G1956" i="22"/>
  <c r="G1955" i="22"/>
  <c r="G1954" i="22"/>
  <c r="G1953" i="22"/>
  <c r="I1952" i="22"/>
  <c r="G1952" i="22"/>
  <c r="F1951" i="22"/>
  <c r="F1948" i="22"/>
  <c r="E1948" i="22"/>
  <c r="E1946" i="22"/>
  <c r="E1945" i="22"/>
  <c r="F1945" i="22" a="1"/>
  <c r="L338" i="31" l="1"/>
  <c r="L339" i="31" s="1"/>
  <c r="L340" i="31" s="1"/>
  <c r="L341" i="31" s="1"/>
  <c r="M338" i="31"/>
  <c r="M339" i="31" s="1"/>
  <c r="M340" i="31" s="1"/>
  <c r="M341" i="31" s="1"/>
  <c r="D2006" i="22"/>
  <c r="D2018" i="22"/>
  <c r="D1997" i="22"/>
  <c r="F1945" i="22"/>
  <c r="E2588" i="22" l="1"/>
  <c r="H2565" i="22" l="1"/>
  <c r="I2565" i="22" s="1"/>
  <c r="H2563" i="22"/>
  <c r="I2563" i="22" s="1"/>
  <c r="H2584" i="22"/>
  <c r="I2584" i="22" s="1"/>
  <c r="H2575" i="22"/>
  <c r="I2575" i="22" s="1"/>
  <c r="H2566" i="22"/>
  <c r="I2566" i="22" s="1"/>
  <c r="AG450" i="31"/>
  <c r="AG449" i="31"/>
  <c r="G2566" i="22"/>
  <c r="G2565" i="22"/>
  <c r="G2563" i="22"/>
  <c r="G2579" i="22"/>
  <c r="G2570" i="22"/>
  <c r="I2552" i="22"/>
  <c r="I2551" i="22"/>
  <c r="G2551" i="22"/>
  <c r="E2549" i="22"/>
  <c r="D2548" i="22" s="1"/>
  <c r="H2547" i="22"/>
  <c r="I2547" i="22" s="1"/>
  <c r="H2546" i="22"/>
  <c r="I2546" i="22" s="1"/>
  <c r="I2540" i="22"/>
  <c r="I2539" i="22"/>
  <c r="G2547" i="22"/>
  <c r="G2546" i="22"/>
  <c r="I2542" i="22"/>
  <c r="I2541" i="22"/>
  <c r="G2541" i="22"/>
  <c r="G2540" i="22"/>
  <c r="G2539" i="22"/>
  <c r="G2536" i="22"/>
  <c r="G2535" i="22"/>
  <c r="G2534" i="22"/>
  <c r="E2531" i="22"/>
  <c r="E2530" i="22"/>
  <c r="E2529" i="22"/>
  <c r="E2612" i="22"/>
  <c r="H2458" i="22"/>
  <c r="I2458" i="22" s="1"/>
  <c r="G2458" i="22"/>
  <c r="I2457" i="22"/>
  <c r="G2457" i="22"/>
  <c r="F2456" i="22"/>
  <c r="F2455" i="22"/>
  <c r="E2455" i="22"/>
  <c r="F2454" i="22"/>
  <c r="E2454" i="22"/>
  <c r="D2452" i="22"/>
  <c r="F2414" i="22"/>
  <c r="I2409" i="22"/>
  <c r="G2409" i="22"/>
  <c r="G2408" i="22"/>
  <c r="G2407" i="22"/>
  <c r="G2330" i="22" l="1"/>
  <c r="G2325" i="22"/>
  <c r="G2329" i="22"/>
  <c r="F2332" i="22" l="1"/>
  <c r="F2333" i="22"/>
  <c r="F2374" i="22"/>
  <c r="F2339" i="22"/>
  <c r="F2328" i="22"/>
  <c r="F2338" i="22"/>
  <c r="F2327" i="22"/>
  <c r="G2336" i="22"/>
  <c r="G2335" i="22"/>
  <c r="G2334" i="22"/>
  <c r="G2379" i="22"/>
  <c r="G2378" i="22"/>
  <c r="G2377" i="22"/>
  <c r="E2373" i="22"/>
  <c r="G2318" i="22"/>
  <c r="T375" i="31" l="1"/>
  <c r="T374" i="31"/>
  <c r="H2048" i="22" l="1"/>
  <c r="I2048" i="22" s="1"/>
  <c r="H2047" i="22"/>
  <c r="I2047" i="22" s="1"/>
  <c r="I1995" i="22" l="1"/>
  <c r="G1995" i="22"/>
  <c r="H1982" i="22" l="1"/>
  <c r="I1982" i="22" s="1"/>
  <c r="H1971" i="22"/>
  <c r="I1971" i="22" s="1"/>
  <c r="H1984" i="22"/>
  <c r="I1984" i="22" s="1"/>
  <c r="H1983" i="22"/>
  <c r="I1983" i="22" s="1"/>
  <c r="G1978" i="22"/>
  <c r="H1973" i="22" l="1"/>
  <c r="I1973" i="22" s="1"/>
  <c r="H1972" i="22"/>
  <c r="I1972" i="22" s="1"/>
  <c r="F1963" i="22"/>
  <c r="G1966" i="22"/>
  <c r="G1965" i="22"/>
  <c r="I1896" i="22"/>
  <c r="G1896" i="22"/>
  <c r="G1895" i="22"/>
  <c r="F1890" i="22"/>
  <c r="E1890" i="22"/>
  <c r="L318" i="31"/>
  <c r="L321" i="31" s="1"/>
  <c r="H1556" i="22"/>
  <c r="I1556" i="22" s="1"/>
  <c r="F1558" i="22"/>
  <c r="F1553" i="22"/>
  <c r="D1889" i="22" l="1"/>
  <c r="AG260" i="31"/>
  <c r="AG202" i="31" l="1"/>
  <c r="I1216" i="22" s="1"/>
  <c r="AG200" i="31"/>
  <c r="I1208" i="22"/>
  <c r="G1216" i="22" l="1"/>
  <c r="H1214" i="22"/>
  <c r="I1214" i="22" s="1"/>
  <c r="G1214" i="22"/>
  <c r="I1213" i="22"/>
  <c r="G1213" i="22"/>
  <c r="I1212" i="22"/>
  <c r="G1212" i="22"/>
  <c r="F1211" i="22"/>
  <c r="F1210" i="22"/>
  <c r="E1210" i="22"/>
  <c r="H1206" i="22"/>
  <c r="I1206" i="22" s="1"/>
  <c r="I1205" i="22"/>
  <c r="I1204" i="22"/>
  <c r="G1208" i="22"/>
  <c r="G1206" i="22"/>
  <c r="G1205" i="22"/>
  <c r="G1204" i="22"/>
  <c r="I1199" i="22"/>
  <c r="I1198" i="22"/>
  <c r="I1197" i="22"/>
  <c r="G1200" i="22"/>
  <c r="G1199" i="22"/>
  <c r="G1198" i="22"/>
  <c r="G1197" i="22"/>
  <c r="D1209" i="22" l="1"/>
  <c r="T201" i="31"/>
  <c r="L201" i="31"/>
  <c r="L202" i="31" s="1"/>
  <c r="M201" i="31"/>
  <c r="M202" i="31" s="1"/>
  <c r="F1203" i="22"/>
  <c r="F1202" i="22"/>
  <c r="E1202" i="22"/>
  <c r="I1196" i="22"/>
  <c r="G1196" i="22"/>
  <c r="F1195" i="22"/>
  <c r="F1194" i="22"/>
  <c r="E1192" i="22"/>
  <c r="D1190" i="22"/>
  <c r="F1192" i="22" a="1"/>
  <c r="D1201" i="22" l="1"/>
  <c r="F1192" i="22"/>
  <c r="E1297" i="22" l="1"/>
  <c r="F1272" i="22"/>
  <c r="T216" i="31"/>
  <c r="N215" i="31"/>
  <c r="E1272" i="22"/>
  <c r="F1275" i="22"/>
  <c r="H1322" i="22"/>
  <c r="I1322" i="22" s="1"/>
  <c r="G1322" i="22"/>
  <c r="I1321" i="22"/>
  <c r="G1321" i="22"/>
  <c r="F1320" i="22"/>
  <c r="F1319" i="22"/>
  <c r="E1319" i="22"/>
  <c r="I1317" i="22"/>
  <c r="G1317" i="22"/>
  <c r="I1316" i="22"/>
  <c r="G1316" i="22"/>
  <c r="F1315" i="22"/>
  <c r="F1314" i="22"/>
  <c r="E1314" i="22"/>
  <c r="H1312" i="22"/>
  <c r="I1312" i="22" s="1"/>
  <c r="G1312" i="22"/>
  <c r="I1311" i="22"/>
  <c r="G1311" i="22"/>
  <c r="I1310" i="22"/>
  <c r="G1310" i="22"/>
  <c r="I1308" i="22"/>
  <c r="G1308" i="22"/>
  <c r="F1305" i="22"/>
  <c r="E1305" i="22"/>
  <c r="E1303" i="22"/>
  <c r="D1301" i="22"/>
  <c r="H1300" i="22"/>
  <c r="I1300" i="22" s="1"/>
  <c r="G1300" i="22"/>
  <c r="I1299" i="22"/>
  <c r="G1299" i="22"/>
  <c r="F1298" i="22"/>
  <c r="F1297" i="22"/>
  <c r="D1296" i="22" s="1"/>
  <c r="I1295" i="22"/>
  <c r="G1295" i="22"/>
  <c r="I1293" i="22"/>
  <c r="G1293" i="22"/>
  <c r="I1291" i="22"/>
  <c r="G1291" i="22"/>
  <c r="I1289" i="22"/>
  <c r="G1289" i="22"/>
  <c r="H1287" i="22"/>
  <c r="I1287" i="22" s="1"/>
  <c r="G1287" i="22"/>
  <c r="I1286" i="22"/>
  <c r="G1286" i="22"/>
  <c r="F1285" i="22"/>
  <c r="F1284" i="22"/>
  <c r="E1284" i="22"/>
  <c r="H1282" i="22"/>
  <c r="I1282" i="22" s="1"/>
  <c r="G1282" i="22"/>
  <c r="G1281" i="22"/>
  <c r="I1280" i="22"/>
  <c r="G1280" i="22"/>
  <c r="I1279" i="22"/>
  <c r="G1279" i="22"/>
  <c r="I1278" i="22"/>
  <c r="G1278" i="22"/>
  <c r="I1277" i="22"/>
  <c r="G1277" i="22"/>
  <c r="I1276" i="22"/>
  <c r="G1276" i="22"/>
  <c r="F1273" i="22"/>
  <c r="E1273" i="22"/>
  <c r="E1270" i="22"/>
  <c r="E1269" i="22"/>
  <c r="D1267" i="22"/>
  <c r="F1270" i="22" a="1"/>
  <c r="F1303" i="22" a="1"/>
  <c r="D1318" i="22" l="1"/>
  <c r="D1283" i="22"/>
  <c r="D1313" i="22"/>
  <c r="F1303" i="22"/>
  <c r="F1270" i="22"/>
  <c r="H2648" i="22" l="1"/>
  <c r="I2648" i="22" s="1"/>
  <c r="G2648" i="22"/>
  <c r="I2647" i="22"/>
  <c r="G2647" i="22"/>
  <c r="G2646" i="22"/>
  <c r="F2645" i="22"/>
  <c r="F2644" i="22"/>
  <c r="H2642" i="22"/>
  <c r="I2642" i="22" s="1"/>
  <c r="G2642" i="22"/>
  <c r="I2641" i="22"/>
  <c r="G2641" i="22"/>
  <c r="G2640" i="22"/>
  <c r="F2639" i="22"/>
  <c r="F2638" i="22"/>
  <c r="H2636" i="22"/>
  <c r="I2636" i="22" s="1"/>
  <c r="G2636" i="22"/>
  <c r="I2635" i="22"/>
  <c r="G2635" i="22"/>
  <c r="G2634" i="22"/>
  <c r="D2629" i="22"/>
  <c r="D2628" i="22"/>
  <c r="F2625" i="22"/>
  <c r="F2620" i="22"/>
  <c r="F2613" i="22"/>
  <c r="E2613" i="22"/>
  <c r="D2608" i="22"/>
  <c r="D2607" i="22"/>
  <c r="I2604" i="22"/>
  <c r="I2603" i="22"/>
  <c r="G2603" i="22"/>
  <c r="F2602" i="22"/>
  <c r="F2601" i="22"/>
  <c r="I2599" i="22"/>
  <c r="I2598" i="22"/>
  <c r="G2598" i="22"/>
  <c r="F2597" i="22"/>
  <c r="F2596" i="22"/>
  <c r="G2593" i="22"/>
  <c r="F2590" i="22"/>
  <c r="E2590" i="22"/>
  <c r="D2586" i="22"/>
  <c r="D2585" i="22"/>
  <c r="G2584" i="22"/>
  <c r="H2583" i="22"/>
  <c r="I2583" i="22" s="1"/>
  <c r="G2583" i="22"/>
  <c r="H2581" i="22"/>
  <c r="I2581" i="22" s="1"/>
  <c r="G2581" i="22"/>
  <c r="G2578" i="22"/>
  <c r="F2577" i="22"/>
  <c r="E2577" i="22"/>
  <c r="D2576" i="22"/>
  <c r="G2575" i="22"/>
  <c r="H2574" i="22"/>
  <c r="I2574" i="22" s="1"/>
  <c r="G2574" i="22"/>
  <c r="H2572" i="22"/>
  <c r="I2572" i="22" s="1"/>
  <c r="G2572" i="22"/>
  <c r="G2569" i="22"/>
  <c r="F2568" i="22"/>
  <c r="E2568" i="22"/>
  <c r="D2567" i="22"/>
  <c r="G2561" i="22"/>
  <c r="G2559" i="22"/>
  <c r="F2557" i="22"/>
  <c r="E2557" i="22"/>
  <c r="F2527" i="22"/>
  <c r="E2527" i="22"/>
  <c r="D2524" i="22"/>
  <c r="D2523" i="22"/>
  <c r="G2450" i="22"/>
  <c r="G2448" i="22"/>
  <c r="I2444" i="22"/>
  <c r="G2444" i="22"/>
  <c r="G2442" i="22"/>
  <c r="F2441" i="22"/>
  <c r="F2440" i="22"/>
  <c r="I2438" i="22"/>
  <c r="G2438" i="22"/>
  <c r="G2436" i="22"/>
  <c r="F2434" i="22"/>
  <c r="E2434" i="22"/>
  <c r="D2431" i="22"/>
  <c r="D2430" i="22"/>
  <c r="I2429" i="22"/>
  <c r="F2426" i="22"/>
  <c r="F2425" i="22"/>
  <c r="I2423" i="22"/>
  <c r="F2420" i="22"/>
  <c r="F2419" i="22"/>
  <c r="I2417" i="22"/>
  <c r="F2406" i="22"/>
  <c r="D2400" i="22"/>
  <c r="D2399" i="22"/>
  <c r="H2398" i="22"/>
  <c r="I2398" i="22" s="1"/>
  <c r="G2398" i="22"/>
  <c r="I2397" i="22"/>
  <c r="G2397" i="22"/>
  <c r="F2396" i="22"/>
  <c r="F2395" i="22"/>
  <c r="H2393" i="22"/>
  <c r="I2393" i="22" s="1"/>
  <c r="G2393" i="22"/>
  <c r="I2392" i="22"/>
  <c r="G2392" i="22"/>
  <c r="F2391" i="22"/>
  <c r="F2390" i="22"/>
  <c r="H2388" i="22"/>
  <c r="I2388" i="22" s="1"/>
  <c r="G2388" i="22"/>
  <c r="I2387" i="22"/>
  <c r="G2387" i="22"/>
  <c r="F2385" i="22"/>
  <c r="E2385" i="22"/>
  <c r="E2384" i="22"/>
  <c r="E2383" i="22"/>
  <c r="D2381" i="22"/>
  <c r="D2380" i="22"/>
  <c r="G2342" i="22"/>
  <c r="G2341" i="22"/>
  <c r="G2340" i="22"/>
  <c r="E2338" i="22"/>
  <c r="D2337" i="22" s="1"/>
  <c r="G2324" i="22"/>
  <c r="F2323" i="22"/>
  <c r="F2322" i="22"/>
  <c r="G2315" i="22"/>
  <c r="G2320" i="22"/>
  <c r="G2319" i="22"/>
  <c r="G2317" i="22"/>
  <c r="G2316" i="22"/>
  <c r="I2314" i="22"/>
  <c r="G2314" i="22"/>
  <c r="I2313" i="22"/>
  <c r="G2313" i="22"/>
  <c r="E2306" i="22"/>
  <c r="E2305" i="22"/>
  <c r="F2312" i="22"/>
  <c r="F2311" i="22"/>
  <c r="E2311" i="22"/>
  <c r="E2309" i="22"/>
  <c r="E2307" i="22"/>
  <c r="E2304" i="22"/>
  <c r="E2303" i="22"/>
  <c r="D2301" i="22"/>
  <c r="D2300" i="22"/>
  <c r="G2292" i="22"/>
  <c r="G2291" i="22"/>
  <c r="G2290" i="22"/>
  <c r="G2289" i="22"/>
  <c r="F2288" i="22"/>
  <c r="E2287" i="22"/>
  <c r="G2285" i="22"/>
  <c r="G2284" i="22"/>
  <c r="G2283" i="22"/>
  <c r="G2282" i="22"/>
  <c r="F2281" i="22"/>
  <c r="F2280" i="22"/>
  <c r="E2280" i="22"/>
  <c r="G2278" i="22"/>
  <c r="G2277" i="22"/>
  <c r="G2276" i="22"/>
  <c r="G2275" i="22"/>
  <c r="I2274" i="22"/>
  <c r="G2274" i="22"/>
  <c r="I2273" i="22"/>
  <c r="G2273" i="22"/>
  <c r="F2272" i="22"/>
  <c r="F2270" i="22"/>
  <c r="E2270" i="22"/>
  <c r="E2269" i="22"/>
  <c r="E2268" i="22"/>
  <c r="D2266" i="22"/>
  <c r="H2189" i="22"/>
  <c r="I2189" i="22" s="1"/>
  <c r="G2189" i="22"/>
  <c r="F2188" i="22"/>
  <c r="F2187" i="22"/>
  <c r="E2187" i="22"/>
  <c r="H2185" i="22"/>
  <c r="I2185" i="22" s="1"/>
  <c r="G2185" i="22"/>
  <c r="F2184" i="22"/>
  <c r="F2183" i="22"/>
  <c r="E2183" i="22"/>
  <c r="H2181" i="22"/>
  <c r="I2181" i="22" s="1"/>
  <c r="G2181" i="22"/>
  <c r="H2180" i="22"/>
  <c r="I2180" i="22" s="1"/>
  <c r="G2180" i="22"/>
  <c r="G2179" i="22"/>
  <c r="I2178" i="22"/>
  <c r="G2178" i="22"/>
  <c r="I2177" i="22"/>
  <c r="G2177" i="22"/>
  <c r="I2175" i="22"/>
  <c r="G2175" i="22"/>
  <c r="F2174" i="22"/>
  <c r="F2173" i="22"/>
  <c r="E2173" i="22"/>
  <c r="F2171" i="22"/>
  <c r="E2171" i="22"/>
  <c r="E2170" i="22"/>
  <c r="D2168" i="22"/>
  <c r="D2167" i="22"/>
  <c r="G2166" i="22"/>
  <c r="G2163" i="22"/>
  <c r="I2160" i="22"/>
  <c r="G2160" i="22"/>
  <c r="F2159" i="22"/>
  <c r="E2158" i="22"/>
  <c r="G2156" i="22"/>
  <c r="G2153" i="22"/>
  <c r="I2150" i="22"/>
  <c r="I2153" i="22" s="1"/>
  <c r="I2156" i="22" s="1"/>
  <c r="G2150" i="22"/>
  <c r="F2149" i="22"/>
  <c r="E2148" i="22"/>
  <c r="I2146" i="22"/>
  <c r="G2146" i="22"/>
  <c r="F2145" i="22"/>
  <c r="D2142" i="22"/>
  <c r="D2141" i="22"/>
  <c r="H2140" i="22"/>
  <c r="I2140" i="22" s="1"/>
  <c r="G2140" i="22"/>
  <c r="I2139" i="22"/>
  <c r="G2139" i="22"/>
  <c r="F2138" i="22"/>
  <c r="F2137" i="22"/>
  <c r="H2135" i="22"/>
  <c r="I2135" i="22" s="1"/>
  <c r="G2135" i="22"/>
  <c r="I2134" i="22"/>
  <c r="G2134" i="22"/>
  <c r="F2133" i="22"/>
  <c r="F2132" i="22"/>
  <c r="H2130" i="22"/>
  <c r="I2130" i="22" s="1"/>
  <c r="G2130" i="22"/>
  <c r="I2129" i="22"/>
  <c r="G2129" i="22"/>
  <c r="F2128" i="22"/>
  <c r="F2127" i="22"/>
  <c r="E2127" i="22"/>
  <c r="D2125" i="22"/>
  <c r="D2124" i="22"/>
  <c r="I2123" i="22"/>
  <c r="G2123" i="22"/>
  <c r="I2122" i="22"/>
  <c r="G2122" i="22"/>
  <c r="H2120" i="22"/>
  <c r="I2120" i="22" s="1"/>
  <c r="G2120" i="22"/>
  <c r="H2119" i="22"/>
  <c r="I2119" i="22" s="1"/>
  <c r="G2119" i="22"/>
  <c r="I2117" i="22"/>
  <c r="G2117" i="22"/>
  <c r="I2116" i="22"/>
  <c r="G2116" i="22"/>
  <c r="I2115" i="22"/>
  <c r="G2115" i="22"/>
  <c r="F2114" i="22"/>
  <c r="E2114" i="22"/>
  <c r="H2112" i="22"/>
  <c r="I2112" i="22" s="1"/>
  <c r="G2112" i="22"/>
  <c r="H2111" i="22"/>
  <c r="I2111" i="22" s="1"/>
  <c r="G2111" i="22"/>
  <c r="I2109" i="22"/>
  <c r="G2109" i="22"/>
  <c r="I2108" i="22"/>
  <c r="G2108" i="22"/>
  <c r="I2107" i="22"/>
  <c r="G2107" i="22"/>
  <c r="I2106" i="22"/>
  <c r="G2106" i="22"/>
  <c r="I2105" i="22"/>
  <c r="G2105" i="22"/>
  <c r="F2104" i="22"/>
  <c r="F2103" i="22"/>
  <c r="E2103" i="22"/>
  <c r="E2101" i="22"/>
  <c r="E2100" i="22"/>
  <c r="D2098" i="22"/>
  <c r="D2097" i="22"/>
  <c r="H2096" i="22"/>
  <c r="I2096" i="22" s="1"/>
  <c r="G2096" i="22"/>
  <c r="I2095" i="22"/>
  <c r="G2095" i="22"/>
  <c r="F2094" i="22"/>
  <c r="F2093" i="22"/>
  <c r="E2093" i="22"/>
  <c r="H2091" i="22"/>
  <c r="I2091" i="22" s="1"/>
  <c r="G2091" i="22"/>
  <c r="I2090" i="22"/>
  <c r="G2090" i="22"/>
  <c r="F2089" i="22"/>
  <c r="E2088" i="22"/>
  <c r="D2087" i="22" s="1"/>
  <c r="H2086" i="22"/>
  <c r="I2086" i="22" s="1"/>
  <c r="G2086" i="22"/>
  <c r="I2085" i="22"/>
  <c r="G2085" i="22"/>
  <c r="I2084" i="22"/>
  <c r="G2084" i="22"/>
  <c r="F2083" i="22"/>
  <c r="F2081" i="22"/>
  <c r="E2081" i="22"/>
  <c r="E2080" i="22"/>
  <c r="D2078" i="22"/>
  <c r="D2077" i="22"/>
  <c r="H2076" i="22"/>
  <c r="I2076" i="22" s="1"/>
  <c r="G2076" i="22"/>
  <c r="H2075" i="22"/>
  <c r="I2075" i="22" s="1"/>
  <c r="G2075" i="22"/>
  <c r="I2074" i="22"/>
  <c r="G2074" i="22"/>
  <c r="F2073" i="22"/>
  <c r="F2072" i="22"/>
  <c r="E2072" i="22"/>
  <c r="H2070" i="22"/>
  <c r="I2070" i="22" s="1"/>
  <c r="G2070" i="22"/>
  <c r="H2069" i="22"/>
  <c r="I2069" i="22" s="1"/>
  <c r="G2069" i="22"/>
  <c r="I2068" i="22"/>
  <c r="G2068" i="22"/>
  <c r="F2067" i="22"/>
  <c r="F2066" i="22"/>
  <c r="E2066" i="22"/>
  <c r="H2064" i="22"/>
  <c r="I2064" i="22" s="1"/>
  <c r="G2064" i="22"/>
  <c r="H2063" i="22"/>
  <c r="I2063" i="22" s="1"/>
  <c r="G2063" i="22"/>
  <c r="I2062" i="22"/>
  <c r="G2062" i="22"/>
  <c r="I2061" i="22"/>
  <c r="G2061" i="22"/>
  <c r="I2060" i="22"/>
  <c r="G2060" i="22"/>
  <c r="F2058" i="22"/>
  <c r="D2055" i="22"/>
  <c r="D2054" i="22"/>
  <c r="G2053" i="22"/>
  <c r="G2052" i="22"/>
  <c r="F2051" i="22"/>
  <c r="F2050" i="22"/>
  <c r="G2048" i="22"/>
  <c r="G2047" i="22"/>
  <c r="F2046" i="22"/>
  <c r="F2045" i="22"/>
  <c r="D2044" i="22" s="1"/>
  <c r="G2043" i="22"/>
  <c r="G2042" i="22"/>
  <c r="I2041" i="22"/>
  <c r="G2041" i="22"/>
  <c r="I2040" i="22"/>
  <c r="G2040" i="22"/>
  <c r="I2039" i="22"/>
  <c r="G2039" i="22"/>
  <c r="G2038" i="22"/>
  <c r="I2037" i="22"/>
  <c r="G2037" i="22"/>
  <c r="I2036" i="22"/>
  <c r="G2036" i="22"/>
  <c r="F2035" i="22"/>
  <c r="F2033" i="22"/>
  <c r="E2033" i="22"/>
  <c r="E2032" i="22"/>
  <c r="E2031" i="22"/>
  <c r="E2030" i="22"/>
  <c r="D2028" i="22"/>
  <c r="D2027" i="22"/>
  <c r="I1994" i="22"/>
  <c r="G1994" i="22"/>
  <c r="G1993" i="22"/>
  <c r="F1990" i="22"/>
  <c r="F1989" i="22"/>
  <c r="E1989" i="22"/>
  <c r="D1986" i="22"/>
  <c r="D1985" i="22"/>
  <c r="G1984" i="22"/>
  <c r="G1983" i="22"/>
  <c r="G1982" i="22"/>
  <c r="I1981" i="22"/>
  <c r="G1981" i="22"/>
  <c r="I1980" i="22"/>
  <c r="G1980" i="22"/>
  <c r="G1979" i="22"/>
  <c r="G1977" i="22"/>
  <c r="F1976" i="22"/>
  <c r="F1975" i="22"/>
  <c r="G1973" i="22"/>
  <c r="G1972" i="22"/>
  <c r="G1971" i="22"/>
  <c r="I1970" i="22"/>
  <c r="G1970" i="22"/>
  <c r="I1969" i="22"/>
  <c r="G1969" i="22"/>
  <c r="G1968" i="22"/>
  <c r="F1964" i="22"/>
  <c r="D1943" i="22"/>
  <c r="D1942" i="22"/>
  <c r="D1897" i="22"/>
  <c r="H1893" i="22"/>
  <c r="I1893" i="22" s="1"/>
  <c r="G1893" i="22"/>
  <c r="I1892" i="22"/>
  <c r="G1892" i="22"/>
  <c r="F1891" i="22"/>
  <c r="F1894" i="22" s="1"/>
  <c r="H1888" i="22"/>
  <c r="I1888" i="22" s="1"/>
  <c r="G1888" i="22"/>
  <c r="I1887" i="22"/>
  <c r="G1887" i="22"/>
  <c r="I1886" i="22"/>
  <c r="G1886" i="22"/>
  <c r="F1884" i="22"/>
  <c r="F1882" i="22"/>
  <c r="E1882" i="22"/>
  <c r="E1881" i="22"/>
  <c r="D1878" i="22"/>
  <c r="H1578" i="22"/>
  <c r="I1578" i="22" s="1"/>
  <c r="I1577" i="22"/>
  <c r="F1576" i="22"/>
  <c r="F1575" i="22"/>
  <c r="E1575" i="22"/>
  <c r="H1573" i="22"/>
  <c r="I1573" i="22" s="1"/>
  <c r="I1572" i="22"/>
  <c r="F1571" i="22"/>
  <c r="F1570" i="22"/>
  <c r="E1570" i="22"/>
  <c r="H1568" i="22"/>
  <c r="I1568" i="22" s="1"/>
  <c r="G1568" i="22"/>
  <c r="I1567" i="22"/>
  <c r="G1567" i="22"/>
  <c r="E1565" i="22"/>
  <c r="D1563" i="22"/>
  <c r="D1562" i="22"/>
  <c r="H1561" i="22"/>
  <c r="I1561" i="22" s="1"/>
  <c r="F1559" i="22"/>
  <c r="E1558" i="22"/>
  <c r="D1557" i="22" s="1"/>
  <c r="F1554" i="22"/>
  <c r="E1553" i="22"/>
  <c r="D1552" i="22" s="1"/>
  <c r="H1551" i="22"/>
  <c r="I1551" i="22" s="1"/>
  <c r="G1551" i="22"/>
  <c r="I1550" i="22"/>
  <c r="G1550" i="22"/>
  <c r="I1549" i="22"/>
  <c r="G1549" i="22"/>
  <c r="F1546" i="22"/>
  <c r="E1546" i="22"/>
  <c r="E1545" i="22"/>
  <c r="D1543" i="22"/>
  <c r="D1542" i="22"/>
  <c r="I1541" i="22"/>
  <c r="I1540" i="22"/>
  <c r="G1540" i="22"/>
  <c r="I1539" i="22"/>
  <c r="G1539" i="22"/>
  <c r="I1538" i="22"/>
  <c r="G1538" i="22"/>
  <c r="F1537" i="22"/>
  <c r="E1536" i="22"/>
  <c r="I1534" i="22"/>
  <c r="I1533" i="22"/>
  <c r="G1533" i="22"/>
  <c r="I1532" i="22"/>
  <c r="G1532" i="22"/>
  <c r="I1531" i="22"/>
  <c r="G1531" i="22"/>
  <c r="F1530" i="22"/>
  <c r="E1529" i="22"/>
  <c r="I1527" i="22"/>
  <c r="I1526" i="22"/>
  <c r="G1526" i="22"/>
  <c r="I1525" i="22"/>
  <c r="G1525" i="22"/>
  <c r="I1524" i="22"/>
  <c r="G1524" i="22"/>
  <c r="F1521" i="22"/>
  <c r="E1521" i="22"/>
  <c r="E1520" i="22"/>
  <c r="D1518" i="22"/>
  <c r="D1517" i="22"/>
  <c r="I1516" i="22"/>
  <c r="I1515" i="22"/>
  <c r="G1515" i="22"/>
  <c r="F1514" i="22"/>
  <c r="F1513" i="22"/>
  <c r="E1513" i="22"/>
  <c r="I1511" i="22"/>
  <c r="I1510" i="22"/>
  <c r="G1510" i="22"/>
  <c r="F1509" i="22"/>
  <c r="F1508" i="22"/>
  <c r="E1508" i="22"/>
  <c r="I1506" i="22"/>
  <c r="I1505" i="22"/>
  <c r="G1505" i="22"/>
  <c r="I1504" i="22"/>
  <c r="G1504" i="22"/>
  <c r="F1501" i="22"/>
  <c r="E1501" i="22"/>
  <c r="E1500" i="22"/>
  <c r="D1498" i="22"/>
  <c r="D1497" i="22"/>
  <c r="G1496" i="22"/>
  <c r="D1490" i="22" s="1"/>
  <c r="I1495" i="22"/>
  <c r="G1495" i="22"/>
  <c r="I1494" i="22"/>
  <c r="G1494" i="22"/>
  <c r="F1493" i="22"/>
  <c r="E1493" i="22"/>
  <c r="E1492" i="22"/>
  <c r="E1491" i="22"/>
  <c r="D1489" i="22"/>
  <c r="D1488" i="22"/>
  <c r="G1487" i="22"/>
  <c r="F1486" i="22"/>
  <c r="G1483" i="22"/>
  <c r="F1482" i="22"/>
  <c r="I1478" i="22"/>
  <c r="G1478" i="22"/>
  <c r="I1477" i="22"/>
  <c r="G1477" i="22"/>
  <c r="G1476" i="22"/>
  <c r="I1475" i="22"/>
  <c r="G1475" i="22"/>
  <c r="I1474" i="22"/>
  <c r="G1474" i="22"/>
  <c r="F1472" i="22"/>
  <c r="E1472" i="22"/>
  <c r="E1471" i="22"/>
  <c r="E1470" i="22"/>
  <c r="E1469" i="22"/>
  <c r="D1467" i="22"/>
  <c r="D1466" i="22"/>
  <c r="F1186" i="22"/>
  <c r="D1185" i="22"/>
  <c r="F1179" i="22"/>
  <c r="D1178" i="22"/>
  <c r="D1167" i="22"/>
  <c r="T467" i="31"/>
  <c r="E2644" i="22" s="1"/>
  <c r="T466" i="31"/>
  <c r="E2638" i="22" s="1"/>
  <c r="T462" i="31"/>
  <c r="E2624" i="22" s="1"/>
  <c r="D2623" i="22" s="1"/>
  <c r="T461" i="31"/>
  <c r="E2619" i="22" s="1"/>
  <c r="D2618" i="22" s="1"/>
  <c r="E2601" i="22"/>
  <c r="T456" i="31"/>
  <c r="E2596" i="22" s="1"/>
  <c r="AG452" i="31"/>
  <c r="T431" i="31"/>
  <c r="T426" i="31"/>
  <c r="E2425" i="22" s="1"/>
  <c r="T425" i="31"/>
  <c r="E2419" i="22" s="1"/>
  <c r="T420" i="31"/>
  <c r="E2395" i="22" s="1"/>
  <c r="T419" i="31"/>
  <c r="E2390" i="22" s="1"/>
  <c r="E2322" i="22"/>
  <c r="M408" i="31"/>
  <c r="M409" i="31" s="1"/>
  <c r="M410" i="31" s="1"/>
  <c r="M411" i="31" s="1"/>
  <c r="L408" i="31"/>
  <c r="L409" i="31" s="1"/>
  <c r="L410" i="31" s="1"/>
  <c r="L411" i="31" s="1"/>
  <c r="AW375" i="31"/>
  <c r="AV375" i="31"/>
  <c r="AW374" i="31"/>
  <c r="AV374" i="31"/>
  <c r="M374" i="31"/>
  <c r="M375" i="31" s="1"/>
  <c r="L374" i="31"/>
  <c r="L375" i="31" s="1"/>
  <c r="AW373" i="31"/>
  <c r="AV373" i="31"/>
  <c r="H2179" i="22" s="1"/>
  <c r="I2179" i="22" s="1"/>
  <c r="U370" i="31"/>
  <c r="F2158" i="22" s="1"/>
  <c r="D2157" i="22" s="1"/>
  <c r="U369" i="31"/>
  <c r="F2148" i="22" s="1"/>
  <c r="D2147" i="22" s="1"/>
  <c r="T365" i="31"/>
  <c r="E2137" i="22" s="1"/>
  <c r="T364" i="31"/>
  <c r="E2132" i="22" s="1"/>
  <c r="M360" i="31"/>
  <c r="L360" i="31"/>
  <c r="M355" i="31"/>
  <c r="M356" i="31" s="1"/>
  <c r="L355" i="31"/>
  <c r="L356" i="31" s="1"/>
  <c r="M350" i="31"/>
  <c r="M351" i="31" s="1"/>
  <c r="L350" i="31"/>
  <c r="L351" i="31" s="1"/>
  <c r="AW346" i="31"/>
  <c r="H2053" i="22" s="1"/>
  <c r="I2053" i="22" s="1"/>
  <c r="AV346" i="31"/>
  <c r="H2052" i="22" s="1"/>
  <c r="I2052" i="22" s="1"/>
  <c r="M345" i="31"/>
  <c r="M346" i="31" s="1"/>
  <c r="L345" i="31"/>
  <c r="L346" i="31" s="1"/>
  <c r="AW344" i="31"/>
  <c r="H2043" i="22" s="1"/>
  <c r="I2043" i="22" s="1"/>
  <c r="AV344" i="31"/>
  <c r="H2042" i="22" s="1"/>
  <c r="I2042" i="22" s="1"/>
  <c r="E1975" i="22"/>
  <c r="M318" i="31"/>
  <c r="M321" i="31" s="1"/>
  <c r="T277" i="31"/>
  <c r="T276" i="31"/>
  <c r="T272" i="31"/>
  <c r="T271" i="31"/>
  <c r="M271" i="31"/>
  <c r="M272" i="31" s="1"/>
  <c r="M275" i="31" s="1"/>
  <c r="M276" i="31" s="1"/>
  <c r="M277" i="31" s="1"/>
  <c r="L271" i="31"/>
  <c r="L272" i="31" s="1"/>
  <c r="L275" i="31" s="1"/>
  <c r="L276" i="31" s="1"/>
  <c r="L277" i="31" s="1"/>
  <c r="T267" i="31"/>
  <c r="T266" i="31"/>
  <c r="M266" i="31"/>
  <c r="M267" i="31" s="1"/>
  <c r="T262" i="31"/>
  <c r="T261" i="31"/>
  <c r="M261" i="31"/>
  <c r="M262" i="31" s="1"/>
  <c r="L261" i="31"/>
  <c r="L262" i="31" s="1"/>
  <c r="T254" i="31"/>
  <c r="E1485" i="22" s="1"/>
  <c r="T253" i="31"/>
  <c r="E1481" i="22" s="1"/>
  <c r="M253" i="31"/>
  <c r="M254" i="31" s="1"/>
  <c r="L253" i="31"/>
  <c r="L254" i="31" s="1"/>
  <c r="L219" i="31"/>
  <c r="L220" i="31" s="1"/>
  <c r="AV216" i="31"/>
  <c r="AV215" i="31"/>
  <c r="M215" i="31"/>
  <c r="M216" i="31" s="1"/>
  <c r="M219" i="31" s="1"/>
  <c r="M220" i="31" s="1"/>
  <c r="L215" i="31"/>
  <c r="L216" i="31" s="1"/>
  <c r="AV214" i="31"/>
  <c r="H1281" i="22" s="1"/>
  <c r="I1281" i="22" s="1"/>
  <c r="F1536" i="22" a="1"/>
  <c r="F1529" i="22" a="1"/>
  <c r="F1545" i="22" a="1"/>
  <c r="F2269" i="22" a="1"/>
  <c r="F1491" i="22" a="1"/>
  <c r="F1492" i="22" a="1"/>
  <c r="F1520" i="22" a="1"/>
  <c r="F2303" i="22" a="1"/>
  <c r="F2101" i="22" a="1"/>
  <c r="F2080" i="22" a="1"/>
  <c r="F1881" i="22" a="1"/>
  <c r="F1469" i="22" a="1"/>
  <c r="F2100" i="22" a="1"/>
  <c r="F2268" i="22" a="1"/>
  <c r="F1470" i="22" a="1"/>
  <c r="F2304" i="22" a="1"/>
  <c r="F2170" i="22" a="1"/>
  <c r="D2555" i="22" l="1"/>
  <c r="D2600" i="22"/>
  <c r="D2321" i="22"/>
  <c r="M363" i="31"/>
  <c r="M364" i="31" s="1"/>
  <c r="M365" i="31" s="1"/>
  <c r="M368" i="31" s="1"/>
  <c r="M369" i="31" s="1"/>
  <c r="M370" i="31" s="1"/>
  <c r="L363" i="31"/>
  <c r="L364" i="31" s="1"/>
  <c r="L365" i="31" s="1"/>
  <c r="L368" i="31" s="1"/>
  <c r="L369" i="31" s="1"/>
  <c r="L370" i="31" s="1"/>
  <c r="D2418" i="22"/>
  <c r="D2424" i="22"/>
  <c r="L415" i="31"/>
  <c r="L418" i="31" s="1"/>
  <c r="L419" i="31" s="1"/>
  <c r="L420" i="31" s="1"/>
  <c r="L423" i="31" s="1"/>
  <c r="L424" i="31" s="1"/>
  <c r="L425" i="31" s="1"/>
  <c r="L426" i="31" s="1"/>
  <c r="L429" i="31" s="1"/>
  <c r="L430" i="31" s="1"/>
  <c r="L431" i="31" s="1"/>
  <c r="L434" i="31" s="1"/>
  <c r="L412" i="31"/>
  <c r="L413" i="31" s="1"/>
  <c r="L414" i="31" s="1"/>
  <c r="M415" i="31"/>
  <c r="M418" i="31" s="1"/>
  <c r="M419" i="31" s="1"/>
  <c r="M420" i="31" s="1"/>
  <c r="M423" i="31" s="1"/>
  <c r="M424" i="31" s="1"/>
  <c r="M425" i="31" s="1"/>
  <c r="M426" i="31" s="1"/>
  <c r="M429" i="31" s="1"/>
  <c r="M430" i="31" s="1"/>
  <c r="M431" i="31" s="1"/>
  <c r="M434" i="31" s="1"/>
  <c r="M412" i="31"/>
  <c r="M413" i="31" s="1"/>
  <c r="M414" i="31" s="1"/>
  <c r="D2279" i="22"/>
  <c r="D2071" i="22"/>
  <c r="E2440" i="22"/>
  <c r="D2439" i="22" s="1"/>
  <c r="E2446" i="22"/>
  <c r="D2445" i="22" s="1"/>
  <c r="D1535" i="22"/>
  <c r="D1528" i="22"/>
  <c r="D2092" i="22"/>
  <c r="D2394" i="22"/>
  <c r="D2389" i="22"/>
  <c r="D2065" i="22"/>
  <c r="D2113" i="22"/>
  <c r="D2049" i="22"/>
  <c r="D2595" i="22"/>
  <c r="D2643" i="22"/>
  <c r="D2637" i="22"/>
  <c r="E2332" i="22"/>
  <c r="D2331" i="22" s="1"/>
  <c r="E2327" i="22"/>
  <c r="D2326" i="22" s="1"/>
  <c r="D2186" i="22"/>
  <c r="D2182" i="22"/>
  <c r="D1962" i="22"/>
  <c r="D1484" i="22"/>
  <c r="D1974" i="22"/>
  <c r="D1574" i="22"/>
  <c r="D1569" i="22"/>
  <c r="D1480" i="22"/>
  <c r="F2268" i="22"/>
  <c r="F2269" i="22"/>
  <c r="F2303" i="22"/>
  <c r="F2304" i="22"/>
  <c r="D2131" i="22"/>
  <c r="F2101" i="22"/>
  <c r="F2080" i="22"/>
  <c r="F2170" i="22"/>
  <c r="F2100" i="22"/>
  <c r="D2136" i="22"/>
  <c r="F1881" i="22"/>
  <c r="D1512" i="22"/>
  <c r="D1507" i="22"/>
  <c r="F1469" i="22"/>
  <c r="F1492" i="22"/>
  <c r="F1491" i="22"/>
  <c r="F1545" i="22"/>
  <c r="F1470" i="22"/>
  <c r="F1536" i="22"/>
  <c r="F1520" i="22"/>
  <c r="F1529" i="22"/>
  <c r="D2352" i="22" l="1"/>
  <c r="D2361" i="22"/>
  <c r="F1455" i="22"/>
  <c r="F1449" i="22"/>
  <c r="D1448" i="22" s="1"/>
  <c r="E1449" i="22"/>
  <c r="E1453" i="22"/>
  <c r="E1452" i="22"/>
  <c r="E1451" i="22"/>
  <c r="E1450" i="22"/>
  <c r="E1462" i="22"/>
  <c r="E1461" i="22"/>
  <c r="E1460" i="22"/>
  <c r="E1459" i="22"/>
  <c r="E1441" i="22"/>
  <c r="E1440" i="22"/>
  <c r="E1439" i="22"/>
  <c r="E1438" i="22"/>
  <c r="T192" i="31" l="1"/>
  <c r="L238" i="31"/>
  <c r="L237" i="31"/>
  <c r="L239" i="31" s="1"/>
  <c r="L248" i="31"/>
  <c r="L249" i="31" s="1"/>
  <c r="M248" i="31"/>
  <c r="M249" i="31" s="1"/>
  <c r="G1421" i="22"/>
  <c r="F1464" i="22" l="1"/>
  <c r="F1458" i="22"/>
  <c r="D1457" i="22" s="1"/>
  <c r="E1458" i="22"/>
  <c r="I1446" i="22"/>
  <c r="G1446" i="22"/>
  <c r="I1445" i="22"/>
  <c r="G1445" i="22"/>
  <c r="F1444" i="22"/>
  <c r="F1442" i="22"/>
  <c r="E1442" i="22"/>
  <c r="E1437" i="22"/>
  <c r="E1436" i="22"/>
  <c r="D1434" i="22"/>
  <c r="F1437" i="22" a="1"/>
  <c r="F1436" i="22" a="1"/>
  <c r="F1354" i="22" a="1"/>
  <c r="F1436" i="22" l="1"/>
  <c r="F1437" i="22"/>
  <c r="F1354" i="22"/>
  <c r="I1432" i="22" l="1"/>
  <c r="G1432" i="22"/>
  <c r="G1431" i="22"/>
  <c r="F1430" i="22"/>
  <c r="F1429" i="22"/>
  <c r="E1429" i="22"/>
  <c r="F1424" i="22"/>
  <c r="E1390" i="22"/>
  <c r="D1428" i="22" l="1"/>
  <c r="T238" i="31"/>
  <c r="M238" i="31"/>
  <c r="F1407" i="22"/>
  <c r="D1406" i="22" s="1"/>
  <c r="F1409" i="22"/>
  <c r="F1403" i="22"/>
  <c r="F1399" i="22"/>
  <c r="F1376" i="22"/>
  <c r="AE194" i="33"/>
  <c r="AD194" i="33"/>
  <c r="AC194" i="33"/>
  <c r="AM183" i="33"/>
  <c r="AL183" i="33"/>
  <c r="AK183" i="33"/>
  <c r="AI166" i="33"/>
  <c r="O144" i="33"/>
  <c r="N144" i="33"/>
  <c r="M144" i="33"/>
  <c r="G144" i="33"/>
  <c r="F144" i="33"/>
  <c r="E144" i="33"/>
  <c r="AE94" i="33"/>
  <c r="AD94" i="33"/>
  <c r="AC94" i="33"/>
  <c r="W84" i="33"/>
  <c r="V84" i="33"/>
  <c r="U84" i="33"/>
  <c r="AM83" i="33"/>
  <c r="AL83" i="33"/>
  <c r="AK83" i="33"/>
  <c r="O44" i="33"/>
  <c r="N44" i="33"/>
  <c r="M44" i="33"/>
  <c r="G44" i="33"/>
  <c r="F44" i="33"/>
  <c r="E44" i="33"/>
  <c r="H2521" i="22"/>
  <c r="I2520" i="22"/>
  <c r="I2519" i="22"/>
  <c r="I2517" i="22"/>
  <c r="F2516" i="22"/>
  <c r="F1400" i="22"/>
  <c r="Q182" i="31"/>
  <c r="Q183" i="31" s="1"/>
  <c r="L109" i="31"/>
  <c r="E1407" i="22" l="1"/>
  <c r="I1427" i="22"/>
  <c r="G1427" i="22"/>
  <c r="G1426" i="22"/>
  <c r="F1425" i="22"/>
  <c r="E1424" i="22"/>
  <c r="D1423" i="22" s="1"/>
  <c r="I1422" i="22"/>
  <c r="G1422" i="22"/>
  <c r="I1420" i="22"/>
  <c r="G1420" i="22"/>
  <c r="I1419" i="22"/>
  <c r="G1419" i="22"/>
  <c r="F1416" i="22"/>
  <c r="E1416" i="22"/>
  <c r="E1415" i="22"/>
  <c r="E1414" i="22"/>
  <c r="D1412" i="22"/>
  <c r="M243" i="31"/>
  <c r="M244" i="31" s="1"/>
  <c r="L243" i="31"/>
  <c r="L244" i="31" s="1"/>
  <c r="E1403" i="22"/>
  <c r="T237" i="31"/>
  <c r="M237" i="31"/>
  <c r="M239" i="31" s="1"/>
  <c r="F1404" i="22"/>
  <c r="I1396" i="22"/>
  <c r="I1395" i="22"/>
  <c r="G1395" i="22"/>
  <c r="I1394" i="22"/>
  <c r="G1394" i="22"/>
  <c r="I1393" i="22"/>
  <c r="G1393" i="22"/>
  <c r="F1392" i="22"/>
  <c r="F1391" i="22"/>
  <c r="E1391" i="22"/>
  <c r="E1389" i="22"/>
  <c r="E1388" i="22"/>
  <c r="D1386" i="22"/>
  <c r="F1389" i="22" a="1"/>
  <c r="F1414" i="22" a="1"/>
  <c r="F1388" i="22" a="1"/>
  <c r="F1415" i="22" a="1"/>
  <c r="E1399" i="22" l="1"/>
  <c r="D1398" i="22" s="1"/>
  <c r="F1414" i="22"/>
  <c r="F1415" i="22"/>
  <c r="F1388" i="22"/>
  <c r="D1402" i="22"/>
  <c r="F1389" i="22"/>
  <c r="I1375" i="22" l="1"/>
  <c r="I1377" i="22" s="1"/>
  <c r="I1379" i="22" s="1"/>
  <c r="I1368" i="22"/>
  <c r="I1370" i="22" s="1"/>
  <c r="I1372" i="22" s="1"/>
  <c r="I1365" i="22"/>
  <c r="G1375" i="22"/>
  <c r="G1377" i="22"/>
  <c r="G1372" i="22"/>
  <c r="BK7" i="31"/>
  <c r="G1370" i="22"/>
  <c r="F1369" i="22"/>
  <c r="F1371" i="22" s="1"/>
  <c r="F1378" i="22" s="1"/>
  <c r="F1374" i="22" l="1"/>
  <c r="E1374" i="22"/>
  <c r="F1367" i="22"/>
  <c r="E1367" i="22"/>
  <c r="L231" i="31"/>
  <c r="L233" i="31" s="1"/>
  <c r="G1379" i="22"/>
  <c r="G1368" i="22"/>
  <c r="G1365" i="22"/>
  <c r="D1373" i="22" l="1"/>
  <c r="D1366" i="22"/>
  <c r="AG402" i="31" l="1"/>
  <c r="AG403" i="31"/>
  <c r="AG401" i="31"/>
  <c r="AF401" i="31" l="1"/>
  <c r="I2277" i="22" s="1"/>
  <c r="I2278" i="22"/>
  <c r="AF403" i="31"/>
  <c r="I2291" i="22" s="1"/>
  <c r="I2292" i="22"/>
  <c r="AF402" i="31"/>
  <c r="I2284" i="22" s="1"/>
  <c r="I2285" i="22"/>
  <c r="BI402" i="31"/>
  <c r="I2282" i="22" s="1"/>
  <c r="BI403" i="31"/>
  <c r="I2289" i="22" s="1"/>
  <c r="BI401" i="31"/>
  <c r="I2275" i="22" s="1"/>
  <c r="BJ402" i="31"/>
  <c r="I2283" i="22" s="1"/>
  <c r="BJ403" i="31"/>
  <c r="I2290" i="22" s="1"/>
  <c r="BJ401" i="31"/>
  <c r="I2276" i="22" s="1"/>
  <c r="BJ7" i="31" a="1"/>
  <c r="BJ7" i="31" s="1"/>
  <c r="BI7" i="31" a="1"/>
  <c r="BI7" i="31" s="1"/>
  <c r="F2287" i="22"/>
  <c r="D2286" i="22" s="1"/>
  <c r="M402" i="31"/>
  <c r="M403" i="31" s="1"/>
  <c r="M404" i="31" s="1"/>
  <c r="L402" i="31"/>
  <c r="L403" i="31" s="1"/>
  <c r="L404" i="31" s="1"/>
  <c r="I1364" i="22"/>
  <c r="G1364" i="22"/>
  <c r="I1363" i="22"/>
  <c r="G1363" i="22"/>
  <c r="F1362" i="22"/>
  <c r="F1360" i="22"/>
  <c r="E1360" i="22"/>
  <c r="F1357" i="22"/>
  <c r="E1357" i="22"/>
  <c r="E1355" i="22"/>
  <c r="E1354" i="22"/>
  <c r="D1352" i="22"/>
  <c r="M231" i="31"/>
  <c r="M233" i="31" s="1"/>
  <c r="I1346" i="22"/>
  <c r="I1350" i="22"/>
  <c r="I1336" i="22"/>
  <c r="I1332" i="22"/>
  <c r="E1343" i="22"/>
  <c r="F1348" i="22"/>
  <c r="F1334" i="22"/>
  <c r="BH7" i="31"/>
  <c r="BG7" i="31"/>
  <c r="L224" i="31"/>
  <c r="F1355" i="22" a="1"/>
  <c r="F1355" i="22" l="1"/>
  <c r="G1350" i="22" l="1"/>
  <c r="G1346" i="22"/>
  <c r="G1336" i="22"/>
  <c r="G1332" i="22"/>
  <c r="M227" i="31"/>
  <c r="L227" i="31"/>
  <c r="M224" i="31"/>
  <c r="F1349" i="22"/>
  <c r="E1348" i="22"/>
  <c r="D1347" i="22" s="1"/>
  <c r="I1345" i="22"/>
  <c r="G1345" i="22"/>
  <c r="F1342" i="22"/>
  <c r="F1340" i="22"/>
  <c r="E1340" i="22"/>
  <c r="E1339" i="22"/>
  <c r="D1337" i="22"/>
  <c r="F1335" i="22"/>
  <c r="E1334" i="22"/>
  <c r="D1333" i="22" s="1"/>
  <c r="I1330" i="22"/>
  <c r="G1330" i="22"/>
  <c r="F1329" i="22"/>
  <c r="F1327" i="22"/>
  <c r="E1327" i="22"/>
  <c r="E1326" i="22"/>
  <c r="D1324" i="22"/>
  <c r="F1247" i="22"/>
  <c r="F1222" i="22"/>
  <c r="E1222" i="22"/>
  <c r="E1247" i="22"/>
  <c r="P105" i="31"/>
  <c r="T53" i="31"/>
  <c r="E35" i="22"/>
  <c r="E34" i="22"/>
  <c r="E32" i="22"/>
  <c r="E33" i="22" a="1"/>
  <c r="E33" i="22" s="1"/>
  <c r="N210" i="31"/>
  <c r="N211" i="31" s="1"/>
  <c r="N206" i="31"/>
  <c r="N207" i="31" s="1"/>
  <c r="I1241" i="22"/>
  <c r="G1241" i="22"/>
  <c r="I1236" i="22"/>
  <c r="G1236" i="22"/>
  <c r="D1787" i="22"/>
  <c r="D1788" i="22"/>
  <c r="F1326" i="22" a="1"/>
  <c r="F1339" i="22" a="1"/>
  <c r="F1339" i="22" l="1"/>
  <c r="F1326" i="22"/>
  <c r="G1229" i="22"/>
  <c r="M210" i="31"/>
  <c r="M211" i="31" s="1"/>
  <c r="L210" i="31"/>
  <c r="L211" i="31" s="1"/>
  <c r="M206" i="31"/>
  <c r="M207" i="31" s="1"/>
  <c r="L206" i="31"/>
  <c r="L207" i="31" s="1"/>
  <c r="H1265" i="22"/>
  <c r="I1265" i="22" s="1"/>
  <c r="G1265" i="22"/>
  <c r="I1264" i="22"/>
  <c r="G1264" i="22"/>
  <c r="F1263" i="22"/>
  <c r="F1262" i="22"/>
  <c r="E1262" i="22"/>
  <c r="H1260" i="22"/>
  <c r="I1260" i="22" s="1"/>
  <c r="G1260" i="22"/>
  <c r="I1259" i="22"/>
  <c r="G1259" i="22"/>
  <c r="F1258" i="22"/>
  <c r="F1257" i="22"/>
  <c r="E1257" i="22"/>
  <c r="H1255" i="22"/>
  <c r="I1255" i="22" s="1"/>
  <c r="G1255" i="22"/>
  <c r="I1254" i="22"/>
  <c r="G1254" i="22"/>
  <c r="I1253" i="22"/>
  <c r="G1253" i="22"/>
  <c r="I1252" i="22"/>
  <c r="G1252" i="22"/>
  <c r="I1251" i="22"/>
  <c r="G1251" i="22"/>
  <c r="F1250" i="22"/>
  <c r="F1248" i="22"/>
  <c r="E1248" i="22"/>
  <c r="E1246" i="22"/>
  <c r="E1245" i="22"/>
  <c r="D1243" i="22"/>
  <c r="H1242" i="22"/>
  <c r="I1242" i="22" s="1"/>
  <c r="G1242" i="22"/>
  <c r="F1240" i="22"/>
  <c r="F1239" i="22"/>
  <c r="E1239" i="22"/>
  <c r="H1237" i="22"/>
  <c r="I1237" i="22" s="1"/>
  <c r="G1237" i="22"/>
  <c r="F1235" i="22"/>
  <c r="F1234" i="22"/>
  <c r="E1234" i="22"/>
  <c r="H1232" i="22"/>
  <c r="I1232" i="22" s="1"/>
  <c r="G1232" i="22"/>
  <c r="I1231" i="22"/>
  <c r="G1231" i="22"/>
  <c r="I1230" i="22"/>
  <c r="G1230" i="22"/>
  <c r="I1228" i="22"/>
  <c r="G1228" i="22"/>
  <c r="F1226" i="22"/>
  <c r="F1224" i="22"/>
  <c r="E1224" i="22"/>
  <c r="E1221" i="22"/>
  <c r="D1218" i="22"/>
  <c r="I1818" i="22"/>
  <c r="G1820" i="22"/>
  <c r="H1819" i="22"/>
  <c r="I1819" i="22" s="1"/>
  <c r="G1819" i="22"/>
  <c r="G1818" i="22"/>
  <c r="H1811" i="22"/>
  <c r="I1811" i="22" s="1"/>
  <c r="G1812" i="22"/>
  <c r="G1811" i="22"/>
  <c r="G1810" i="22"/>
  <c r="H1803" i="22"/>
  <c r="I1803" i="22" s="1"/>
  <c r="I1820" i="22"/>
  <c r="I1802" i="22"/>
  <c r="G1802" i="22"/>
  <c r="G1804" i="22"/>
  <c r="G1803" i="22"/>
  <c r="I1817" i="22"/>
  <c r="G1817" i="22"/>
  <c r="I1816" i="22"/>
  <c r="G1816" i="22"/>
  <c r="F1815" i="22"/>
  <c r="I1809" i="22"/>
  <c r="G1809" i="22"/>
  <c r="I1808" i="22"/>
  <c r="G1808" i="22"/>
  <c r="F1807" i="22"/>
  <c r="I1801" i="22"/>
  <c r="G1801" i="22"/>
  <c r="I1799" i="22"/>
  <c r="G1799" i="22"/>
  <c r="I1798" i="22"/>
  <c r="G1798" i="22"/>
  <c r="I1797" i="22"/>
  <c r="G1797" i="22"/>
  <c r="I1796" i="22"/>
  <c r="G1796" i="22"/>
  <c r="F1795" i="22"/>
  <c r="F1793" i="22"/>
  <c r="E1792" i="22"/>
  <c r="E1791" i="22"/>
  <c r="E1790" i="22"/>
  <c r="E1814" i="22"/>
  <c r="E1806" i="22"/>
  <c r="M309" i="31"/>
  <c r="L309" i="31"/>
  <c r="G114" i="22"/>
  <c r="I114" i="22"/>
  <c r="I120" i="22"/>
  <c r="I119" i="22"/>
  <c r="I118" i="22"/>
  <c r="I117" i="22"/>
  <c r="I113" i="22"/>
  <c r="G120" i="22"/>
  <c r="G119" i="22"/>
  <c r="G118" i="22"/>
  <c r="G117" i="22"/>
  <c r="G116" i="22"/>
  <c r="G115" i="22"/>
  <c r="G113" i="22"/>
  <c r="E1141" i="22"/>
  <c r="E1140" i="22"/>
  <c r="I1146" i="22"/>
  <c r="I1145" i="22"/>
  <c r="G1146" i="22"/>
  <c r="G1145" i="22"/>
  <c r="I1164" i="22"/>
  <c r="G1164" i="22"/>
  <c r="I1163" i="22"/>
  <c r="G1163" i="22"/>
  <c r="I1158" i="22"/>
  <c r="G1158" i="22"/>
  <c r="I1157" i="22"/>
  <c r="G1157" i="22"/>
  <c r="I1152" i="22"/>
  <c r="G1152" i="22"/>
  <c r="I1151" i="22"/>
  <c r="G1151" i="22"/>
  <c r="I1136" i="22"/>
  <c r="G1136" i="22"/>
  <c r="I1135" i="22"/>
  <c r="G1135" i="22"/>
  <c r="I1130" i="22"/>
  <c r="G1130" i="22"/>
  <c r="I1129" i="22"/>
  <c r="G1129" i="22"/>
  <c r="I1123" i="22"/>
  <c r="G1123" i="22"/>
  <c r="I1122" i="22"/>
  <c r="G1122" i="22"/>
  <c r="I1117" i="22"/>
  <c r="G1117" i="22"/>
  <c r="I1116" i="22"/>
  <c r="G1116" i="22"/>
  <c r="I1105" i="22"/>
  <c r="I1104" i="22"/>
  <c r="G1105" i="22"/>
  <c r="G1104" i="22"/>
  <c r="I1098" i="22"/>
  <c r="I1097" i="22"/>
  <c r="G1098" i="22"/>
  <c r="G1097" i="22"/>
  <c r="E1091" i="22"/>
  <c r="T191" i="31"/>
  <c r="Q190" i="31"/>
  <c r="T190" i="31"/>
  <c r="BF7" i="31"/>
  <c r="Q186" i="31"/>
  <c r="T187" i="31"/>
  <c r="T185" i="31"/>
  <c r="T184" i="31"/>
  <c r="F1245" i="22" a="1"/>
  <c r="F1790" i="22" a="1"/>
  <c r="F1814" i="22" a="1"/>
  <c r="F1091" i="22" a="1"/>
  <c r="F1792" i="22" a="1"/>
  <c r="F1806" i="22" a="1"/>
  <c r="F1140" i="22" a="1"/>
  <c r="F1246" i="22" a="1"/>
  <c r="F1791" i="22" a="1"/>
  <c r="D1233" i="22" l="1"/>
  <c r="D1256" i="22"/>
  <c r="D1238" i="22"/>
  <c r="D1261" i="22"/>
  <c r="I1810" i="22"/>
  <c r="I1812" i="22"/>
  <c r="I1804" i="22"/>
  <c r="F1245" i="22"/>
  <c r="F1246" i="22"/>
  <c r="F1814" i="22"/>
  <c r="D1813" i="22" s="1"/>
  <c r="F1806" i="22"/>
  <c r="D1805" i="22" s="1"/>
  <c r="F1790" i="22"/>
  <c r="F1792" i="22"/>
  <c r="F1791" i="22"/>
  <c r="F1140" i="22"/>
  <c r="F1091" i="22"/>
  <c r="I1165" i="22"/>
  <c r="G1165" i="22"/>
  <c r="F1162" i="22"/>
  <c r="F1161" i="22"/>
  <c r="I1159" i="22"/>
  <c r="G1159" i="22"/>
  <c r="F1156" i="22"/>
  <c r="I1153" i="22"/>
  <c r="G1153" i="22"/>
  <c r="F1150" i="22"/>
  <c r="F1149" i="22"/>
  <c r="I1147" i="22"/>
  <c r="G1147" i="22"/>
  <c r="F1144" i="22"/>
  <c r="E1143" i="22"/>
  <c r="E1142" i="22"/>
  <c r="D1138" i="22"/>
  <c r="I1137" i="22"/>
  <c r="G1137" i="22"/>
  <c r="F1134" i="22"/>
  <c r="I1131" i="22"/>
  <c r="F1128" i="22" s="1"/>
  <c r="G1131" i="22"/>
  <c r="F1127" i="22"/>
  <c r="E1126" i="22"/>
  <c r="I1124" i="22"/>
  <c r="G1124" i="22"/>
  <c r="F1121" i="22"/>
  <c r="I1118" i="22"/>
  <c r="G1118" i="22"/>
  <c r="F1115" i="22"/>
  <c r="I1106" i="22"/>
  <c r="F1103" i="22" s="1"/>
  <c r="G1106" i="22"/>
  <c r="F1102" i="22"/>
  <c r="E1101" i="22"/>
  <c r="I1099" i="22"/>
  <c r="G1099" i="22"/>
  <c r="F1094" i="22"/>
  <c r="F1093" i="22"/>
  <c r="D1086" i="22"/>
  <c r="F112" i="22" l="1"/>
  <c r="D109" i="22"/>
  <c r="F1022" i="22"/>
  <c r="F984" i="22"/>
  <c r="H657" i="22" l="1"/>
  <c r="D613" i="22" l="1"/>
  <c r="D588" i="22"/>
  <c r="U110" i="31"/>
  <c r="U109" i="31"/>
  <c r="T110" i="31"/>
  <c r="E635" i="22" s="1"/>
  <c r="T109" i="31"/>
  <c r="E629" i="22" s="1"/>
  <c r="I639" i="22"/>
  <c r="D634" i="22" s="1"/>
  <c r="I637" i="22"/>
  <c r="G637" i="22"/>
  <c r="F636" i="22"/>
  <c r="I633" i="22"/>
  <c r="D628" i="22" s="1"/>
  <c r="I631" i="22"/>
  <c r="G631" i="22"/>
  <c r="F630" i="22"/>
  <c r="I627" i="22"/>
  <c r="G625" i="22"/>
  <c r="I623" i="22"/>
  <c r="G623" i="22"/>
  <c r="I622" i="22"/>
  <c r="G622" i="22"/>
  <c r="F621" i="22"/>
  <c r="F620" i="22"/>
  <c r="E620" i="22"/>
  <c r="E618" i="22"/>
  <c r="E616" i="22"/>
  <c r="E615" i="22"/>
  <c r="I611" i="22"/>
  <c r="D606" i="22" s="1"/>
  <c r="I609" i="22"/>
  <c r="G609" i="22"/>
  <c r="F608" i="22"/>
  <c r="I605" i="22"/>
  <c r="D600" i="22" s="1"/>
  <c r="I603" i="22"/>
  <c r="G603" i="22"/>
  <c r="F602" i="22"/>
  <c r="I599" i="22"/>
  <c r="I597" i="22"/>
  <c r="G597" i="22"/>
  <c r="I596" i="22"/>
  <c r="G596" i="22"/>
  <c r="F594" i="22"/>
  <c r="F593" i="22"/>
  <c r="E593" i="22"/>
  <c r="E591" i="22"/>
  <c r="U105" i="31"/>
  <c r="T105" i="31"/>
  <c r="E607" i="22" s="1"/>
  <c r="U104" i="31"/>
  <c r="T104" i="31"/>
  <c r="E601" i="22" s="1"/>
  <c r="M104" i="31"/>
  <c r="M105" i="31" s="1"/>
  <c r="L104" i="31"/>
  <c r="G199" i="22"/>
  <c r="G198" i="22"/>
  <c r="I197" i="22"/>
  <c r="G197" i="22"/>
  <c r="I196" i="22"/>
  <c r="G196" i="22"/>
  <c r="F195" i="22"/>
  <c r="E194" i="22"/>
  <c r="G192" i="22"/>
  <c r="G191" i="22"/>
  <c r="I190" i="22"/>
  <c r="G190" i="22"/>
  <c r="I189" i="22"/>
  <c r="G189" i="22"/>
  <c r="F188" i="22"/>
  <c r="E187" i="22"/>
  <c r="D178" i="22"/>
  <c r="F179" i="22" s="1"/>
  <c r="H185" i="22"/>
  <c r="I185" i="22" s="1"/>
  <c r="H184" i="22"/>
  <c r="I184" i="22" s="1"/>
  <c r="G185" i="22"/>
  <c r="G184" i="22"/>
  <c r="F635" i="22" a="1"/>
  <c r="F591" i="22" a="1"/>
  <c r="BD27" i="31" a="1"/>
  <c r="BC26" i="31" a="1"/>
  <c r="F615" i="22" a="1"/>
  <c r="F616" i="22" a="1"/>
  <c r="F629" i="22" a="1"/>
  <c r="BD26" i="31" a="1"/>
  <c r="BC27" i="31" a="1"/>
  <c r="F629" i="22" l="1"/>
  <c r="F635" i="22"/>
  <c r="F616" i="22"/>
  <c r="F615" i="22"/>
  <c r="F591" i="22"/>
  <c r="E178" i="22"/>
  <c r="F178" i="22"/>
  <c r="E179" i="22"/>
  <c r="BD27" i="31"/>
  <c r="I199" i="22" s="1"/>
  <c r="BC27" i="31"/>
  <c r="I198" i="22" s="1"/>
  <c r="BC26" i="31"/>
  <c r="I191" i="22" s="1"/>
  <c r="BD26" i="31"/>
  <c r="I192" i="22" s="1"/>
  <c r="BE7" i="31" l="1"/>
  <c r="M26" i="31"/>
  <c r="M27" i="31" s="1"/>
  <c r="M30" i="31" s="1"/>
  <c r="M31" i="31" s="1"/>
  <c r="M32" i="31" s="1"/>
  <c r="M33" i="31" s="1"/>
  <c r="M34" i="31" s="1"/>
  <c r="M35" i="31" s="1"/>
  <c r="M36" i="31" s="1"/>
  <c r="F174" i="22" a="1"/>
  <c r="F175" i="22" a="1"/>
  <c r="AG52" i="31"/>
  <c r="M37" i="31" l="1"/>
  <c r="M38" i="31" s="1"/>
  <c r="M39" i="31" s="1"/>
  <c r="F175" i="22"/>
  <c r="F174" i="22"/>
  <c r="L26" i="31"/>
  <c r="L27" i="31" s="1"/>
  <c r="L30" i="31" s="1"/>
  <c r="L31" i="31" s="1"/>
  <c r="L32" i="31" s="1"/>
  <c r="L33" i="31" s="1"/>
  <c r="L34" i="31" s="1"/>
  <c r="L35" i="31" s="1"/>
  <c r="L36" i="31" s="1"/>
  <c r="K26" i="31"/>
  <c r="K27" i="31" s="1"/>
  <c r="K30" i="31" s="1"/>
  <c r="K31" i="31" s="1"/>
  <c r="K32" i="31" s="1"/>
  <c r="K33" i="31" s="1"/>
  <c r="K34" i="31" s="1"/>
  <c r="K35" i="31" s="1"/>
  <c r="K36" i="31" s="1"/>
  <c r="L110" i="31"/>
  <c r="M40" i="31" l="1"/>
  <c r="M42" i="31"/>
  <c r="M43" i="31" s="1"/>
  <c r="M44" i="31" s="1"/>
  <c r="M47" i="31" s="1"/>
  <c r="M48" i="31" s="1"/>
  <c r="M49" i="31" s="1"/>
  <c r="M52" i="31" s="1"/>
  <c r="M54" i="31" s="1"/>
  <c r="L37" i="31"/>
  <c r="L38" i="31" s="1"/>
  <c r="L39" i="31" s="1"/>
  <c r="K37" i="31"/>
  <c r="K38" i="31" s="1"/>
  <c r="K39" i="31" s="1"/>
  <c r="M471" i="31"/>
  <c r="M472" i="31" s="1"/>
  <c r="L471" i="31"/>
  <c r="L472" i="31" s="1"/>
  <c r="AG443" i="31"/>
  <c r="E2261" i="22"/>
  <c r="F2261" i="22"/>
  <c r="E2262" i="22"/>
  <c r="F2263" i="22"/>
  <c r="G2264" i="22"/>
  <c r="I2264" i="22"/>
  <c r="M379" i="31"/>
  <c r="L379" i="31"/>
  <c r="L322" i="31"/>
  <c r="M322" i="31"/>
  <c r="L310" i="31"/>
  <c r="L311" i="31" s="1"/>
  <c r="L312" i="31" s="1"/>
  <c r="L313" i="31" s="1"/>
  <c r="L314" i="31" s="1"/>
  <c r="M310" i="31"/>
  <c r="M311" i="31" s="1"/>
  <c r="M312" i="31" s="1"/>
  <c r="M313" i="31" s="1"/>
  <c r="M314" i="31" s="1"/>
  <c r="E1869" i="22"/>
  <c r="I1720" i="22"/>
  <c r="G1720" i="22"/>
  <c r="H1719" i="22"/>
  <c r="I1719" i="22" s="1"/>
  <c r="G1719" i="22"/>
  <c r="H1718" i="22"/>
  <c r="I1718" i="22" s="1"/>
  <c r="G1718" i="22"/>
  <c r="F1717" i="22"/>
  <c r="H1697" i="22"/>
  <c r="H1698" i="22"/>
  <c r="H1699" i="22"/>
  <c r="I1695" i="22"/>
  <c r="H1694" i="22"/>
  <c r="I1694" i="22" s="1"/>
  <c r="H1693" i="22"/>
  <c r="I1693" i="22" s="1"/>
  <c r="G1695" i="22"/>
  <c r="G1694" i="22"/>
  <c r="G1693" i="22"/>
  <c r="F1726" i="22"/>
  <c r="P176" i="31"/>
  <c r="P165" i="31"/>
  <c r="L165" i="31"/>
  <c r="M165" i="31"/>
  <c r="T168" i="31"/>
  <c r="E1120" i="22" s="1"/>
  <c r="U168" i="31"/>
  <c r="K40" i="31" l="1"/>
  <c r="K42" i="31"/>
  <c r="K43" i="31" s="1"/>
  <c r="K44" i="31" s="1"/>
  <c r="K47" i="31" s="1"/>
  <c r="L40" i="31"/>
  <c r="L42" i="31"/>
  <c r="L43" i="31" s="1"/>
  <c r="L44" i="31" s="1"/>
  <c r="L47" i="31" s="1"/>
  <c r="L380" i="31"/>
  <c r="L382" i="31"/>
  <c r="L383" i="31" s="1"/>
  <c r="M380" i="31"/>
  <c r="M382" i="31"/>
  <c r="M383" i="31" s="1"/>
  <c r="I2667" i="22"/>
  <c r="I2504" i="22"/>
  <c r="D2260" i="22"/>
  <c r="F319" i="22" a="1"/>
  <c r="F320" i="22" a="1"/>
  <c r="F319" i="22" l="1"/>
  <c r="F320" i="22"/>
  <c r="I324" i="22"/>
  <c r="K48" i="31"/>
  <c r="K49" i="31" s="1"/>
  <c r="K52" i="31" s="1"/>
  <c r="I325" i="22"/>
  <c r="L48" i="31"/>
  <c r="L49" i="31" s="1"/>
  <c r="L52" i="31" s="1"/>
  <c r="L54" i="31" s="1"/>
  <c r="U146" i="31"/>
  <c r="F846" i="22" s="1"/>
  <c r="I816" i="22"/>
  <c r="G816" i="22"/>
  <c r="U142" i="31"/>
  <c r="D414" i="22"/>
  <c r="D63" i="22"/>
  <c r="F63" i="22" s="1"/>
  <c r="E736" i="22"/>
  <c r="I449" i="22"/>
  <c r="I450" i="22"/>
  <c r="E2652" i="22"/>
  <c r="E970" i="22"/>
  <c r="E772" i="22"/>
  <c r="E735" i="22"/>
  <c r="E688" i="22"/>
  <c r="E411" i="22"/>
  <c r="E771" i="22"/>
  <c r="E734" i="22"/>
  <c r="E687" i="22"/>
  <c r="E410" i="22"/>
  <c r="I793" i="22"/>
  <c r="M133" i="31"/>
  <c r="M134" i="31" s="1"/>
  <c r="M135" i="31" s="1"/>
  <c r="M136" i="31" s="1"/>
  <c r="M141" i="31" s="1"/>
  <c r="M142" i="31" s="1"/>
  <c r="L133" i="31"/>
  <c r="L134" i="31" s="1"/>
  <c r="L135" i="31" s="1"/>
  <c r="L136" i="31" s="1"/>
  <c r="L141" i="31" s="1"/>
  <c r="L142" i="31" s="1"/>
  <c r="H799" i="22"/>
  <c r="I799" i="22" s="1"/>
  <c r="G799" i="22"/>
  <c r="I798" i="22"/>
  <c r="G798" i="22"/>
  <c r="F797" i="22"/>
  <c r="F796" i="22"/>
  <c r="E796" i="22"/>
  <c r="G794" i="22"/>
  <c r="G793" i="22"/>
  <c r="F792" i="22"/>
  <c r="F791" i="22"/>
  <c r="E791" i="22"/>
  <c r="H789" i="22"/>
  <c r="I789" i="22" s="1"/>
  <c r="G789" i="22"/>
  <c r="I788" i="22"/>
  <c r="G788" i="22"/>
  <c r="F787" i="22"/>
  <c r="F786" i="22"/>
  <c r="E786" i="22"/>
  <c r="H784" i="22"/>
  <c r="I784" i="22" s="1"/>
  <c r="G784" i="22"/>
  <c r="I783" i="22"/>
  <c r="G783" i="22"/>
  <c r="F782" i="22"/>
  <c r="F781" i="22"/>
  <c r="E781" i="22"/>
  <c r="H779" i="22"/>
  <c r="I779" i="22" s="1"/>
  <c r="G779" i="22"/>
  <c r="I778" i="22"/>
  <c r="G778" i="22"/>
  <c r="I777" i="22"/>
  <c r="G777" i="22"/>
  <c r="I776" i="22"/>
  <c r="G776" i="22"/>
  <c r="F775" i="22"/>
  <c r="F774" i="22"/>
  <c r="E774" i="22"/>
  <c r="D769" i="22"/>
  <c r="F413" i="22"/>
  <c r="G2522" i="22"/>
  <c r="I2521" i="22"/>
  <c r="G2521" i="22"/>
  <c r="G2519" i="22"/>
  <c r="G2518" i="22"/>
  <c r="G2517" i="22"/>
  <c r="G2513" i="22"/>
  <c r="H2512" i="22"/>
  <c r="I2512" i="22" s="1"/>
  <c r="G2512" i="22"/>
  <c r="I2511" i="22"/>
  <c r="I2510" i="22"/>
  <c r="G2510" i="22"/>
  <c r="G2509" i="22"/>
  <c r="I2508" i="22"/>
  <c r="G2508" i="22"/>
  <c r="F2507" i="22"/>
  <c r="G2504" i="22"/>
  <c r="H2503" i="22"/>
  <c r="I2503" i="22" s="1"/>
  <c r="G2503" i="22"/>
  <c r="I2502" i="22"/>
  <c r="I2501" i="22"/>
  <c r="G2501" i="22"/>
  <c r="I2500" i="22"/>
  <c r="G2500" i="22"/>
  <c r="I2499" i="22"/>
  <c r="G2499" i="22"/>
  <c r="F2498" i="22"/>
  <c r="F2496" i="22"/>
  <c r="E2496" i="22"/>
  <c r="E2495" i="22"/>
  <c r="E2494" i="22"/>
  <c r="F2493" i="22"/>
  <c r="E2493" i="22"/>
  <c r="D2491" i="22"/>
  <c r="G2694" i="22"/>
  <c r="G2693" i="22"/>
  <c r="H2692" i="22"/>
  <c r="I2692" i="22" s="1"/>
  <c r="G2692" i="22"/>
  <c r="H2691" i="22"/>
  <c r="I2691" i="22" s="1"/>
  <c r="G2691" i="22"/>
  <c r="I2690" i="22"/>
  <c r="I2689" i="22"/>
  <c r="G2689" i="22"/>
  <c r="G2688" i="22"/>
  <c r="I2687" i="22"/>
  <c r="G2687" i="22"/>
  <c r="I2686" i="22"/>
  <c r="G2686" i="22"/>
  <c r="I2685" i="22"/>
  <c r="G2685" i="22"/>
  <c r="F2683" i="22"/>
  <c r="G2680" i="22"/>
  <c r="H2679" i="22"/>
  <c r="I2679" i="22" s="1"/>
  <c r="G2679" i="22"/>
  <c r="H2678" i="22"/>
  <c r="I2678" i="22" s="1"/>
  <c r="G2678" i="22"/>
  <c r="H2677" i="22"/>
  <c r="I2677" i="22" s="1"/>
  <c r="G2677" i="22"/>
  <c r="I2676" i="22"/>
  <c r="I2675" i="22"/>
  <c r="G2675" i="22"/>
  <c r="G2674" i="22"/>
  <c r="I2673" i="22"/>
  <c r="G2673" i="22"/>
  <c r="I2672" i="22"/>
  <c r="G2672" i="22"/>
  <c r="I2671" i="22"/>
  <c r="G2671" i="22"/>
  <c r="F2670" i="22"/>
  <c r="G2667" i="22"/>
  <c r="H2666" i="22"/>
  <c r="I2666" i="22" s="1"/>
  <c r="G2666" i="22"/>
  <c r="H2665" i="22"/>
  <c r="I2665" i="22" s="1"/>
  <c r="G2665" i="22"/>
  <c r="H2664" i="22"/>
  <c r="I2664" i="22" s="1"/>
  <c r="G2664" i="22"/>
  <c r="I2663" i="22"/>
  <c r="I2662" i="22"/>
  <c r="G2662" i="22"/>
  <c r="I2661" i="22"/>
  <c r="G2661" i="22"/>
  <c r="I2660" i="22"/>
  <c r="G2660" i="22"/>
  <c r="I2659" i="22"/>
  <c r="G2659" i="22"/>
  <c r="I2658" i="22"/>
  <c r="G2658" i="22"/>
  <c r="I2657" i="22"/>
  <c r="G2657" i="22"/>
  <c r="F2656" i="22"/>
  <c r="F2654" i="22"/>
  <c r="E2654" i="22"/>
  <c r="E2653" i="22"/>
  <c r="D2650" i="22"/>
  <c r="I1941" i="22"/>
  <c r="G1941" i="22"/>
  <c r="F1940" i="22"/>
  <c r="E1939" i="22"/>
  <c r="F1938" i="22"/>
  <c r="E1938" i="22"/>
  <c r="I1936" i="22"/>
  <c r="G1936" i="22"/>
  <c r="F1934" i="22"/>
  <c r="I1932" i="22"/>
  <c r="G1932" i="22"/>
  <c r="F1930" i="22"/>
  <c r="I1928" i="22"/>
  <c r="G1928" i="22"/>
  <c r="I1927" i="22"/>
  <c r="G1927" i="22"/>
  <c r="F1926" i="22"/>
  <c r="F1925" i="22"/>
  <c r="E1924" i="22"/>
  <c r="E1923" i="22"/>
  <c r="E1922" i="22"/>
  <c r="D1920" i="22"/>
  <c r="I1919" i="22"/>
  <c r="G1919" i="22"/>
  <c r="I1918" i="22"/>
  <c r="G1918" i="22"/>
  <c r="E1916" i="22"/>
  <c r="I1914" i="22"/>
  <c r="G1914" i="22"/>
  <c r="I1913" i="22"/>
  <c r="G1913" i="22"/>
  <c r="E1911" i="22"/>
  <c r="I1909" i="22"/>
  <c r="G1909" i="22"/>
  <c r="I1908" i="22"/>
  <c r="G1908" i="22"/>
  <c r="E1906" i="22"/>
  <c r="I1904" i="22"/>
  <c r="G1904" i="22"/>
  <c r="I1903" i="22"/>
  <c r="G1903" i="22"/>
  <c r="F1902" i="22"/>
  <c r="F1900" i="22"/>
  <c r="D1898" i="22"/>
  <c r="H1084" i="22"/>
  <c r="I1084" i="22" s="1"/>
  <c r="G1084" i="22"/>
  <c r="I1083" i="22"/>
  <c r="G1083" i="22"/>
  <c r="I1082" i="22"/>
  <c r="G1082" i="22"/>
  <c r="I1081" i="22"/>
  <c r="I1080" i="22"/>
  <c r="G1080" i="22"/>
  <c r="I1079" i="22"/>
  <c r="G1079" i="22" a="1"/>
  <c r="G1079" i="22" s="1"/>
  <c r="F1078" i="22"/>
  <c r="H1075" i="22"/>
  <c r="I1075" i="22" s="1"/>
  <c r="G1075" i="22"/>
  <c r="I1074" i="22"/>
  <c r="G1074" i="22"/>
  <c r="I1073" i="22"/>
  <c r="G1073" i="22"/>
  <c r="I1072" i="22"/>
  <c r="I1071" i="22"/>
  <c r="G1071" i="22"/>
  <c r="I1070" i="22"/>
  <c r="G1070" i="22" a="1"/>
  <c r="G1070" i="22" s="1"/>
  <c r="F1069" i="22"/>
  <c r="I1066" i="22"/>
  <c r="G1066" i="22" a="1"/>
  <c r="G1066" i="22" s="1"/>
  <c r="F1065" i="22"/>
  <c r="H1062" i="22"/>
  <c r="I1062" i="22" s="1"/>
  <c r="G1062" i="22"/>
  <c r="I1061" i="22"/>
  <c r="G1061" i="22"/>
  <c r="I1060" i="22"/>
  <c r="G1060" i="22"/>
  <c r="I1059" i="22"/>
  <c r="I1058" i="22"/>
  <c r="G1058" i="22"/>
  <c r="I1057" i="22"/>
  <c r="G1057" i="22" a="1"/>
  <c r="G1057" i="22" s="1"/>
  <c r="F1056" i="22"/>
  <c r="F1055" i="22"/>
  <c r="E1052" i="22"/>
  <c r="E1051" i="22"/>
  <c r="E1050" i="22"/>
  <c r="E1049" i="22"/>
  <c r="D1047" i="22"/>
  <c r="H1046" i="22"/>
  <c r="I1046" i="22" s="1"/>
  <c r="G1046" i="22"/>
  <c r="I1045" i="22"/>
  <c r="G1045" i="22"/>
  <c r="I1044" i="22"/>
  <c r="G1044" i="22"/>
  <c r="I1043" i="22"/>
  <c r="I1042" i="22"/>
  <c r="G1042" i="22"/>
  <c r="I1041" i="22"/>
  <c r="G1041" i="22" a="1"/>
  <c r="G1041" i="22" s="1"/>
  <c r="F1040" i="22"/>
  <c r="H1037" i="22"/>
  <c r="I1037" i="22" s="1"/>
  <c r="G1037" i="22"/>
  <c r="I1036" i="22"/>
  <c r="G1036" i="22"/>
  <c r="I1035" i="22"/>
  <c r="G1035" i="22"/>
  <c r="I1034" i="22"/>
  <c r="I1033" i="22"/>
  <c r="G1033" i="22"/>
  <c r="I1032" i="22"/>
  <c r="G1032" i="22" a="1"/>
  <c r="G1032" i="22" s="1"/>
  <c r="F1031" i="22"/>
  <c r="H1028" i="22"/>
  <c r="I1028" i="22" s="1"/>
  <c r="G1028" i="22"/>
  <c r="I1027" i="22"/>
  <c r="G1027" i="22"/>
  <c r="I1026" i="22"/>
  <c r="G1026" i="22"/>
  <c r="I1025" i="22"/>
  <c r="I1024" i="22"/>
  <c r="G1024" i="22"/>
  <c r="I1023" i="22"/>
  <c r="G1023" i="22" a="1"/>
  <c r="G1023" i="22" s="1"/>
  <c r="F1021" i="22"/>
  <c r="E1020" i="22"/>
  <c r="H1018" i="22"/>
  <c r="I1018" i="22" s="1"/>
  <c r="G1018" i="22"/>
  <c r="I1017" i="22"/>
  <c r="G1017" i="22"/>
  <c r="I1016" i="22"/>
  <c r="G1016" i="22"/>
  <c r="I1015" i="22"/>
  <c r="I1014" i="22"/>
  <c r="G1014" i="22"/>
  <c r="I1013" i="22"/>
  <c r="G1013" i="22" a="1"/>
  <c r="G1013" i="22" s="1"/>
  <c r="F1012" i="22"/>
  <c r="H1008" i="22"/>
  <c r="I1008" i="22" s="1"/>
  <c r="G1008" i="22"/>
  <c r="I1007" i="22"/>
  <c r="G1007" i="22"/>
  <c r="I1006" i="22"/>
  <c r="G1006" i="22"/>
  <c r="I1005" i="22"/>
  <c r="I1004" i="22"/>
  <c r="G1004" i="22"/>
  <c r="I1003" i="22"/>
  <c r="G1003" i="22" a="1"/>
  <c r="G1003" i="22" s="1"/>
  <c r="F1002" i="22"/>
  <c r="H999" i="22"/>
  <c r="I999" i="22" s="1"/>
  <c r="G999" i="22"/>
  <c r="I998" i="22"/>
  <c r="G998" i="22"/>
  <c r="I997" i="22"/>
  <c r="G997" i="22"/>
  <c r="I996" i="22"/>
  <c r="I995" i="22"/>
  <c r="G995" i="22"/>
  <c r="I994" i="22"/>
  <c r="G994" i="22" a="1"/>
  <c r="G994" i="22" s="1"/>
  <c r="F993" i="22"/>
  <c r="H990" i="22"/>
  <c r="I990" i="22" s="1"/>
  <c r="G990" i="22"/>
  <c r="I989" i="22"/>
  <c r="G989" i="22"/>
  <c r="I988" i="22"/>
  <c r="G988" i="22"/>
  <c r="I987" i="22"/>
  <c r="I986" i="22"/>
  <c r="G986" i="22"/>
  <c r="I985" i="22"/>
  <c r="G985" i="22" a="1"/>
  <c r="G985" i="22" s="1"/>
  <c r="F983" i="22"/>
  <c r="E982" i="22"/>
  <c r="H980" i="22"/>
  <c r="I980" i="22" s="1"/>
  <c r="G980" i="22"/>
  <c r="I979" i="22"/>
  <c r="G979" i="22"/>
  <c r="I978" i="22"/>
  <c r="G978" i="22"/>
  <c r="I977" i="22"/>
  <c r="I976" i="22"/>
  <c r="G976" i="22"/>
  <c r="I975" i="22"/>
  <c r="G975" i="22" a="1"/>
  <c r="G975" i="22" s="1"/>
  <c r="I974" i="22"/>
  <c r="G974" i="22"/>
  <c r="F973" i="22"/>
  <c r="F972" i="22"/>
  <c r="D968" i="22"/>
  <c r="I966" i="22"/>
  <c r="G966" i="22"/>
  <c r="F965" i="22"/>
  <c r="E964" i="22"/>
  <c r="F963" i="22"/>
  <c r="E963" i="22"/>
  <c r="I961" i="22"/>
  <c r="G961" i="22"/>
  <c r="I960" i="22"/>
  <c r="G960" i="22"/>
  <c r="I959" i="22"/>
  <c r="G959" i="22"/>
  <c r="I958" i="22"/>
  <c r="G958" i="22"/>
  <c r="I957" i="22"/>
  <c r="G957" i="22"/>
  <c r="F956" i="22"/>
  <c r="F955" i="22"/>
  <c r="E955" i="22"/>
  <c r="I953" i="22"/>
  <c r="G953" i="22"/>
  <c r="I952" i="22"/>
  <c r="G952" i="22"/>
  <c r="I951" i="22"/>
  <c r="G951" i="22"/>
  <c r="I950" i="22"/>
  <c r="G950" i="22"/>
  <c r="I949" i="22"/>
  <c r="G949" i="22"/>
  <c r="F948" i="22"/>
  <c r="F947" i="22"/>
  <c r="E947" i="22"/>
  <c r="I933" i="22"/>
  <c r="G933" i="22"/>
  <c r="F932" i="22"/>
  <c r="F931" i="22"/>
  <c r="I929" i="22"/>
  <c r="G929" i="22"/>
  <c r="I928" i="22"/>
  <c r="G928" i="22"/>
  <c r="I927" i="22"/>
  <c r="G927" i="22"/>
  <c r="I926" i="22"/>
  <c r="G926" i="22"/>
  <c r="I925" i="22"/>
  <c r="G925" i="22"/>
  <c r="F924" i="22"/>
  <c r="F923" i="22"/>
  <c r="E923" i="22"/>
  <c r="I921" i="22"/>
  <c r="G921" i="22"/>
  <c r="I920" i="22"/>
  <c r="G920" i="22"/>
  <c r="I919" i="22"/>
  <c r="G919" i="22"/>
  <c r="I918" i="22"/>
  <c r="G918" i="22"/>
  <c r="I917" i="22"/>
  <c r="G917" i="22"/>
  <c r="F916" i="22"/>
  <c r="F915" i="22"/>
  <c r="E915" i="22"/>
  <c r="I913" i="22"/>
  <c r="G913" i="22"/>
  <c r="I912" i="22"/>
  <c r="G912" i="22"/>
  <c r="I911" i="22"/>
  <c r="G911" i="22"/>
  <c r="I910" i="22"/>
  <c r="G910" i="22"/>
  <c r="I909" i="22"/>
  <c r="G909" i="22"/>
  <c r="F908" i="22"/>
  <c r="I905" i="22"/>
  <c r="G905" i="22"/>
  <c r="F904" i="22"/>
  <c r="F903" i="22"/>
  <c r="I901" i="22"/>
  <c r="G901" i="22"/>
  <c r="I900" i="22"/>
  <c r="G900" i="22"/>
  <c r="I899" i="22"/>
  <c r="G899" i="22"/>
  <c r="I898" i="22"/>
  <c r="G898" i="22"/>
  <c r="I897" i="22"/>
  <c r="G897" i="22"/>
  <c r="I896" i="22"/>
  <c r="G896" i="22"/>
  <c r="I895" i="22"/>
  <c r="G895" i="22"/>
  <c r="G894" i="22"/>
  <c r="I893" i="22"/>
  <c r="G893" i="22"/>
  <c r="F892" i="22"/>
  <c r="E890" i="22"/>
  <c r="E889" i="22"/>
  <c r="E888" i="22"/>
  <c r="D886" i="22"/>
  <c r="I885" i="22"/>
  <c r="G885" i="22"/>
  <c r="I884" i="22"/>
  <c r="G884" i="22"/>
  <c r="I883" i="22"/>
  <c r="G883" i="22"/>
  <c r="I882" i="22"/>
  <c r="G882" i="22"/>
  <c r="F880" i="22"/>
  <c r="F879" i="22"/>
  <c r="E879" i="22"/>
  <c r="I877" i="22"/>
  <c r="G877" i="22"/>
  <c r="I876" i="22"/>
  <c r="G876" i="22"/>
  <c r="I875" i="22"/>
  <c r="G875" i="22"/>
  <c r="I874" i="22"/>
  <c r="G874" i="22"/>
  <c r="F872" i="22"/>
  <c r="F871" i="22"/>
  <c r="E871" i="22"/>
  <c r="I869" i="22"/>
  <c r="G869" i="22"/>
  <c r="I868" i="22"/>
  <c r="G868" i="22"/>
  <c r="I867" i="22"/>
  <c r="G867" i="22"/>
  <c r="I866" i="22"/>
  <c r="G866" i="22"/>
  <c r="F864" i="22"/>
  <c r="F863" i="22"/>
  <c r="E863" i="22"/>
  <c r="I861" i="22"/>
  <c r="G861" i="22"/>
  <c r="I860" i="22"/>
  <c r="G860" i="22"/>
  <c r="I859" i="22"/>
  <c r="G859" i="22"/>
  <c r="I858" i="22"/>
  <c r="G858" i="22"/>
  <c r="F856" i="22"/>
  <c r="I853" i="22"/>
  <c r="G853" i="22"/>
  <c r="I852" i="22"/>
  <c r="F848" i="22" s="1"/>
  <c r="G852" i="22"/>
  <c r="I851" i="22"/>
  <c r="G851" i="22"/>
  <c r="I850" i="22"/>
  <c r="G850" i="22"/>
  <c r="F847" i="22"/>
  <c r="E846" i="22"/>
  <c r="I844" i="22"/>
  <c r="G844" i="22"/>
  <c r="I843" i="22"/>
  <c r="G843" i="22"/>
  <c r="I842" i="22"/>
  <c r="G842" i="22"/>
  <c r="I841" i="22"/>
  <c r="G841" i="22"/>
  <c r="F839" i="22"/>
  <c r="F838" i="22"/>
  <c r="E838" i="22"/>
  <c r="I836" i="22"/>
  <c r="G836" i="22"/>
  <c r="I835" i="22"/>
  <c r="G835" i="22"/>
  <c r="I834" i="22"/>
  <c r="G834" i="22"/>
  <c r="I833" i="22"/>
  <c r="G833" i="22"/>
  <c r="F831" i="22"/>
  <c r="F830" i="22"/>
  <c r="E830" i="22"/>
  <c r="I828" i="22"/>
  <c r="G828" i="22"/>
  <c r="I827" i="22"/>
  <c r="G827" i="22"/>
  <c r="I826" i="22"/>
  <c r="G826" i="22"/>
  <c r="I825" i="22"/>
  <c r="G825" i="22"/>
  <c r="F823" i="22"/>
  <c r="I820" i="22"/>
  <c r="G820" i="22"/>
  <c r="I819" i="22"/>
  <c r="F815" i="22" s="1"/>
  <c r="G819" i="22"/>
  <c r="I818" i="22"/>
  <c r="G818" i="22"/>
  <c r="I817" i="22"/>
  <c r="G817" i="22"/>
  <c r="F814" i="22"/>
  <c r="E813" i="22"/>
  <c r="I811" i="22"/>
  <c r="G811" i="22"/>
  <c r="I810" i="22"/>
  <c r="G810" i="22"/>
  <c r="I809" i="22"/>
  <c r="G809" i="22"/>
  <c r="I808" i="22"/>
  <c r="G808" i="22"/>
  <c r="I807" i="22"/>
  <c r="G807" i="22"/>
  <c r="I806" i="22"/>
  <c r="G806" i="22"/>
  <c r="F804" i="22"/>
  <c r="F803" i="22"/>
  <c r="D801" i="22"/>
  <c r="G767" i="22"/>
  <c r="G766" i="22"/>
  <c r="G765" i="22"/>
  <c r="G764" i="22"/>
  <c r="I763" i="22"/>
  <c r="G763" i="22"/>
  <c r="I762" i="22"/>
  <c r="G762" i="22"/>
  <c r="G761" i="22"/>
  <c r="F760" i="22"/>
  <c r="G757" i="22"/>
  <c r="G756" i="22"/>
  <c r="G755" i="22"/>
  <c r="G754" i="22"/>
  <c r="I753" i="22"/>
  <c r="G753" i="22"/>
  <c r="I752" i="22"/>
  <c r="G752" i="22"/>
  <c r="G751" i="22"/>
  <c r="F750" i="22"/>
  <c r="F749" i="22"/>
  <c r="E749" i="22"/>
  <c r="I747" i="22"/>
  <c r="G747" i="22"/>
  <c r="H746" i="22"/>
  <c r="I746" i="22" s="1"/>
  <c r="G746" i="22"/>
  <c r="H745" i="22"/>
  <c r="I745" i="22" s="1"/>
  <c r="G745" i="22"/>
  <c r="I744" i="22"/>
  <c r="G744" i="22"/>
  <c r="I743" i="22"/>
  <c r="G743" i="22"/>
  <c r="I742" i="22"/>
  <c r="G742" i="22"/>
  <c r="G741" i="22"/>
  <c r="I740" i="22"/>
  <c r="G740" i="22"/>
  <c r="I739" i="22"/>
  <c r="G739" i="22"/>
  <c r="F738" i="22"/>
  <c r="F733" i="22"/>
  <c r="E733" i="22"/>
  <c r="D731" i="22"/>
  <c r="G683" i="22"/>
  <c r="G682" i="22"/>
  <c r="G681" i="22"/>
  <c r="G679" i="22"/>
  <c r="G678" i="22"/>
  <c r="G677" i="22"/>
  <c r="G676" i="22"/>
  <c r="G675" i="22"/>
  <c r="F674" i="22"/>
  <c r="F673" i="22"/>
  <c r="E673" i="22"/>
  <c r="H671" i="22"/>
  <c r="I671" i="22" s="1"/>
  <c r="G671" i="22"/>
  <c r="G670" i="22"/>
  <c r="G669" i="22"/>
  <c r="G667" i="22"/>
  <c r="I666" i="22"/>
  <c r="G666" i="22"/>
  <c r="G665" i="22"/>
  <c r="G664" i="22"/>
  <c r="G663" i="22"/>
  <c r="F662" i="22"/>
  <c r="E661" i="22"/>
  <c r="G659" i="22"/>
  <c r="G658" i="22"/>
  <c r="G657" i="22"/>
  <c r="I656" i="22"/>
  <c r="I655" i="22"/>
  <c r="G655" i="22"/>
  <c r="I654" i="22"/>
  <c r="G654" i="22"/>
  <c r="I653" i="22"/>
  <c r="G653" i="22"/>
  <c r="I652" i="22"/>
  <c r="G652" i="22"/>
  <c r="G651" i="22"/>
  <c r="G650" i="22"/>
  <c r="I649" i="22"/>
  <c r="G649" i="22"/>
  <c r="F646" i="22"/>
  <c r="G729" i="22"/>
  <c r="G728" i="22"/>
  <c r="G727" i="22"/>
  <c r="G725" i="22"/>
  <c r="G724" i="22"/>
  <c r="G723" i="22"/>
  <c r="G722" i="22"/>
  <c r="G721" i="22"/>
  <c r="F720" i="22"/>
  <c r="F719" i="22"/>
  <c r="E719" i="22"/>
  <c r="G717" i="22"/>
  <c r="G716" i="22"/>
  <c r="G715" i="22"/>
  <c r="G713" i="22"/>
  <c r="G712" i="22"/>
  <c r="G711" i="22"/>
  <c r="G710" i="22"/>
  <c r="G709" i="22"/>
  <c r="F708" i="22"/>
  <c r="E707" i="22"/>
  <c r="G705" i="22"/>
  <c r="G704" i="22"/>
  <c r="G703" i="22"/>
  <c r="G701" i="22"/>
  <c r="I700" i="22"/>
  <c r="G700" i="22"/>
  <c r="G699" i="22"/>
  <c r="I698" i="22"/>
  <c r="G698" i="22"/>
  <c r="G697" i="22"/>
  <c r="G696" i="22"/>
  <c r="I695" i="22"/>
  <c r="G695" i="22"/>
  <c r="I693" i="22"/>
  <c r="G693" i="22"/>
  <c r="I692" i="22"/>
  <c r="G692" i="22"/>
  <c r="F691" i="22"/>
  <c r="E690" i="22"/>
  <c r="G450" i="22"/>
  <c r="G449" i="22"/>
  <c r="I448" i="22"/>
  <c r="G448" i="22"/>
  <c r="I447" i="22"/>
  <c r="G447" i="22"/>
  <c r="F446" i="22"/>
  <c r="F445" i="22"/>
  <c r="E445" i="22"/>
  <c r="G443" i="22"/>
  <c r="I442" i="22"/>
  <c r="G442" i="22"/>
  <c r="I441" i="22"/>
  <c r="G441" i="22"/>
  <c r="I440" i="22"/>
  <c r="G440" i="22"/>
  <c r="F439" i="22"/>
  <c r="F438" i="22"/>
  <c r="E438" i="22"/>
  <c r="D436" i="22"/>
  <c r="I435" i="22"/>
  <c r="G435" i="22"/>
  <c r="I434" i="22"/>
  <c r="G434" i="22"/>
  <c r="I433" i="22"/>
  <c r="G433" i="22"/>
  <c r="F432" i="22"/>
  <c r="F431" i="22"/>
  <c r="E431" i="22"/>
  <c r="I429" i="22"/>
  <c r="G429" i="22"/>
  <c r="I428" i="22"/>
  <c r="G428" i="22"/>
  <c r="I427" i="22"/>
  <c r="G427" i="22"/>
  <c r="F426" i="22"/>
  <c r="F425" i="22"/>
  <c r="E425" i="22"/>
  <c r="I423" i="22"/>
  <c r="G423" i="22"/>
  <c r="I422" i="22"/>
  <c r="G422" i="22"/>
  <c r="I421" i="22"/>
  <c r="G421" i="22"/>
  <c r="I420" i="22"/>
  <c r="G420" i="22"/>
  <c r="I419" i="22"/>
  <c r="G419" i="22"/>
  <c r="I418" i="22"/>
  <c r="G418" i="22"/>
  <c r="D408" i="22"/>
  <c r="F2653" i="22" a="1"/>
  <c r="F772" i="22" a="1"/>
  <c r="F734" i="22" a="1"/>
  <c r="F2682" i="22" a="1"/>
  <c r="F687" i="22" a="1"/>
  <c r="F410" i="22" a="1"/>
  <c r="F1010" i="22" a="1"/>
  <c r="F2652" i="22" a="1"/>
  <c r="F735" i="22" a="1"/>
  <c r="F970" i="22" a="1"/>
  <c r="F688" i="22" a="1"/>
  <c r="F1049" i="22" a="1"/>
  <c r="F411" i="22" a="1"/>
  <c r="F771" i="22" a="1"/>
  <c r="D954" i="22" l="1"/>
  <c r="D878" i="22"/>
  <c r="D946" i="22"/>
  <c r="K53" i="31"/>
  <c r="K55" i="31" s="1"/>
  <c r="K54" i="31"/>
  <c r="D922" i="22"/>
  <c r="D914" i="22"/>
  <c r="D837" i="22"/>
  <c r="D862" i="22"/>
  <c r="D870" i="22"/>
  <c r="D845" i="22"/>
  <c r="D829" i="22"/>
  <c r="D790" i="22"/>
  <c r="D780" i="22"/>
  <c r="D795" i="22"/>
  <c r="D785" i="22"/>
  <c r="E415" i="22"/>
  <c r="F414" i="22"/>
  <c r="F415" i="22"/>
  <c r="E414" i="22"/>
  <c r="E63" i="22"/>
  <c r="E64" i="22"/>
  <c r="F64" i="22"/>
  <c r="D437" i="22"/>
  <c r="D444" i="22"/>
  <c r="I443" i="22"/>
  <c r="H794" i="22"/>
  <c r="I794" i="22" s="1"/>
  <c r="F771" i="22"/>
  <c r="F772" i="22"/>
  <c r="F410" i="22"/>
  <c r="F411" i="22"/>
  <c r="D424" i="22"/>
  <c r="F2653" i="22"/>
  <c r="F2682" i="22"/>
  <c r="F2652" i="22"/>
  <c r="D1937" i="22"/>
  <c r="D748" i="22"/>
  <c r="F1049" i="22"/>
  <c r="F1010" i="22"/>
  <c r="F970" i="22"/>
  <c r="D962" i="22"/>
  <c r="F734" i="22"/>
  <c r="F735" i="22"/>
  <c r="F687" i="22"/>
  <c r="F688" i="22"/>
  <c r="D430" i="22"/>
  <c r="U445" i="31" l="1"/>
  <c r="F2515" i="22" s="1"/>
  <c r="T445" i="31"/>
  <c r="E2515" i="22" s="1"/>
  <c r="U444" i="31"/>
  <c r="T444" i="31"/>
  <c r="U472" i="31"/>
  <c r="T472" i="31"/>
  <c r="E2682" i="22" s="1"/>
  <c r="U471" i="31"/>
  <c r="T471" i="31"/>
  <c r="T329" i="31"/>
  <c r="T328" i="31"/>
  <c r="E1930" i="22" s="1"/>
  <c r="D1929" i="22" s="1"/>
  <c r="V325" i="31"/>
  <c r="U324" i="31"/>
  <c r="V323" i="31"/>
  <c r="U322" i="31"/>
  <c r="F1906" i="22" s="1"/>
  <c r="D1905" i="22" s="1"/>
  <c r="M323" i="31"/>
  <c r="M324" i="31" s="1"/>
  <c r="L323" i="31"/>
  <c r="L324" i="31" s="1"/>
  <c r="T178" i="31"/>
  <c r="E1161" i="22" s="1"/>
  <c r="D1160" i="22" s="1"/>
  <c r="U177" i="31"/>
  <c r="T177" i="31"/>
  <c r="E1155" i="22" s="1"/>
  <c r="T176" i="31"/>
  <c r="E1149" i="22" s="1"/>
  <c r="D1148" i="22" s="1"/>
  <c r="P173" i="31"/>
  <c r="U172" i="31"/>
  <c r="T172" i="31"/>
  <c r="U171" i="31"/>
  <c r="F1030" i="22" s="1"/>
  <c r="T171" i="31"/>
  <c r="E1133" i="22" s="1"/>
  <c r="U169" i="31"/>
  <c r="F1126" i="22" s="1"/>
  <c r="D1125" i="22" s="1"/>
  <c r="P170" i="31"/>
  <c r="E1010" i="22"/>
  <c r="U167" i="31"/>
  <c r="F992" i="22" s="1"/>
  <c r="T167" i="31"/>
  <c r="E1114" i="22" s="1"/>
  <c r="U165" i="31"/>
  <c r="F1101" i="22" s="1"/>
  <c r="D1100" i="22" s="1"/>
  <c r="P166" i="31"/>
  <c r="M166" i="31"/>
  <c r="M167" i="31" s="1"/>
  <c r="L166" i="31"/>
  <c r="L167" i="31" s="1"/>
  <c r="T157" i="31"/>
  <c r="E931" i="22" s="1"/>
  <c r="D930" i="22" s="1"/>
  <c r="T153" i="31"/>
  <c r="E903" i="22" s="1"/>
  <c r="D902" i="22" s="1"/>
  <c r="F813" i="22"/>
  <c r="D812" i="22" s="1"/>
  <c r="M143" i="31"/>
  <c r="M144" i="31" s="1"/>
  <c r="M145" i="31" s="1"/>
  <c r="M146" i="31" s="1"/>
  <c r="M147" i="31" s="1"/>
  <c r="M148" i="31" s="1"/>
  <c r="M149" i="31" s="1"/>
  <c r="L143" i="31"/>
  <c r="L144" i="31" s="1"/>
  <c r="L145" i="31" s="1"/>
  <c r="L146" i="31" s="1"/>
  <c r="L147" i="31" s="1"/>
  <c r="L148" i="31" s="1"/>
  <c r="L149" i="31" s="1"/>
  <c r="AT126" i="31" a="1"/>
  <c r="AT126" i="31" s="1"/>
  <c r="I761" i="22" s="1"/>
  <c r="AB126" i="31"/>
  <c r="T126" i="31"/>
  <c r="E759" i="22" s="1"/>
  <c r="AT125" i="31" a="1"/>
  <c r="AT125" i="31" s="1"/>
  <c r="I751" i="22" s="1"/>
  <c r="AB125" i="31"/>
  <c r="M125" i="31"/>
  <c r="M126" i="31" s="1"/>
  <c r="L125" i="31"/>
  <c r="L126" i="31" s="1"/>
  <c r="AT124" i="31" a="1"/>
  <c r="AT124" i="31" s="1"/>
  <c r="I741" i="22" s="1"/>
  <c r="N124" i="31"/>
  <c r="AW114" i="31"/>
  <c r="AV114" i="31"/>
  <c r="AQ114" i="31"/>
  <c r="I678" i="22"/>
  <c r="Y114" i="31"/>
  <c r="H658" i="22"/>
  <c r="I658" i="22" s="1"/>
  <c r="I657" i="22"/>
  <c r="M115" i="31"/>
  <c r="L115" i="31"/>
  <c r="H659" i="22"/>
  <c r="I659" i="22" s="1"/>
  <c r="D641" i="22"/>
  <c r="AW120" i="31"/>
  <c r="AV120" i="31"/>
  <c r="AQ120" i="31"/>
  <c r="AP120" i="31"/>
  <c r="AN120" i="31"/>
  <c r="AG120" i="31"/>
  <c r="H717" i="22" s="1"/>
  <c r="I717" i="22" s="1"/>
  <c r="Y120" i="31"/>
  <c r="H704" i="22"/>
  <c r="I704" i="22" s="1"/>
  <c r="H703" i="22"/>
  <c r="I703" i="22" s="1"/>
  <c r="I699" i="22"/>
  <c r="I702" i="22"/>
  <c r="I701" i="22"/>
  <c r="M121" i="31"/>
  <c r="L121" i="31"/>
  <c r="H705" i="22"/>
  <c r="I705" i="22" s="1"/>
  <c r="D685" i="22"/>
  <c r="M66" i="31"/>
  <c r="L66" i="31"/>
  <c r="AG125" i="31"/>
  <c r="L67" i="31" l="1"/>
  <c r="L69" i="31" s="1"/>
  <c r="M67" i="31"/>
  <c r="M69" i="31" s="1"/>
  <c r="L150" i="31"/>
  <c r="L152" i="31"/>
  <c r="M150" i="31"/>
  <c r="M152" i="31"/>
  <c r="M153" i="31" s="1"/>
  <c r="M154" i="31" s="1"/>
  <c r="M155" i="31" s="1"/>
  <c r="M156" i="31" s="1"/>
  <c r="M157" i="31" s="1"/>
  <c r="M158" i="31" s="1"/>
  <c r="M159" i="31" s="1"/>
  <c r="M160" i="31" s="1"/>
  <c r="M161" i="31" s="1"/>
  <c r="L325" i="31"/>
  <c r="L327" i="31"/>
  <c r="L328" i="31" s="1"/>
  <c r="L329" i="31" s="1"/>
  <c r="L330" i="31" s="1"/>
  <c r="M325" i="31"/>
  <c r="M327" i="31"/>
  <c r="M328" i="31" s="1"/>
  <c r="M329" i="31" s="1"/>
  <c r="M330" i="31" s="1"/>
  <c r="H683" i="22"/>
  <c r="I683" i="22" s="1"/>
  <c r="H729" i="22"/>
  <c r="I729" i="22" s="1"/>
  <c r="AF120" i="31"/>
  <c r="E2669" i="22"/>
  <c r="D2514" i="22"/>
  <c r="E2506" i="22"/>
  <c r="F2506" i="22"/>
  <c r="F1931" i="22"/>
  <c r="E1934" i="22"/>
  <c r="D1933" i="22" s="1"/>
  <c r="F1935" i="22"/>
  <c r="F1912" i="22"/>
  <c r="F1907" i="22"/>
  <c r="F1917" i="22"/>
  <c r="F1916" i="22"/>
  <c r="D1915" i="22" s="1"/>
  <c r="F1911" i="22"/>
  <c r="D1910" i="22" s="1"/>
  <c r="F1077" i="22"/>
  <c r="F1064" i="22"/>
  <c r="E1077" i="22"/>
  <c r="E1068" i="22"/>
  <c r="E1064" i="22"/>
  <c r="E1001" i="22"/>
  <c r="E992" i="22"/>
  <c r="D991" i="22" s="1"/>
  <c r="F982" i="22"/>
  <c r="D981" i="22" s="1"/>
  <c r="F1020" i="22"/>
  <c r="D1019" i="22" s="1"/>
  <c r="E1039" i="22"/>
  <c r="E1030" i="22"/>
  <c r="D1029" i="22" s="1"/>
  <c r="L168" i="31"/>
  <c r="L169" i="31" s="1"/>
  <c r="L170" i="31" s="1"/>
  <c r="L171" i="31" s="1"/>
  <c r="L172" i="31" s="1"/>
  <c r="M168" i="31"/>
  <c r="M169" i="31" s="1"/>
  <c r="M170" i="31" s="1"/>
  <c r="M171" i="31" s="1"/>
  <c r="M172" i="31" s="1"/>
  <c r="F736" i="22"/>
  <c r="I757" i="22"/>
  <c r="I667" i="22"/>
  <c r="H755" i="22"/>
  <c r="I755" i="22" s="1"/>
  <c r="AR120" i="31"/>
  <c r="I668" i="22"/>
  <c r="I664" i="22"/>
  <c r="H765" i="22"/>
  <c r="I765" i="22" s="1"/>
  <c r="I710" i="22"/>
  <c r="I665" i="22"/>
  <c r="AB114" i="31"/>
  <c r="I676" i="22"/>
  <c r="AB120" i="31"/>
  <c r="I722" i="22"/>
  <c r="AR114" i="31"/>
  <c r="I677" i="22"/>
  <c r="AE125" i="31"/>
  <c r="U126" i="31"/>
  <c r="F759" i="22" s="1"/>
  <c r="D758" i="22" s="1"/>
  <c r="AE126" i="31"/>
  <c r="N125" i="31"/>
  <c r="AF125" i="31" a="1"/>
  <c r="L70" i="31" l="1"/>
  <c r="L73" i="31" s="1"/>
  <c r="L74" i="31" s="1"/>
  <c r="M70" i="31"/>
  <c r="M73" i="31" s="1"/>
  <c r="M74" i="31" s="1"/>
  <c r="M173" i="31"/>
  <c r="M175" i="31"/>
  <c r="M176" i="31" s="1"/>
  <c r="M177" i="31" s="1"/>
  <c r="M178" i="31" s="1"/>
  <c r="M182" i="31" s="1"/>
  <c r="M183" i="31" s="1"/>
  <c r="M184" i="31" s="1"/>
  <c r="M185" i="31" s="1"/>
  <c r="M186" i="31" s="1"/>
  <c r="L173" i="31"/>
  <c r="L175" i="31"/>
  <c r="L176" i="31" s="1"/>
  <c r="L177" i="31" s="1"/>
  <c r="L178" i="31" s="1"/>
  <c r="L182" i="31" s="1"/>
  <c r="L183" i="31" s="1"/>
  <c r="L184" i="31" s="1"/>
  <c r="L185" i="31" s="1"/>
  <c r="L186" i="31" s="1"/>
  <c r="L153" i="31"/>
  <c r="L154" i="31" s="1"/>
  <c r="L155" i="31" s="1"/>
  <c r="L156" i="31" s="1"/>
  <c r="L157" i="31" s="1"/>
  <c r="L158" i="31" s="1"/>
  <c r="L159" i="31" s="1"/>
  <c r="L160" i="31" s="1"/>
  <c r="L161" i="31" s="1"/>
  <c r="I894" i="22"/>
  <c r="I679" i="22"/>
  <c r="I724" i="22"/>
  <c r="I712" i="22"/>
  <c r="I680" i="22"/>
  <c r="D1076" i="22"/>
  <c r="D2505" i="22"/>
  <c r="D1063" i="22"/>
  <c r="AF125" i="31"/>
  <c r="I754" i="22" s="1"/>
  <c r="I2688" i="22"/>
  <c r="H716" i="22"/>
  <c r="H669" i="22"/>
  <c r="I669" i="22" s="1"/>
  <c r="I713" i="22"/>
  <c r="H715" i="22"/>
  <c r="AE120" i="31"/>
  <c r="I711" i="22"/>
  <c r="H766" i="22"/>
  <c r="I766" i="22" s="1"/>
  <c r="I2694" i="22"/>
  <c r="H756" i="22"/>
  <c r="I756" i="22" s="1"/>
  <c r="H670" i="22"/>
  <c r="I670" i="22" s="1"/>
  <c r="AE114" i="31"/>
  <c r="I714" i="22"/>
  <c r="L187" i="31" l="1"/>
  <c r="L189" i="31"/>
  <c r="L190" i="31" s="1"/>
  <c r="L191" i="31" s="1"/>
  <c r="L192" i="31" s="1"/>
  <c r="M189" i="31"/>
  <c r="M190" i="31" s="1"/>
  <c r="M191" i="31" s="1"/>
  <c r="M192" i="31" s="1"/>
  <c r="M196" i="31" s="1"/>
  <c r="M197" i="31" s="1"/>
  <c r="M187" i="31"/>
  <c r="H682" i="22"/>
  <c r="I682" i="22" s="1"/>
  <c r="H681" i="22"/>
  <c r="I681" i="22" s="1"/>
  <c r="I715" i="22"/>
  <c r="I716" i="22"/>
  <c r="I726" i="22"/>
  <c r="I725" i="22"/>
  <c r="I723" i="22"/>
  <c r="H728" i="22"/>
  <c r="I728" i="22" s="1"/>
  <c r="H727" i="22"/>
  <c r="I727" i="22" s="1"/>
  <c r="L195" i="31" l="1"/>
  <c r="L196" i="31" s="1"/>
  <c r="L197" i="31" s="1"/>
  <c r="E31" i="22"/>
  <c r="E1673" i="22"/>
  <c r="E30" i="22"/>
  <c r="E29" i="22"/>
  <c r="E341" i="22"/>
  <c r="I346" i="22"/>
  <c r="I345" i="22"/>
  <c r="G346" i="22"/>
  <c r="G345" i="22"/>
  <c r="F342" i="22"/>
  <c r="F341" i="22"/>
  <c r="H183" i="22"/>
  <c r="I183" i="22" s="1"/>
  <c r="G183" i="22"/>
  <c r="H182" i="22"/>
  <c r="I182" i="22" s="1"/>
  <c r="G182" i="22"/>
  <c r="I181" i="22"/>
  <c r="G181" i="22"/>
  <c r="I180" i="22"/>
  <c r="G180" i="22"/>
  <c r="F177" i="22"/>
  <c r="F176" i="22"/>
  <c r="E176" i="22"/>
  <c r="D172" i="22"/>
  <c r="AW53" i="31" l="1"/>
  <c r="AV53" i="31"/>
  <c r="D2649" i="22"/>
  <c r="D200" i="22"/>
  <c r="D2490" i="22"/>
  <c r="D2451" i="22"/>
  <c r="D2265" i="22"/>
  <c r="D2190" i="22"/>
  <c r="D1877" i="22"/>
  <c r="D1821" i="22"/>
  <c r="D1736" i="22"/>
  <c r="D1666" i="22"/>
  <c r="D1579" i="22"/>
  <c r="D1433" i="22"/>
  <c r="D1411" i="22"/>
  <c r="D1385" i="22"/>
  <c r="D1351" i="22"/>
  <c r="D1323" i="22"/>
  <c r="D1266" i="22"/>
  <c r="D1217" i="22"/>
  <c r="D1189" i="22"/>
  <c r="D1166" i="22"/>
  <c r="D1085" i="22"/>
  <c r="D967" i="22"/>
  <c r="D800" i="22"/>
  <c r="D768" i="22"/>
  <c r="D2" i="22"/>
  <c r="D730" i="22"/>
  <c r="D684" i="22"/>
  <c r="D640" i="22"/>
  <c r="D612" i="22"/>
  <c r="D587" i="22"/>
  <c r="D549" i="22"/>
  <c r="D532" i="22"/>
  <c r="D451" i="22"/>
  <c r="D407" i="22"/>
  <c r="D370" i="22"/>
  <c r="D338" i="22"/>
  <c r="D316" i="22"/>
  <c r="V53" i="31"/>
  <c r="M53" i="31"/>
  <c r="M55" i="31" s="1"/>
  <c r="L53" i="31"/>
  <c r="L55" i="31" s="1"/>
  <c r="AF52" i="31" a="1"/>
  <c r="AF52" i="31" l="1"/>
  <c r="H2225" i="22"/>
  <c r="I2225" i="22" s="1"/>
  <c r="G2225" i="22"/>
  <c r="I2224" i="22"/>
  <c r="G2224" i="22"/>
  <c r="I2223" i="22"/>
  <c r="I2222" i="22"/>
  <c r="G2222" i="22"/>
  <c r="I2221" i="22"/>
  <c r="G2221" i="22"/>
  <c r="F2220" i="22"/>
  <c r="I2231" i="22"/>
  <c r="G2231" i="22"/>
  <c r="I2230" i="22"/>
  <c r="I2229" i="22"/>
  <c r="G2229" i="22"/>
  <c r="F2228" i="22"/>
  <c r="F2227" i="22"/>
  <c r="I2237" i="22"/>
  <c r="G2237" i="22"/>
  <c r="I2236" i="22"/>
  <c r="I2235" i="22"/>
  <c r="G2235" i="22"/>
  <c r="F2234" i="22"/>
  <c r="AF55" i="31" a="1"/>
  <c r="AF55" i="31" l="1"/>
  <c r="I2251" i="22"/>
  <c r="E2248" i="22"/>
  <c r="E2247" i="22"/>
  <c r="E2246" i="22"/>
  <c r="T384" i="31"/>
  <c r="E2219" i="22" l="1"/>
  <c r="I2255" i="22"/>
  <c r="G2255" i="22"/>
  <c r="F2254" i="22"/>
  <c r="F2253" i="22"/>
  <c r="I2259" i="22"/>
  <c r="G2259" i="22"/>
  <c r="F2258" i="22"/>
  <c r="F2257" i="22"/>
  <c r="G2251" i="22"/>
  <c r="D2217" i="22"/>
  <c r="U385" i="31"/>
  <c r="U383" i="31"/>
  <c r="F2219" i="22" s="1"/>
  <c r="D2218" i="22" s="1"/>
  <c r="T386" i="31"/>
  <c r="E2239" i="22" s="1"/>
  <c r="D2238" i="22" s="1"/>
  <c r="E2233" i="22" l="1"/>
  <c r="F2233" i="22"/>
  <c r="D2232" i="22" s="1"/>
  <c r="E2227" i="22"/>
  <c r="D2226" i="22" s="1"/>
  <c r="M384" i="31"/>
  <c r="M385" i="31" s="1"/>
  <c r="L384" i="31"/>
  <c r="L385" i="31" s="1"/>
  <c r="L386" i="31" l="1"/>
  <c r="L388" i="31"/>
  <c r="L389" i="31" s="1"/>
  <c r="L390" i="31" s="1"/>
  <c r="M386" i="31"/>
  <c r="M388" i="31"/>
  <c r="M389" i="31" s="1"/>
  <c r="M390" i="31" s="1"/>
  <c r="T390" i="31"/>
  <c r="T389" i="31"/>
  <c r="BA7" i="31"/>
  <c r="M393" i="31" l="1"/>
  <c r="M391" i="31"/>
  <c r="L391" i="31"/>
  <c r="L393" i="31"/>
  <c r="L394" i="31"/>
  <c r="L395" i="31" s="1"/>
  <c r="L396" i="31" s="1"/>
  <c r="L397" i="31" s="1"/>
  <c r="L398" i="31" s="1"/>
  <c r="M394" i="31"/>
  <c r="M395" i="31" s="1"/>
  <c r="M396" i="31" s="1"/>
  <c r="M397" i="31" s="1"/>
  <c r="M398" i="31" s="1"/>
  <c r="E2253" i="22"/>
  <c r="D2252" i="22" s="1"/>
  <c r="E2257" i="22"/>
  <c r="D2256" i="22" s="1"/>
  <c r="E1870" i="22" l="1"/>
  <c r="G1838" i="22"/>
  <c r="F1837" i="22"/>
  <c r="F1836" i="22"/>
  <c r="G1846" i="22"/>
  <c r="F1845" i="22"/>
  <c r="F1844" i="22"/>
  <c r="G1854" i="22"/>
  <c r="F1853" i="22"/>
  <c r="F1852" i="22"/>
  <c r="G1862" i="22"/>
  <c r="F1861" i="22"/>
  <c r="F1860" i="22"/>
  <c r="G1872" i="22"/>
  <c r="F1871" i="22"/>
  <c r="F1868" i="22"/>
  <c r="E1868" i="22"/>
  <c r="E1825" i="22"/>
  <c r="E1824" i="22"/>
  <c r="E1827" i="22"/>
  <c r="E1826" i="22"/>
  <c r="F1824" i="22"/>
  <c r="G1834" i="22"/>
  <c r="G1833" i="22"/>
  <c r="G1832" i="22"/>
  <c r="G1831" i="22"/>
  <c r="G1830" i="22"/>
  <c r="T313" i="31"/>
  <c r="E1860" i="22" s="1"/>
  <c r="T312" i="31"/>
  <c r="E1852" i="22" s="1"/>
  <c r="T311" i="31"/>
  <c r="E1844" i="22" s="1"/>
  <c r="T310" i="31"/>
  <c r="E1836" i="22" s="1"/>
  <c r="AH7" i="31" l="1"/>
  <c r="I107" i="22" l="1"/>
  <c r="G107" i="22"/>
  <c r="I106" i="22"/>
  <c r="G106" i="22"/>
  <c r="I105" i="22"/>
  <c r="G105" i="22"/>
  <c r="I104" i="22"/>
  <c r="G104" i="22"/>
  <c r="G103" i="22"/>
  <c r="G102" i="22"/>
  <c r="I101" i="22"/>
  <c r="G101" i="22"/>
  <c r="I100" i="22"/>
  <c r="G100" i="22"/>
  <c r="F99" i="22"/>
  <c r="F98" i="22"/>
  <c r="E98" i="22"/>
  <c r="I84" i="22"/>
  <c r="I83" i="22"/>
  <c r="I82" i="22"/>
  <c r="I79" i="22"/>
  <c r="I78" i="22"/>
  <c r="G85" i="22"/>
  <c r="G84" i="22"/>
  <c r="G83" i="22"/>
  <c r="G82" i="22"/>
  <c r="G81" i="22"/>
  <c r="G80" i="22"/>
  <c r="G79" i="22"/>
  <c r="G78" i="22"/>
  <c r="I68" i="22"/>
  <c r="G68" i="22"/>
  <c r="I360" i="22"/>
  <c r="G360" i="22"/>
  <c r="I359" i="22"/>
  <c r="G359" i="22"/>
  <c r="F355" i="22"/>
  <c r="E355" i="22"/>
  <c r="I353" i="22"/>
  <c r="I352" i="22"/>
  <c r="G353" i="22"/>
  <c r="G352" i="22"/>
  <c r="I519" i="22"/>
  <c r="G519" i="22"/>
  <c r="I518" i="22"/>
  <c r="G518" i="22"/>
  <c r="I517" i="22"/>
  <c r="G517" i="22"/>
  <c r="F516" i="22"/>
  <c r="F515" i="22"/>
  <c r="E515" i="22"/>
  <c r="I525" i="22"/>
  <c r="G525" i="22"/>
  <c r="I524" i="22"/>
  <c r="G524" i="22"/>
  <c r="I523" i="22"/>
  <c r="G523" i="22"/>
  <c r="F522" i="22"/>
  <c r="F521" i="22"/>
  <c r="E521" i="22"/>
  <c r="I531" i="22"/>
  <c r="G531" i="22"/>
  <c r="I530" i="22"/>
  <c r="G530" i="22"/>
  <c r="I529" i="22"/>
  <c r="G529" i="22"/>
  <c r="F528" i="22"/>
  <c r="F527" i="22"/>
  <c r="E527" i="22"/>
  <c r="D97" i="22" l="1"/>
  <c r="I358" i="22"/>
  <c r="D514" i="22"/>
  <c r="D526" i="22"/>
  <c r="D354" i="22"/>
  <c r="D520" i="22"/>
  <c r="I513" i="22"/>
  <c r="G513" i="22"/>
  <c r="I512" i="22"/>
  <c r="G512" i="22"/>
  <c r="I511" i="22"/>
  <c r="G511" i="22"/>
  <c r="F510" i="22"/>
  <c r="F509" i="22"/>
  <c r="E509" i="22"/>
  <c r="I507" i="22"/>
  <c r="G507" i="22"/>
  <c r="I506" i="22"/>
  <c r="G506" i="22"/>
  <c r="I505" i="22"/>
  <c r="G505" i="22"/>
  <c r="F504" i="22"/>
  <c r="F503" i="22"/>
  <c r="E503" i="22"/>
  <c r="I501" i="22"/>
  <c r="G501" i="22"/>
  <c r="I500" i="22"/>
  <c r="G500" i="22"/>
  <c r="I499" i="22"/>
  <c r="G499" i="22"/>
  <c r="F498" i="22"/>
  <c r="F497" i="22"/>
  <c r="E497" i="22"/>
  <c r="I495" i="22"/>
  <c r="G495" i="22"/>
  <c r="I494" i="22"/>
  <c r="G494" i="22"/>
  <c r="I493" i="22"/>
  <c r="G493" i="22"/>
  <c r="F492" i="22"/>
  <c r="F491" i="22"/>
  <c r="E491" i="22"/>
  <c r="I489" i="22"/>
  <c r="G489" i="22"/>
  <c r="I488" i="22"/>
  <c r="G488" i="22"/>
  <c r="I487" i="22"/>
  <c r="G487" i="22"/>
  <c r="F486" i="22"/>
  <c r="F485" i="22"/>
  <c r="E485" i="22"/>
  <c r="I483" i="22"/>
  <c r="G483" i="22"/>
  <c r="I482" i="22"/>
  <c r="G482" i="22"/>
  <c r="I481" i="22"/>
  <c r="G481" i="22"/>
  <c r="F480" i="22"/>
  <c r="F479" i="22"/>
  <c r="E479" i="22"/>
  <c r="I477" i="22"/>
  <c r="G477" i="22"/>
  <c r="I476" i="22"/>
  <c r="G476" i="22"/>
  <c r="I475" i="22"/>
  <c r="G475" i="22"/>
  <c r="F474" i="22"/>
  <c r="F473" i="22"/>
  <c r="E473" i="22"/>
  <c r="I470" i="22"/>
  <c r="G470" i="22"/>
  <c r="I469" i="22"/>
  <c r="G469" i="22"/>
  <c r="I468" i="22"/>
  <c r="G468" i="22"/>
  <c r="F467" i="22"/>
  <c r="F466" i="22"/>
  <c r="E466" i="22"/>
  <c r="I464" i="22"/>
  <c r="G464" i="22"/>
  <c r="I463" i="22"/>
  <c r="G463" i="22"/>
  <c r="I462" i="22"/>
  <c r="G462" i="22"/>
  <c r="F461" i="22"/>
  <c r="F460" i="22"/>
  <c r="E460" i="22"/>
  <c r="G458" i="22"/>
  <c r="G457" i="22"/>
  <c r="F1734" i="22"/>
  <c r="G1735" i="22"/>
  <c r="H1732" i="22"/>
  <c r="I1732" i="22" s="1"/>
  <c r="G1732" i="22"/>
  <c r="I1731" i="22"/>
  <c r="G1731" i="22"/>
  <c r="F1730" i="22"/>
  <c r="E1730" i="22"/>
  <c r="G1728" i="22"/>
  <c r="G1727" i="22"/>
  <c r="H1724" i="22"/>
  <c r="I1724" i="22" s="1"/>
  <c r="G1724" i="22"/>
  <c r="H1723" i="22"/>
  <c r="I1723" i="22" s="1"/>
  <c r="G1723" i="22"/>
  <c r="H1722" i="22"/>
  <c r="I1722" i="22" s="1"/>
  <c r="G1722" i="22"/>
  <c r="F1716" i="22"/>
  <c r="E1716" i="22"/>
  <c r="H1714" i="22"/>
  <c r="I1714" i="22" s="1"/>
  <c r="G1714" i="22"/>
  <c r="H1713" i="22"/>
  <c r="I1713" i="22" s="1"/>
  <c r="G1713" i="22"/>
  <c r="H1712" i="22"/>
  <c r="I1712" i="22" s="1"/>
  <c r="G1712" i="22"/>
  <c r="I1711" i="22"/>
  <c r="G1711" i="22"/>
  <c r="I1710" i="22"/>
  <c r="G1710" i="22"/>
  <c r="G1704" i="22"/>
  <c r="G1703" i="22"/>
  <c r="G1705" i="22"/>
  <c r="I1699" i="22"/>
  <c r="G1699" i="22"/>
  <c r="I1698" i="22"/>
  <c r="G1698" i="22"/>
  <c r="I1697" i="22"/>
  <c r="G1697" i="22"/>
  <c r="F1692" i="22"/>
  <c r="F1691" i="22"/>
  <c r="E1691" i="22"/>
  <c r="D1690" i="22" s="1"/>
  <c r="H1689" i="22"/>
  <c r="I1689" i="22" s="1"/>
  <c r="G1689" i="22"/>
  <c r="H1688" i="22"/>
  <c r="I1688" i="22" s="1"/>
  <c r="G1688" i="22"/>
  <c r="H1687" i="22"/>
  <c r="G1687" i="22"/>
  <c r="I1686" i="22"/>
  <c r="G1686" i="22"/>
  <c r="I1685" i="22"/>
  <c r="G1685" i="22"/>
  <c r="F1684" i="22"/>
  <c r="F1683" i="22"/>
  <c r="E1683" i="22"/>
  <c r="H1680" i="22"/>
  <c r="I1680" i="22" s="1"/>
  <c r="H1679" i="22"/>
  <c r="I1679" i="22" s="1"/>
  <c r="H1681" i="22"/>
  <c r="I1681" i="22" s="1"/>
  <c r="G1681" i="22"/>
  <c r="G1680" i="22"/>
  <c r="G1679" i="22"/>
  <c r="I1678" i="22"/>
  <c r="G1678" i="22"/>
  <c r="I1677" i="22"/>
  <c r="G1677" i="22"/>
  <c r="F1673" i="22" a="1"/>
  <c r="D502" i="22" l="1"/>
  <c r="D508" i="22"/>
  <c r="I1687" i="22"/>
  <c r="H1703" i="22"/>
  <c r="I1703" i="22" s="1"/>
  <c r="D496" i="22"/>
  <c r="D478" i="22"/>
  <c r="D484" i="22"/>
  <c r="D490" i="22"/>
  <c r="D472" i="22"/>
  <c r="D465" i="22"/>
  <c r="D459" i="22"/>
  <c r="D1715" i="22"/>
  <c r="F1673" i="22"/>
  <c r="D1729" i="22"/>
  <c r="H1728" i="22"/>
  <c r="H1727" i="22"/>
  <c r="H1704" i="22"/>
  <c r="I1704" i="22" s="1"/>
  <c r="H1705" i="22"/>
  <c r="H1735" i="22" s="1"/>
  <c r="H1786" i="22"/>
  <c r="I1786" i="22" s="1"/>
  <c r="G1786" i="22"/>
  <c r="H1785" i="22"/>
  <c r="I1785" i="22" s="1"/>
  <c r="G1785" i="22"/>
  <c r="H1784" i="22"/>
  <c r="I1784" i="22" s="1"/>
  <c r="G1784" i="22"/>
  <c r="H1783" i="22"/>
  <c r="I1783" i="22" s="1"/>
  <c r="G1783" i="22"/>
  <c r="H1782" i="22"/>
  <c r="I1782" i="22" s="1"/>
  <c r="G1782" i="22"/>
  <c r="I1777" i="22"/>
  <c r="G1777" i="22"/>
  <c r="I1776" i="22"/>
  <c r="G1776" i="22"/>
  <c r="I1775" i="22"/>
  <c r="G1775" i="22"/>
  <c r="I1774" i="22"/>
  <c r="G1774" i="22"/>
  <c r="G1773" i="22"/>
  <c r="H1767" i="22"/>
  <c r="I1767" i="22" s="1"/>
  <c r="G1767" i="22"/>
  <c r="H1766" i="22"/>
  <c r="I1766" i="22" s="1"/>
  <c r="G1766" i="22"/>
  <c r="H1765" i="22"/>
  <c r="I1765" i="22" s="1"/>
  <c r="G1765" i="22"/>
  <c r="H1764" i="22"/>
  <c r="I1764" i="22" s="1"/>
  <c r="G1764" i="22"/>
  <c r="H1763" i="22"/>
  <c r="I1763" i="22" s="1"/>
  <c r="G1763" i="22"/>
  <c r="H1758" i="22"/>
  <c r="I1758" i="22" s="1"/>
  <c r="G1758" i="22"/>
  <c r="H1757" i="22"/>
  <c r="I1757" i="22" s="1"/>
  <c r="G1757" i="22"/>
  <c r="H1756" i="22"/>
  <c r="I1756" i="22" s="1"/>
  <c r="G1756" i="22"/>
  <c r="H1755" i="22"/>
  <c r="I1755" i="22" s="1"/>
  <c r="G1755" i="22"/>
  <c r="H1754" i="22"/>
  <c r="I1754" i="22" s="1"/>
  <c r="G1754" i="22"/>
  <c r="F1780" i="22"/>
  <c r="F1779" i="22"/>
  <c r="E1779" i="22"/>
  <c r="F1769" i="22"/>
  <c r="E1769" i="22"/>
  <c r="F1761" i="22"/>
  <c r="F1760" i="22"/>
  <c r="E1760" i="22"/>
  <c r="F1752" i="22"/>
  <c r="F1751" i="22"/>
  <c r="E1751" i="22"/>
  <c r="D1768" i="22" l="1"/>
  <c r="I1705" i="22"/>
  <c r="I1735" i="22"/>
  <c r="I1727" i="22"/>
  <c r="I1728" i="22"/>
  <c r="D1750" i="22"/>
  <c r="D1759" i="22"/>
  <c r="D1778" i="22"/>
  <c r="G1741" i="22"/>
  <c r="G1745" i="22"/>
  <c r="G1746" i="22"/>
  <c r="H1746" i="22"/>
  <c r="I1746" i="22" s="1"/>
  <c r="H1745" i="22"/>
  <c r="I1745" i="22" s="1"/>
  <c r="F53" i="22"/>
  <c r="N7" i="31" l="1"/>
  <c r="E36" i="22" l="1"/>
  <c r="F19" i="22"/>
  <c r="F29" i="22" a="1"/>
  <c r="F31" i="22" a="1"/>
  <c r="F30" i="22" a="1"/>
  <c r="F29" i="22" l="1"/>
  <c r="F30" i="22"/>
  <c r="F31" i="22"/>
  <c r="F2250" i="22" l="1"/>
  <c r="F2249" i="22"/>
  <c r="E2249" i="22"/>
  <c r="F2246" i="22"/>
  <c r="D2244" i="22"/>
  <c r="D1580" i="22"/>
  <c r="D471" i="22"/>
  <c r="AL5" i="33" l="1"/>
  <c r="AK233" i="33"/>
  <c r="AI244" i="33"/>
  <c r="AM5" i="33" s="1"/>
  <c r="AI243" i="33"/>
  <c r="AI242" i="33"/>
  <c r="AI241" i="33"/>
  <c r="AI240" i="33"/>
  <c r="AM9" i="33" s="1"/>
  <c r="AI239" i="33"/>
  <c r="AI238" i="33"/>
  <c r="AI237" i="33"/>
  <c r="AM12" i="33" s="1"/>
  <c r="AI236" i="33"/>
  <c r="AM13" i="33" s="1"/>
  <c r="AI235" i="33"/>
  <c r="AM14" i="33" s="1"/>
  <c r="AI234" i="33"/>
  <c r="AM15" i="33" s="1"/>
  <c r="AI233" i="33"/>
  <c r="AI232" i="33"/>
  <c r="AI231" i="33"/>
  <c r="AI230" i="33"/>
  <c r="AI229" i="33"/>
  <c r="AI228" i="33"/>
  <c r="AM21" i="33" s="1"/>
  <c r="AI227" i="33"/>
  <c r="AI226" i="33"/>
  <c r="AI225" i="33"/>
  <c r="AI224" i="33"/>
  <c r="AI223" i="33"/>
  <c r="AI222" i="33"/>
  <c r="AM27" i="33" s="1"/>
  <c r="AI221" i="33"/>
  <c r="AI220" i="33"/>
  <c r="AI219" i="33"/>
  <c r="AM30" i="33" s="1"/>
  <c r="AI218" i="33"/>
  <c r="AM31" i="33" s="1"/>
  <c r="AI217" i="33"/>
  <c r="AM32" i="33" s="1"/>
  <c r="AI216" i="33"/>
  <c r="AM33" i="33" s="1"/>
  <c r="AI215" i="33"/>
  <c r="AM34" i="33" s="1"/>
  <c r="AI214" i="33"/>
  <c r="AM35" i="33" s="1"/>
  <c r="AI213" i="33"/>
  <c r="AI212" i="33"/>
  <c r="AI211" i="33"/>
  <c r="AI210" i="33"/>
  <c r="AM39" i="33" s="1"/>
  <c r="AI209" i="33"/>
  <c r="AI208" i="33"/>
  <c r="AI207" i="33"/>
  <c r="AI206" i="33"/>
  <c r="AI205" i="33"/>
  <c r="AI204" i="33"/>
  <c r="AM45" i="33" s="1"/>
  <c r="AI203" i="33"/>
  <c r="AI202" i="33"/>
  <c r="AI201" i="33"/>
  <c r="AM48" i="33" s="1"/>
  <c r="AI200" i="33"/>
  <c r="AM49" i="33" s="1"/>
  <c r="AI199" i="33"/>
  <c r="AM50" i="33" s="1"/>
  <c r="AI198" i="33"/>
  <c r="AM51" i="33" s="1"/>
  <c r="AI197" i="33"/>
  <c r="AM52" i="33" s="1"/>
  <c r="AI196" i="33"/>
  <c r="AI195" i="33"/>
  <c r="AM54" i="33" s="1"/>
  <c r="AI194" i="33"/>
  <c r="AI193" i="33"/>
  <c r="AI192" i="33"/>
  <c r="AM57" i="33" s="1"/>
  <c r="AI191" i="33"/>
  <c r="AI190" i="33"/>
  <c r="AI189" i="33"/>
  <c r="AM60" i="33" s="1"/>
  <c r="AI188" i="33"/>
  <c r="AI187" i="33"/>
  <c r="AI186" i="33"/>
  <c r="AM63" i="33" s="1"/>
  <c r="AI185" i="33"/>
  <c r="AI184" i="33"/>
  <c r="AI183" i="33"/>
  <c r="AI182" i="33"/>
  <c r="AM67" i="33" s="1"/>
  <c r="AI181" i="33"/>
  <c r="AM68" i="33" s="1"/>
  <c r="AI180" i="33"/>
  <c r="AM69" i="33" s="1"/>
  <c r="AI179" i="33"/>
  <c r="AI178" i="33"/>
  <c r="AM71" i="33" s="1"/>
  <c r="AI177" i="33"/>
  <c r="AI176" i="33"/>
  <c r="AM73" i="33" s="1"/>
  <c r="AI175" i="33"/>
  <c r="AI174" i="33"/>
  <c r="AI173" i="33"/>
  <c r="AI172" i="33"/>
  <c r="AI171" i="33"/>
  <c r="AI170" i="33"/>
  <c r="AI169" i="33"/>
  <c r="AM80" i="33" s="1"/>
  <c r="AI168" i="33"/>
  <c r="AM81" i="33" s="1"/>
  <c r="AI167" i="33"/>
  <c r="AM82" i="33" s="1"/>
  <c r="AI165" i="33"/>
  <c r="AI164" i="33"/>
  <c r="AI163" i="33"/>
  <c r="AM86" i="33" s="1"/>
  <c r="AI162" i="33"/>
  <c r="AM87" i="33" s="1"/>
  <c r="AI161" i="33"/>
  <c r="AI160" i="33"/>
  <c r="AM89" i="33" s="1"/>
  <c r="AI159" i="33"/>
  <c r="AI158" i="33"/>
  <c r="AM91" i="33" s="1"/>
  <c r="AI157" i="33"/>
  <c r="AM92" i="33" s="1"/>
  <c r="AI156" i="33"/>
  <c r="AI155" i="33"/>
  <c r="AI154" i="33"/>
  <c r="AI153" i="33"/>
  <c r="AM96" i="33" s="1"/>
  <c r="AI152" i="33"/>
  <c r="AI151" i="33"/>
  <c r="AM98" i="33" s="1"/>
  <c r="AI150" i="33"/>
  <c r="AM99" i="33" s="1"/>
  <c r="AI149" i="33"/>
  <c r="AI148" i="33"/>
  <c r="AI147" i="33"/>
  <c r="AI146" i="33"/>
  <c r="AI145" i="33"/>
  <c r="AM104" i="33" s="1"/>
  <c r="AI144" i="33"/>
  <c r="AM105" i="33" s="1"/>
  <c r="AI143" i="33"/>
  <c r="AI142" i="33"/>
  <c r="AM107" i="33" s="1"/>
  <c r="AI141" i="33"/>
  <c r="AI140" i="33"/>
  <c r="AI139" i="33"/>
  <c r="AI138" i="33"/>
  <c r="AI137" i="33"/>
  <c r="AI136" i="33"/>
  <c r="AI135" i="33"/>
  <c r="AM114" i="33" s="1"/>
  <c r="AI134" i="33"/>
  <c r="AI133" i="33"/>
  <c r="AM116" i="33" s="1"/>
  <c r="AI132" i="33"/>
  <c r="AM117" i="33" s="1"/>
  <c r="AI131" i="33"/>
  <c r="AI130" i="33"/>
  <c r="AI129" i="33"/>
  <c r="AI128" i="33"/>
  <c r="AI127" i="33"/>
  <c r="AM122" i="33" s="1"/>
  <c r="AI126" i="33"/>
  <c r="AM123" i="33" s="1"/>
  <c r="AI125" i="33"/>
  <c r="AM244" i="33"/>
  <c r="AL244" i="33"/>
  <c r="AK244" i="33"/>
  <c r="AM243" i="33"/>
  <c r="AL243" i="33"/>
  <c r="AK243" i="33"/>
  <c r="AM242" i="33"/>
  <c r="AL242" i="33"/>
  <c r="AK242" i="33"/>
  <c r="AM241" i="33"/>
  <c r="AL241" i="33"/>
  <c r="AK241" i="33"/>
  <c r="AM240" i="33"/>
  <c r="AL240" i="33"/>
  <c r="AK240" i="33"/>
  <c r="AM239" i="33"/>
  <c r="AL239" i="33"/>
  <c r="AK239" i="33"/>
  <c r="AM238" i="33"/>
  <c r="AL238" i="33"/>
  <c r="AK238" i="33"/>
  <c r="AM237" i="33"/>
  <c r="AL237" i="33"/>
  <c r="AK237" i="33"/>
  <c r="AM236" i="33"/>
  <c r="AL236" i="33"/>
  <c r="AK236" i="33"/>
  <c r="AM235" i="33"/>
  <c r="AL235" i="33"/>
  <c r="AK235" i="33"/>
  <c r="AM234" i="33"/>
  <c r="AL234" i="33"/>
  <c r="AK234" i="33"/>
  <c r="AM233" i="33"/>
  <c r="AL233" i="33"/>
  <c r="AM232" i="33"/>
  <c r="AL232" i="33"/>
  <c r="AK232" i="33"/>
  <c r="AM231" i="33"/>
  <c r="AL231" i="33"/>
  <c r="AK231" i="33"/>
  <c r="AM230" i="33"/>
  <c r="AL230" i="33"/>
  <c r="AK230" i="33"/>
  <c r="AM229" i="33"/>
  <c r="AL229" i="33"/>
  <c r="AK229" i="33"/>
  <c r="AM228" i="33"/>
  <c r="AL228" i="33"/>
  <c r="AK228" i="33"/>
  <c r="AM227" i="33"/>
  <c r="AL227" i="33"/>
  <c r="AK227" i="33"/>
  <c r="AM226" i="33"/>
  <c r="AL226" i="33"/>
  <c r="AK226" i="33"/>
  <c r="AM225" i="33"/>
  <c r="AL225" i="33"/>
  <c r="AK225" i="33"/>
  <c r="AM224" i="33"/>
  <c r="AL224" i="33"/>
  <c r="AK224" i="33"/>
  <c r="AM223" i="33"/>
  <c r="AL223" i="33"/>
  <c r="AK223" i="33"/>
  <c r="AM222" i="33"/>
  <c r="AL222" i="33"/>
  <c r="AK222" i="33"/>
  <c r="AM221" i="33"/>
  <c r="AL221" i="33"/>
  <c r="AK221" i="33"/>
  <c r="AM220" i="33"/>
  <c r="AL220" i="33"/>
  <c r="AK220" i="33"/>
  <c r="AM219" i="33"/>
  <c r="AL219" i="33"/>
  <c r="AK219" i="33"/>
  <c r="AM218" i="33"/>
  <c r="AL218" i="33"/>
  <c r="AK218" i="33"/>
  <c r="AM217" i="33"/>
  <c r="AL217" i="33"/>
  <c r="AK217" i="33"/>
  <c r="AM216" i="33"/>
  <c r="AL216" i="33"/>
  <c r="AK216" i="33"/>
  <c r="AM215" i="33"/>
  <c r="AL215" i="33"/>
  <c r="AK215" i="33"/>
  <c r="AM214" i="33"/>
  <c r="AL214" i="33"/>
  <c r="AK214" i="33"/>
  <c r="AM213" i="33"/>
  <c r="AL213" i="33"/>
  <c r="AK213" i="33"/>
  <c r="AM212" i="33"/>
  <c r="AL212" i="33"/>
  <c r="AK212" i="33"/>
  <c r="AM211" i="33"/>
  <c r="AL211" i="33"/>
  <c r="AK211" i="33"/>
  <c r="AM210" i="33"/>
  <c r="AL210" i="33"/>
  <c r="AK210" i="33"/>
  <c r="AM209" i="33"/>
  <c r="AL209" i="33"/>
  <c r="AK209" i="33"/>
  <c r="AM208" i="33"/>
  <c r="AL208" i="33"/>
  <c r="AK208" i="33"/>
  <c r="AM207" i="33"/>
  <c r="AL207" i="33"/>
  <c r="AK207" i="33"/>
  <c r="AM206" i="33"/>
  <c r="AL206" i="33"/>
  <c r="AK206" i="33"/>
  <c r="AM205" i="33"/>
  <c r="AL205" i="33"/>
  <c r="AK205" i="33"/>
  <c r="AM204" i="33"/>
  <c r="AL204" i="33"/>
  <c r="AK204" i="33"/>
  <c r="AM203" i="33"/>
  <c r="AL203" i="33"/>
  <c r="AK203" i="33"/>
  <c r="AM202" i="33"/>
  <c r="AL202" i="33"/>
  <c r="AK202" i="33"/>
  <c r="AM201" i="33"/>
  <c r="AL201" i="33"/>
  <c r="AK201" i="33"/>
  <c r="AM200" i="33"/>
  <c r="AL200" i="33"/>
  <c r="AK200" i="33"/>
  <c r="AM199" i="33"/>
  <c r="AL199" i="33"/>
  <c r="AK199" i="33"/>
  <c r="AM198" i="33"/>
  <c r="AL198" i="33"/>
  <c r="AK198" i="33"/>
  <c r="AM197" i="33"/>
  <c r="AL197" i="33"/>
  <c r="AK197" i="33"/>
  <c r="AM196" i="33"/>
  <c r="AL196" i="33"/>
  <c r="AK196" i="33"/>
  <c r="AM195" i="33"/>
  <c r="AL195" i="33"/>
  <c r="AK195" i="33"/>
  <c r="AM194" i="33"/>
  <c r="AL194" i="33"/>
  <c r="AK194" i="33"/>
  <c r="AM193" i="33"/>
  <c r="AL193" i="33"/>
  <c r="AK193" i="33"/>
  <c r="AM192" i="33"/>
  <c r="AL192" i="33"/>
  <c r="AK192" i="33"/>
  <c r="AM191" i="33"/>
  <c r="AL191" i="33"/>
  <c r="AK191" i="33"/>
  <c r="AM190" i="33"/>
  <c r="AL190" i="33"/>
  <c r="AK190" i="33"/>
  <c r="AM189" i="33"/>
  <c r="AL189" i="33"/>
  <c r="AK189" i="33"/>
  <c r="AM188" i="33"/>
  <c r="AL188" i="33"/>
  <c r="AK188" i="33"/>
  <c r="AM187" i="33"/>
  <c r="AL187" i="33"/>
  <c r="AK187" i="33"/>
  <c r="AM186" i="33"/>
  <c r="AL186" i="33"/>
  <c r="AK186" i="33"/>
  <c r="AM185" i="33"/>
  <c r="AL185" i="33"/>
  <c r="AK185" i="33"/>
  <c r="AM184" i="33"/>
  <c r="AL184" i="33"/>
  <c r="AK184" i="33"/>
  <c r="AM182" i="33"/>
  <c r="AL182" i="33"/>
  <c r="AK182" i="33"/>
  <c r="AM181" i="33"/>
  <c r="AL181" i="33"/>
  <c r="AK181" i="33"/>
  <c r="AM180" i="33"/>
  <c r="AL180" i="33"/>
  <c r="AK180" i="33"/>
  <c r="AM179" i="33"/>
  <c r="AL179" i="33"/>
  <c r="AK179" i="33"/>
  <c r="AM178" i="33"/>
  <c r="AL178" i="33"/>
  <c r="AK178" i="33"/>
  <c r="AM177" i="33"/>
  <c r="AL177" i="33"/>
  <c r="AK177" i="33"/>
  <c r="AM176" i="33"/>
  <c r="AL176" i="33"/>
  <c r="AK176" i="33"/>
  <c r="AM175" i="33"/>
  <c r="AL175" i="33"/>
  <c r="AK175" i="33"/>
  <c r="AM174" i="33"/>
  <c r="AL174" i="33"/>
  <c r="AK174" i="33"/>
  <c r="AM173" i="33"/>
  <c r="AL173" i="33"/>
  <c r="AK173" i="33"/>
  <c r="AM172" i="33"/>
  <c r="AL172" i="33"/>
  <c r="AK172" i="33"/>
  <c r="AM171" i="33"/>
  <c r="AL171" i="33"/>
  <c r="AK171" i="33"/>
  <c r="AM170" i="33"/>
  <c r="AL170" i="33"/>
  <c r="AK170" i="33"/>
  <c r="AM169" i="33"/>
  <c r="AL169" i="33"/>
  <c r="AK169" i="33"/>
  <c r="AM168" i="33"/>
  <c r="AL168" i="33"/>
  <c r="AK168" i="33"/>
  <c r="AM167" i="33"/>
  <c r="AL167" i="33"/>
  <c r="AK167" i="33"/>
  <c r="AM166" i="33"/>
  <c r="AL166" i="33"/>
  <c r="AK166" i="33"/>
  <c r="AM165" i="33"/>
  <c r="AL165" i="33"/>
  <c r="AK165" i="33"/>
  <c r="AM164" i="33"/>
  <c r="AL164" i="33"/>
  <c r="AK164" i="33"/>
  <c r="AM163" i="33"/>
  <c r="AL163" i="33"/>
  <c r="AK163" i="33"/>
  <c r="AM162" i="33"/>
  <c r="AL162" i="33"/>
  <c r="AK162" i="33"/>
  <c r="AM161" i="33"/>
  <c r="AL161" i="33"/>
  <c r="AK161" i="33"/>
  <c r="AM160" i="33"/>
  <c r="AL160" i="33"/>
  <c r="AK160" i="33"/>
  <c r="AM159" i="33"/>
  <c r="AL159" i="33"/>
  <c r="AK159" i="33"/>
  <c r="AM158" i="33"/>
  <c r="AL158" i="33"/>
  <c r="AK158" i="33"/>
  <c r="AM157" i="33"/>
  <c r="AL157" i="33"/>
  <c r="AK157" i="33"/>
  <c r="AM156" i="33"/>
  <c r="AL156" i="33"/>
  <c r="AK156" i="33"/>
  <c r="AM155" i="33"/>
  <c r="AL155" i="33"/>
  <c r="AK155" i="33"/>
  <c r="AM154" i="33"/>
  <c r="AL154" i="33"/>
  <c r="AK154" i="33"/>
  <c r="AM153" i="33"/>
  <c r="AL153" i="33"/>
  <c r="AK153" i="33"/>
  <c r="AM152" i="33"/>
  <c r="AL152" i="33"/>
  <c r="AK152" i="33"/>
  <c r="AM151" i="33"/>
  <c r="AL151" i="33"/>
  <c r="AK151" i="33"/>
  <c r="AM150" i="33"/>
  <c r="AL150" i="33"/>
  <c r="AK150" i="33"/>
  <c r="AM149" i="33"/>
  <c r="AL149" i="33"/>
  <c r="AK149" i="33"/>
  <c r="AM148" i="33"/>
  <c r="AL148" i="33"/>
  <c r="AK148" i="33"/>
  <c r="AM147" i="33"/>
  <c r="AL147" i="33"/>
  <c r="AK147" i="33"/>
  <c r="AM146" i="33"/>
  <c r="AL146" i="33"/>
  <c r="AK146" i="33"/>
  <c r="AM145" i="33"/>
  <c r="AL145" i="33"/>
  <c r="AK145" i="33"/>
  <c r="AM144" i="33"/>
  <c r="AL144" i="33"/>
  <c r="AK144" i="33"/>
  <c r="AM143" i="33"/>
  <c r="AL143" i="33"/>
  <c r="AK143" i="33"/>
  <c r="AM142" i="33"/>
  <c r="AL142" i="33"/>
  <c r="AK142" i="33"/>
  <c r="AM141" i="33"/>
  <c r="AL141" i="33"/>
  <c r="AK141" i="33"/>
  <c r="AM140" i="33"/>
  <c r="AL140" i="33"/>
  <c r="AK140" i="33"/>
  <c r="AM139" i="33"/>
  <c r="AL139" i="33"/>
  <c r="AK139" i="33"/>
  <c r="AM138" i="33"/>
  <c r="AL138" i="33"/>
  <c r="AK138" i="33"/>
  <c r="AM137" i="33"/>
  <c r="AL137" i="33"/>
  <c r="AK137" i="33"/>
  <c r="AM136" i="33"/>
  <c r="AL136" i="33"/>
  <c r="AK136" i="33"/>
  <c r="AM135" i="33"/>
  <c r="AL135" i="33"/>
  <c r="AK135" i="33"/>
  <c r="AM134" i="33"/>
  <c r="AL134" i="33"/>
  <c r="AK134" i="33"/>
  <c r="AM133" i="33"/>
  <c r="AL133" i="33"/>
  <c r="AK133" i="33"/>
  <c r="AM132" i="33"/>
  <c r="AL132" i="33"/>
  <c r="AK132" i="33"/>
  <c r="AM131" i="33"/>
  <c r="AL131" i="33"/>
  <c r="AK131" i="33"/>
  <c r="AM130" i="33"/>
  <c r="AL130" i="33"/>
  <c r="AK130" i="33"/>
  <c r="AM129" i="33"/>
  <c r="AL129" i="33"/>
  <c r="AK129" i="33"/>
  <c r="AM128" i="33"/>
  <c r="AL128" i="33"/>
  <c r="AK128" i="33"/>
  <c r="AM127" i="33"/>
  <c r="AL127" i="33"/>
  <c r="AK127" i="33"/>
  <c r="AM126" i="33"/>
  <c r="AL126" i="33"/>
  <c r="AK126" i="33"/>
  <c r="AM125" i="33"/>
  <c r="AL125" i="33"/>
  <c r="AK125" i="33"/>
  <c r="AM124" i="33"/>
  <c r="AL124" i="33"/>
  <c r="AK124" i="33"/>
  <c r="AL123" i="33"/>
  <c r="AK123" i="33"/>
  <c r="AL122" i="33"/>
  <c r="AK122" i="33"/>
  <c r="AM121" i="33"/>
  <c r="AL121" i="33"/>
  <c r="AK121" i="33"/>
  <c r="AM120" i="33"/>
  <c r="AL120" i="33"/>
  <c r="AK120" i="33"/>
  <c r="AM119" i="33"/>
  <c r="AL119" i="33"/>
  <c r="AK119" i="33"/>
  <c r="AM118" i="33"/>
  <c r="AL118" i="33"/>
  <c r="AK118" i="33"/>
  <c r="AL117" i="33"/>
  <c r="AK117" i="33"/>
  <c r="AL116" i="33"/>
  <c r="AK116" i="33"/>
  <c r="AM115" i="33"/>
  <c r="AL115" i="33"/>
  <c r="AK115" i="33"/>
  <c r="AL114" i="33"/>
  <c r="AK114" i="33"/>
  <c r="AM113" i="33"/>
  <c r="AL113" i="33"/>
  <c r="AK113" i="33"/>
  <c r="AM112" i="33"/>
  <c r="AL112" i="33"/>
  <c r="AK112" i="33"/>
  <c r="AM111" i="33"/>
  <c r="AL111" i="33"/>
  <c r="AK111" i="33"/>
  <c r="AM110" i="33"/>
  <c r="AL110" i="33"/>
  <c r="AK110" i="33"/>
  <c r="AM109" i="33"/>
  <c r="AL109" i="33"/>
  <c r="AK109" i="33"/>
  <c r="AM108" i="33"/>
  <c r="AL108" i="33"/>
  <c r="AK108" i="33"/>
  <c r="AL107" i="33"/>
  <c r="AK107" i="33"/>
  <c r="AM106" i="33"/>
  <c r="AL106" i="33"/>
  <c r="AK106" i="33"/>
  <c r="AL105" i="33"/>
  <c r="AK105" i="33"/>
  <c r="AL104" i="33"/>
  <c r="AK104" i="33"/>
  <c r="AM103" i="33"/>
  <c r="AL103" i="33"/>
  <c r="AK103" i="33"/>
  <c r="AM102" i="33"/>
  <c r="AL102" i="33"/>
  <c r="AK102" i="33"/>
  <c r="AM101" i="33"/>
  <c r="AL101" i="33"/>
  <c r="AK101" i="33"/>
  <c r="AM100" i="33"/>
  <c r="AL100" i="33"/>
  <c r="AK100" i="33"/>
  <c r="AL99" i="33"/>
  <c r="AK99" i="33"/>
  <c r="AL98" i="33"/>
  <c r="AK98" i="33"/>
  <c r="AM97" i="33"/>
  <c r="AL97" i="33"/>
  <c r="AK97" i="33"/>
  <c r="AL96" i="33"/>
  <c r="AK96" i="33"/>
  <c r="AM95" i="33"/>
  <c r="AL95" i="33"/>
  <c r="AK95" i="33"/>
  <c r="AM94" i="33"/>
  <c r="AL94" i="33"/>
  <c r="AK94" i="33"/>
  <c r="AM93" i="33"/>
  <c r="AL93" i="33"/>
  <c r="AK93" i="33"/>
  <c r="AL92" i="33"/>
  <c r="AK92" i="33"/>
  <c r="AL91" i="33"/>
  <c r="AK91" i="33"/>
  <c r="AM90" i="33"/>
  <c r="AL90" i="33"/>
  <c r="AK90" i="33"/>
  <c r="AL89" i="33"/>
  <c r="AK89" i="33"/>
  <c r="AM88" i="33"/>
  <c r="AL88" i="33"/>
  <c r="AK88" i="33"/>
  <c r="AL87" i="33"/>
  <c r="AK87" i="33"/>
  <c r="AL86" i="33"/>
  <c r="AK86" i="33"/>
  <c r="AM85" i="33"/>
  <c r="AL85" i="33"/>
  <c r="AK85" i="33"/>
  <c r="AM84" i="33"/>
  <c r="AL84" i="33"/>
  <c r="AK84" i="33"/>
  <c r="AL82" i="33"/>
  <c r="AK82" i="33"/>
  <c r="AL81" i="33"/>
  <c r="AK81" i="33"/>
  <c r="AL80" i="33"/>
  <c r="AK80" i="33"/>
  <c r="AM79" i="33"/>
  <c r="AL79" i="33"/>
  <c r="AK79" i="33"/>
  <c r="AM78" i="33"/>
  <c r="AL78" i="33"/>
  <c r="AK78" i="33"/>
  <c r="AM77" i="33"/>
  <c r="AL77" i="33"/>
  <c r="AK77" i="33"/>
  <c r="AM76" i="33"/>
  <c r="AL76" i="33"/>
  <c r="AK76" i="33"/>
  <c r="AM75" i="33"/>
  <c r="AL75" i="33"/>
  <c r="AK75" i="33"/>
  <c r="AM74" i="33"/>
  <c r="AL74" i="33"/>
  <c r="AK74" i="33"/>
  <c r="AL73" i="33"/>
  <c r="AK73" i="33"/>
  <c r="AM72" i="33"/>
  <c r="AL72" i="33"/>
  <c r="AK72" i="33"/>
  <c r="AL71" i="33"/>
  <c r="AK71" i="33"/>
  <c r="AM70" i="33"/>
  <c r="AL70" i="33"/>
  <c r="AK70" i="33"/>
  <c r="AL69" i="33"/>
  <c r="AK69" i="33"/>
  <c r="AL68" i="33"/>
  <c r="AK68" i="33"/>
  <c r="AL67" i="33"/>
  <c r="AK67" i="33"/>
  <c r="AM66" i="33"/>
  <c r="AL66" i="33"/>
  <c r="AK66" i="33"/>
  <c r="AM65" i="33"/>
  <c r="AL65" i="33"/>
  <c r="AK65" i="33"/>
  <c r="AM64" i="33"/>
  <c r="AL64" i="33"/>
  <c r="AK64" i="33"/>
  <c r="AL63" i="33"/>
  <c r="AK63" i="33"/>
  <c r="AM62" i="33"/>
  <c r="AL62" i="33"/>
  <c r="AK62" i="33"/>
  <c r="AM61" i="33"/>
  <c r="AL61" i="33"/>
  <c r="AK61" i="33"/>
  <c r="AL60" i="33"/>
  <c r="AK60" i="33"/>
  <c r="AM59" i="33"/>
  <c r="AL59" i="33"/>
  <c r="AK59" i="33"/>
  <c r="AM58" i="33"/>
  <c r="AL58" i="33"/>
  <c r="AK58" i="33"/>
  <c r="AL57" i="33"/>
  <c r="AK57" i="33"/>
  <c r="AM56" i="33"/>
  <c r="AL56" i="33"/>
  <c r="AK56" i="33"/>
  <c r="AM55" i="33"/>
  <c r="AL55" i="33"/>
  <c r="AK55" i="33"/>
  <c r="AL54" i="33"/>
  <c r="AK54" i="33"/>
  <c r="AM53" i="33"/>
  <c r="AL53" i="33"/>
  <c r="AK53" i="33"/>
  <c r="AL52" i="33"/>
  <c r="AK52" i="33"/>
  <c r="AL51" i="33"/>
  <c r="AK51" i="33"/>
  <c r="AL50" i="33"/>
  <c r="AK50" i="33"/>
  <c r="AL49" i="33"/>
  <c r="AK49" i="33"/>
  <c r="AL48" i="33"/>
  <c r="AK48" i="33"/>
  <c r="AM47" i="33"/>
  <c r="AL47" i="33"/>
  <c r="AK47" i="33"/>
  <c r="AM46" i="33"/>
  <c r="AL46" i="33"/>
  <c r="AK46" i="33"/>
  <c r="AL45" i="33"/>
  <c r="AK45" i="33"/>
  <c r="AM44" i="33"/>
  <c r="AL44" i="33"/>
  <c r="AK44" i="33"/>
  <c r="AM43" i="33"/>
  <c r="AL43" i="33"/>
  <c r="AK43" i="33"/>
  <c r="AM42" i="33"/>
  <c r="AL42" i="33"/>
  <c r="AK42" i="33"/>
  <c r="AM41" i="33"/>
  <c r="AL41" i="33"/>
  <c r="AK41" i="33"/>
  <c r="AM40" i="33"/>
  <c r="AL40" i="33"/>
  <c r="AK40" i="33"/>
  <c r="AL39" i="33"/>
  <c r="AK39" i="33"/>
  <c r="AM38" i="33"/>
  <c r="AL38" i="33"/>
  <c r="AK38" i="33"/>
  <c r="AM37" i="33"/>
  <c r="AL37" i="33"/>
  <c r="AK37" i="33"/>
  <c r="AM36" i="33"/>
  <c r="AL36" i="33"/>
  <c r="AK36" i="33"/>
  <c r="AL35" i="33"/>
  <c r="AK35" i="33"/>
  <c r="AL34" i="33"/>
  <c r="AK34" i="33"/>
  <c r="AL33" i="33"/>
  <c r="AK33" i="33"/>
  <c r="AL32" i="33"/>
  <c r="AK32" i="33"/>
  <c r="AL31" i="33"/>
  <c r="AK31" i="33"/>
  <c r="AL30" i="33"/>
  <c r="AK30" i="33"/>
  <c r="AM29" i="33"/>
  <c r="AL29" i="33"/>
  <c r="AK29" i="33"/>
  <c r="AM28" i="33"/>
  <c r="AL28" i="33"/>
  <c r="AK28" i="33"/>
  <c r="AL27" i="33"/>
  <c r="AK27" i="33"/>
  <c r="AM26" i="33"/>
  <c r="AL26" i="33"/>
  <c r="AK26" i="33"/>
  <c r="AM25" i="33"/>
  <c r="AL25" i="33"/>
  <c r="AK25" i="33"/>
  <c r="AM24" i="33"/>
  <c r="AL24" i="33"/>
  <c r="AK24" i="33"/>
  <c r="AM23" i="33"/>
  <c r="AL23" i="33"/>
  <c r="AK23" i="33"/>
  <c r="AM22" i="33"/>
  <c r="AL22" i="33"/>
  <c r="AK22" i="33"/>
  <c r="AL21" i="33"/>
  <c r="AK21" i="33"/>
  <c r="AM20" i="33"/>
  <c r="AL20" i="33"/>
  <c r="AK20" i="33"/>
  <c r="AM19" i="33"/>
  <c r="AL19" i="33"/>
  <c r="AK19" i="33"/>
  <c r="AM18" i="33"/>
  <c r="AL18" i="33"/>
  <c r="AK18" i="33"/>
  <c r="AM17" i="33"/>
  <c r="AL17" i="33"/>
  <c r="AK17" i="33"/>
  <c r="AM16" i="33"/>
  <c r="AL16" i="33"/>
  <c r="AK16" i="33"/>
  <c r="AL15" i="33"/>
  <c r="AK15" i="33"/>
  <c r="AL14" i="33"/>
  <c r="AK14" i="33"/>
  <c r="AL13" i="33"/>
  <c r="AK13" i="33"/>
  <c r="AL12" i="33"/>
  <c r="AK12" i="33"/>
  <c r="AM11" i="33"/>
  <c r="AL11" i="33"/>
  <c r="AK11" i="33"/>
  <c r="AM10" i="33"/>
  <c r="AL10" i="33"/>
  <c r="AK10" i="33"/>
  <c r="AL9" i="33"/>
  <c r="AK9" i="33"/>
  <c r="AM8" i="33"/>
  <c r="AL8" i="33"/>
  <c r="AK8" i="33"/>
  <c r="AM7" i="33"/>
  <c r="AL7" i="33"/>
  <c r="AK7" i="33"/>
  <c r="AM6" i="33"/>
  <c r="AL6" i="33"/>
  <c r="AK6" i="33"/>
  <c r="AK5" i="33"/>
  <c r="F1039" i="22" a="1"/>
  <c r="F601" i="22" a="1"/>
  <c r="F2669" i="22" a="1"/>
  <c r="F1001" i="22" a="1"/>
  <c r="F1068" i="22" a="1"/>
  <c r="F618" i="22" a="1"/>
  <c r="F601" i="22" l="1"/>
  <c r="F618" i="22"/>
  <c r="F1068" i="22"/>
  <c r="F2669" i="22"/>
  <c r="F1001" i="22"/>
  <c r="F1039" i="22"/>
  <c r="M435" i="31"/>
  <c r="M436" i="31" s="1"/>
  <c r="M437" i="31" s="1"/>
  <c r="M438" i="31" s="1"/>
  <c r="M439" i="31" s="1"/>
  <c r="M440" i="31" s="1"/>
  <c r="M443" i="31" s="1"/>
  <c r="L435" i="31"/>
  <c r="L436" i="31" s="1"/>
  <c r="L437" i="31" s="1"/>
  <c r="L438" i="31" s="1"/>
  <c r="L439" i="31" s="1"/>
  <c r="L440" i="31" s="1"/>
  <c r="L443" i="31" s="1"/>
  <c r="M444" i="31" l="1"/>
  <c r="M445" i="31" s="1"/>
  <c r="M449" i="31" s="1"/>
  <c r="M450" i="31" s="1"/>
  <c r="M451" i="31" s="1"/>
  <c r="M452" i="31" s="1"/>
  <c r="M455" i="31" s="1"/>
  <c r="M456" i="31" s="1"/>
  <c r="M457" i="31" s="1"/>
  <c r="M460" i="31" s="1"/>
  <c r="M461" i="31" s="1"/>
  <c r="M462" i="31" s="1"/>
  <c r="M465" i="31" s="1"/>
  <c r="M466" i="31" s="1"/>
  <c r="M467" i="31" s="1"/>
  <c r="L444" i="31"/>
  <c r="L445" i="31" s="1"/>
  <c r="L449" i="31" s="1"/>
  <c r="L450" i="31" s="1"/>
  <c r="L451" i="31" s="1"/>
  <c r="L452" i="31" s="1"/>
  <c r="L455" i="31" s="1"/>
  <c r="L456" i="31" s="1"/>
  <c r="L457" i="31" s="1"/>
  <c r="L460" i="31" s="1"/>
  <c r="M75" i="31"/>
  <c r="L75" i="31"/>
  <c r="F356" i="22"/>
  <c r="F2610" i="22" a="1"/>
  <c r="F2610" i="22" l="1"/>
  <c r="I2615" i="22"/>
  <c r="L461" i="31"/>
  <c r="L462" i="31" s="1"/>
  <c r="L465" i="31" s="1"/>
  <c r="L466" i="31" s="1"/>
  <c r="L467" i="31" s="1"/>
  <c r="L77" i="31"/>
  <c r="L78" i="31" s="1"/>
  <c r="L79" i="31" s="1"/>
  <c r="L80" i="31" s="1"/>
  <c r="L81" i="31" s="1"/>
  <c r="L82" i="31" s="1"/>
  <c r="L83" i="31" s="1"/>
  <c r="L84" i="31" s="1"/>
  <c r="L85" i="31" s="1"/>
  <c r="L86" i="31" s="1"/>
  <c r="M77" i="31"/>
  <c r="M78" i="31" s="1"/>
  <c r="M79" i="31" s="1"/>
  <c r="M80" i="31" s="1"/>
  <c r="M81" i="31" s="1"/>
  <c r="M82" i="31" s="1"/>
  <c r="M83" i="31" s="1"/>
  <c r="M84" i="31" s="1"/>
  <c r="M85" i="31" s="1"/>
  <c r="M86" i="31" s="1"/>
  <c r="I85" i="22"/>
  <c r="F1829" i="22" l="1"/>
  <c r="F1828" i="22"/>
  <c r="E1828" i="22"/>
  <c r="AG471" i="31"/>
  <c r="AG445" i="31"/>
  <c r="AG444" i="31"/>
  <c r="I2522" i="22" l="1"/>
  <c r="I2680" i="22"/>
  <c r="I2513" i="22"/>
  <c r="E1739" i="22"/>
  <c r="AF445" i="31" a="1"/>
  <c r="AF471" i="31" a="1"/>
  <c r="AF444" i="31" a="1"/>
  <c r="AF444" i="31" l="1"/>
  <c r="I2509" i="22" s="1"/>
  <c r="AF471" i="31"/>
  <c r="I2674" i="22" s="1"/>
  <c r="AF445" i="31"/>
  <c r="I2518" i="22" s="1"/>
  <c r="H1749" i="22"/>
  <c r="I1749" i="22" s="1"/>
  <c r="H1748" i="22"/>
  <c r="I1748" i="22" s="1"/>
  <c r="H1747" i="22"/>
  <c r="I1747" i="22" s="1"/>
  <c r="I1744" i="22"/>
  <c r="I1743" i="22"/>
  <c r="I1742" i="22"/>
  <c r="G1749" i="22"/>
  <c r="G1748" i="22"/>
  <c r="G1747" i="22"/>
  <c r="G1744" i="22"/>
  <c r="G1743" i="22"/>
  <c r="G1742" i="22"/>
  <c r="F1740" i="22"/>
  <c r="F1739" i="22"/>
  <c r="D1822" i="22"/>
  <c r="I1676" i="22"/>
  <c r="G1676" i="22"/>
  <c r="F1709" i="22"/>
  <c r="F1708" i="22"/>
  <c r="E1708" i="22"/>
  <c r="D1707" i="22" l="1"/>
  <c r="I65" i="22"/>
  <c r="I66" i="22"/>
  <c r="G66" i="22"/>
  <c r="G65" i="22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D69" i="33"/>
  <c r="AE69" i="33"/>
  <c r="AD70" i="33"/>
  <c r="AE70" i="33"/>
  <c r="AD71" i="33"/>
  <c r="AE71" i="33"/>
  <c r="AD72" i="33"/>
  <c r="AE72" i="33"/>
  <c r="AD73" i="33"/>
  <c r="AE73" i="33"/>
  <c r="AD74" i="33"/>
  <c r="AE74" i="33"/>
  <c r="AD75" i="33"/>
  <c r="AE75" i="33"/>
  <c r="AD76" i="33"/>
  <c r="AE76" i="33"/>
  <c r="AD77" i="33"/>
  <c r="AE77" i="33"/>
  <c r="AD78" i="33"/>
  <c r="AE78" i="33"/>
  <c r="AD79" i="33"/>
  <c r="AE79" i="33"/>
  <c r="AD80" i="33"/>
  <c r="AE80" i="33"/>
  <c r="AD81" i="33"/>
  <c r="AE81" i="33"/>
  <c r="AD82" i="33"/>
  <c r="AE82" i="33"/>
  <c r="AD83" i="33"/>
  <c r="AE83" i="33"/>
  <c r="AD84" i="33"/>
  <c r="AE84" i="33"/>
  <c r="AD85" i="33"/>
  <c r="AE85" i="33"/>
  <c r="AD86" i="33"/>
  <c r="AE86" i="33"/>
  <c r="AD87" i="33"/>
  <c r="AE87" i="33"/>
  <c r="AD88" i="33"/>
  <c r="AE88" i="33"/>
  <c r="AD89" i="33"/>
  <c r="AE89" i="33"/>
  <c r="AD90" i="33"/>
  <c r="AE90" i="33"/>
  <c r="AD91" i="33"/>
  <c r="AE91" i="33"/>
  <c r="AD92" i="33"/>
  <c r="AE92" i="33"/>
  <c r="AD93" i="33"/>
  <c r="AE93" i="33"/>
  <c r="AD95" i="33"/>
  <c r="AE95" i="33"/>
  <c r="AD96" i="33"/>
  <c r="AE96" i="33"/>
  <c r="AD97" i="33"/>
  <c r="AE97" i="33"/>
  <c r="AD98" i="33"/>
  <c r="AE98" i="33"/>
  <c r="AD99" i="33"/>
  <c r="AE99" i="33"/>
  <c r="AD100" i="33"/>
  <c r="AE100" i="33"/>
  <c r="AD101" i="33"/>
  <c r="AE101" i="33"/>
  <c r="AD102" i="33"/>
  <c r="AE102" i="33"/>
  <c r="AD103" i="33"/>
  <c r="AE103" i="33"/>
  <c r="AD104" i="33"/>
  <c r="AE104" i="33"/>
  <c r="AD105" i="33"/>
  <c r="AE105" i="33"/>
  <c r="AD106" i="33"/>
  <c r="AE106" i="33"/>
  <c r="AD107" i="33"/>
  <c r="AE107" i="33"/>
  <c r="AD108" i="33"/>
  <c r="AE108" i="33"/>
  <c r="AD109" i="33"/>
  <c r="AE109" i="33"/>
  <c r="AD110" i="33"/>
  <c r="AE110" i="33"/>
  <c r="AD111" i="33"/>
  <c r="AE111" i="33"/>
  <c r="AD112" i="33"/>
  <c r="AE112" i="33"/>
  <c r="AD113" i="33"/>
  <c r="AE113" i="33"/>
  <c r="AD114" i="33"/>
  <c r="AE114" i="33"/>
  <c r="AD115" i="33"/>
  <c r="AE115" i="33"/>
  <c r="AD116" i="33"/>
  <c r="AE116" i="33"/>
  <c r="AD117" i="33"/>
  <c r="AE117" i="33"/>
  <c r="AD118" i="33"/>
  <c r="AE118" i="33"/>
  <c r="AD119" i="33"/>
  <c r="AE119" i="33"/>
  <c r="AD120" i="33"/>
  <c r="AE120" i="33"/>
  <c r="AD121" i="33"/>
  <c r="AE121" i="33"/>
  <c r="AD122" i="33"/>
  <c r="AE122" i="33"/>
  <c r="AD123" i="33"/>
  <c r="AE123" i="33"/>
  <c r="AD124" i="33"/>
  <c r="AE124" i="33"/>
  <c r="AD125" i="33"/>
  <c r="AE125" i="33"/>
  <c r="AD126" i="33"/>
  <c r="AE126" i="33"/>
  <c r="AD127" i="33"/>
  <c r="AE127" i="33"/>
  <c r="AD128" i="33"/>
  <c r="AE128" i="33"/>
  <c r="AD129" i="33"/>
  <c r="AE129" i="33"/>
  <c r="AD130" i="33"/>
  <c r="AE130" i="33"/>
  <c r="AD131" i="33"/>
  <c r="AE131" i="33"/>
  <c r="AD132" i="33"/>
  <c r="AE132" i="33"/>
  <c r="AD133" i="33"/>
  <c r="AE133" i="33"/>
  <c r="AD134" i="33"/>
  <c r="AE134" i="33"/>
  <c r="AD135" i="33"/>
  <c r="AE135" i="33"/>
  <c r="AD136" i="33"/>
  <c r="AE136" i="33"/>
  <c r="AD137" i="33"/>
  <c r="AE137" i="33"/>
  <c r="AD138" i="33"/>
  <c r="AE138" i="33"/>
  <c r="AD139" i="33"/>
  <c r="AE139" i="33"/>
  <c r="AD140" i="33"/>
  <c r="AE140" i="33"/>
  <c r="AD141" i="33"/>
  <c r="AE141" i="33"/>
  <c r="AD142" i="33"/>
  <c r="AE142" i="33"/>
  <c r="AD143" i="33"/>
  <c r="AE143" i="33"/>
  <c r="AD144" i="33"/>
  <c r="AE144" i="33"/>
  <c r="AD145" i="33"/>
  <c r="AE145" i="33"/>
  <c r="AD146" i="33"/>
  <c r="AE146" i="33"/>
  <c r="AD147" i="33"/>
  <c r="AE147" i="33"/>
  <c r="AD148" i="33"/>
  <c r="AE148" i="33"/>
  <c r="AD149" i="33"/>
  <c r="AE149" i="33"/>
  <c r="AD150" i="33"/>
  <c r="AE150" i="33"/>
  <c r="AD151" i="33"/>
  <c r="AE151" i="33"/>
  <c r="AD152" i="33"/>
  <c r="AE152" i="33"/>
  <c r="AD153" i="33"/>
  <c r="AE153" i="33"/>
  <c r="AD154" i="33"/>
  <c r="AE154" i="33"/>
  <c r="AD155" i="33"/>
  <c r="AE155" i="33"/>
  <c r="AD156" i="33"/>
  <c r="AE156" i="33"/>
  <c r="AD157" i="33"/>
  <c r="AE157" i="33"/>
  <c r="AD158" i="33"/>
  <c r="AE158" i="33"/>
  <c r="AD159" i="33"/>
  <c r="AE159" i="33"/>
  <c r="AD160" i="33"/>
  <c r="AE160" i="33"/>
  <c r="AD161" i="33"/>
  <c r="AE161" i="33"/>
  <c r="AD162" i="33"/>
  <c r="AE162" i="33"/>
  <c r="AD163" i="33"/>
  <c r="AE163" i="33"/>
  <c r="AD164" i="33"/>
  <c r="AE164" i="33"/>
  <c r="AD165" i="33"/>
  <c r="AE165" i="33"/>
  <c r="AD166" i="33"/>
  <c r="AE166" i="33"/>
  <c r="AD167" i="33"/>
  <c r="AE167" i="33"/>
  <c r="AD168" i="33"/>
  <c r="AE168" i="33"/>
  <c r="AD169" i="33"/>
  <c r="AE169" i="33"/>
  <c r="AD170" i="33"/>
  <c r="AE170" i="33"/>
  <c r="AD171" i="33"/>
  <c r="AE171" i="33"/>
  <c r="AD172" i="33"/>
  <c r="AE172" i="33"/>
  <c r="AD173" i="33"/>
  <c r="AE173" i="33"/>
  <c r="AD174" i="33"/>
  <c r="AE174" i="33"/>
  <c r="AD175" i="33"/>
  <c r="AE175" i="33"/>
  <c r="AD176" i="33"/>
  <c r="AE176" i="33"/>
  <c r="AD177" i="33"/>
  <c r="AE177" i="33"/>
  <c r="AD178" i="33"/>
  <c r="AE178" i="33"/>
  <c r="AD179" i="33"/>
  <c r="AE179" i="33"/>
  <c r="AD180" i="33"/>
  <c r="AE180" i="33"/>
  <c r="AD181" i="33"/>
  <c r="AE181" i="33"/>
  <c r="AD182" i="33"/>
  <c r="AE182" i="33"/>
  <c r="AD183" i="33"/>
  <c r="AE183" i="33"/>
  <c r="AD184" i="33"/>
  <c r="AE184" i="33"/>
  <c r="AD185" i="33"/>
  <c r="AE185" i="33"/>
  <c r="AD186" i="33"/>
  <c r="AE186" i="33"/>
  <c r="AD187" i="33"/>
  <c r="AE187" i="33"/>
  <c r="AD188" i="33"/>
  <c r="AE188" i="33"/>
  <c r="AD189" i="33"/>
  <c r="AE189" i="33"/>
  <c r="AD190" i="33"/>
  <c r="AE190" i="33"/>
  <c r="AD191" i="33"/>
  <c r="AE191" i="33"/>
  <c r="AD192" i="33"/>
  <c r="AE192" i="33"/>
  <c r="AD193" i="33"/>
  <c r="AE193" i="33"/>
  <c r="AD195" i="33"/>
  <c r="AE195" i="33"/>
  <c r="AD196" i="33"/>
  <c r="AE196" i="33"/>
  <c r="AD197" i="33"/>
  <c r="AE197" i="33"/>
  <c r="AD198" i="33"/>
  <c r="AE198" i="33"/>
  <c r="AD199" i="33"/>
  <c r="AE199" i="33"/>
  <c r="AD200" i="33"/>
  <c r="AE200" i="33"/>
  <c r="AD201" i="33"/>
  <c r="AE201" i="33"/>
  <c r="AD202" i="33"/>
  <c r="AE202" i="33"/>
  <c r="AD203" i="33"/>
  <c r="AE203" i="33"/>
  <c r="AD204" i="33"/>
  <c r="AE204" i="33"/>
  <c r="AD205" i="33"/>
  <c r="AE205" i="33"/>
  <c r="AD206" i="33"/>
  <c r="AE206" i="33"/>
  <c r="AD207" i="33"/>
  <c r="AE207" i="33"/>
  <c r="AD208" i="33"/>
  <c r="AE208" i="33"/>
  <c r="AD209" i="33"/>
  <c r="AE209" i="33"/>
  <c r="AD210" i="33"/>
  <c r="AE210" i="33"/>
  <c r="AD211" i="33"/>
  <c r="AE211" i="33"/>
  <c r="AD212" i="33"/>
  <c r="AE212" i="33"/>
  <c r="AD213" i="33"/>
  <c r="AE213" i="33"/>
  <c r="AD214" i="33"/>
  <c r="AE214" i="33"/>
  <c r="AD215" i="33"/>
  <c r="AE215" i="33"/>
  <c r="AD216" i="33"/>
  <c r="AE216" i="33"/>
  <c r="AD217" i="33"/>
  <c r="AE217" i="33"/>
  <c r="AD218" i="33"/>
  <c r="AE218" i="33"/>
  <c r="AD219" i="33"/>
  <c r="AE219" i="33"/>
  <c r="AD220" i="33"/>
  <c r="AE220" i="33"/>
  <c r="AD221" i="33"/>
  <c r="AE221" i="33"/>
  <c r="AD222" i="33"/>
  <c r="AE222" i="33"/>
  <c r="AD223" i="33"/>
  <c r="AE223" i="33"/>
  <c r="AD224" i="33"/>
  <c r="AE224" i="33"/>
  <c r="AD225" i="33"/>
  <c r="AE225" i="33"/>
  <c r="AD226" i="33"/>
  <c r="AE226" i="33"/>
  <c r="AD227" i="33"/>
  <c r="AE227" i="33"/>
  <c r="AD228" i="33"/>
  <c r="AE228" i="33"/>
  <c r="AD229" i="33"/>
  <c r="AE229" i="33"/>
  <c r="AD230" i="33"/>
  <c r="AE230" i="33"/>
  <c r="AD231" i="33"/>
  <c r="AE231" i="33"/>
  <c r="AD232" i="33"/>
  <c r="AE232" i="33"/>
  <c r="AD233" i="33"/>
  <c r="AE233" i="33"/>
  <c r="AD234" i="33"/>
  <c r="AE234" i="33"/>
  <c r="AD235" i="33"/>
  <c r="AE235" i="33"/>
  <c r="AD236" i="33"/>
  <c r="AE236" i="33"/>
  <c r="AD237" i="33"/>
  <c r="AE237" i="33"/>
  <c r="AD238" i="33"/>
  <c r="AE238" i="33"/>
  <c r="AD239" i="33"/>
  <c r="AE239" i="33"/>
  <c r="AD240" i="33"/>
  <c r="AE240" i="33"/>
  <c r="AD241" i="33"/>
  <c r="AE241" i="33"/>
  <c r="AD242" i="33"/>
  <c r="AE242" i="33"/>
  <c r="AD243" i="33"/>
  <c r="AE243" i="33"/>
  <c r="AD244" i="33"/>
  <c r="AE244" i="33"/>
  <c r="AD245" i="33"/>
  <c r="AE245" i="33"/>
  <c r="AD246" i="33"/>
  <c r="AE246" i="33"/>
  <c r="AD247" i="33"/>
  <c r="AE247" i="33"/>
  <c r="AD248" i="33"/>
  <c r="AE248" i="33"/>
  <c r="AD249" i="33"/>
  <c r="AE249" i="33"/>
  <c r="AD250" i="33"/>
  <c r="AE250" i="33"/>
  <c r="AD251" i="33"/>
  <c r="AE251" i="33"/>
  <c r="AD252" i="33"/>
  <c r="AE252" i="33"/>
  <c r="AD253" i="33"/>
  <c r="AE253" i="33"/>
  <c r="AD254" i="33"/>
  <c r="AE254" i="33"/>
  <c r="AD255" i="33"/>
  <c r="AE255" i="33"/>
  <c r="AC255" i="33"/>
  <c r="AC254" i="33"/>
  <c r="AC253" i="33"/>
  <c r="AC252" i="33"/>
  <c r="AC251" i="33"/>
  <c r="AC250" i="33"/>
  <c r="AC249" i="33"/>
  <c r="AC248" i="33"/>
  <c r="AC247" i="33"/>
  <c r="AC246" i="33"/>
  <c r="AC245" i="33"/>
  <c r="AC244" i="33"/>
  <c r="AC243" i="33"/>
  <c r="AC242" i="33"/>
  <c r="AC241" i="33"/>
  <c r="AC240" i="33"/>
  <c r="AC239" i="33"/>
  <c r="AC238" i="33"/>
  <c r="AC237" i="33"/>
  <c r="AC236" i="33"/>
  <c r="AC235" i="33"/>
  <c r="AC234" i="33"/>
  <c r="AC233" i="33"/>
  <c r="AC232" i="33"/>
  <c r="AC231" i="33"/>
  <c r="AC230" i="33"/>
  <c r="AC229" i="33"/>
  <c r="AC228" i="33"/>
  <c r="AC227" i="33"/>
  <c r="AC226" i="33"/>
  <c r="AC225" i="33"/>
  <c r="AC224" i="33"/>
  <c r="AC223" i="33"/>
  <c r="AC222" i="33"/>
  <c r="AC221" i="33"/>
  <c r="AC220" i="33"/>
  <c r="AC219" i="33"/>
  <c r="AC218" i="33"/>
  <c r="AC217" i="33"/>
  <c r="AC216" i="33"/>
  <c r="AC215" i="33"/>
  <c r="AC214" i="33"/>
  <c r="AC213" i="33"/>
  <c r="AC212" i="33"/>
  <c r="AC211" i="33"/>
  <c r="AC210" i="33"/>
  <c r="AC209" i="33"/>
  <c r="AC208" i="33"/>
  <c r="AC207" i="33"/>
  <c r="AC206" i="33"/>
  <c r="AC205" i="33"/>
  <c r="AC204" i="33"/>
  <c r="AC203" i="33"/>
  <c r="AC202" i="33"/>
  <c r="AC201" i="33"/>
  <c r="AC200" i="33"/>
  <c r="AC199" i="33"/>
  <c r="AC198" i="33"/>
  <c r="AC197" i="33"/>
  <c r="AC196" i="33"/>
  <c r="AC195" i="33"/>
  <c r="AC193" i="33"/>
  <c r="AC192" i="33"/>
  <c r="AC191" i="33"/>
  <c r="AC190" i="33"/>
  <c r="AC189" i="33"/>
  <c r="AC188" i="33"/>
  <c r="AC187" i="33"/>
  <c r="AC186" i="33"/>
  <c r="AC185" i="33"/>
  <c r="AC184" i="33"/>
  <c r="AC183" i="33"/>
  <c r="AC182" i="33"/>
  <c r="AC181" i="33"/>
  <c r="AC180" i="33"/>
  <c r="AC179" i="33"/>
  <c r="AC178" i="33"/>
  <c r="AC177" i="33"/>
  <c r="AC176" i="33"/>
  <c r="AC175" i="33"/>
  <c r="AC174" i="33"/>
  <c r="AC173" i="33"/>
  <c r="AC172" i="33"/>
  <c r="AC171" i="33"/>
  <c r="AC170" i="33"/>
  <c r="AC169" i="33"/>
  <c r="AC168" i="33"/>
  <c r="AC167" i="33"/>
  <c r="AC166" i="33"/>
  <c r="AC165" i="33"/>
  <c r="AC164" i="33"/>
  <c r="AC163" i="33"/>
  <c r="AC162" i="33"/>
  <c r="AC161" i="33"/>
  <c r="AC160" i="33"/>
  <c r="AC159" i="33"/>
  <c r="AC158" i="33"/>
  <c r="AC157" i="33"/>
  <c r="AC156" i="33"/>
  <c r="AC155" i="33"/>
  <c r="AC154" i="33"/>
  <c r="AC153" i="33"/>
  <c r="AC152" i="33"/>
  <c r="AC151" i="33"/>
  <c r="AC150" i="33"/>
  <c r="AC149" i="33"/>
  <c r="AC148" i="33"/>
  <c r="AC147" i="33"/>
  <c r="AC146" i="33"/>
  <c r="AC145" i="33"/>
  <c r="AC144" i="33"/>
  <c r="AC143" i="33"/>
  <c r="AC142" i="33"/>
  <c r="AC141" i="33"/>
  <c r="AC140" i="33"/>
  <c r="AC139" i="33"/>
  <c r="AC138" i="33"/>
  <c r="AC137" i="33"/>
  <c r="AC136" i="33"/>
  <c r="AC135" i="33"/>
  <c r="AC134" i="33"/>
  <c r="AC133" i="33"/>
  <c r="AC132" i="33"/>
  <c r="AC131" i="33"/>
  <c r="AC130" i="33"/>
  <c r="AC129" i="33"/>
  <c r="AC128" i="33"/>
  <c r="AC127" i="33"/>
  <c r="AC126" i="33"/>
  <c r="AC125" i="33"/>
  <c r="AC124" i="33"/>
  <c r="AC123" i="33"/>
  <c r="AC122" i="33"/>
  <c r="AC121" i="33"/>
  <c r="AC120" i="33"/>
  <c r="AC119" i="33"/>
  <c r="AC118" i="33"/>
  <c r="AC117" i="33"/>
  <c r="AC116" i="33"/>
  <c r="AC115" i="33"/>
  <c r="AC114" i="33"/>
  <c r="AC113" i="33"/>
  <c r="AC112" i="33"/>
  <c r="AC111" i="33"/>
  <c r="AC110" i="33"/>
  <c r="AC109" i="33"/>
  <c r="AC108" i="33"/>
  <c r="AC107" i="33"/>
  <c r="AC106" i="33"/>
  <c r="AC105" i="33"/>
  <c r="AC104" i="33"/>
  <c r="AC103" i="33"/>
  <c r="AC102" i="33"/>
  <c r="AC101" i="33"/>
  <c r="AC100" i="33"/>
  <c r="AC99" i="33"/>
  <c r="AC98" i="33"/>
  <c r="AC97" i="33"/>
  <c r="AC96" i="33"/>
  <c r="AC95" i="33"/>
  <c r="AC93" i="33"/>
  <c r="AC92" i="33"/>
  <c r="AC91" i="33"/>
  <c r="AC90" i="33"/>
  <c r="AC89" i="33"/>
  <c r="AC88" i="33"/>
  <c r="AC87" i="33"/>
  <c r="AC86" i="33"/>
  <c r="AC85" i="33"/>
  <c r="AC84" i="33"/>
  <c r="AC83" i="33"/>
  <c r="AC82" i="33"/>
  <c r="AC81" i="33"/>
  <c r="AC80" i="33"/>
  <c r="AC79" i="33"/>
  <c r="AC78" i="33"/>
  <c r="AC77" i="33"/>
  <c r="AC76" i="33"/>
  <c r="AC75" i="33"/>
  <c r="AC74" i="33"/>
  <c r="AC73" i="33"/>
  <c r="AC72" i="33"/>
  <c r="AC71" i="33"/>
  <c r="AC70" i="33"/>
  <c r="AC69" i="33"/>
  <c r="AC68" i="33"/>
  <c r="AC67" i="33"/>
  <c r="AC66" i="33"/>
  <c r="AC65" i="33"/>
  <c r="AC64" i="33"/>
  <c r="AC63" i="33"/>
  <c r="AC62" i="33"/>
  <c r="AC61" i="33"/>
  <c r="AC60" i="33"/>
  <c r="AC59" i="33"/>
  <c r="AC58" i="33"/>
  <c r="AC57" i="33"/>
  <c r="AC56" i="33"/>
  <c r="AC55" i="33"/>
  <c r="AC54" i="33"/>
  <c r="AC53" i="33"/>
  <c r="AC52" i="33"/>
  <c r="AC51" i="33"/>
  <c r="AC50" i="33"/>
  <c r="AC49" i="33"/>
  <c r="AC48" i="33"/>
  <c r="AC47" i="33"/>
  <c r="AC46" i="33"/>
  <c r="AC45" i="33"/>
  <c r="AC44" i="33"/>
  <c r="AC43" i="33"/>
  <c r="AC42" i="33"/>
  <c r="AC41" i="33"/>
  <c r="AC40" i="33"/>
  <c r="AC39" i="33"/>
  <c r="AC38" i="33"/>
  <c r="AC37" i="33"/>
  <c r="AC36" i="33"/>
  <c r="AC35" i="33"/>
  <c r="AC34" i="33"/>
  <c r="AC33" i="33"/>
  <c r="AC32" i="33"/>
  <c r="AC31" i="33"/>
  <c r="AC30" i="33"/>
  <c r="AC29" i="33"/>
  <c r="AC28" i="33"/>
  <c r="AC27" i="33"/>
  <c r="AC26" i="33"/>
  <c r="AC25" i="33"/>
  <c r="AC24" i="33"/>
  <c r="AC23" i="33"/>
  <c r="AC22" i="33"/>
  <c r="AC21" i="33"/>
  <c r="AC20" i="33"/>
  <c r="AC19" i="33"/>
  <c r="AC18" i="33"/>
  <c r="AC17" i="33"/>
  <c r="AC16" i="33"/>
  <c r="AC15" i="33"/>
  <c r="AC14" i="33"/>
  <c r="AC13" i="33"/>
  <c r="AC12" i="33"/>
  <c r="AC11" i="33"/>
  <c r="AC10" i="33"/>
  <c r="AC9" i="33"/>
  <c r="AC8" i="33"/>
  <c r="AC7" i="33"/>
  <c r="AC6" i="33"/>
  <c r="AC5" i="33"/>
  <c r="W145" i="33"/>
  <c r="V145" i="33"/>
  <c r="U145" i="33"/>
  <c r="W144" i="33"/>
  <c r="V144" i="33"/>
  <c r="U144" i="33"/>
  <c r="W143" i="33"/>
  <c r="V143" i="33"/>
  <c r="U143" i="33"/>
  <c r="W142" i="33"/>
  <c r="V142" i="33"/>
  <c r="U142" i="33"/>
  <c r="W141" i="33"/>
  <c r="V141" i="33"/>
  <c r="U141" i="33"/>
  <c r="W140" i="33"/>
  <c r="V140" i="33"/>
  <c r="U140" i="33"/>
  <c r="W139" i="33"/>
  <c r="V139" i="33"/>
  <c r="U139" i="33"/>
  <c r="W138" i="33"/>
  <c r="V138" i="33"/>
  <c r="U138" i="33"/>
  <c r="W137" i="33"/>
  <c r="V137" i="33"/>
  <c r="U137" i="33"/>
  <c r="W136" i="33"/>
  <c r="V136" i="33"/>
  <c r="U136" i="33"/>
  <c r="W135" i="33"/>
  <c r="V135" i="33"/>
  <c r="U135" i="33"/>
  <c r="W134" i="33"/>
  <c r="V134" i="33"/>
  <c r="U134" i="33"/>
  <c r="W133" i="33"/>
  <c r="V133" i="33"/>
  <c r="U133" i="33"/>
  <c r="W132" i="33"/>
  <c r="V132" i="33"/>
  <c r="U132" i="33"/>
  <c r="W131" i="33"/>
  <c r="V131" i="33"/>
  <c r="U131" i="33"/>
  <c r="W130" i="33"/>
  <c r="V130" i="33"/>
  <c r="U130" i="33"/>
  <c r="W129" i="33"/>
  <c r="V129" i="33"/>
  <c r="U129" i="33"/>
  <c r="W128" i="33"/>
  <c r="V128" i="33"/>
  <c r="U128" i="33"/>
  <c r="W127" i="33"/>
  <c r="V127" i="33"/>
  <c r="U127" i="33"/>
  <c r="W126" i="33"/>
  <c r="V126" i="33"/>
  <c r="U126" i="33"/>
  <c r="W125" i="33"/>
  <c r="V125" i="33"/>
  <c r="U125" i="33"/>
  <c r="W124" i="33"/>
  <c r="V124" i="33"/>
  <c r="U124" i="33"/>
  <c r="W123" i="33"/>
  <c r="V123" i="33"/>
  <c r="U123" i="33"/>
  <c r="W122" i="33"/>
  <c r="V122" i="33"/>
  <c r="U122" i="33"/>
  <c r="W121" i="33"/>
  <c r="V121" i="33"/>
  <c r="U121" i="33"/>
  <c r="W120" i="33"/>
  <c r="V120" i="33"/>
  <c r="U120" i="33"/>
  <c r="W119" i="33"/>
  <c r="V119" i="33"/>
  <c r="U119" i="33"/>
  <c r="W118" i="33"/>
  <c r="V118" i="33"/>
  <c r="U118" i="33"/>
  <c r="W117" i="33"/>
  <c r="V117" i="33"/>
  <c r="U117" i="33"/>
  <c r="W116" i="33"/>
  <c r="V116" i="33"/>
  <c r="U116" i="33"/>
  <c r="W115" i="33"/>
  <c r="V115" i="33"/>
  <c r="U115" i="33"/>
  <c r="W114" i="33"/>
  <c r="V114" i="33"/>
  <c r="U114" i="33"/>
  <c r="W113" i="33"/>
  <c r="V113" i="33"/>
  <c r="U113" i="33"/>
  <c r="W112" i="33"/>
  <c r="V112" i="33"/>
  <c r="U112" i="33"/>
  <c r="W111" i="33"/>
  <c r="V111" i="33"/>
  <c r="U111" i="33"/>
  <c r="W110" i="33"/>
  <c r="V110" i="33"/>
  <c r="U110" i="33"/>
  <c r="W109" i="33"/>
  <c r="V109" i="33"/>
  <c r="U109" i="33"/>
  <c r="W108" i="33"/>
  <c r="V108" i="33"/>
  <c r="U108" i="33"/>
  <c r="W107" i="33"/>
  <c r="V107" i="33"/>
  <c r="U107" i="33"/>
  <c r="W106" i="33"/>
  <c r="V106" i="33"/>
  <c r="U106" i="33"/>
  <c r="W105" i="33"/>
  <c r="V105" i="33"/>
  <c r="U105" i="33"/>
  <c r="W104" i="33"/>
  <c r="V104" i="33"/>
  <c r="U104" i="33"/>
  <c r="W103" i="33"/>
  <c r="V103" i="33"/>
  <c r="U103" i="33"/>
  <c r="W102" i="33"/>
  <c r="V102" i="33"/>
  <c r="U102" i="33"/>
  <c r="W101" i="33"/>
  <c r="V101" i="33"/>
  <c r="U101" i="33"/>
  <c r="W100" i="33"/>
  <c r="V100" i="33"/>
  <c r="U100" i="33"/>
  <c r="W99" i="33"/>
  <c r="V99" i="33"/>
  <c r="U99" i="33"/>
  <c r="W98" i="33"/>
  <c r="V98" i="33"/>
  <c r="U98" i="33"/>
  <c r="W97" i="33"/>
  <c r="V97" i="33"/>
  <c r="U97" i="33"/>
  <c r="W96" i="33"/>
  <c r="V96" i="33"/>
  <c r="U96" i="33"/>
  <c r="W95" i="33"/>
  <c r="V95" i="33"/>
  <c r="U95" i="33"/>
  <c r="W94" i="33"/>
  <c r="V94" i="33"/>
  <c r="U94" i="33"/>
  <c r="W93" i="33"/>
  <c r="V93" i="33"/>
  <c r="U93" i="33"/>
  <c r="W92" i="33"/>
  <c r="V92" i="33"/>
  <c r="U92" i="33"/>
  <c r="W91" i="33"/>
  <c r="V91" i="33"/>
  <c r="U91" i="33"/>
  <c r="W90" i="33"/>
  <c r="V90" i="33"/>
  <c r="U90" i="33"/>
  <c r="W89" i="33"/>
  <c r="V89" i="33"/>
  <c r="U89" i="33"/>
  <c r="W88" i="33"/>
  <c r="V88" i="33"/>
  <c r="U88" i="33"/>
  <c r="W87" i="33"/>
  <c r="V87" i="33"/>
  <c r="U87" i="33"/>
  <c r="W86" i="33"/>
  <c r="V86" i="33"/>
  <c r="U86" i="33"/>
  <c r="W85" i="33"/>
  <c r="V85" i="33"/>
  <c r="U85" i="33"/>
  <c r="W83" i="33"/>
  <c r="V83" i="33"/>
  <c r="U83" i="33"/>
  <c r="W82" i="33"/>
  <c r="V82" i="33"/>
  <c r="U82" i="33"/>
  <c r="W81" i="33"/>
  <c r="V81" i="33"/>
  <c r="U81" i="33"/>
  <c r="W80" i="33"/>
  <c r="V80" i="33"/>
  <c r="U80" i="33"/>
  <c r="W79" i="33"/>
  <c r="V79" i="33"/>
  <c r="U79" i="33"/>
  <c r="W78" i="33"/>
  <c r="V78" i="33"/>
  <c r="U78" i="33"/>
  <c r="W77" i="33"/>
  <c r="V77" i="33"/>
  <c r="U77" i="33"/>
  <c r="W76" i="33"/>
  <c r="V76" i="33"/>
  <c r="U76" i="33"/>
  <c r="W75" i="33"/>
  <c r="V75" i="33"/>
  <c r="U75" i="33"/>
  <c r="W74" i="33"/>
  <c r="V74" i="33"/>
  <c r="U74" i="33"/>
  <c r="W73" i="33"/>
  <c r="V73" i="33"/>
  <c r="U73" i="33"/>
  <c r="W72" i="33"/>
  <c r="V72" i="33"/>
  <c r="U72" i="33"/>
  <c r="W71" i="33"/>
  <c r="V71" i="33"/>
  <c r="U71" i="33"/>
  <c r="W70" i="33"/>
  <c r="V70" i="33"/>
  <c r="U70" i="33"/>
  <c r="W69" i="33"/>
  <c r="V69" i="33"/>
  <c r="U69" i="33"/>
  <c r="W68" i="33"/>
  <c r="V68" i="33"/>
  <c r="U68" i="33"/>
  <c r="W67" i="33"/>
  <c r="V67" i="33"/>
  <c r="U67" i="33"/>
  <c r="W66" i="33"/>
  <c r="V66" i="33"/>
  <c r="U66" i="33"/>
  <c r="W65" i="33"/>
  <c r="V65" i="33"/>
  <c r="U65" i="33"/>
  <c r="W64" i="33"/>
  <c r="V64" i="33"/>
  <c r="U64" i="33"/>
  <c r="W63" i="33"/>
  <c r="V63" i="33"/>
  <c r="U63" i="33"/>
  <c r="W62" i="33"/>
  <c r="V62" i="33"/>
  <c r="U62" i="33"/>
  <c r="W61" i="33"/>
  <c r="V61" i="33"/>
  <c r="U61" i="33"/>
  <c r="W60" i="33"/>
  <c r="V60" i="33"/>
  <c r="U60" i="33"/>
  <c r="W59" i="33"/>
  <c r="V59" i="33"/>
  <c r="U59" i="33"/>
  <c r="W58" i="33"/>
  <c r="V58" i="33"/>
  <c r="U58" i="33"/>
  <c r="W57" i="33"/>
  <c r="V57" i="33"/>
  <c r="U57" i="33"/>
  <c r="W56" i="33"/>
  <c r="V56" i="33"/>
  <c r="U56" i="33"/>
  <c r="W55" i="33"/>
  <c r="V55" i="33"/>
  <c r="U55" i="33"/>
  <c r="W54" i="33"/>
  <c r="V54" i="33"/>
  <c r="U54" i="33"/>
  <c r="W53" i="33"/>
  <c r="V53" i="33"/>
  <c r="U53" i="33"/>
  <c r="W52" i="33"/>
  <c r="V52" i="33"/>
  <c r="U52" i="33"/>
  <c r="W51" i="33"/>
  <c r="V51" i="33"/>
  <c r="U51" i="33"/>
  <c r="W50" i="33"/>
  <c r="V50" i="33"/>
  <c r="U50" i="33"/>
  <c r="W49" i="33"/>
  <c r="V49" i="33"/>
  <c r="U49" i="33"/>
  <c r="W48" i="33"/>
  <c r="V48" i="33"/>
  <c r="U48" i="33"/>
  <c r="W47" i="33"/>
  <c r="V47" i="33"/>
  <c r="U47" i="33"/>
  <c r="W46" i="33"/>
  <c r="V46" i="33"/>
  <c r="U46" i="33"/>
  <c r="W45" i="33"/>
  <c r="V45" i="33"/>
  <c r="U45" i="33"/>
  <c r="W44" i="33"/>
  <c r="V44" i="33"/>
  <c r="U44" i="33"/>
  <c r="W43" i="33"/>
  <c r="V43" i="33"/>
  <c r="U43" i="33"/>
  <c r="W42" i="33"/>
  <c r="V42" i="33"/>
  <c r="U42" i="33"/>
  <c r="W41" i="33"/>
  <c r="V41" i="33"/>
  <c r="U41" i="33"/>
  <c r="W40" i="33"/>
  <c r="V40" i="33"/>
  <c r="U40" i="33"/>
  <c r="W39" i="33"/>
  <c r="V39" i="33"/>
  <c r="U39" i="33"/>
  <c r="W38" i="33"/>
  <c r="V38" i="33"/>
  <c r="U38" i="33"/>
  <c r="W37" i="33"/>
  <c r="V37" i="33"/>
  <c r="U37" i="33"/>
  <c r="W36" i="33"/>
  <c r="V36" i="33"/>
  <c r="U36" i="33"/>
  <c r="W35" i="33"/>
  <c r="V35" i="33"/>
  <c r="U35" i="33"/>
  <c r="W34" i="33"/>
  <c r="V34" i="33"/>
  <c r="U34" i="33"/>
  <c r="W33" i="33"/>
  <c r="V33" i="33"/>
  <c r="U33" i="33"/>
  <c r="W32" i="33"/>
  <c r="V32" i="33"/>
  <c r="U32" i="33"/>
  <c r="W31" i="33"/>
  <c r="V31" i="33"/>
  <c r="U31" i="33"/>
  <c r="W30" i="33"/>
  <c r="V30" i="33"/>
  <c r="U30" i="33"/>
  <c r="W29" i="33"/>
  <c r="V29" i="33"/>
  <c r="U29" i="33"/>
  <c r="W28" i="33"/>
  <c r="V28" i="33"/>
  <c r="U28" i="33"/>
  <c r="W27" i="33"/>
  <c r="V27" i="33"/>
  <c r="U27" i="33"/>
  <c r="W26" i="33"/>
  <c r="V26" i="33"/>
  <c r="U26" i="33"/>
  <c r="W25" i="33"/>
  <c r="V25" i="33"/>
  <c r="U25" i="33"/>
  <c r="W24" i="33"/>
  <c r="V24" i="33"/>
  <c r="U24" i="33"/>
  <c r="W23" i="33"/>
  <c r="V23" i="33"/>
  <c r="U23" i="33"/>
  <c r="W22" i="33"/>
  <c r="V22" i="33"/>
  <c r="U22" i="33"/>
  <c r="W21" i="33"/>
  <c r="V21" i="33"/>
  <c r="U21" i="33"/>
  <c r="W20" i="33"/>
  <c r="V20" i="33"/>
  <c r="U20" i="33"/>
  <c r="W19" i="33"/>
  <c r="V19" i="33"/>
  <c r="U19" i="33"/>
  <c r="W18" i="33"/>
  <c r="V18" i="33"/>
  <c r="U18" i="33"/>
  <c r="W17" i="33"/>
  <c r="V17" i="33"/>
  <c r="U17" i="33"/>
  <c r="W16" i="33"/>
  <c r="V16" i="33"/>
  <c r="U16" i="33"/>
  <c r="W15" i="33"/>
  <c r="V15" i="33"/>
  <c r="U15" i="33"/>
  <c r="W14" i="33"/>
  <c r="V14" i="33"/>
  <c r="U14" i="33"/>
  <c r="W13" i="33"/>
  <c r="V13" i="33"/>
  <c r="U13" i="33"/>
  <c r="W12" i="33"/>
  <c r="V12" i="33"/>
  <c r="U12" i="33"/>
  <c r="W11" i="33"/>
  <c r="V11" i="33"/>
  <c r="U11" i="33"/>
  <c r="W10" i="33"/>
  <c r="V10" i="33"/>
  <c r="U10" i="33"/>
  <c r="W9" i="33"/>
  <c r="V9" i="33"/>
  <c r="U9" i="33"/>
  <c r="W8" i="33"/>
  <c r="V8" i="33"/>
  <c r="U8" i="33"/>
  <c r="W7" i="33"/>
  <c r="V7" i="33"/>
  <c r="U7" i="33"/>
  <c r="W6" i="33"/>
  <c r="V6" i="33"/>
  <c r="U6" i="33"/>
  <c r="W5" i="33"/>
  <c r="V5" i="33"/>
  <c r="U5" i="33"/>
  <c r="O205" i="33"/>
  <c r="N205" i="33"/>
  <c r="M205" i="33"/>
  <c r="O204" i="33"/>
  <c r="N204" i="33"/>
  <c r="M204" i="33"/>
  <c r="O203" i="33"/>
  <c r="N203" i="33"/>
  <c r="M203" i="33"/>
  <c r="O202" i="33"/>
  <c r="N202" i="33"/>
  <c r="M202" i="33"/>
  <c r="O201" i="33"/>
  <c r="N201" i="33"/>
  <c r="M201" i="33"/>
  <c r="O200" i="33"/>
  <c r="N200" i="33"/>
  <c r="M200" i="33"/>
  <c r="O199" i="33"/>
  <c r="N199" i="33"/>
  <c r="M199" i="33"/>
  <c r="O198" i="33"/>
  <c r="N198" i="33"/>
  <c r="M198" i="33"/>
  <c r="O197" i="33"/>
  <c r="N197" i="33"/>
  <c r="M197" i="33"/>
  <c r="O196" i="33"/>
  <c r="N196" i="33"/>
  <c r="M196" i="33"/>
  <c r="O195" i="33"/>
  <c r="N195" i="33"/>
  <c r="M195" i="33"/>
  <c r="O194" i="33"/>
  <c r="N194" i="33"/>
  <c r="M194" i="33"/>
  <c r="O193" i="33"/>
  <c r="N193" i="33"/>
  <c r="M193" i="33"/>
  <c r="O192" i="33"/>
  <c r="N192" i="33"/>
  <c r="M192" i="33"/>
  <c r="O191" i="33"/>
  <c r="N191" i="33"/>
  <c r="M191" i="33"/>
  <c r="O190" i="33"/>
  <c r="N190" i="33"/>
  <c r="M190" i="33"/>
  <c r="O189" i="33"/>
  <c r="N189" i="33"/>
  <c r="M189" i="33"/>
  <c r="O188" i="33"/>
  <c r="N188" i="33"/>
  <c r="M188" i="33"/>
  <c r="O187" i="33"/>
  <c r="N187" i="33"/>
  <c r="M187" i="33"/>
  <c r="O186" i="33"/>
  <c r="N186" i="33"/>
  <c r="M186" i="33"/>
  <c r="O185" i="33"/>
  <c r="N185" i="33"/>
  <c r="M185" i="33"/>
  <c r="O184" i="33"/>
  <c r="N184" i="33"/>
  <c r="M184" i="33"/>
  <c r="O183" i="33"/>
  <c r="N183" i="33"/>
  <c r="M183" i="33"/>
  <c r="O182" i="33"/>
  <c r="N182" i="33"/>
  <c r="M182" i="33"/>
  <c r="O181" i="33"/>
  <c r="N181" i="33"/>
  <c r="M181" i="33"/>
  <c r="O180" i="33"/>
  <c r="N180" i="33"/>
  <c r="M180" i="33"/>
  <c r="O179" i="33"/>
  <c r="N179" i="33"/>
  <c r="M179" i="33"/>
  <c r="O178" i="33"/>
  <c r="N178" i="33"/>
  <c r="M178" i="33"/>
  <c r="O177" i="33"/>
  <c r="N177" i="33"/>
  <c r="M177" i="33"/>
  <c r="O176" i="33"/>
  <c r="N176" i="33"/>
  <c r="M176" i="33"/>
  <c r="O175" i="33"/>
  <c r="N175" i="33"/>
  <c r="M175" i="33"/>
  <c r="O174" i="33"/>
  <c r="N174" i="33"/>
  <c r="M174" i="33"/>
  <c r="O173" i="33"/>
  <c r="N173" i="33"/>
  <c r="M173" i="33"/>
  <c r="O172" i="33"/>
  <c r="N172" i="33"/>
  <c r="M172" i="33"/>
  <c r="O171" i="33"/>
  <c r="N171" i="33"/>
  <c r="M171" i="33"/>
  <c r="O170" i="33"/>
  <c r="N170" i="33"/>
  <c r="M170" i="33"/>
  <c r="O169" i="33"/>
  <c r="N169" i="33"/>
  <c r="M169" i="33"/>
  <c r="O168" i="33"/>
  <c r="N168" i="33"/>
  <c r="M168" i="33"/>
  <c r="O167" i="33"/>
  <c r="N167" i="33"/>
  <c r="M167" i="33"/>
  <c r="O166" i="33"/>
  <c r="N166" i="33"/>
  <c r="M166" i="33"/>
  <c r="O165" i="33"/>
  <c r="N165" i="33"/>
  <c r="M165" i="33"/>
  <c r="O164" i="33"/>
  <c r="N164" i="33"/>
  <c r="M164" i="33"/>
  <c r="O163" i="33"/>
  <c r="N163" i="33"/>
  <c r="M163" i="33"/>
  <c r="O162" i="33"/>
  <c r="N162" i="33"/>
  <c r="M162" i="33"/>
  <c r="O161" i="33"/>
  <c r="N161" i="33"/>
  <c r="M161" i="33"/>
  <c r="O160" i="33"/>
  <c r="N160" i="33"/>
  <c r="M160" i="33"/>
  <c r="O159" i="33"/>
  <c r="N159" i="33"/>
  <c r="M159" i="33"/>
  <c r="O158" i="33"/>
  <c r="N158" i="33"/>
  <c r="M158" i="33"/>
  <c r="O157" i="33"/>
  <c r="N157" i="33"/>
  <c r="M157" i="33"/>
  <c r="O156" i="33"/>
  <c r="N156" i="33"/>
  <c r="M156" i="33"/>
  <c r="O155" i="33"/>
  <c r="N155" i="33"/>
  <c r="M155" i="33"/>
  <c r="O154" i="33"/>
  <c r="N154" i="33"/>
  <c r="M154" i="33"/>
  <c r="O153" i="33"/>
  <c r="N153" i="33"/>
  <c r="M153" i="33"/>
  <c r="O152" i="33"/>
  <c r="N152" i="33"/>
  <c r="M152" i="33"/>
  <c r="O151" i="33"/>
  <c r="N151" i="33"/>
  <c r="M151" i="33"/>
  <c r="O150" i="33"/>
  <c r="N150" i="33"/>
  <c r="M150" i="33"/>
  <c r="O149" i="33"/>
  <c r="N149" i="33"/>
  <c r="M149" i="33"/>
  <c r="O148" i="33"/>
  <c r="N148" i="33"/>
  <c r="M148" i="33"/>
  <c r="O147" i="33"/>
  <c r="N147" i="33"/>
  <c r="M147" i="33"/>
  <c r="O146" i="33"/>
  <c r="N146" i="33"/>
  <c r="M146" i="33"/>
  <c r="O145" i="33"/>
  <c r="N145" i="33"/>
  <c r="M145" i="33"/>
  <c r="O143" i="33"/>
  <c r="N143" i="33"/>
  <c r="M143" i="33"/>
  <c r="O142" i="33"/>
  <c r="N142" i="33"/>
  <c r="M142" i="33"/>
  <c r="O141" i="33"/>
  <c r="N141" i="33"/>
  <c r="M141" i="33"/>
  <c r="O140" i="33"/>
  <c r="N140" i="33"/>
  <c r="M140" i="33"/>
  <c r="O139" i="33"/>
  <c r="N139" i="33"/>
  <c r="M139" i="33"/>
  <c r="O138" i="33"/>
  <c r="N138" i="33"/>
  <c r="M138" i="33"/>
  <c r="O137" i="33"/>
  <c r="N137" i="33"/>
  <c r="M137" i="33"/>
  <c r="O136" i="33"/>
  <c r="N136" i="33"/>
  <c r="M136" i="33"/>
  <c r="O135" i="33"/>
  <c r="N135" i="33"/>
  <c r="M135" i="33"/>
  <c r="O134" i="33"/>
  <c r="N134" i="33"/>
  <c r="M134" i="33"/>
  <c r="O133" i="33"/>
  <c r="N133" i="33"/>
  <c r="M133" i="33"/>
  <c r="O132" i="33"/>
  <c r="N132" i="33"/>
  <c r="M132" i="33"/>
  <c r="O131" i="33"/>
  <c r="N131" i="33"/>
  <c r="M131" i="33"/>
  <c r="O130" i="33"/>
  <c r="N130" i="33"/>
  <c r="M130" i="33"/>
  <c r="O129" i="33"/>
  <c r="N129" i="33"/>
  <c r="M129" i="33"/>
  <c r="O128" i="33"/>
  <c r="N128" i="33"/>
  <c r="M128" i="33"/>
  <c r="O127" i="33"/>
  <c r="N127" i="33"/>
  <c r="M127" i="33"/>
  <c r="O126" i="33"/>
  <c r="N126" i="33"/>
  <c r="M126" i="33"/>
  <c r="O125" i="33"/>
  <c r="N125" i="33"/>
  <c r="M125" i="33"/>
  <c r="O124" i="33"/>
  <c r="N124" i="33"/>
  <c r="M124" i="33"/>
  <c r="O123" i="33"/>
  <c r="N123" i="33"/>
  <c r="M123" i="33"/>
  <c r="O122" i="33"/>
  <c r="N122" i="33"/>
  <c r="M122" i="33"/>
  <c r="O121" i="33"/>
  <c r="N121" i="33"/>
  <c r="M121" i="33"/>
  <c r="O120" i="33"/>
  <c r="N120" i="33"/>
  <c r="M120" i="33"/>
  <c r="O119" i="33"/>
  <c r="N119" i="33"/>
  <c r="M119" i="33"/>
  <c r="O118" i="33"/>
  <c r="N118" i="33"/>
  <c r="M118" i="33"/>
  <c r="O117" i="33"/>
  <c r="N117" i="33"/>
  <c r="M117" i="33"/>
  <c r="O116" i="33"/>
  <c r="N116" i="33"/>
  <c r="M116" i="33"/>
  <c r="O115" i="33"/>
  <c r="N115" i="33"/>
  <c r="M115" i="33"/>
  <c r="O114" i="33"/>
  <c r="N114" i="33"/>
  <c r="M114" i="33"/>
  <c r="O113" i="33"/>
  <c r="N113" i="33"/>
  <c r="M113" i="33"/>
  <c r="O112" i="33"/>
  <c r="N112" i="33"/>
  <c r="M112" i="33"/>
  <c r="O111" i="33"/>
  <c r="N111" i="33"/>
  <c r="M111" i="33"/>
  <c r="O110" i="33"/>
  <c r="N110" i="33"/>
  <c r="M110" i="33"/>
  <c r="O109" i="33"/>
  <c r="N109" i="33"/>
  <c r="M109" i="33"/>
  <c r="O108" i="33"/>
  <c r="N108" i="33"/>
  <c r="M108" i="33"/>
  <c r="O107" i="33"/>
  <c r="N107" i="33"/>
  <c r="M107" i="33"/>
  <c r="O106" i="33"/>
  <c r="N106" i="33"/>
  <c r="M106" i="33"/>
  <c r="O105" i="33"/>
  <c r="N105" i="33"/>
  <c r="M105" i="33"/>
  <c r="O104" i="33"/>
  <c r="N104" i="33"/>
  <c r="M104" i="33"/>
  <c r="O103" i="33"/>
  <c r="N103" i="33"/>
  <c r="M103" i="33"/>
  <c r="O102" i="33"/>
  <c r="N102" i="33"/>
  <c r="M102" i="33"/>
  <c r="O101" i="33"/>
  <c r="N101" i="33"/>
  <c r="M101" i="33"/>
  <c r="O100" i="33"/>
  <c r="N100" i="33"/>
  <c r="M100" i="33"/>
  <c r="O99" i="33"/>
  <c r="N99" i="33"/>
  <c r="M99" i="33"/>
  <c r="O98" i="33"/>
  <c r="N98" i="33"/>
  <c r="M98" i="33"/>
  <c r="O97" i="33"/>
  <c r="N97" i="33"/>
  <c r="M97" i="33"/>
  <c r="O96" i="33"/>
  <c r="N96" i="33"/>
  <c r="M96" i="33"/>
  <c r="O95" i="33"/>
  <c r="N95" i="33"/>
  <c r="M95" i="33"/>
  <c r="O94" i="33"/>
  <c r="N94" i="33"/>
  <c r="M94" i="33"/>
  <c r="O93" i="33"/>
  <c r="N93" i="33"/>
  <c r="M93" i="33"/>
  <c r="O92" i="33"/>
  <c r="N92" i="33"/>
  <c r="M92" i="33"/>
  <c r="O91" i="33"/>
  <c r="N91" i="33"/>
  <c r="M91" i="33"/>
  <c r="O90" i="33"/>
  <c r="N90" i="33"/>
  <c r="M90" i="33"/>
  <c r="O89" i="33"/>
  <c r="N89" i="33"/>
  <c r="M89" i="33"/>
  <c r="O88" i="33"/>
  <c r="N88" i="33"/>
  <c r="M88" i="33"/>
  <c r="O87" i="33"/>
  <c r="N87" i="33"/>
  <c r="M87" i="33"/>
  <c r="O86" i="33"/>
  <c r="N86" i="33"/>
  <c r="M86" i="33"/>
  <c r="O85" i="33"/>
  <c r="N85" i="33"/>
  <c r="M85" i="33"/>
  <c r="O84" i="33"/>
  <c r="N84" i="33"/>
  <c r="M84" i="33"/>
  <c r="O83" i="33"/>
  <c r="N83" i="33"/>
  <c r="M83" i="33"/>
  <c r="O82" i="33"/>
  <c r="N82" i="33"/>
  <c r="M82" i="33"/>
  <c r="O81" i="33"/>
  <c r="N81" i="33"/>
  <c r="M81" i="33"/>
  <c r="O80" i="33"/>
  <c r="N80" i="33"/>
  <c r="M80" i="33"/>
  <c r="O79" i="33"/>
  <c r="N79" i="33"/>
  <c r="M79" i="33"/>
  <c r="O78" i="33"/>
  <c r="N78" i="33"/>
  <c r="M78" i="33"/>
  <c r="O77" i="33"/>
  <c r="N77" i="33"/>
  <c r="M77" i="33"/>
  <c r="O76" i="33"/>
  <c r="N76" i="33"/>
  <c r="M76" i="33"/>
  <c r="O75" i="33"/>
  <c r="N75" i="33"/>
  <c r="M75" i="33"/>
  <c r="O74" i="33"/>
  <c r="N74" i="33"/>
  <c r="M74" i="33"/>
  <c r="O73" i="33"/>
  <c r="N73" i="33"/>
  <c r="M73" i="33"/>
  <c r="O72" i="33"/>
  <c r="N72" i="33"/>
  <c r="M72" i="33"/>
  <c r="O71" i="33"/>
  <c r="N71" i="33"/>
  <c r="M71" i="33"/>
  <c r="O70" i="33"/>
  <c r="N70" i="33"/>
  <c r="M70" i="33"/>
  <c r="O69" i="33"/>
  <c r="N69" i="33"/>
  <c r="M69" i="33"/>
  <c r="O68" i="33"/>
  <c r="N68" i="33"/>
  <c r="M68" i="33"/>
  <c r="O67" i="33"/>
  <c r="N67" i="33"/>
  <c r="M67" i="33"/>
  <c r="O66" i="33"/>
  <c r="N66" i="33"/>
  <c r="M66" i="33"/>
  <c r="O65" i="33"/>
  <c r="N65" i="33"/>
  <c r="M65" i="33"/>
  <c r="O64" i="33"/>
  <c r="N64" i="33"/>
  <c r="M64" i="33"/>
  <c r="O63" i="33"/>
  <c r="N63" i="33"/>
  <c r="M63" i="33"/>
  <c r="O62" i="33"/>
  <c r="N62" i="33"/>
  <c r="M62" i="33"/>
  <c r="O61" i="33"/>
  <c r="N61" i="33"/>
  <c r="M61" i="33"/>
  <c r="O60" i="33"/>
  <c r="N60" i="33"/>
  <c r="M60" i="33"/>
  <c r="O59" i="33"/>
  <c r="N59" i="33"/>
  <c r="M59" i="33"/>
  <c r="O58" i="33"/>
  <c r="N58" i="33"/>
  <c r="M58" i="33"/>
  <c r="O57" i="33"/>
  <c r="N57" i="33"/>
  <c r="M57" i="33"/>
  <c r="O56" i="33"/>
  <c r="N56" i="33"/>
  <c r="M56" i="33"/>
  <c r="O55" i="33"/>
  <c r="N55" i="33"/>
  <c r="M55" i="33"/>
  <c r="O54" i="33"/>
  <c r="N54" i="33"/>
  <c r="M54" i="33"/>
  <c r="O53" i="33"/>
  <c r="N53" i="33"/>
  <c r="M53" i="33"/>
  <c r="O52" i="33"/>
  <c r="N52" i="33"/>
  <c r="M52" i="33"/>
  <c r="O51" i="33"/>
  <c r="N51" i="33"/>
  <c r="M51" i="33"/>
  <c r="O50" i="33"/>
  <c r="N50" i="33"/>
  <c r="M50" i="33"/>
  <c r="O49" i="33"/>
  <c r="N49" i="33"/>
  <c r="M49" i="33"/>
  <c r="O48" i="33"/>
  <c r="N48" i="33"/>
  <c r="M48" i="33"/>
  <c r="O47" i="33"/>
  <c r="N47" i="33"/>
  <c r="M47" i="33"/>
  <c r="O46" i="33"/>
  <c r="N46" i="33"/>
  <c r="M46" i="33"/>
  <c r="O45" i="33"/>
  <c r="N45" i="33"/>
  <c r="M45" i="33"/>
  <c r="O43" i="33"/>
  <c r="N43" i="33"/>
  <c r="M43" i="33"/>
  <c r="O42" i="33"/>
  <c r="N42" i="33"/>
  <c r="M42" i="33"/>
  <c r="O41" i="33"/>
  <c r="N41" i="33"/>
  <c r="M41" i="33"/>
  <c r="O40" i="33"/>
  <c r="N40" i="33"/>
  <c r="M40" i="33"/>
  <c r="O39" i="33"/>
  <c r="N39" i="33"/>
  <c r="M39" i="33"/>
  <c r="O38" i="33"/>
  <c r="N38" i="33"/>
  <c r="M38" i="33"/>
  <c r="O37" i="33"/>
  <c r="N37" i="33"/>
  <c r="M37" i="33"/>
  <c r="O36" i="33"/>
  <c r="N36" i="33"/>
  <c r="M36" i="33"/>
  <c r="O35" i="33"/>
  <c r="N35" i="33"/>
  <c r="M35" i="33"/>
  <c r="O34" i="33"/>
  <c r="N34" i="33"/>
  <c r="M34" i="33"/>
  <c r="O33" i="33"/>
  <c r="N33" i="33"/>
  <c r="M33" i="33"/>
  <c r="O32" i="33"/>
  <c r="N32" i="33"/>
  <c r="M32" i="33"/>
  <c r="O31" i="33"/>
  <c r="N31" i="33"/>
  <c r="M31" i="33"/>
  <c r="O30" i="33"/>
  <c r="N30" i="33"/>
  <c r="M30" i="33"/>
  <c r="O29" i="33"/>
  <c r="N29" i="33"/>
  <c r="M29" i="33"/>
  <c r="O28" i="33"/>
  <c r="N28" i="33"/>
  <c r="M28" i="33"/>
  <c r="O27" i="33"/>
  <c r="N27" i="33"/>
  <c r="M27" i="33"/>
  <c r="O26" i="33"/>
  <c r="N26" i="33"/>
  <c r="M26" i="33"/>
  <c r="O25" i="33"/>
  <c r="N25" i="33"/>
  <c r="M25" i="33"/>
  <c r="O24" i="33"/>
  <c r="N24" i="33"/>
  <c r="M24" i="33"/>
  <c r="O23" i="33"/>
  <c r="N23" i="33"/>
  <c r="M23" i="33"/>
  <c r="O22" i="33"/>
  <c r="N22" i="33"/>
  <c r="M22" i="33"/>
  <c r="O21" i="33"/>
  <c r="N21" i="33"/>
  <c r="M21" i="33"/>
  <c r="O20" i="33"/>
  <c r="N20" i="33"/>
  <c r="M20" i="33"/>
  <c r="O19" i="33"/>
  <c r="N19" i="33"/>
  <c r="M19" i="33"/>
  <c r="O18" i="33"/>
  <c r="N18" i="33"/>
  <c r="M18" i="33"/>
  <c r="O17" i="33"/>
  <c r="N17" i="33"/>
  <c r="M17" i="33"/>
  <c r="O16" i="33"/>
  <c r="N16" i="33"/>
  <c r="M16" i="33"/>
  <c r="O15" i="33"/>
  <c r="N15" i="33"/>
  <c r="M15" i="33"/>
  <c r="O14" i="33"/>
  <c r="N14" i="33"/>
  <c r="M14" i="33"/>
  <c r="O13" i="33"/>
  <c r="N13" i="33"/>
  <c r="M13" i="33"/>
  <c r="O12" i="33"/>
  <c r="N12" i="33"/>
  <c r="M12" i="33"/>
  <c r="O11" i="33"/>
  <c r="N11" i="33"/>
  <c r="M11" i="33"/>
  <c r="O10" i="33"/>
  <c r="N10" i="33"/>
  <c r="M10" i="33"/>
  <c r="O9" i="33"/>
  <c r="N9" i="33"/>
  <c r="M9" i="33"/>
  <c r="O8" i="33"/>
  <c r="N8" i="33"/>
  <c r="M8" i="33"/>
  <c r="O7" i="33"/>
  <c r="N7" i="33"/>
  <c r="M7" i="33"/>
  <c r="O6" i="33"/>
  <c r="N6" i="33"/>
  <c r="M6" i="33"/>
  <c r="O5" i="33"/>
  <c r="N5" i="33"/>
  <c r="M5" i="33"/>
  <c r="F5" i="33"/>
  <c r="G5" i="33"/>
  <c r="F6" i="33"/>
  <c r="G6" i="33"/>
  <c r="F7" i="33"/>
  <c r="G7" i="33"/>
  <c r="F8" i="33"/>
  <c r="G8" i="33"/>
  <c r="F9" i="33"/>
  <c r="G9" i="33"/>
  <c r="F10" i="33"/>
  <c r="G10" i="33"/>
  <c r="F11" i="33"/>
  <c r="G11" i="33"/>
  <c r="F12" i="33"/>
  <c r="G12" i="33"/>
  <c r="F13" i="33"/>
  <c r="G13" i="33"/>
  <c r="F14" i="33"/>
  <c r="G14" i="33"/>
  <c r="F15" i="33"/>
  <c r="G15" i="33"/>
  <c r="F16" i="33"/>
  <c r="G16" i="33"/>
  <c r="F17" i="33"/>
  <c r="G17" i="33"/>
  <c r="F18" i="33"/>
  <c r="G18" i="33"/>
  <c r="F19" i="33"/>
  <c r="G19" i="33"/>
  <c r="F20" i="33"/>
  <c r="G20" i="33"/>
  <c r="F21" i="33"/>
  <c r="G21" i="33"/>
  <c r="F22" i="33"/>
  <c r="G22" i="33"/>
  <c r="F23" i="33"/>
  <c r="G23" i="33"/>
  <c r="F24" i="33"/>
  <c r="G24" i="33"/>
  <c r="F25" i="33"/>
  <c r="G25" i="33"/>
  <c r="F26" i="33"/>
  <c r="G26" i="33"/>
  <c r="F27" i="33"/>
  <c r="G27" i="33"/>
  <c r="F28" i="33"/>
  <c r="G28" i="33"/>
  <c r="F29" i="33"/>
  <c r="G29" i="33"/>
  <c r="F30" i="33"/>
  <c r="G30" i="33"/>
  <c r="F31" i="33"/>
  <c r="G31" i="33"/>
  <c r="F32" i="33"/>
  <c r="G32" i="33"/>
  <c r="F33" i="33"/>
  <c r="G33" i="33"/>
  <c r="F34" i="33"/>
  <c r="G34" i="33"/>
  <c r="F35" i="33"/>
  <c r="G35" i="33"/>
  <c r="F36" i="33"/>
  <c r="G36" i="33"/>
  <c r="F37" i="33"/>
  <c r="G37" i="33"/>
  <c r="F38" i="33"/>
  <c r="G38" i="33"/>
  <c r="F39" i="33"/>
  <c r="G39" i="33"/>
  <c r="F40" i="33"/>
  <c r="G40" i="33"/>
  <c r="F41" i="33"/>
  <c r="G41" i="33"/>
  <c r="F42" i="33"/>
  <c r="G42" i="33"/>
  <c r="F43" i="33"/>
  <c r="G43" i="33"/>
  <c r="F45" i="33"/>
  <c r="G45" i="33"/>
  <c r="F46" i="33"/>
  <c r="G46" i="33"/>
  <c r="F47" i="33"/>
  <c r="G47" i="33"/>
  <c r="F48" i="33"/>
  <c r="G48" i="33"/>
  <c r="F49" i="33"/>
  <c r="G49" i="33"/>
  <c r="F50" i="33"/>
  <c r="G50" i="33"/>
  <c r="F51" i="33"/>
  <c r="G51" i="33"/>
  <c r="F52" i="33"/>
  <c r="G52" i="33"/>
  <c r="F53" i="33"/>
  <c r="G53" i="33"/>
  <c r="F54" i="33"/>
  <c r="G54" i="33"/>
  <c r="F55" i="33"/>
  <c r="G55" i="33"/>
  <c r="F56" i="33"/>
  <c r="G56" i="33"/>
  <c r="F57" i="33"/>
  <c r="G57" i="33"/>
  <c r="F58" i="33"/>
  <c r="G58" i="33"/>
  <c r="F59" i="33"/>
  <c r="G59" i="33"/>
  <c r="F60" i="33"/>
  <c r="G60" i="33"/>
  <c r="F61" i="33"/>
  <c r="G61" i="33"/>
  <c r="F62" i="33"/>
  <c r="G62" i="33"/>
  <c r="F63" i="33"/>
  <c r="G63" i="33"/>
  <c r="F64" i="33"/>
  <c r="G64" i="33"/>
  <c r="F65" i="33"/>
  <c r="G65" i="33"/>
  <c r="F66" i="33"/>
  <c r="G66" i="33"/>
  <c r="F67" i="33"/>
  <c r="G67" i="33"/>
  <c r="F68" i="33"/>
  <c r="G68" i="33"/>
  <c r="F69" i="33"/>
  <c r="G69" i="33"/>
  <c r="F70" i="33"/>
  <c r="G70" i="33"/>
  <c r="F71" i="33"/>
  <c r="G71" i="33"/>
  <c r="F72" i="33"/>
  <c r="G72" i="33"/>
  <c r="F73" i="33"/>
  <c r="G73" i="33"/>
  <c r="F74" i="33"/>
  <c r="G74" i="33"/>
  <c r="F75" i="33"/>
  <c r="G75" i="33"/>
  <c r="F76" i="33"/>
  <c r="G76" i="33"/>
  <c r="F77" i="33"/>
  <c r="G77" i="33"/>
  <c r="F78" i="33"/>
  <c r="G78" i="33"/>
  <c r="F79" i="33"/>
  <c r="G79" i="33"/>
  <c r="F80" i="33"/>
  <c r="G80" i="33"/>
  <c r="F81" i="33"/>
  <c r="G81" i="33"/>
  <c r="F82" i="33"/>
  <c r="G82" i="33"/>
  <c r="F83" i="33"/>
  <c r="G83" i="33"/>
  <c r="F84" i="33"/>
  <c r="G84" i="33"/>
  <c r="F85" i="33"/>
  <c r="G85" i="33"/>
  <c r="F86" i="33"/>
  <c r="G86" i="33"/>
  <c r="F87" i="33"/>
  <c r="G87" i="33"/>
  <c r="F88" i="33"/>
  <c r="G88" i="33"/>
  <c r="F89" i="33"/>
  <c r="G89" i="33"/>
  <c r="F90" i="33"/>
  <c r="G90" i="33"/>
  <c r="F91" i="33"/>
  <c r="G91" i="33"/>
  <c r="F92" i="33"/>
  <c r="G92" i="33"/>
  <c r="F93" i="33"/>
  <c r="G93" i="33"/>
  <c r="F94" i="33"/>
  <c r="G94" i="33"/>
  <c r="F95" i="33"/>
  <c r="G95" i="33"/>
  <c r="F96" i="33"/>
  <c r="G96" i="33"/>
  <c r="F97" i="33"/>
  <c r="G97" i="33"/>
  <c r="F98" i="33"/>
  <c r="G98" i="33"/>
  <c r="F99" i="33"/>
  <c r="G99" i="33"/>
  <c r="F100" i="33"/>
  <c r="G100" i="33"/>
  <c r="F101" i="33"/>
  <c r="G101" i="33"/>
  <c r="F102" i="33"/>
  <c r="G102" i="33"/>
  <c r="F103" i="33"/>
  <c r="G103" i="33"/>
  <c r="F104" i="33"/>
  <c r="G104" i="33"/>
  <c r="F105" i="33"/>
  <c r="G105" i="33"/>
  <c r="F106" i="33"/>
  <c r="G106" i="33"/>
  <c r="F107" i="33"/>
  <c r="G107" i="33"/>
  <c r="F108" i="33"/>
  <c r="G108" i="33"/>
  <c r="F109" i="33"/>
  <c r="G109" i="33"/>
  <c r="F110" i="33"/>
  <c r="G110" i="33"/>
  <c r="F111" i="33"/>
  <c r="G111" i="33"/>
  <c r="F112" i="33"/>
  <c r="G112" i="33"/>
  <c r="F113" i="33"/>
  <c r="G113" i="33"/>
  <c r="F114" i="33"/>
  <c r="G114" i="33"/>
  <c r="F115" i="33"/>
  <c r="G115" i="33"/>
  <c r="F116" i="33"/>
  <c r="G116" i="33"/>
  <c r="F117" i="33"/>
  <c r="G117" i="33"/>
  <c r="F118" i="33"/>
  <c r="G118" i="33"/>
  <c r="F119" i="33"/>
  <c r="G119" i="33"/>
  <c r="F120" i="33"/>
  <c r="G120" i="33"/>
  <c r="F121" i="33"/>
  <c r="G121" i="33"/>
  <c r="F122" i="33"/>
  <c r="G122" i="33"/>
  <c r="F123" i="33"/>
  <c r="G123" i="33"/>
  <c r="F124" i="33"/>
  <c r="G124" i="33"/>
  <c r="F125" i="33"/>
  <c r="G125" i="33"/>
  <c r="F126" i="33"/>
  <c r="G126" i="33"/>
  <c r="F127" i="33"/>
  <c r="G127" i="33"/>
  <c r="F128" i="33"/>
  <c r="G128" i="33"/>
  <c r="F129" i="33"/>
  <c r="G129" i="33"/>
  <c r="F130" i="33"/>
  <c r="G130" i="33"/>
  <c r="F131" i="33"/>
  <c r="G131" i="33"/>
  <c r="F132" i="33"/>
  <c r="G132" i="33"/>
  <c r="F133" i="33"/>
  <c r="G133" i="33"/>
  <c r="F134" i="33"/>
  <c r="G134" i="33"/>
  <c r="F135" i="33"/>
  <c r="G135" i="33"/>
  <c r="F136" i="33"/>
  <c r="G136" i="33"/>
  <c r="F137" i="33"/>
  <c r="G137" i="33"/>
  <c r="F138" i="33"/>
  <c r="G138" i="33"/>
  <c r="F139" i="33"/>
  <c r="G139" i="33"/>
  <c r="F140" i="33"/>
  <c r="G140" i="33"/>
  <c r="F141" i="33"/>
  <c r="G141" i="33"/>
  <c r="F142" i="33"/>
  <c r="G142" i="33"/>
  <c r="F143" i="33"/>
  <c r="G143" i="33"/>
  <c r="F145" i="33"/>
  <c r="G145" i="33"/>
  <c r="F146" i="33"/>
  <c r="G146" i="33"/>
  <c r="F147" i="33"/>
  <c r="G147" i="33"/>
  <c r="F148" i="33"/>
  <c r="G148" i="33"/>
  <c r="F149" i="33"/>
  <c r="G149" i="33"/>
  <c r="F150" i="33"/>
  <c r="G150" i="33"/>
  <c r="F151" i="33"/>
  <c r="G151" i="33"/>
  <c r="F152" i="33"/>
  <c r="G152" i="33"/>
  <c r="F153" i="33"/>
  <c r="G153" i="33"/>
  <c r="F154" i="33"/>
  <c r="G154" i="33"/>
  <c r="F155" i="33"/>
  <c r="G155" i="33"/>
  <c r="F156" i="33"/>
  <c r="G156" i="33"/>
  <c r="F157" i="33"/>
  <c r="G157" i="33"/>
  <c r="F158" i="33"/>
  <c r="G158" i="33"/>
  <c r="F159" i="33"/>
  <c r="G159" i="33"/>
  <c r="F160" i="33"/>
  <c r="G160" i="33"/>
  <c r="F161" i="33"/>
  <c r="G161" i="33"/>
  <c r="F162" i="33"/>
  <c r="G162" i="33"/>
  <c r="F163" i="33"/>
  <c r="G163" i="33"/>
  <c r="F164" i="33"/>
  <c r="G164" i="33"/>
  <c r="F165" i="33"/>
  <c r="G165" i="33"/>
  <c r="F166" i="33"/>
  <c r="G166" i="33"/>
  <c r="F167" i="33"/>
  <c r="G167" i="33"/>
  <c r="F168" i="33"/>
  <c r="G168" i="33"/>
  <c r="F169" i="33"/>
  <c r="G169" i="33"/>
  <c r="F170" i="33"/>
  <c r="G170" i="33"/>
  <c r="F171" i="33"/>
  <c r="G171" i="33"/>
  <c r="F172" i="33"/>
  <c r="G172" i="33"/>
  <c r="F173" i="33"/>
  <c r="G173" i="33"/>
  <c r="F174" i="33"/>
  <c r="G174" i="33"/>
  <c r="F175" i="33"/>
  <c r="G175" i="33"/>
  <c r="F176" i="33"/>
  <c r="G176" i="33"/>
  <c r="F177" i="33"/>
  <c r="G177" i="33"/>
  <c r="F178" i="33"/>
  <c r="G178" i="33"/>
  <c r="F179" i="33"/>
  <c r="G179" i="33"/>
  <c r="F180" i="33"/>
  <c r="G180" i="33"/>
  <c r="F181" i="33"/>
  <c r="G181" i="33"/>
  <c r="F182" i="33"/>
  <c r="G182" i="33"/>
  <c r="F183" i="33"/>
  <c r="G183" i="33"/>
  <c r="F184" i="33"/>
  <c r="G184" i="33"/>
  <c r="F185" i="33"/>
  <c r="G185" i="33"/>
  <c r="F186" i="33"/>
  <c r="G186" i="33"/>
  <c r="F187" i="33"/>
  <c r="G187" i="33"/>
  <c r="F188" i="33"/>
  <c r="G188" i="33"/>
  <c r="F189" i="33"/>
  <c r="G189" i="33"/>
  <c r="F190" i="33"/>
  <c r="G190" i="33"/>
  <c r="F191" i="33"/>
  <c r="G191" i="33"/>
  <c r="F192" i="33"/>
  <c r="G192" i="33"/>
  <c r="F193" i="33"/>
  <c r="G193" i="33"/>
  <c r="F194" i="33"/>
  <c r="G194" i="33"/>
  <c r="F195" i="33"/>
  <c r="G195" i="33"/>
  <c r="F196" i="33"/>
  <c r="G196" i="33"/>
  <c r="F197" i="33"/>
  <c r="G197" i="33"/>
  <c r="F198" i="33"/>
  <c r="G198" i="33"/>
  <c r="F199" i="33"/>
  <c r="G199" i="33"/>
  <c r="F200" i="33"/>
  <c r="G200" i="33"/>
  <c r="F201" i="33"/>
  <c r="G201" i="33"/>
  <c r="F202" i="33"/>
  <c r="G202" i="33"/>
  <c r="F203" i="33"/>
  <c r="G203" i="33"/>
  <c r="F204" i="33"/>
  <c r="G204" i="33"/>
  <c r="F205" i="33"/>
  <c r="G205" i="33"/>
  <c r="E205" i="33"/>
  <c r="E204" i="33"/>
  <c r="E203" i="33"/>
  <c r="E202" i="33"/>
  <c r="E201" i="33"/>
  <c r="E200" i="33"/>
  <c r="E199" i="33"/>
  <c r="E198" i="33"/>
  <c r="E197" i="33"/>
  <c r="E196" i="33"/>
  <c r="E195" i="33"/>
  <c r="E194" i="33"/>
  <c r="E193" i="33"/>
  <c r="E192" i="33"/>
  <c r="E191" i="33"/>
  <c r="E190" i="33"/>
  <c r="E189" i="33"/>
  <c r="E188" i="33"/>
  <c r="E187" i="33"/>
  <c r="E186" i="33"/>
  <c r="E185" i="33"/>
  <c r="E184" i="33"/>
  <c r="E183" i="33"/>
  <c r="E182" i="33"/>
  <c r="E181" i="33"/>
  <c r="E180" i="33"/>
  <c r="E179" i="33"/>
  <c r="E178" i="33"/>
  <c r="E177" i="33"/>
  <c r="E176" i="33"/>
  <c r="E175" i="33"/>
  <c r="E174" i="33"/>
  <c r="E173" i="33"/>
  <c r="E172" i="33"/>
  <c r="E171" i="33"/>
  <c r="E170" i="33"/>
  <c r="E169" i="33"/>
  <c r="E168" i="33"/>
  <c r="E167" i="33"/>
  <c r="E166" i="33"/>
  <c r="E165" i="33"/>
  <c r="E164" i="33"/>
  <c r="E163" i="33"/>
  <c r="E162" i="33"/>
  <c r="E161" i="33"/>
  <c r="E160" i="33"/>
  <c r="E159" i="33"/>
  <c r="E158" i="33"/>
  <c r="E157" i="33"/>
  <c r="E156" i="33"/>
  <c r="E155" i="33"/>
  <c r="E154" i="33"/>
  <c r="E153" i="33"/>
  <c r="E152" i="33"/>
  <c r="E151" i="33"/>
  <c r="E150" i="33"/>
  <c r="E149" i="33"/>
  <c r="E148" i="33"/>
  <c r="E147" i="33"/>
  <c r="E146" i="33"/>
  <c r="E145" i="33"/>
  <c r="E143" i="33"/>
  <c r="E142" i="33"/>
  <c r="E141" i="33"/>
  <c r="E140" i="33"/>
  <c r="E139" i="33"/>
  <c r="E138" i="33"/>
  <c r="E137" i="33"/>
  <c r="E136" i="33"/>
  <c r="E135" i="33"/>
  <c r="E134" i="33"/>
  <c r="E133" i="33"/>
  <c r="E132" i="33"/>
  <c r="E131" i="33"/>
  <c r="E130" i="33"/>
  <c r="E129" i="33"/>
  <c r="E128" i="33"/>
  <c r="E127" i="33"/>
  <c r="E126" i="33"/>
  <c r="E125" i="33"/>
  <c r="E124" i="33"/>
  <c r="E123" i="33"/>
  <c r="E122" i="33"/>
  <c r="E121" i="33"/>
  <c r="E120" i="33"/>
  <c r="E119" i="33"/>
  <c r="E118" i="33"/>
  <c r="E117" i="33"/>
  <c r="E116" i="33"/>
  <c r="E115" i="33"/>
  <c r="E114" i="33"/>
  <c r="E113" i="33"/>
  <c r="E112" i="33"/>
  <c r="E111" i="33"/>
  <c r="E110" i="33"/>
  <c r="E109" i="33"/>
  <c r="E108" i="33"/>
  <c r="E107" i="33"/>
  <c r="E106" i="33"/>
  <c r="E105" i="33"/>
  <c r="E104" i="33"/>
  <c r="E103" i="33"/>
  <c r="E102" i="33"/>
  <c r="E101" i="33"/>
  <c r="E100" i="33"/>
  <c r="E99" i="33"/>
  <c r="E98" i="33"/>
  <c r="E97" i="33"/>
  <c r="E96" i="33"/>
  <c r="E95" i="33"/>
  <c r="E94" i="33"/>
  <c r="E93" i="33"/>
  <c r="E92" i="33"/>
  <c r="E91" i="33"/>
  <c r="E90" i="33"/>
  <c r="E89" i="33"/>
  <c r="E88" i="33"/>
  <c r="E87" i="33"/>
  <c r="E86" i="33"/>
  <c r="E85" i="33"/>
  <c r="E84" i="33"/>
  <c r="E83" i="33"/>
  <c r="E82" i="33"/>
  <c r="E81" i="33"/>
  <c r="E80" i="33"/>
  <c r="E79" i="33"/>
  <c r="E78" i="33"/>
  <c r="E77" i="33"/>
  <c r="E76" i="33"/>
  <c r="E75" i="33"/>
  <c r="E74" i="33"/>
  <c r="E73" i="33"/>
  <c r="E72" i="33"/>
  <c r="E71" i="33"/>
  <c r="E70" i="33"/>
  <c r="E69" i="33"/>
  <c r="E68" i="33"/>
  <c r="E67" i="33"/>
  <c r="E66" i="33"/>
  <c r="E65" i="33"/>
  <c r="E64" i="33"/>
  <c r="E63" i="33"/>
  <c r="E62" i="33"/>
  <c r="E61" i="33"/>
  <c r="E60" i="33"/>
  <c r="E59" i="33"/>
  <c r="E58" i="33"/>
  <c r="E57" i="33"/>
  <c r="E56" i="33"/>
  <c r="E55" i="33"/>
  <c r="E54" i="33"/>
  <c r="E53" i="33"/>
  <c r="E52" i="33"/>
  <c r="E51" i="33"/>
  <c r="E50" i="33"/>
  <c r="E49" i="33"/>
  <c r="E48" i="33"/>
  <c r="E47" i="33"/>
  <c r="E46" i="33"/>
  <c r="E45" i="33"/>
  <c r="E43" i="33"/>
  <c r="E42" i="33"/>
  <c r="E41" i="33"/>
  <c r="E40" i="33"/>
  <c r="E39" i="33"/>
  <c r="E38" i="33"/>
  <c r="E37" i="33"/>
  <c r="E36" i="33"/>
  <c r="E35" i="33"/>
  <c r="E34" i="33"/>
  <c r="E33" i="33"/>
  <c r="E32" i="33"/>
  <c r="E31" i="33"/>
  <c r="E30" i="33"/>
  <c r="E29" i="33"/>
  <c r="E28" i="33"/>
  <c r="E27" i="33"/>
  <c r="E26" i="33"/>
  <c r="E25" i="33"/>
  <c r="E24" i="33"/>
  <c r="E23" i="33"/>
  <c r="E22" i="33"/>
  <c r="E21" i="33"/>
  <c r="E20" i="33"/>
  <c r="E19" i="33"/>
  <c r="E18" i="33"/>
  <c r="E17" i="33"/>
  <c r="E16" i="33"/>
  <c r="E15" i="33"/>
  <c r="E14" i="33"/>
  <c r="E13" i="33"/>
  <c r="E12" i="33"/>
  <c r="E11" i="33"/>
  <c r="E10" i="33"/>
  <c r="E9" i="33"/>
  <c r="E8" i="33"/>
  <c r="E7" i="33"/>
  <c r="E6" i="33"/>
  <c r="E5" i="33"/>
  <c r="F33" i="22" a="1"/>
  <c r="F1221" i="22" a="1"/>
  <c r="F1221" i="22" l="1"/>
  <c r="F33" i="22"/>
  <c r="L288" i="31" l="1"/>
  <c r="M288" i="31"/>
  <c r="AG126" i="31"/>
  <c r="M289" i="31" l="1"/>
  <c r="M291" i="31"/>
  <c r="L289" i="31"/>
  <c r="L291" i="31"/>
  <c r="I767" i="22"/>
  <c r="F61" i="22"/>
  <c r="F348" i="22"/>
  <c r="I350" i="22" s="1"/>
  <c r="I357" i="22" s="1"/>
  <c r="AF126" i="31" a="1"/>
  <c r="AF126" i="31" l="1"/>
  <c r="I764" i="22" s="1"/>
  <c r="D1706" i="22"/>
  <c r="D1667" i="22"/>
  <c r="F1675" i="22"/>
  <c r="F62" i="22" l="1"/>
  <c r="I74" i="22"/>
  <c r="I73" i="22"/>
  <c r="I72" i="22"/>
  <c r="I71" i="22"/>
  <c r="G74" i="22"/>
  <c r="G73" i="22"/>
  <c r="G72" i="22"/>
  <c r="G71" i="22"/>
  <c r="G70" i="22" l="1"/>
  <c r="G69" i="22"/>
  <c r="I67" i="22"/>
  <c r="G67" i="22"/>
  <c r="E61" i="22"/>
  <c r="F77" i="22"/>
  <c r="E76" i="22"/>
  <c r="D59" i="22"/>
  <c r="D1737" i="22" l="1"/>
  <c r="F349" i="22"/>
  <c r="E348" i="22"/>
  <c r="D347" i="22" s="1"/>
  <c r="L12" i="31" l="1"/>
  <c r="L13" i="31" s="1"/>
  <c r="L14" i="31" s="1"/>
  <c r="L17" i="31" s="1"/>
  <c r="L18" i="31" s="1"/>
  <c r="L19" i="31" s="1"/>
  <c r="L20" i="31" s="1"/>
  <c r="L21" i="31" s="1"/>
  <c r="L22" i="31" s="1"/>
  <c r="M12" i="31"/>
  <c r="M13" i="31" s="1"/>
  <c r="M14" i="31" s="1"/>
  <c r="M17" i="31" s="1"/>
  <c r="M18" i="31" s="1"/>
  <c r="M19" i="31" s="1"/>
  <c r="M20" i="31" s="1"/>
  <c r="M21" i="31" s="1"/>
  <c r="M22" i="31" s="1"/>
  <c r="AL7" i="31"/>
  <c r="AK7" i="31"/>
  <c r="AJ7" i="31"/>
  <c r="AI7" i="31"/>
  <c r="AL313" i="31" l="1"/>
  <c r="AL314" i="31"/>
  <c r="AK284" i="31"/>
  <c r="I1655" i="22" s="1"/>
  <c r="AK313" i="31"/>
  <c r="AL284" i="31"/>
  <c r="AL311" i="31"/>
  <c r="AL283" i="31"/>
  <c r="I1647" i="22" s="1"/>
  <c r="AK311" i="31"/>
  <c r="AK314" i="31"/>
  <c r="AK283" i="31"/>
  <c r="I1646" i="22" s="1"/>
  <c r="AL309" i="31"/>
  <c r="I1834" i="22" s="1"/>
  <c r="AL282" i="31"/>
  <c r="AK309" i="31"/>
  <c r="I1833" i="22" s="1"/>
  <c r="AK282" i="31"/>
  <c r="AL281" i="31"/>
  <c r="AK281" i="31"/>
  <c r="AL280" i="31"/>
  <c r="I1601" i="22" s="1"/>
  <c r="AK280" i="31"/>
  <c r="I1600" i="22" s="1"/>
  <c r="I1656" i="22"/>
  <c r="AH310" i="31"/>
  <c r="I1838" i="22" s="1"/>
  <c r="D1835" i="22" s="1"/>
  <c r="AH312" i="31"/>
  <c r="I1854" i="22" s="1"/>
  <c r="D1851" i="22" s="1"/>
  <c r="AL310" i="31"/>
  <c r="AK310" i="31"/>
  <c r="AL312" i="31"/>
  <c r="AK312" i="31"/>
  <c r="U113" i="31" l="1"/>
  <c r="F644" i="22" s="1"/>
  <c r="U119" i="31"/>
  <c r="F690" i="22" s="1"/>
  <c r="D718" i="22"/>
  <c r="D672" i="22"/>
  <c r="D709" i="22"/>
  <c r="AI339" i="31"/>
  <c r="I2002" i="22" s="1"/>
  <c r="AI451" i="31" l="1"/>
  <c r="AI449" i="31"/>
  <c r="AI450" i="31"/>
  <c r="AI452" i="31"/>
  <c r="AI448" i="31"/>
  <c r="I2537" i="22" s="1"/>
  <c r="AI296" i="31"/>
  <c r="AI412" i="31"/>
  <c r="I2346" i="22" s="1"/>
  <c r="AJ119" i="31"/>
  <c r="AJ121" i="31" s="1"/>
  <c r="AI119" i="31"/>
  <c r="AI121" i="31" s="1"/>
  <c r="F1671" i="22"/>
  <c r="F1589" i="22"/>
  <c r="AI341" i="31"/>
  <c r="I2023" i="22" s="1"/>
  <c r="AH309" i="31"/>
  <c r="I1830" i="22" s="1"/>
  <c r="U283" i="31"/>
  <c r="F1642" i="22" s="1"/>
  <c r="D1641" i="22" s="1"/>
  <c r="AI375" i="31"/>
  <c r="AI374" i="31"/>
  <c r="AI373" i="31"/>
  <c r="I2176" i="22" s="1"/>
  <c r="AI340" i="31"/>
  <c r="I2011" i="22" s="1"/>
  <c r="AI338" i="31"/>
  <c r="I1993" i="22" s="1"/>
  <c r="AI304" i="31"/>
  <c r="I1800" i="22" s="1"/>
  <c r="AI407" i="31"/>
  <c r="I2315" i="22" s="1"/>
  <c r="AJ26" i="31"/>
  <c r="AI26" i="31"/>
  <c r="AI298" i="31"/>
  <c r="AJ120" i="31"/>
  <c r="AI120" i="31"/>
  <c r="AH314" i="31"/>
  <c r="I1872" i="22" s="1"/>
  <c r="D1867" i="22" s="1"/>
  <c r="AH311" i="31"/>
  <c r="I1846" i="22" s="1"/>
  <c r="D1843" i="22" s="1"/>
  <c r="I696" i="22" l="1"/>
  <c r="AH313" i="31"/>
  <c r="I1862" i="22" s="1"/>
  <c r="D1859" i="22" s="1"/>
  <c r="AI11" i="31"/>
  <c r="AJ113" i="31"/>
  <c r="AJ115" i="31" s="1"/>
  <c r="AI113" i="31"/>
  <c r="AI115" i="31" s="1"/>
  <c r="AJ314" i="31"/>
  <c r="AI310" i="31"/>
  <c r="AJ312" i="31"/>
  <c r="AI312" i="31"/>
  <c r="U280" i="31"/>
  <c r="F1586" i="22" s="1"/>
  <c r="AJ310" i="31"/>
  <c r="AJ426" i="31"/>
  <c r="I2428" i="22" s="1"/>
  <c r="AI426" i="31"/>
  <c r="I2427" i="22" s="1"/>
  <c r="AJ424" i="31"/>
  <c r="I2416" i="22" s="1"/>
  <c r="AI424" i="31"/>
  <c r="I2415" i="22" s="1"/>
  <c r="AJ21" i="31"/>
  <c r="I161" i="22" s="1"/>
  <c r="AI21" i="31"/>
  <c r="I160" i="22" s="1"/>
  <c r="AJ20" i="31"/>
  <c r="I149" i="22" s="1"/>
  <c r="AJ19" i="31"/>
  <c r="I138" i="22" s="1"/>
  <c r="AI20" i="31"/>
  <c r="I148" i="22" s="1"/>
  <c r="AI19" i="31"/>
  <c r="I137" i="22" s="1"/>
  <c r="AJ17" i="31"/>
  <c r="I116" i="22" s="1"/>
  <c r="AI17" i="31"/>
  <c r="I115" i="22" s="1"/>
  <c r="AI299" i="31"/>
  <c r="AJ423" i="31"/>
  <c r="I2408" i="22" s="1"/>
  <c r="AI423" i="31"/>
  <c r="I2407" i="22" s="1"/>
  <c r="AJ87" i="31"/>
  <c r="AI87" i="31"/>
  <c r="AJ22" i="31"/>
  <c r="AI22" i="31"/>
  <c r="I170" i="22" s="1"/>
  <c r="AJ18" i="31"/>
  <c r="I127" i="22" s="1"/>
  <c r="AI18" i="31"/>
  <c r="I126" i="22" s="1"/>
  <c r="AJ11" i="31"/>
  <c r="I70" i="22" s="1"/>
  <c r="AI12" i="31"/>
  <c r="I80" i="22" s="1"/>
  <c r="AJ12" i="31"/>
  <c r="I81" i="22" s="1"/>
  <c r="AI297" i="31"/>
  <c r="AJ311" i="31"/>
  <c r="AJ284" i="31"/>
  <c r="I1654" i="22" s="1"/>
  <c r="AI284" i="31"/>
  <c r="I1653" i="22" s="1"/>
  <c r="AJ281" i="31"/>
  <c r="AI281" i="31"/>
  <c r="AJ280" i="31"/>
  <c r="I1599" i="22" s="1"/>
  <c r="AI283" i="31"/>
  <c r="I1644" i="22" s="1"/>
  <c r="AI282" i="31"/>
  <c r="AJ283" i="31"/>
  <c r="I1645" i="22" s="1"/>
  <c r="AI280" i="31"/>
  <c r="I1598" i="22" s="1"/>
  <c r="AJ282" i="31"/>
  <c r="AI314" i="31"/>
  <c r="AI311" i="31"/>
  <c r="I1741" i="22"/>
  <c r="AJ13" i="31"/>
  <c r="I92" i="22" s="1"/>
  <c r="AI13" i="31"/>
  <c r="I91" i="22" s="1"/>
  <c r="AJ313" i="31"/>
  <c r="AI313" i="31"/>
  <c r="AJ25" i="31"/>
  <c r="AI25" i="31"/>
  <c r="F187" i="22" s="1"/>
  <c r="AH284" i="31"/>
  <c r="AH281" i="31"/>
  <c r="AH280" i="31"/>
  <c r="I1597" i="22" s="1"/>
  <c r="AH282" i="31"/>
  <c r="AH283" i="31"/>
  <c r="AI309" i="31"/>
  <c r="I1831" i="22" s="1"/>
  <c r="AJ309" i="31"/>
  <c r="I1832" i="22" s="1"/>
  <c r="AJ14" i="31"/>
  <c r="I103" i="22" s="1"/>
  <c r="AI14" i="31"/>
  <c r="I102" i="22" s="1"/>
  <c r="I697" i="22"/>
  <c r="AI300" i="31"/>
  <c r="AJ425" i="31"/>
  <c r="I2422" i="22" s="1"/>
  <c r="AI425" i="31"/>
  <c r="I2421" i="22" s="1"/>
  <c r="AI206" i="31"/>
  <c r="AI207" i="31"/>
  <c r="AI205" i="31"/>
  <c r="I1229" i="22" s="1"/>
  <c r="I651" i="22"/>
  <c r="AI27" i="31"/>
  <c r="F194" i="22" s="1"/>
  <c r="AJ27" i="31"/>
  <c r="F707" i="22"/>
  <c r="I709" i="22"/>
  <c r="I721" i="22"/>
  <c r="AJ114" i="31"/>
  <c r="AI114" i="31"/>
  <c r="I69" i="22"/>
  <c r="I650" i="22" l="1"/>
  <c r="F661" i="22"/>
  <c r="I663" i="22"/>
  <c r="D171" i="22"/>
  <c r="I675" i="22" l="1"/>
  <c r="D452" i="22"/>
  <c r="D339" i="22" l="1"/>
  <c r="M292" i="31" l="1"/>
  <c r="M293" i="31" s="1"/>
  <c r="M296" i="31" s="1"/>
  <c r="M297" i="31" s="1"/>
  <c r="M298" i="31" s="1"/>
  <c r="M299" i="31" s="1"/>
  <c r="M300" i="31" s="1"/>
  <c r="L292" i="31"/>
  <c r="L293" i="31" s="1"/>
  <c r="L296" i="31" s="1"/>
  <c r="L297" i="31" s="1"/>
  <c r="L298" i="31" s="1"/>
  <c r="L299" i="31" s="1"/>
  <c r="L300" i="31" s="1"/>
  <c r="I1200" i="22" l="1"/>
</calcChain>
</file>

<file path=xl/comments1.xml><?xml version="1.0" encoding="utf-8"?>
<comments xmlns="http://schemas.openxmlformats.org/spreadsheetml/2006/main">
  <authors>
    <author>tc={B01B9A61-075A-4D54-874F-76176B17F271}</author>
    <author>tc={4ABBDACC-B655-43FC-827A-0FA01510CAE2}</author>
  </authors>
  <commentList>
    <comment ref="AH201" authorId="0" shapeId="0">
      <text>
        <r>
          <rPr>
            <sz val="10"/>
            <rFont val="Arial"/>
            <family val="2"/>
          </rPr>
          <t>[스레드 댓글]
사용 중인 버전의 Excel에서 이 스레드 댓글을 읽을 수 있지만 파일을 이후 버전의 Excel에서 열면 편집 내용이 모두 제거됩니다. 자세한 정보: https://go.microsoft.com/fwlink/?linkid=870924.
댓글:
    여기에 감쇄율 % 값 입력</t>
        </r>
      </text>
    </comment>
    <comment ref="AG471" authorId="1" shapeId="0">
      <text>
        <r>
          <rPr>
            <sz val="10"/>
            <rFont val="Arial"/>
            <family val="2"/>
          </rPr>
          <t>[스레드 댓글]
사용 중인 버전의 Excel에서 이 스레드 댓글을 읽을 수 있지만 파일을 이후 버전의 Excel에서 열면 편집 내용이 모두 제거됩니다. 자세한 정보: https://go.microsoft.com/fwlink/?linkid=870924.
댓글:
    ADS MAX Blower 전압 사양에 따름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<sst xmlns="http://schemas.openxmlformats.org/spreadsheetml/2006/main" count="5287" uniqueCount="2246">
  <si>
    <t>Revision</t>
  </si>
  <si>
    <t>Date</t>
  </si>
  <si>
    <t>off</t>
  </si>
  <si>
    <t>FloorPurge</t>
  </si>
  <si>
    <t>AutoHi</t>
  </si>
  <si>
    <t>Delay(Sec)</t>
  </si>
  <si>
    <t>AMB</t>
  </si>
  <si>
    <t>TS</t>
  </si>
  <si>
    <t>DOM</t>
  </si>
  <si>
    <t>USA</t>
  </si>
  <si>
    <t>CHN</t>
  </si>
  <si>
    <t>EUR</t>
  </si>
  <si>
    <t>degC</t>
  </si>
  <si>
    <t>degF</t>
  </si>
  <si>
    <t>Vent</t>
  </si>
  <si>
    <t>VD</t>
  </si>
  <si>
    <t>VDF</t>
  </si>
  <si>
    <t>Floor</t>
  </si>
  <si>
    <t>Def</t>
  </si>
  <si>
    <t>WFloor</t>
  </si>
  <si>
    <t>CMix</t>
  </si>
  <si>
    <t>1_Off</t>
  </si>
  <si>
    <t>100%Floor</t>
  </si>
  <si>
    <t>Property</t>
    <phoneticPr fontId="14" type="noConversion"/>
  </si>
  <si>
    <t>Desciption</t>
    <phoneticPr fontId="14" type="noConversion"/>
  </si>
  <si>
    <t>Input Name</t>
    <phoneticPr fontId="14" type="noConversion"/>
  </si>
  <si>
    <t>Input Value</t>
    <phoneticPr fontId="14" type="noConversion"/>
  </si>
  <si>
    <t>Output Name</t>
    <phoneticPr fontId="14" type="noConversion"/>
  </si>
  <si>
    <t>Expected Output</t>
    <phoneticPr fontId="14" type="noConversion"/>
  </si>
  <si>
    <t>Actual Output</t>
    <phoneticPr fontId="13" type="noConversion"/>
  </si>
  <si>
    <t>Result</t>
    <phoneticPr fontId="13" type="noConversion"/>
  </si>
  <si>
    <t>Init</t>
    <phoneticPr fontId="4" type="noConversion"/>
  </si>
  <si>
    <t>I1.1</t>
    <phoneticPr fontId="4" type="noConversion"/>
  </si>
  <si>
    <t>I1.1.1</t>
    <phoneticPr fontId="4" type="noConversion"/>
  </si>
  <si>
    <t>I1.1.2</t>
    <phoneticPr fontId="4" type="noConversion"/>
  </si>
  <si>
    <t>Set BAT, KEY On.</t>
    <phoneticPr fontId="4" type="noConversion"/>
  </si>
  <si>
    <t>Set sensor inputs.</t>
    <phoneticPr fontId="4" type="noConversion"/>
  </si>
  <si>
    <t>I1.1.3</t>
    <phoneticPr fontId="4" type="noConversion"/>
  </si>
  <si>
    <t>PC</t>
    <phoneticPr fontId="4" type="noConversion"/>
  </si>
  <si>
    <t>Pre-condition check.</t>
    <phoneticPr fontId="4" type="noConversion"/>
  </si>
  <si>
    <t>EVA</t>
    <phoneticPr fontId="9" type="noConversion"/>
  </si>
  <si>
    <t>Auto_Disp</t>
    <phoneticPr fontId="9" type="noConversion"/>
  </si>
  <si>
    <t>AC_Disp</t>
    <phoneticPr fontId="9" type="noConversion"/>
  </si>
  <si>
    <t>AC Select</t>
    <phoneticPr fontId="9" type="noConversion"/>
  </si>
  <si>
    <t>AC out</t>
    <phoneticPr fontId="9" type="noConversion"/>
  </si>
  <si>
    <t>Intake ACT</t>
    <phoneticPr fontId="9" type="noConversion"/>
  </si>
  <si>
    <t>DrTemp_ACT</t>
    <phoneticPr fontId="9" type="noConversion"/>
  </si>
  <si>
    <t>PsTemp_ACT</t>
    <phoneticPr fontId="9" type="noConversion"/>
  </si>
  <si>
    <t>PC</t>
    <phoneticPr fontId="9" type="noConversion"/>
  </si>
  <si>
    <t>On</t>
    <phoneticPr fontId="9" type="noConversion"/>
  </si>
  <si>
    <t>FRE</t>
    <phoneticPr fontId="9" type="noConversion"/>
  </si>
  <si>
    <t>REC</t>
    <phoneticPr fontId="9" type="noConversion"/>
  </si>
  <si>
    <t>Name: Tbl_ModeFB_Volt</t>
    <phoneticPr fontId="9" type="noConversion"/>
  </si>
  <si>
    <t>Mode</t>
    <phoneticPr fontId="9" type="noConversion"/>
  </si>
  <si>
    <t>FB_Volt</t>
    <phoneticPr fontId="9" type="noConversion"/>
  </si>
  <si>
    <t>Description</t>
    <phoneticPr fontId="9" type="noConversion"/>
  </si>
  <si>
    <t>FLAG_Country</t>
    <phoneticPr fontId="9" type="noConversion"/>
  </si>
  <si>
    <t>col_country</t>
    <phoneticPr fontId="9" type="noConversion"/>
  </si>
  <si>
    <t>const_TempMd</t>
    <phoneticPr fontId="9" type="noConversion"/>
  </si>
  <si>
    <t>const_TempUnit</t>
    <phoneticPr fontId="9" type="noConversion"/>
  </si>
  <si>
    <t>const_Tset_default</t>
    <phoneticPr fontId="9" type="noConversion"/>
  </si>
  <si>
    <t>const_Tset_off</t>
    <phoneticPr fontId="9" type="noConversion"/>
  </si>
  <si>
    <t>const_Tset_min</t>
    <phoneticPr fontId="9" type="noConversion"/>
  </si>
  <si>
    <t>const_Tset_max</t>
    <phoneticPr fontId="9" type="noConversion"/>
  </si>
  <si>
    <t>const_Tset_invalid</t>
    <phoneticPr fontId="9" type="noConversion"/>
  </si>
  <si>
    <t>const_Tset_resolution</t>
    <phoneticPr fontId="9" type="noConversion"/>
  </si>
  <si>
    <t>Name: Tbl_DefFB_Volt</t>
    <phoneticPr fontId="7" type="noConversion"/>
  </si>
  <si>
    <t>Mode</t>
    <phoneticPr fontId="7" type="noConversion"/>
  </si>
  <si>
    <t>FB_Volt</t>
    <phoneticPr fontId="7" type="noConversion"/>
  </si>
  <si>
    <t>Description</t>
    <phoneticPr fontId="7" type="noConversion"/>
  </si>
  <si>
    <t>Name: Tbl_Blower_Volt</t>
    <phoneticPr fontId="7" type="noConversion"/>
  </si>
  <si>
    <t>Blower Step</t>
    <phoneticPr fontId="7" type="noConversion"/>
  </si>
  <si>
    <t>Volt</t>
    <phoneticPr fontId="7" type="noConversion"/>
  </si>
  <si>
    <t>Name: Tbl_IntakeFB_Volt</t>
    <phoneticPr fontId="9" type="noConversion"/>
  </si>
  <si>
    <t>Intake</t>
    <phoneticPr fontId="9" type="noConversion"/>
  </si>
  <si>
    <t>Volt</t>
    <phoneticPr fontId="9" type="noConversion"/>
  </si>
  <si>
    <t>P_intake</t>
    <phoneticPr fontId="9" type="noConversion"/>
  </si>
  <si>
    <t>Name: Tbl_TempFB_Volt</t>
    <phoneticPr fontId="9" type="noConversion"/>
  </si>
  <si>
    <t>Temp</t>
    <phoneticPr fontId="9" type="noConversion"/>
  </si>
  <si>
    <t>Cool</t>
    <phoneticPr fontId="9" type="noConversion"/>
  </si>
  <si>
    <t>Hot</t>
    <phoneticPr fontId="9" type="noConversion"/>
  </si>
  <si>
    <t>Mild_AcOff</t>
    <phoneticPr fontId="9" type="noConversion"/>
  </si>
  <si>
    <t>Mild_AcOn</t>
    <phoneticPr fontId="9" type="noConversion"/>
  </si>
  <si>
    <t>AdsLimit</t>
    <phoneticPr fontId="9" type="noConversion"/>
  </si>
  <si>
    <t>Project</t>
    <phoneticPr fontId="11" type="noConversion"/>
  </si>
  <si>
    <t>Phase</t>
    <phoneticPr fontId="11" type="noConversion"/>
  </si>
  <si>
    <t>Test Information</t>
    <phoneticPr fontId="11" type="noConversion"/>
  </si>
  <si>
    <t>Input</t>
    <phoneticPr fontId="11" type="noConversion"/>
  </si>
  <si>
    <t>B/L</t>
  </si>
  <si>
    <t>Off</t>
    <phoneticPr fontId="9" type="noConversion"/>
  </si>
  <si>
    <t>MsgBox</t>
  </si>
  <si>
    <t>Remark</t>
    <phoneticPr fontId="14" type="noConversion"/>
  </si>
  <si>
    <t>Test ID</t>
    <phoneticPr fontId="14" type="noConversion"/>
  </si>
  <si>
    <t>Output Value or Name</t>
    <phoneticPr fontId="4" type="noConversion"/>
  </si>
  <si>
    <t>CF_Datc_FrontBlwDisp</t>
  </si>
  <si>
    <t>Power_Reset</t>
  </si>
  <si>
    <t>SYNC_Disp</t>
    <phoneticPr fontId="9" type="noConversion"/>
  </si>
  <si>
    <r>
      <rPr>
        <sz val="10"/>
        <rFont val="돋움"/>
        <family val="3"/>
        <charset val="129"/>
      </rPr>
      <t>공조제어사양서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참조</t>
    </r>
    <phoneticPr fontId="11" type="noConversion"/>
  </si>
  <si>
    <r>
      <rPr>
        <sz val="10"/>
        <rFont val="돋움"/>
        <family val="3"/>
        <charset val="129"/>
      </rPr>
      <t>시스템사양서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참조</t>
    </r>
    <phoneticPr fontId="11" type="noConversion"/>
  </si>
  <si>
    <t>I1.1.4</t>
    <phoneticPr fontId="4" type="noConversion"/>
  </si>
  <si>
    <t>Set Power Supply</t>
    <phoneticPr fontId="4" type="noConversion"/>
  </si>
  <si>
    <t>CR_Ems_AptVal_PSI (EMS6 [PSI])</t>
    <phoneticPr fontId="4" type="noConversion"/>
  </si>
  <si>
    <t>CF_Hcu_AcnOperPerm (HCU5)</t>
    <phoneticPr fontId="10" type="noConversion"/>
  </si>
  <si>
    <t>CR_Hcu_CompPerm_W (HCU5)</t>
    <phoneticPr fontId="10" type="noConversion"/>
  </si>
  <si>
    <t>CF_Hcu_HevRdy (HCU1)</t>
    <phoneticPr fontId="10" type="noConversion"/>
  </si>
  <si>
    <t>Ecomp_CompCst_W (ECOMP1)</t>
    <phoneticPr fontId="4" type="noConversion"/>
  </si>
  <si>
    <t>Ecomp_CompStt_Operation (ECOMP2)</t>
    <phoneticPr fontId="10" type="noConversion"/>
  </si>
  <si>
    <t>Ecomp_CompSpd_rpm (ECOMP2)</t>
    <phoneticPr fontId="10" type="noConversion"/>
  </si>
  <si>
    <t>Snr_Photo-R(V)_IN</t>
  </si>
  <si>
    <t>Snr_Humidity(Duty%)_IN</t>
  </si>
  <si>
    <t>CR_Ems_VehSpd_Kmh (EMS1)</t>
    <phoneticPr fontId="10" type="noConversion"/>
  </si>
  <si>
    <t>CR_Ems_EngColTemp_C (EMS3)</t>
    <phoneticPr fontId="10" type="noConversion"/>
  </si>
  <si>
    <t>Off</t>
  </si>
  <si>
    <t>Mix</t>
    <phoneticPr fontId="11" type="noConversion"/>
  </si>
  <si>
    <t>BL</t>
    <phoneticPr fontId="11" type="noConversion"/>
  </si>
  <si>
    <t>VF</t>
    <phoneticPr fontId="11" type="noConversion"/>
  </si>
  <si>
    <t>FD</t>
    <phoneticPr fontId="11" type="noConversion"/>
  </si>
  <si>
    <t>Power Reset</t>
  </si>
  <si>
    <t>Comments</t>
    <phoneticPr fontId="5" type="noConversion"/>
  </si>
  <si>
    <t>Test Spec</t>
    <phoneticPr fontId="5" type="noConversion"/>
  </si>
  <si>
    <r>
      <rPr>
        <b/>
        <sz val="11"/>
        <rFont val="돋움"/>
        <family val="3"/>
        <charset val="129"/>
      </rPr>
      <t>초안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작성</t>
    </r>
    <phoneticPr fontId="3" type="noConversion"/>
  </si>
  <si>
    <r>
      <rPr>
        <b/>
        <sz val="11"/>
        <rFont val="돋움"/>
        <family val="3"/>
        <charset val="129"/>
      </rPr>
      <t>작성자</t>
    </r>
    <phoneticPr fontId="5" type="noConversion"/>
  </si>
  <si>
    <r>
      <rPr>
        <b/>
        <sz val="11"/>
        <rFont val="돋움"/>
        <family val="3"/>
        <charset val="129"/>
      </rPr>
      <t>관리자</t>
    </r>
    <phoneticPr fontId="5" type="noConversion"/>
  </si>
  <si>
    <t>문요셉</t>
    <phoneticPr fontId="3" type="noConversion"/>
  </si>
  <si>
    <t>Test Scenario</t>
    <phoneticPr fontId="11" type="noConversion"/>
  </si>
  <si>
    <t>PreCondition</t>
    <phoneticPr fontId="11" type="noConversion"/>
  </si>
  <si>
    <t>Test Case</t>
    <phoneticPr fontId="11" type="noConversion"/>
  </si>
  <si>
    <t>PC :</t>
    <phoneticPr fontId="11" type="noConversion"/>
  </si>
  <si>
    <t>TC :</t>
    <phoneticPr fontId="11" type="noConversion"/>
  </si>
  <si>
    <t>Set Precondition</t>
    <phoneticPr fontId="10" type="noConversion"/>
  </si>
  <si>
    <t>Set C_CAN inputs</t>
    <phoneticPr fontId="4" type="noConversion"/>
  </si>
  <si>
    <t>Set CL_CAN inputs</t>
    <phoneticPr fontId="4" type="noConversion"/>
  </si>
  <si>
    <t>(For EV)</t>
    <phoneticPr fontId="10" type="noConversion"/>
  </si>
  <si>
    <t>A/Con Operating Permission</t>
    <phoneticPr fontId="4" type="noConversion"/>
  </si>
  <si>
    <t>Snr_Humidity(Duty%)_IN</t>
    <phoneticPr fontId="10" type="noConversion"/>
  </si>
  <si>
    <t>Snr_T SIGNAL_COMP OUT(degC)_IN</t>
    <phoneticPr fontId="10" type="noConversion"/>
  </si>
  <si>
    <t>Snr_P SIGNAL_B/CHILLER(degC)_IN</t>
    <phoneticPr fontId="10" type="noConversion"/>
  </si>
  <si>
    <t>Snr_T SIGNAL_B/CHILLER(degC)_IN</t>
    <phoneticPr fontId="10" type="noConversion"/>
  </si>
  <si>
    <t>Snr_P SIGNAL_COMP OUT(PSI)_IN</t>
    <phoneticPr fontId="10" type="noConversion"/>
  </si>
  <si>
    <t>DIAG_DTC Code</t>
    <phoneticPr fontId="10" type="noConversion"/>
  </si>
  <si>
    <t>000</t>
    <phoneticPr fontId="10" type="noConversion"/>
  </si>
  <si>
    <t>DATC_SelfDiagDisp</t>
    <phoneticPr fontId="10" type="noConversion"/>
  </si>
  <si>
    <t>59 02 FF</t>
    <phoneticPr fontId="10" type="noConversion"/>
  </si>
  <si>
    <t>DIAG_REQ_DTC</t>
    <phoneticPr fontId="9" type="noConversion"/>
  </si>
  <si>
    <t>19 02 FF</t>
    <phoneticPr fontId="9" type="noConversion"/>
  </si>
  <si>
    <t>Set_PowerSupply(V)</t>
    <phoneticPr fontId="9" type="noConversion"/>
  </si>
  <si>
    <t>Ecomp_CompStt</t>
    <phoneticPr fontId="4" type="noConversion"/>
  </si>
  <si>
    <t>CR_WHL_SpdRLVal_Kmh</t>
    <phoneticPr fontId="10" type="noConversion"/>
  </si>
  <si>
    <t>CR_WHL_SpdRRVal_Kmh</t>
    <phoneticPr fontId="10" type="noConversion"/>
  </si>
  <si>
    <t>CR_WHL_SpdFLVal_Kmh</t>
    <phoneticPr fontId="10" type="noConversion"/>
  </si>
  <si>
    <t>CR_WHL_SpdFRVal_Kmh</t>
    <phoneticPr fontId="10" type="noConversion"/>
  </si>
  <si>
    <t>Set BAT, KEY Off to On.</t>
    <phoneticPr fontId="4" type="noConversion"/>
  </si>
  <si>
    <t>Init :</t>
    <phoneticPr fontId="11" type="noConversion"/>
  </si>
  <si>
    <t xml:space="preserve">Initialization </t>
    <phoneticPr fontId="9" type="noConversion"/>
  </si>
  <si>
    <t>Initialization</t>
    <phoneticPr fontId="11" type="noConversion"/>
  </si>
  <si>
    <t>TC</t>
  </si>
  <si>
    <t>TS</t>
    <phoneticPr fontId="4" type="noConversion"/>
  </si>
  <si>
    <t>TC :</t>
  </si>
  <si>
    <t>const_TempUnit_1</t>
    <phoneticPr fontId="9" type="noConversion"/>
  </si>
  <si>
    <t>const_TempUnit_2</t>
    <phoneticPr fontId="9" type="noConversion"/>
  </si>
  <si>
    <t>const_Tset_default_1</t>
    <phoneticPr fontId="9" type="noConversion"/>
  </si>
  <si>
    <t>const_Tset_default_2</t>
    <phoneticPr fontId="9" type="noConversion"/>
  </si>
  <si>
    <t>const_Tset_off_1</t>
    <phoneticPr fontId="9" type="noConversion"/>
  </si>
  <si>
    <t>const_Tset_off_2</t>
    <phoneticPr fontId="9" type="noConversion"/>
  </si>
  <si>
    <t>const_Tset_min_1</t>
    <phoneticPr fontId="9" type="noConversion"/>
  </si>
  <si>
    <t>const_Tset_min_2</t>
    <phoneticPr fontId="9" type="noConversion"/>
  </si>
  <si>
    <t>const_Tset_max_1</t>
    <phoneticPr fontId="9" type="noConversion"/>
  </si>
  <si>
    <t>const_Tset_max_2</t>
    <phoneticPr fontId="9" type="noConversion"/>
  </si>
  <si>
    <t>const_Tset_invalid_1</t>
    <phoneticPr fontId="9" type="noConversion"/>
  </si>
  <si>
    <t>const_Tset_invalid_2</t>
    <phoneticPr fontId="9" type="noConversion"/>
  </si>
  <si>
    <t>const_Tset_resolution_1</t>
    <phoneticPr fontId="9" type="noConversion"/>
  </si>
  <si>
    <t>Value</t>
    <phoneticPr fontId="9" type="noConversion"/>
  </si>
  <si>
    <t>const_Tset_resolution_2</t>
    <phoneticPr fontId="11" type="noConversion"/>
  </si>
  <si>
    <t>TempDispUnit</t>
    <phoneticPr fontId="9" type="noConversion"/>
  </si>
  <si>
    <t>CAN_SIGNAL</t>
    <phoneticPr fontId="9" type="noConversion"/>
  </si>
  <si>
    <t>NAME</t>
    <phoneticPr fontId="9" type="noConversion"/>
  </si>
  <si>
    <t>Name: Tbl_CAN_SIGNAL_LIST</t>
    <phoneticPr fontId="9" type="noConversion"/>
  </si>
  <si>
    <t>Title3</t>
    <phoneticPr fontId="4" type="noConversion"/>
  </si>
  <si>
    <r>
      <t xml:space="preserve">Permission </t>
    </r>
    <r>
      <rPr>
        <sz val="11"/>
        <color rgb="FF0000FF"/>
        <rFont val="Arial Unicode MS"/>
        <family val="2"/>
        <charset val="129"/>
      </rPr>
      <t>변수명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확인</t>
    </r>
    <phoneticPr fontId="10" type="noConversion"/>
  </si>
  <si>
    <r>
      <rPr>
        <sz val="11"/>
        <color rgb="FF0000FF"/>
        <rFont val="Arial Unicode MS"/>
        <family val="2"/>
        <charset val="129"/>
      </rPr>
      <t>난방기동제어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미진입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조건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설정</t>
    </r>
    <r>
      <rPr>
        <sz val="11"/>
        <color rgb="FF0000FF"/>
        <rFont val="Arial"/>
        <family val="2"/>
      </rPr>
      <t xml:space="preserve">, </t>
    </r>
    <r>
      <rPr>
        <sz val="11"/>
        <color rgb="FF0000FF"/>
        <rFont val="Arial Unicode MS"/>
        <family val="2"/>
        <charset val="129"/>
      </rPr>
      <t>다른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로직에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영향이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없을지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추가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확인</t>
    </r>
    <phoneticPr fontId="9" type="noConversion"/>
  </si>
  <si>
    <r>
      <t xml:space="preserve">Duct </t>
    </r>
    <r>
      <rPr>
        <sz val="11"/>
        <color rgb="FF0000FF"/>
        <rFont val="Arial Unicode MS"/>
        <family val="2"/>
        <charset val="129"/>
      </rPr>
      <t>수는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차종별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상이</t>
    </r>
    <phoneticPr fontId="10" type="noConversion"/>
  </si>
  <si>
    <r>
      <t xml:space="preserve">T_DW </t>
    </r>
    <r>
      <rPr>
        <sz val="11"/>
        <color rgb="FF0000FF"/>
        <rFont val="Arial Unicode MS"/>
        <family val="2"/>
        <charset val="129"/>
      </rPr>
      <t>연산</t>
    </r>
    <r>
      <rPr>
        <sz val="11"/>
        <color rgb="FF0000FF"/>
        <rFont val="Arial"/>
        <family val="2"/>
      </rPr>
      <t xml:space="preserve"> : </t>
    </r>
    <r>
      <rPr>
        <sz val="11"/>
        <color rgb="FF0000FF"/>
        <rFont val="Arial Unicode MS"/>
        <family val="2"/>
        <charset val="129"/>
      </rPr>
      <t>셀습도</t>
    </r>
    <r>
      <rPr>
        <sz val="11"/>
        <color rgb="FF0000FF"/>
        <rFont val="Arial"/>
        <family val="2"/>
      </rPr>
      <t>/</t>
    </r>
    <r>
      <rPr>
        <sz val="11"/>
        <color rgb="FF0000FF"/>
        <rFont val="Arial Unicode MS"/>
        <family val="2"/>
        <charset val="129"/>
      </rPr>
      <t>셀온도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변수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확인</t>
    </r>
    <phoneticPr fontId="10" type="noConversion"/>
  </si>
  <si>
    <r>
      <t xml:space="preserve">32 &lt; APT_Value &lt; 275 </t>
    </r>
    <r>
      <rPr>
        <sz val="11"/>
        <color rgb="FF0000FF"/>
        <rFont val="Arial Unicode MS"/>
        <family val="2"/>
        <charset val="129"/>
      </rPr>
      <t>설정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확인</t>
    </r>
    <r>
      <rPr>
        <sz val="11"/>
        <color rgb="FF0000FF"/>
        <rFont val="Arial"/>
        <family val="2"/>
      </rPr>
      <t xml:space="preserve">, P SIGNAL_COMP OUT </t>
    </r>
    <r>
      <rPr>
        <sz val="11"/>
        <color rgb="FF0000FF"/>
        <rFont val="Arial Unicode MS"/>
        <family val="2"/>
        <charset val="129"/>
      </rPr>
      <t>이</t>
    </r>
    <r>
      <rPr>
        <sz val="11"/>
        <color rgb="FF0000FF"/>
        <rFont val="Arial"/>
        <family val="2"/>
      </rPr>
      <t xml:space="preserve"> APT </t>
    </r>
    <r>
      <rPr>
        <sz val="11"/>
        <color rgb="FF0000FF"/>
        <rFont val="Arial Unicode MS"/>
        <family val="2"/>
        <charset val="129"/>
      </rPr>
      <t>로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사용되는지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확인</t>
    </r>
    <phoneticPr fontId="10" type="noConversion"/>
  </si>
  <si>
    <r>
      <t xml:space="preserve">RTS_COMP &lt; 120 </t>
    </r>
    <r>
      <rPr>
        <sz val="11"/>
        <color rgb="FF0000FF"/>
        <rFont val="Arial Unicode MS"/>
        <family val="2"/>
        <charset val="129"/>
      </rPr>
      <t>설정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확인</t>
    </r>
    <phoneticPr fontId="10" type="noConversion"/>
  </si>
  <si>
    <t>Check No DTC and SelfDiag Code</t>
    <phoneticPr fontId="10" type="noConversion"/>
  </si>
  <si>
    <t>AutoDisp</t>
    <phoneticPr fontId="11" type="noConversion"/>
  </si>
  <si>
    <t>DrTempDispC</t>
    <phoneticPr fontId="11" type="noConversion"/>
  </si>
  <si>
    <t>PsTempDispC</t>
    <phoneticPr fontId="11" type="noConversion"/>
  </si>
  <si>
    <t>DrTempDispF</t>
    <phoneticPr fontId="11" type="noConversion"/>
  </si>
  <si>
    <t>PsTempDispF</t>
    <phoneticPr fontId="11" type="noConversion"/>
  </si>
  <si>
    <t>SyncDisp</t>
    <phoneticPr fontId="11" type="noConversion"/>
  </si>
  <si>
    <t>ModDisp</t>
    <phoneticPr fontId="11" type="noConversion"/>
  </si>
  <si>
    <t>AcDisp</t>
    <phoneticPr fontId="11" type="noConversion"/>
  </si>
  <si>
    <t>IntakeDisp</t>
    <phoneticPr fontId="11" type="noConversion"/>
  </si>
  <si>
    <t>FrontBlwDisp</t>
    <phoneticPr fontId="11" type="noConversion"/>
  </si>
  <si>
    <t>AcnReqSwi</t>
    <phoneticPr fontId="11" type="noConversion"/>
  </si>
  <si>
    <t>BLW_Front</t>
    <phoneticPr fontId="11" type="noConversion"/>
  </si>
  <si>
    <t>BLW_Front(V)_OUT</t>
    <phoneticPr fontId="11" type="noConversion"/>
  </si>
  <si>
    <t>Incar_OUT</t>
    <phoneticPr fontId="11" type="noConversion"/>
  </si>
  <si>
    <t>Amb_OUT</t>
    <phoneticPr fontId="11" type="noConversion"/>
  </si>
  <si>
    <t>EvaDr_OUT</t>
    <phoneticPr fontId="11" type="noConversion"/>
  </si>
  <si>
    <t>EvaPs_OUT</t>
    <phoneticPr fontId="11" type="noConversion"/>
  </si>
  <si>
    <t>FrontBlwDisp</t>
    <phoneticPr fontId="9" type="noConversion"/>
  </si>
  <si>
    <t>Intake_Disp</t>
    <phoneticPr fontId="9" type="noConversion"/>
  </si>
  <si>
    <t>Blwr_Vol</t>
    <phoneticPr fontId="9" type="noConversion"/>
  </si>
  <si>
    <t>Power_Reset</t>
    <phoneticPr fontId="9" type="noConversion"/>
  </si>
  <si>
    <t>delay</t>
    <phoneticPr fontId="9" type="noConversion"/>
  </si>
  <si>
    <t>IGN1,2_Off_to_On</t>
  </si>
  <si>
    <r>
      <rPr>
        <b/>
        <sz val="10"/>
        <rFont val="Arial Unicode MS"/>
        <family val="2"/>
        <charset val="129"/>
      </rPr>
      <t>적용</t>
    </r>
    <r>
      <rPr>
        <b/>
        <sz val="10"/>
        <rFont val="Arial"/>
        <family val="2"/>
      </rPr>
      <t>/</t>
    </r>
    <r>
      <rPr>
        <b/>
        <sz val="10"/>
        <rFont val="Arial Unicode MS"/>
        <family val="2"/>
        <charset val="129"/>
      </rPr>
      <t>미적용</t>
    </r>
    <phoneticPr fontId="9" type="noConversion"/>
  </si>
  <si>
    <t>MsgBox</t>
    <phoneticPr fontId="9" type="noConversion"/>
  </si>
  <si>
    <t>Sw_DrTemp_Up</t>
    <phoneticPr fontId="9" type="noConversion"/>
  </si>
  <si>
    <t>Sw_PsTemp_Up</t>
    <phoneticPr fontId="9" type="noConversion"/>
  </si>
  <si>
    <t>Sw_PsTemp_Dn</t>
    <phoneticPr fontId="9" type="noConversion"/>
  </si>
  <si>
    <r>
      <t xml:space="preserve">Master </t>
    </r>
    <r>
      <rPr>
        <sz val="10"/>
        <rFont val="Arial Unicode MS"/>
        <family val="2"/>
        <charset val="129"/>
      </rPr>
      <t>사양</t>
    </r>
    <phoneticPr fontId="11" type="noConversion"/>
  </si>
  <si>
    <t>Sw_OFF</t>
    <phoneticPr fontId="9" type="noConversion"/>
  </si>
  <si>
    <t>DriverOnlyDisp</t>
    <phoneticPr fontId="11" type="noConversion"/>
  </si>
  <si>
    <t>DriverOnlyDisp</t>
    <phoneticPr fontId="9" type="noConversion"/>
  </si>
  <si>
    <t>T4</t>
    <phoneticPr fontId="4" type="noConversion"/>
  </si>
  <si>
    <r>
      <rPr>
        <sz val="11"/>
        <color rgb="FF0000FF"/>
        <rFont val="굴림"/>
        <family val="2"/>
        <charset val="129"/>
      </rPr>
      <t>차종별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굴림"/>
        <family val="2"/>
        <charset val="129"/>
      </rPr>
      <t>자가진단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굴림"/>
        <family val="2"/>
        <charset val="129"/>
      </rPr>
      <t>진입조건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굴림"/>
        <family val="2"/>
        <charset val="129"/>
      </rPr>
      <t>확인</t>
    </r>
    <phoneticPr fontId="10" type="noConversion"/>
  </si>
  <si>
    <t>Act_Intake</t>
    <phoneticPr fontId="11" type="noConversion"/>
  </si>
  <si>
    <t>Act_DrMode</t>
    <phoneticPr fontId="11" type="noConversion"/>
  </si>
  <si>
    <t>Act_PsMode</t>
    <phoneticPr fontId="11" type="noConversion"/>
  </si>
  <si>
    <t>Act_Def</t>
    <phoneticPr fontId="11" type="noConversion"/>
  </si>
  <si>
    <t>Act_Intake.FB(V)_OUT</t>
    <phoneticPr fontId="11" type="noConversion"/>
  </si>
  <si>
    <t>Act_DrMode.FB(V)_OUT</t>
    <phoneticPr fontId="11" type="noConversion"/>
  </si>
  <si>
    <t>Act_PsMode.FB(V)_OUT</t>
    <phoneticPr fontId="11" type="noConversion"/>
  </si>
  <si>
    <t>Act_Def.FB(V)_OUT</t>
    <phoneticPr fontId="11" type="noConversion"/>
  </si>
  <si>
    <t>Act_DrTemp.FB(V)_OUT</t>
    <phoneticPr fontId="11" type="noConversion"/>
  </si>
  <si>
    <t>Act_PsTemp.FB(V)_OUT</t>
    <phoneticPr fontId="11" type="noConversion"/>
  </si>
  <si>
    <t>Act_DrTemp</t>
    <phoneticPr fontId="11" type="noConversion"/>
  </si>
  <si>
    <t>Act_PsTemp</t>
    <phoneticPr fontId="11" type="noConversion"/>
  </si>
  <si>
    <t>DrMode_ACT</t>
    <phoneticPr fontId="9" type="noConversion"/>
  </si>
  <si>
    <t>DrMode_Disp</t>
    <phoneticPr fontId="9" type="noConversion"/>
  </si>
  <si>
    <t>PsMode_Disp</t>
    <phoneticPr fontId="9" type="noConversion"/>
  </si>
  <si>
    <t>RearMode_Disp</t>
    <phoneticPr fontId="9" type="noConversion"/>
  </si>
  <si>
    <t>Floor</t>
    <phoneticPr fontId="9" type="noConversion"/>
  </si>
  <si>
    <r>
      <t xml:space="preserve">blower_TD </t>
    </r>
    <r>
      <rPr>
        <sz val="10"/>
        <rFont val="Arial Unicode MS"/>
        <family val="2"/>
        <charset val="129"/>
      </rPr>
      <t>연산에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따름</t>
    </r>
    <phoneticPr fontId="9" type="noConversion"/>
  </si>
  <si>
    <t>Vent</t>
    <phoneticPr fontId="9" type="noConversion"/>
  </si>
  <si>
    <t>MAX_HOT</t>
    <phoneticPr fontId="9" type="noConversion"/>
  </si>
  <si>
    <t>MAX_COOL</t>
    <phoneticPr fontId="9" type="noConversion"/>
  </si>
  <si>
    <t>O</t>
  </si>
  <si>
    <t>Sw_AUTO</t>
    <phoneticPr fontId="9" type="noConversion"/>
  </si>
  <si>
    <t>Sw_DrTemp_Dn</t>
    <phoneticPr fontId="9" type="noConversion"/>
  </si>
  <si>
    <t>Sw_DrMode</t>
    <phoneticPr fontId="9" type="noConversion"/>
  </si>
  <si>
    <t>Sw_Blower_Up</t>
    <phoneticPr fontId="9" type="noConversion"/>
  </si>
  <si>
    <t>Sw_Blower_Dn</t>
    <phoneticPr fontId="9" type="noConversion"/>
  </si>
  <si>
    <t>Sw_DEF</t>
    <phoneticPr fontId="9" type="noConversion"/>
  </si>
  <si>
    <t>Sw_AC</t>
    <phoneticPr fontId="9" type="noConversion"/>
  </si>
  <si>
    <t>DEFDisp</t>
    <phoneticPr fontId="11" type="noConversion"/>
  </si>
  <si>
    <t>T5</t>
    <phoneticPr fontId="4" type="noConversion"/>
  </si>
  <si>
    <r>
      <t xml:space="preserve">Blower </t>
    </r>
    <r>
      <rPr>
        <sz val="10"/>
        <rFont val="Arial Unicode MS"/>
        <family val="2"/>
        <charset val="129"/>
      </rPr>
      <t>제어단수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확인</t>
    </r>
    <phoneticPr fontId="9" type="noConversion"/>
  </si>
  <si>
    <t>Sw_DrMode</t>
    <phoneticPr fontId="11" type="noConversion"/>
  </si>
  <si>
    <t>Sw_SYNC</t>
    <phoneticPr fontId="9" type="noConversion"/>
  </si>
  <si>
    <t>Sw_REC</t>
    <phoneticPr fontId="9" type="noConversion"/>
  </si>
  <si>
    <r>
      <t xml:space="preserve">Intake </t>
    </r>
    <r>
      <rPr>
        <sz val="10"/>
        <rFont val="Arial Unicode MS"/>
        <charset val="129"/>
      </rPr>
      <t>버튼</t>
    </r>
    <phoneticPr fontId="9" type="noConversion"/>
  </si>
  <si>
    <r>
      <t xml:space="preserve">DEF </t>
    </r>
    <r>
      <rPr>
        <sz val="10"/>
        <rFont val="Arial Unicode MS"/>
        <charset val="129"/>
      </rPr>
      <t>버튼</t>
    </r>
    <phoneticPr fontId="9" type="noConversion"/>
  </si>
  <si>
    <r>
      <t xml:space="preserve">AC </t>
    </r>
    <r>
      <rPr>
        <sz val="10"/>
        <rFont val="Arial Unicode MS"/>
        <charset val="129"/>
      </rPr>
      <t>버튼</t>
    </r>
    <phoneticPr fontId="9" type="noConversion"/>
  </si>
  <si>
    <r>
      <t xml:space="preserve">Auto </t>
    </r>
    <r>
      <rPr>
        <sz val="10"/>
        <rFont val="Arial Unicode MS"/>
        <charset val="129"/>
      </rPr>
      <t>버튼</t>
    </r>
    <phoneticPr fontId="9" type="noConversion"/>
  </si>
  <si>
    <r>
      <t xml:space="preserve">OFF </t>
    </r>
    <r>
      <rPr>
        <sz val="10"/>
        <rFont val="Arial Unicode MS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</si>
  <si>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운전석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Up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</si>
  <si>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운전석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Down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</si>
  <si>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보조석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Up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</si>
  <si>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보조석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Down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</si>
  <si>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Blower Up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</si>
  <si>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Blower Down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</si>
  <si>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SYNC </t>
    </r>
    <r>
      <rPr>
        <sz val="10"/>
        <rFont val="Arial Unicode MS"/>
        <family val="2"/>
        <charset val="129"/>
      </rPr>
      <t>버튼</t>
    </r>
    <phoneticPr fontId="9" type="noConversion"/>
  </si>
  <si>
    <t>Delay(Sec)</t>
    <phoneticPr fontId="9" type="noConversion"/>
  </si>
  <si>
    <r>
      <t>IGN1,2</t>
    </r>
    <r>
      <rPr>
        <sz val="10"/>
        <rFont val="Arial Unicode MS"/>
        <family val="2"/>
        <charset val="129"/>
      </rPr>
      <t>를</t>
    </r>
    <r>
      <rPr>
        <sz val="10"/>
        <rFont val="Arial"/>
        <family val="2"/>
      </rPr>
      <t xml:space="preserve"> Off </t>
    </r>
    <r>
      <rPr>
        <sz val="10"/>
        <rFont val="Arial Unicode MS"/>
        <family val="2"/>
        <charset val="129"/>
      </rPr>
      <t>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뒤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다시</t>
    </r>
    <r>
      <rPr>
        <sz val="10"/>
        <rFont val="Arial"/>
        <family val="2"/>
      </rPr>
      <t xml:space="preserve"> IGN1,2 On </t>
    </r>
    <r>
      <rPr>
        <sz val="10"/>
        <rFont val="Arial Unicode MS"/>
        <family val="2"/>
        <charset val="129"/>
      </rPr>
      <t>수행</t>
    </r>
    <phoneticPr fontId="9" type="noConversion"/>
  </si>
  <si>
    <t>ALL</t>
    <phoneticPr fontId="11" type="noConversion"/>
  </si>
  <si>
    <r>
      <t xml:space="preserve">Master </t>
    </r>
    <r>
      <rPr>
        <sz val="10"/>
        <rFont val="Arial Unicode MS"/>
        <family val="2"/>
        <charset val="129"/>
      </rPr>
      <t>사양</t>
    </r>
    <phoneticPr fontId="9" type="noConversion"/>
  </si>
  <si>
    <r>
      <t xml:space="preserve">Master_ATC </t>
    </r>
    <r>
      <rPr>
        <sz val="10"/>
        <rFont val="Arial Unicode MS"/>
        <family val="2"/>
        <charset val="129"/>
      </rPr>
      <t>로직사양서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기능</t>
    </r>
    <r>
      <rPr>
        <sz val="10"/>
        <rFont val="Arial"/>
        <family val="2"/>
      </rPr>
      <t>)_V23.1_20240923_</t>
    </r>
    <r>
      <rPr>
        <sz val="10"/>
        <rFont val="Arial Unicode MS"/>
        <family val="2"/>
        <charset val="129"/>
      </rPr>
      <t>북미지역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문구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수정</t>
    </r>
    <r>
      <rPr>
        <sz val="10"/>
        <rFont val="Arial"/>
        <family val="2"/>
      </rPr>
      <t>.xlsx</t>
    </r>
    <phoneticPr fontId="11" type="noConversion"/>
  </si>
  <si>
    <t>Sw_REC</t>
    <phoneticPr fontId="11" type="noConversion"/>
  </si>
  <si>
    <t>Sw_DEF</t>
    <phoneticPr fontId="11" type="noConversion"/>
  </si>
  <si>
    <t>AC Select</t>
  </si>
  <si>
    <r>
      <rPr>
        <sz val="10"/>
        <rFont val="Arial Unicode MS"/>
        <family val="2"/>
        <charset val="129"/>
      </rPr>
      <t>개별공조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버튼</t>
    </r>
    <phoneticPr fontId="11" type="noConversion"/>
  </si>
  <si>
    <t>EngColTemp</t>
    <phoneticPr fontId="11" type="noConversion"/>
  </si>
  <si>
    <r>
      <rPr>
        <b/>
        <sz val="10"/>
        <color theme="0"/>
        <rFont val="Arial Unicode MS"/>
        <charset val="129"/>
      </rPr>
      <t>설명</t>
    </r>
    <phoneticPr fontId="9" type="noConversion"/>
  </si>
  <si>
    <t>DATC_CELOModeSta</t>
    <phoneticPr fontId="11" type="noConversion"/>
  </si>
  <si>
    <t>CELOModeSta</t>
    <phoneticPr fontId="11" type="noConversion"/>
  </si>
  <si>
    <t>DEF IND On/Off</t>
    <phoneticPr fontId="11" type="noConversion"/>
  </si>
  <si>
    <r>
      <t xml:space="preserve">Temp_TD </t>
    </r>
    <r>
      <rPr>
        <sz val="10"/>
        <rFont val="Arial Unicode MS"/>
        <family val="2"/>
        <charset val="129"/>
      </rPr>
      <t>연산에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따름</t>
    </r>
    <phoneticPr fontId="11" type="noConversion"/>
  </si>
  <si>
    <r>
      <t xml:space="preserve">Name: MsgBox </t>
    </r>
    <r>
      <rPr>
        <b/>
        <sz val="10"/>
        <rFont val="Arial Unicode MS"/>
        <family val="2"/>
        <charset val="129"/>
      </rPr>
      <t>진입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조건</t>
    </r>
    <phoneticPr fontId="9" type="noConversion"/>
  </si>
  <si>
    <r>
      <rPr>
        <b/>
        <sz val="10"/>
        <rFont val="굴림"/>
        <family val="2"/>
        <charset val="129"/>
      </rPr>
      <t>로직명</t>
    </r>
    <phoneticPr fontId="9" type="noConversion"/>
  </si>
  <si>
    <r>
      <rPr>
        <sz val="10"/>
        <rFont val="Arial Unicode MS"/>
        <family val="2"/>
        <charset val="129"/>
      </rPr>
      <t>운전석</t>
    </r>
    <r>
      <rPr>
        <sz val="10"/>
        <rFont val="Arial"/>
        <family val="2"/>
      </rPr>
      <t xml:space="preserve"> Mode </t>
    </r>
    <r>
      <rPr>
        <sz val="10"/>
        <rFont val="Arial Unicode MS"/>
        <charset val="129"/>
      </rPr>
      <t>버튼</t>
    </r>
    <phoneticPr fontId="9" type="noConversion"/>
  </si>
  <si>
    <r>
      <rPr>
        <sz val="10"/>
        <rFont val="Arial Unicode MS"/>
        <family val="2"/>
        <charset val="129"/>
      </rPr>
      <t>메시지박스</t>
    </r>
    <r>
      <rPr>
        <sz val="10"/>
        <rFont val="Arial"/>
        <family val="2"/>
      </rPr>
      <t xml:space="preserve">, </t>
    </r>
    <r>
      <rPr>
        <sz val="10"/>
        <rFont val="Arial Unicode MS"/>
        <family val="2"/>
        <charset val="129"/>
      </rPr>
      <t>수행할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내용을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기재</t>
    </r>
    <phoneticPr fontId="9" type="noConversion"/>
  </si>
  <si>
    <r>
      <rPr>
        <sz val="10"/>
        <rFont val="굴림"/>
        <family val="2"/>
        <charset val="129"/>
      </rPr>
      <t>대기하는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시간</t>
    </r>
    <phoneticPr fontId="9" type="noConversion"/>
  </si>
  <si>
    <t>Celo_Blower_Min</t>
    <phoneticPr fontId="11" type="noConversion"/>
  </si>
  <si>
    <t>Name: Tbl_ECT_blower</t>
    <phoneticPr fontId="9" type="noConversion"/>
  </si>
  <si>
    <t>blower</t>
    <phoneticPr fontId="9" type="noConversion"/>
  </si>
  <si>
    <r>
      <rPr>
        <sz val="10"/>
        <rFont val="굴림"/>
        <family val="2"/>
        <charset val="129"/>
      </rPr>
      <t>냉각수온</t>
    </r>
    <r>
      <rPr>
        <sz val="10"/>
        <rFont val="Arial"/>
        <family val="2"/>
      </rPr>
      <t>(ECT)</t>
    </r>
    <phoneticPr fontId="11" type="noConversion"/>
  </si>
  <si>
    <t>Celo_Blower_Max</t>
    <phoneticPr fontId="11" type="noConversion"/>
  </si>
  <si>
    <t>Name: Tbl_BlowerUp_Display</t>
    <phoneticPr fontId="7" type="noConversion"/>
  </si>
  <si>
    <t>Blower volt</t>
    <phoneticPr fontId="7" type="noConversion"/>
  </si>
  <si>
    <t>Step</t>
    <phoneticPr fontId="7" type="noConversion"/>
  </si>
  <si>
    <t>Name: Tbl_BlowerDn_Display</t>
    <phoneticPr fontId="7" type="noConversion"/>
  </si>
  <si>
    <t>Name: Tbl_BlowerLimit_AmbUp_Volt</t>
    <phoneticPr fontId="7" type="noConversion"/>
  </si>
  <si>
    <t>Name: Tbl_BlowerLimit_AmbDn_Volt</t>
    <phoneticPr fontId="7" type="noConversion"/>
  </si>
  <si>
    <t>CELOModeSta</t>
    <phoneticPr fontId="9" type="noConversion"/>
  </si>
  <si>
    <t>DEFDisp</t>
  </si>
  <si>
    <t>0x0:Default/0x1:Def Logic USM OFF/0x2:Def Logic USM ON/0x3:Invalid</t>
  </si>
  <si>
    <t>0x0:Default/0x1:OFF/0x2:ON/0x3:Invalid</t>
  </si>
  <si>
    <t>0x0:Default/0x1:USM Reset/0x2:Reserved/0x3:Invalid</t>
  </si>
  <si>
    <t>0x0:Defualt/0x1:Reset/0x2:Not used/0x3:Error Indicator</t>
  </si>
  <si>
    <t>CF_Datc_DefLogic_USM_Set</t>
    <phoneticPr fontId="11" type="noConversion"/>
  </si>
  <si>
    <t>DefLogic_USM_Set</t>
    <phoneticPr fontId="11" type="noConversion"/>
  </si>
  <si>
    <t>DATC_DfgLgcUSMSta</t>
    <phoneticPr fontId="11" type="noConversion"/>
  </si>
  <si>
    <t>DfgLgcUSMSta</t>
    <phoneticPr fontId="11" type="noConversion"/>
  </si>
  <si>
    <t>CF_AVN_CluUSMReset</t>
    <phoneticPr fontId="11" type="noConversion"/>
  </si>
  <si>
    <t>AVN_CluUSMReset</t>
    <phoneticPr fontId="11" type="noConversion"/>
  </si>
  <si>
    <t>USM_StaRst1Req</t>
    <phoneticPr fontId="11" type="noConversion"/>
  </si>
  <si>
    <t>CLU_USM_StaRst1Req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</si>
  <si>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BI-LEVEL(VENT &amp; FLOOR)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</si>
  <si>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결로방지_해제복귀</t>
  </si>
  <si>
    <t>워셔액_해제복귀</t>
  </si>
  <si>
    <t>TempChange_degCF</t>
  </si>
  <si>
    <t>온도변환</t>
  </si>
  <si>
    <t>CO2_해제복귀</t>
  </si>
  <si>
    <t>blower_TD 연산에 따름</t>
  </si>
  <si>
    <t>Blower 제어전압 확인</t>
  </si>
  <si>
    <t>ADS_Max</t>
    <phoneticPr fontId="11" type="noConversion"/>
  </si>
  <si>
    <t>ADS_Min</t>
    <phoneticPr fontId="11" type="noConversion"/>
  </si>
  <si>
    <t>DEF_blower</t>
    <phoneticPr fontId="11" type="noConversion"/>
  </si>
  <si>
    <t>DEF_blower</t>
    <phoneticPr fontId="9" type="noConversion"/>
  </si>
  <si>
    <t>ADS_DEF</t>
    <phoneticPr fontId="11" type="noConversion"/>
  </si>
  <si>
    <r>
      <t>AC_INTAKE_</t>
    </r>
    <r>
      <rPr>
        <sz val="10"/>
        <rFont val="맑은 고딕"/>
        <family val="3"/>
        <charset val="129"/>
      </rPr>
      <t>해제복귀</t>
    </r>
    <phoneticPr fontId="11" type="noConversion"/>
  </si>
  <si>
    <t>AC_INTAKE_EN_DIS</t>
    <phoneticPr fontId="11" type="noConversion"/>
  </si>
  <si>
    <r>
      <t>AutoDefog_</t>
    </r>
    <r>
      <rPr>
        <sz val="10"/>
        <rFont val="맑은 고딕"/>
        <family val="3"/>
        <charset val="129"/>
      </rPr>
      <t>해제복귀</t>
    </r>
    <phoneticPr fontId="11" type="noConversion"/>
  </si>
  <si>
    <t>AutoDefog_EN_DIS</t>
    <phoneticPr fontId="11" type="noConversion"/>
  </si>
  <si>
    <t>CO2_EN_DIS</t>
    <phoneticPr fontId="11" type="noConversion"/>
  </si>
  <si>
    <t>AutoFre_EN_DIS</t>
    <phoneticPr fontId="11" type="noConversion"/>
  </si>
  <si>
    <t>Washer_EN_DIS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</si>
  <si>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FLOOR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</si>
  <si>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VENT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</si>
  <si>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t xml:space="preserve">DEF </t>
    </r>
    <r>
      <rPr>
        <b/>
        <sz val="10"/>
        <rFont val="맑은 고딕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맑은 고딕"/>
        <family val="2"/>
        <charset val="129"/>
      </rPr>
      <t>초이내</t>
    </r>
    <r>
      <rPr>
        <b/>
        <sz val="10"/>
        <rFont val="Arial"/>
        <family val="2"/>
      </rPr>
      <t xml:space="preserve"> REC BUTTON 5</t>
    </r>
    <r>
      <rPr>
        <b/>
        <sz val="10"/>
        <rFont val="맑은 고딕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누름</t>
    </r>
    <phoneticPr fontId="11" type="noConversion"/>
  </si>
  <si>
    <t>MIX_Logic</t>
    <phoneticPr fontId="11" type="noConversion"/>
  </si>
  <si>
    <t>DEF_Logic</t>
    <phoneticPr fontId="11" type="noConversion"/>
  </si>
  <si>
    <t>F/BACK</t>
  </si>
  <si>
    <t>(KΩ)</t>
  </si>
  <si>
    <t>(V)</t>
  </si>
  <si>
    <t>Tbl_Incar_Sensor</t>
    <phoneticPr fontId="9" type="noConversion"/>
  </si>
  <si>
    <t>Tbl_Amb_Sensor</t>
    <phoneticPr fontId="9" type="noConversion"/>
  </si>
  <si>
    <t>Tbl_Eva_Sensor</t>
    <phoneticPr fontId="9" type="noConversion"/>
  </si>
  <si>
    <t>Tbl_Duct_Sensor</t>
    <phoneticPr fontId="9" type="noConversion"/>
  </si>
  <si>
    <t>I1.1.1</t>
    <phoneticPr fontId="9" type="noConversion"/>
  </si>
  <si>
    <t>Init</t>
    <phoneticPr fontId="9" type="noConversion"/>
  </si>
  <si>
    <t>Depth
Level</t>
    <phoneticPr fontId="10" type="noConversion"/>
  </si>
  <si>
    <t>T_windshield</t>
    <phoneticPr fontId="11" type="noConversion"/>
  </si>
  <si>
    <t>Cell_Temp</t>
  </si>
  <si>
    <t>Cell_Temp</t>
    <phoneticPr fontId="11" type="noConversion"/>
  </si>
  <si>
    <t>Cell_Humidity</t>
  </si>
  <si>
    <t>Cell_Humidity</t>
    <phoneticPr fontId="11" type="noConversion"/>
  </si>
  <si>
    <r>
      <rPr>
        <b/>
        <sz val="10"/>
        <rFont val="맑은 고딕"/>
        <family val="3"/>
        <charset val="129"/>
      </rPr>
      <t>북미외</t>
    </r>
    <r>
      <rPr>
        <b/>
        <sz val="10"/>
        <rFont val="Arial"/>
        <family val="2"/>
      </rPr>
      <t>(</t>
    </r>
    <r>
      <rPr>
        <b/>
        <sz val="10"/>
        <rFont val="맑은 고딕"/>
        <family val="3"/>
        <charset val="129"/>
      </rPr>
      <t>내수</t>
    </r>
    <r>
      <rPr>
        <b/>
        <sz val="10"/>
        <rFont val="Arial"/>
        <family val="2"/>
      </rPr>
      <t xml:space="preserve">, </t>
    </r>
    <r>
      <rPr>
        <b/>
        <sz val="10"/>
        <rFont val="맑은 고딕"/>
        <family val="3"/>
        <charset val="129"/>
      </rPr>
      <t>유럽</t>
    </r>
    <r>
      <rPr>
        <b/>
        <sz val="10"/>
        <rFont val="Arial"/>
        <family val="2"/>
      </rPr>
      <t>) - Normal</t>
    </r>
    <phoneticPr fontId="14" type="noConversion"/>
  </si>
  <si>
    <r>
      <rPr>
        <b/>
        <sz val="10"/>
        <rFont val="맑은 고딕"/>
        <family val="2"/>
        <charset val="129"/>
      </rPr>
      <t>수동</t>
    </r>
    <r>
      <rPr>
        <b/>
        <sz val="10"/>
        <rFont val="Arial"/>
        <family val="2"/>
      </rPr>
      <t xml:space="preserve"> MIX(FLOOR &amp; MODE DEF) </t>
    </r>
    <r>
      <rPr>
        <b/>
        <sz val="10"/>
        <rFont val="맑은 고딕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맑은 고딕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맑은 고딕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누름</t>
    </r>
    <phoneticPr fontId="11" type="noConversion"/>
  </si>
  <si>
    <r>
      <t xml:space="preserve">MODE </t>
    </r>
    <r>
      <rPr>
        <b/>
        <sz val="10"/>
        <rFont val="Arial Unicode MS"/>
        <family val="2"/>
        <charset val="129"/>
      </rPr>
      <t>버튼을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누른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상태에서</t>
    </r>
    <r>
      <rPr>
        <b/>
        <sz val="10"/>
        <rFont val="Arial"/>
        <family val="2"/>
      </rPr>
      <t xml:space="preserve"> 2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4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</si>
  <si>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AutoDefogSysOff_Disp</t>
    <phoneticPr fontId="11" type="noConversion"/>
  </si>
  <si>
    <t>Manual_FRE1</t>
    <phoneticPr fontId="11" type="noConversion"/>
  </si>
  <si>
    <t>AutoDefogSysOff_Disp</t>
    <phoneticPr fontId="9" type="noConversion"/>
  </si>
  <si>
    <t>DfgLgcUSMSta</t>
    <phoneticPr fontId="9" type="noConversion"/>
  </si>
  <si>
    <t>0x0:Function Off/0x1:Function On/0x2:reserved/0x3:Invalid</t>
  </si>
  <si>
    <t>ADSOnOffSet</t>
    <phoneticPr fontId="11" type="noConversion"/>
  </si>
  <si>
    <t>X</t>
  </si>
  <si>
    <r>
      <rPr>
        <sz val="10"/>
        <rFont val="굴림"/>
        <family val="2"/>
        <charset val="129"/>
      </rPr>
      <t>통합</t>
    </r>
    <r>
      <rPr>
        <sz val="10"/>
        <rFont val="Arial"/>
        <family val="2"/>
      </rPr>
      <t>_DISP_</t>
    </r>
    <r>
      <rPr>
        <sz val="10"/>
        <rFont val="굴림"/>
        <family val="2"/>
        <charset val="129"/>
      </rPr>
      <t>사양</t>
    </r>
    <phoneticPr fontId="11" type="noConversion"/>
  </si>
  <si>
    <t>0x0:Default/0x1:Auto Ventilation USM OFF/0x2:Auto Ventilation USM ON/0x3:Invalid</t>
  </si>
  <si>
    <t>CF_Datc_AutoFresh_USM_Set</t>
    <phoneticPr fontId="11" type="noConversion"/>
  </si>
  <si>
    <t>AutoFresh_USM_Set</t>
    <phoneticPr fontId="11" type="noConversion"/>
  </si>
  <si>
    <t>DATC_AutoFrshUSMSta</t>
    <phoneticPr fontId="11" type="noConversion"/>
  </si>
  <si>
    <t>AutoFrshUSMSta</t>
  </si>
  <si>
    <t>AutoFrshUSMSta</t>
    <phoneticPr fontId="9" type="noConversion"/>
  </si>
  <si>
    <t>T6.1</t>
  </si>
  <si>
    <t>P6.1</t>
  </si>
  <si>
    <t>T6.1.1</t>
  </si>
  <si>
    <t>T6.1.2</t>
  </si>
  <si>
    <t>AutoDefogBlink</t>
    <phoneticPr fontId="11" type="noConversion"/>
  </si>
  <si>
    <t>AutoDefogBlink</t>
    <phoneticPr fontId="9" type="noConversion"/>
  </si>
  <si>
    <t>ADS_70%</t>
    <phoneticPr fontId="11" type="noConversion"/>
  </si>
  <si>
    <t>Title6</t>
  </si>
  <si>
    <t>ADS_40%</t>
    <phoneticPr fontId="11" type="noConversion"/>
  </si>
  <si>
    <t>0x0:AutoDefogBlink Non Request/0x1:AutoDefogBlink Request/0x2:Not used/0x3:Error Indicator</t>
    <phoneticPr fontId="11" type="noConversion"/>
  </si>
  <si>
    <t>Sw_DrTemp_Up</t>
  </si>
  <si>
    <t>T_DW</t>
    <phoneticPr fontId="9" type="noConversion"/>
  </si>
  <si>
    <t>Name: Tbl_ADS_blower_Up</t>
    <phoneticPr fontId="9" type="noConversion"/>
  </si>
  <si>
    <t>Name: Tbl_ADS_blower_Dn</t>
    <phoneticPr fontId="9" type="noConversion"/>
  </si>
  <si>
    <t>PM_PMSnsrSts</t>
    <phoneticPr fontId="11" type="noConversion"/>
  </si>
  <si>
    <t>PM_PMSnsrRespErr</t>
    <phoneticPr fontId="11" type="noConversion"/>
  </si>
  <si>
    <t>PM_MassConcentration_2p5</t>
    <phoneticPr fontId="11" type="noConversion"/>
  </si>
  <si>
    <t>ADS GLASS TEMP</t>
    <phoneticPr fontId="10" type="noConversion"/>
  </si>
  <si>
    <t>PM_MassConcentration_2p5</t>
    <phoneticPr fontId="9" type="noConversion"/>
  </si>
  <si>
    <t>PM_Blower_Min</t>
    <phoneticPr fontId="11" type="noConversion"/>
  </si>
  <si>
    <t>PM_Blower_Max</t>
    <phoneticPr fontId="11" type="noConversion"/>
  </si>
  <si>
    <t>Name: Tbl_PM_blower_Dn</t>
    <phoneticPr fontId="9" type="noConversion"/>
  </si>
  <si>
    <t>Name: Tbl_PM_blower_Up</t>
    <phoneticPr fontId="9" type="noConversion"/>
  </si>
  <si>
    <t>AUTO3</t>
    <phoneticPr fontId="42" type="noConversion"/>
  </si>
  <si>
    <t>AUTO2</t>
    <phoneticPr fontId="42" type="noConversion"/>
  </si>
  <si>
    <t>AUTO1</t>
    <phoneticPr fontId="42" type="noConversion"/>
  </si>
  <si>
    <t>Average(K4_Dr, K4_Ps)</t>
    <phoneticPr fontId="42" type="noConversion"/>
  </si>
  <si>
    <r>
      <t xml:space="preserve"> 9.2.1 </t>
    </r>
    <r>
      <rPr>
        <b/>
        <sz val="10"/>
        <rFont val="맑은 고딕"/>
        <family val="3"/>
        <charset val="129"/>
      </rPr>
      <t>일사량에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따른</t>
    </r>
    <r>
      <rPr>
        <b/>
        <sz val="10"/>
        <rFont val="Arial"/>
        <family val="2"/>
      </rPr>
      <t xml:space="preserve"> TD Blower </t>
    </r>
    <r>
      <rPr>
        <b/>
        <sz val="10"/>
        <rFont val="맑은 고딕"/>
        <family val="3"/>
        <charset val="129"/>
      </rPr>
      <t>하한치</t>
    </r>
    <r>
      <rPr>
        <b/>
        <sz val="10"/>
        <rFont val="Arial"/>
        <family val="2"/>
      </rPr>
      <t xml:space="preserve"> (</t>
    </r>
    <r>
      <rPr>
        <b/>
        <sz val="10"/>
        <rFont val="맑은 고딕"/>
        <family val="3"/>
        <charset val="129"/>
      </rPr>
      <t>전지역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해당</t>
    </r>
    <r>
      <rPr>
        <b/>
        <sz val="10"/>
        <rFont val="Arial"/>
        <family val="2"/>
      </rPr>
      <t>)</t>
    </r>
    <phoneticPr fontId="14" type="noConversion"/>
  </si>
  <si>
    <r>
      <t xml:space="preserve">   - </t>
    </r>
    <r>
      <rPr>
        <b/>
        <sz val="10"/>
        <rFont val="맑은 고딕"/>
        <family val="3"/>
        <charset val="129"/>
      </rPr>
      <t>유럽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외</t>
    </r>
    <phoneticPr fontId="42" type="noConversion"/>
  </si>
  <si>
    <r>
      <rPr>
        <b/>
        <sz val="10"/>
        <rFont val="Arial Unicode MS"/>
        <family val="3"/>
        <charset val="129"/>
      </rPr>
      <t>먼지농도</t>
    </r>
    <phoneticPr fontId="9" type="noConversion"/>
  </si>
  <si>
    <r>
      <t xml:space="preserve">LCD </t>
    </r>
    <r>
      <rPr>
        <sz val="10"/>
        <rFont val="Arial Unicode MS"/>
        <family val="2"/>
        <charset val="129"/>
      </rPr>
      <t>심볼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없는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사양</t>
    </r>
    <phoneticPr fontId="11" type="noConversion"/>
  </si>
  <si>
    <t>Name: Tbl_K4MinBlowerLimit_V</t>
    <phoneticPr fontId="7" type="noConversion"/>
  </si>
  <si>
    <t>AutoBlowerLow_3</t>
    <phoneticPr fontId="11" type="noConversion"/>
  </si>
  <si>
    <t>AutoBlowerLow_2</t>
    <phoneticPr fontId="11" type="noConversion"/>
  </si>
  <si>
    <t>AutoBlowerLow_1</t>
    <phoneticPr fontId="11" type="noConversion"/>
  </si>
  <si>
    <t>AutoLow</t>
    <phoneticPr fontId="11" type="noConversion"/>
  </si>
  <si>
    <t>FRE</t>
  </si>
  <si>
    <r>
      <t xml:space="preserve">Temp_TD </t>
    </r>
    <r>
      <rPr>
        <sz val="10"/>
        <rFont val="맑은 고딕"/>
        <family val="2"/>
        <charset val="129"/>
      </rPr>
      <t>연산에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따름</t>
    </r>
    <phoneticPr fontId="9" type="noConversion"/>
  </si>
  <si>
    <t>On</t>
  </si>
  <si>
    <t>Mix</t>
  </si>
  <si>
    <t>Def_ACT</t>
  </si>
  <si>
    <t>IGN1,2_Off_to_On</t>
    <phoneticPr fontId="9" type="noConversion"/>
  </si>
  <si>
    <t>100%Floor</t>
    <phoneticPr fontId="11" type="noConversion"/>
  </si>
  <si>
    <t>100%Floor</t>
    <phoneticPr fontId="9" type="noConversion"/>
  </si>
  <si>
    <t>WARM</t>
    <phoneticPr fontId="11" type="noConversion"/>
  </si>
  <si>
    <r>
      <rPr>
        <sz val="10"/>
        <rFont val="돋움"/>
        <family val="3"/>
        <charset val="129"/>
      </rPr>
      <t>외기온</t>
    </r>
    <r>
      <rPr>
        <sz val="10"/>
        <rFont val="Cambria Math"/>
        <family val="3"/>
      </rPr>
      <t>≤</t>
    </r>
    <r>
      <rPr>
        <sz val="10"/>
        <rFont val="Arial"/>
        <family val="2"/>
      </rPr>
      <t>5</t>
    </r>
    <r>
      <rPr>
        <sz val="10"/>
        <rFont val="Segoe UI Symbol"/>
        <family val="3"/>
      </rPr>
      <t>℃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조건</t>
    </r>
    <phoneticPr fontId="9" type="noConversion"/>
  </si>
  <si>
    <t>Tbl_GlassTemp_Sensor</t>
    <phoneticPr fontId="9" type="noConversion"/>
  </si>
  <si>
    <r>
      <t xml:space="preserve">Intake_TD </t>
    </r>
    <r>
      <rPr>
        <sz val="10"/>
        <rFont val="맑은 고딕"/>
        <family val="3"/>
        <charset val="129"/>
      </rPr>
      <t>연산에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따름</t>
    </r>
    <phoneticPr fontId="11" type="noConversion"/>
  </si>
  <si>
    <r>
      <t xml:space="preserve">Intake </t>
    </r>
    <r>
      <rPr>
        <sz val="10"/>
        <rFont val="맑은 고딕"/>
        <family val="3"/>
        <charset val="129"/>
      </rPr>
      <t>제어전압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확인</t>
    </r>
    <phoneticPr fontId="11" type="noConversion"/>
  </si>
  <si>
    <t>Intake_TD 연산에 따름</t>
  </si>
  <si>
    <t>IGN1,2_Off</t>
  </si>
  <si>
    <t>IGN1,2_Off</t>
    <phoneticPr fontId="9" type="noConversion"/>
  </si>
  <si>
    <t xml:space="preserve"> </t>
    <phoneticPr fontId="9" type="noConversion"/>
  </si>
  <si>
    <t>Title8</t>
  </si>
  <si>
    <t>Title9</t>
  </si>
  <si>
    <t>T9</t>
  </si>
  <si>
    <t>IGN1,2_On</t>
    <phoneticPr fontId="9" type="noConversion"/>
  </si>
  <si>
    <t>Snr_Glass_Temp(V)_IN</t>
  </si>
  <si>
    <t xml:space="preserve"> </t>
    <phoneticPr fontId="10" type="noConversion"/>
  </si>
  <si>
    <t>degC</t>
    <phoneticPr fontId="7" type="noConversion"/>
  </si>
  <si>
    <t>Celo_DEF</t>
    <phoneticPr fontId="11" type="noConversion"/>
  </si>
  <si>
    <r>
      <t xml:space="preserve">DEF-&gt;Mix </t>
    </r>
    <r>
      <rPr>
        <sz val="10"/>
        <rFont val="맑은 고딕"/>
        <family val="2"/>
        <charset val="129"/>
      </rPr>
      <t>경계값</t>
    </r>
    <phoneticPr fontId="11" type="noConversion"/>
  </si>
  <si>
    <t>Celo_Mix</t>
    <phoneticPr fontId="11" type="noConversion"/>
  </si>
  <si>
    <r>
      <t xml:space="preserve">Mix-&gt;Auto </t>
    </r>
    <r>
      <rPr>
        <sz val="10"/>
        <rFont val="Arial Unicode MS"/>
        <family val="2"/>
        <charset val="129"/>
      </rPr>
      <t>제어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경계값</t>
    </r>
    <phoneticPr fontId="11" type="noConversion"/>
  </si>
  <si>
    <t>Celo_Auto</t>
    <phoneticPr fontId="11" type="noConversion"/>
  </si>
  <si>
    <r>
      <t xml:space="preserve">blower Auto HI </t>
    </r>
    <r>
      <rPr>
        <sz val="10"/>
        <rFont val="맑은 고딕"/>
        <family val="2"/>
        <charset val="129"/>
      </rPr>
      <t>경계값</t>
    </r>
    <phoneticPr fontId="11" type="noConversion"/>
  </si>
  <si>
    <t>EngColTemp_ECT</t>
    <phoneticPr fontId="11" type="noConversion"/>
  </si>
  <si>
    <t>SelfDiagCode</t>
    <phoneticPr fontId="11" type="noConversion"/>
  </si>
  <si>
    <r>
      <t>OFF SW</t>
    </r>
    <r>
      <rPr>
        <b/>
        <sz val="10"/>
        <rFont val="Arial Unicode MS"/>
        <family val="2"/>
        <charset val="129"/>
      </rPr>
      <t>를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누른상태에서</t>
    </r>
    <r>
      <rPr>
        <b/>
        <sz val="10"/>
        <rFont val="Arial"/>
        <family val="2"/>
      </rPr>
      <t xml:space="preserve"> MODE SW</t>
    </r>
    <r>
      <rPr>
        <b/>
        <sz val="10"/>
        <rFont val="Arial Unicode MS"/>
        <family val="2"/>
        <charset val="129"/>
      </rPr>
      <t>를</t>
    </r>
    <r>
      <rPr>
        <b/>
        <sz val="10"/>
        <rFont val="Arial"/>
        <family val="2"/>
      </rPr>
      <t xml:space="preserve"> 2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이내에</t>
    </r>
    <r>
      <rPr>
        <b/>
        <sz val="10"/>
        <rFont val="Arial"/>
        <family val="2"/>
      </rPr>
      <t xml:space="preserve"> 4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이상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</si>
  <si>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t xml:space="preserve">Check Project Information : </t>
    </r>
    <r>
      <rPr>
        <b/>
        <sz val="11"/>
        <color rgb="FFFF0000"/>
        <rFont val="Arial"/>
        <family val="2"/>
      </rPr>
      <t xml:space="preserve">S/W Version </t>
    </r>
    <r>
      <rPr>
        <b/>
        <sz val="11"/>
        <color rgb="FFFF0000"/>
        <rFont val="Arial Unicode MS"/>
        <family val="2"/>
        <charset val="129"/>
      </rPr>
      <t>확인</t>
    </r>
    <r>
      <rPr>
        <b/>
        <sz val="11"/>
        <color rgb="FFFF0000"/>
        <rFont val="Arial"/>
        <family val="2"/>
      </rPr>
      <t xml:space="preserve"> </t>
    </r>
    <r>
      <rPr>
        <b/>
        <sz val="11"/>
        <color rgb="FFFF0000"/>
        <rFont val="Arial Unicode MS"/>
        <family val="2"/>
        <charset val="129"/>
      </rPr>
      <t>후</t>
    </r>
    <r>
      <rPr>
        <b/>
        <sz val="11"/>
        <color rgb="FFFF0000"/>
        <rFont val="Arial"/>
        <family val="2"/>
      </rPr>
      <t xml:space="preserve"> </t>
    </r>
    <r>
      <rPr>
        <b/>
        <sz val="11"/>
        <color rgb="FFFF0000"/>
        <rFont val="Arial Unicode MS"/>
        <family val="2"/>
        <charset val="129"/>
      </rPr>
      <t>기재</t>
    </r>
    <r>
      <rPr>
        <b/>
        <sz val="11"/>
        <color rgb="FFFF0000"/>
        <rFont val="Arial"/>
        <family val="2"/>
      </rPr>
      <t xml:space="preserve"> </t>
    </r>
    <r>
      <rPr>
        <b/>
        <sz val="11"/>
        <color rgb="FFFF0000"/>
        <rFont val="Arial Unicode MS"/>
        <family val="2"/>
        <charset val="129"/>
      </rPr>
      <t>할</t>
    </r>
    <r>
      <rPr>
        <b/>
        <sz val="11"/>
        <color rgb="FFFF0000"/>
        <rFont val="Arial"/>
        <family val="2"/>
      </rPr>
      <t xml:space="preserve"> </t>
    </r>
    <r>
      <rPr>
        <b/>
        <sz val="11"/>
        <color rgb="FFFF0000"/>
        <rFont val="Arial Unicode MS"/>
        <family val="2"/>
        <charset val="129"/>
      </rPr>
      <t>것</t>
    </r>
    <r>
      <rPr>
        <b/>
        <sz val="11"/>
        <color rgb="FFFF0000"/>
        <rFont val="Arial"/>
        <family val="2"/>
      </rPr>
      <t>!</t>
    </r>
    <phoneticPr fontId="10" type="noConversion"/>
  </si>
  <si>
    <t>DATC_16_1000ms</t>
    <phoneticPr fontId="10" type="noConversion"/>
  </si>
  <si>
    <t>DATC_SwVer1</t>
  </si>
  <si>
    <t>DATC_SwVer2</t>
    <phoneticPr fontId="10" type="noConversion"/>
  </si>
  <si>
    <t>DATC_SwVer3</t>
    <phoneticPr fontId="10" type="noConversion"/>
  </si>
  <si>
    <t>DATC_SwVer4</t>
  </si>
  <si>
    <t>DATC_SwVer5</t>
  </si>
  <si>
    <t>0x0(Not CELO(Default), 0x1 (CELO Def), 0x2 (CELO Mix)</t>
  </si>
  <si>
    <t>0x0:'ADS OFF' display Off/0x1:'ADS OFF' display On/0x2:Not Used(Non-ADS)/0x3:Error Indicator</t>
  </si>
  <si>
    <t>0x0: Init./0x1: Normal Opreration/0x2: Limited Operation/(사용환경온도 ≥ 62℃  조건시,해제 조건은은 ≤ 60℃)/0x3: Standby/0x4: Error/0x5~0x7: Reserved</t>
  </si>
  <si>
    <t>0x000~0x3fc: ugm3=1 * Raw +0/0x3fd : Standby/0x3fe : Init/0x3ff : Reserved</t>
  </si>
  <si>
    <t>DATC_AutoDfgBlnkDis</t>
    <phoneticPr fontId="11" type="noConversion"/>
  </si>
  <si>
    <r>
      <rPr>
        <sz val="10"/>
        <rFont val="Arial Unicode MS"/>
        <family val="2"/>
        <charset val="129"/>
      </rPr>
      <t>자가진단</t>
    </r>
    <phoneticPr fontId="11" type="noConversion"/>
  </si>
  <si>
    <r>
      <rPr>
        <sz val="10"/>
        <rFont val="맑은 고딕"/>
        <family val="2"/>
        <charset val="129"/>
      </rPr>
      <t>난방기동제어</t>
    </r>
    <r>
      <rPr>
        <sz val="10"/>
        <rFont val="Arial"/>
        <family val="2"/>
      </rPr>
      <t xml:space="preserve"> Mode </t>
    </r>
    <r>
      <rPr>
        <sz val="10"/>
        <rFont val="맑은 고딕"/>
        <family val="2"/>
        <charset val="129"/>
      </rPr>
      <t>상태</t>
    </r>
    <phoneticPr fontId="11" type="noConversion"/>
  </si>
  <si>
    <r>
      <t xml:space="preserve">AVN USM </t>
    </r>
    <r>
      <rPr>
        <sz val="10"/>
        <rFont val="Arial Unicode MS"/>
        <family val="2"/>
        <charset val="129"/>
      </rPr>
      <t>초기화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</si>
  <si>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</si>
  <si>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rPr>
        <sz val="10"/>
        <rFont val="Arial Unicode MS"/>
        <family val="2"/>
        <charset val="129"/>
      </rPr>
      <t>결로방지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</si>
  <si>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t xml:space="preserve">Front Blower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</si>
  <si>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DEF_Actuator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</si>
  <si>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PsMode_Actuator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</si>
  <si>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DrMode_Actuator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</si>
  <si>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Intake 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</si>
  <si>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유리온도</t>
    </r>
    <r>
      <rPr>
        <sz val="10"/>
        <rFont val="Arial"/>
        <family val="2"/>
      </rPr>
      <t>)</t>
    </r>
    <phoneticPr fontId="11" type="noConversion"/>
  </si>
  <si>
    <r>
      <rPr>
        <sz val="10"/>
        <rFont val="굴림"/>
        <family val="2"/>
        <charset val="129"/>
      </rPr>
      <t>미세먼지센서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사양</t>
    </r>
    <phoneticPr fontId="11" type="noConversion"/>
  </si>
  <si>
    <t>CLU 온도단위 변경 신호</t>
  </si>
  <si>
    <t>AVN 온도단위 변경신호(제네시스 or NE1 부터)</t>
  </si>
  <si>
    <t>AVN 단위 RESET 신호</t>
  </si>
  <si>
    <t>DATC 온도단위 신호</t>
  </si>
  <si>
    <t>0x0:Default/0x1:Centigrade(℃)/0x2:Fahrenheit(℉)/0x3:Invalid</t>
  </si>
  <si>
    <t>0x0:Default/0x1:℃(Centigrade)/0x2:℉(Fahrenheit)/0x3:Invalid</t>
  </si>
  <si>
    <t>0x0:Default/0x1:Unit Reset/0x2:Reserved/0x3:Invalid</t>
  </si>
  <si>
    <t>USM_OSTempUnitSetReq</t>
  </si>
  <si>
    <t>C_TempUnit</t>
  </si>
  <si>
    <t>CF_AVN_UnitReset</t>
  </si>
  <si>
    <t>DATC_TempDispUnitSta</t>
  </si>
  <si>
    <r>
      <t xml:space="preserve">CLU USM </t>
    </r>
    <r>
      <rPr>
        <sz val="10"/>
        <rFont val="Arial Unicode MS"/>
        <family val="2"/>
        <charset val="129"/>
      </rPr>
      <t>초기화</t>
    </r>
    <phoneticPr fontId="11" type="noConversion"/>
  </si>
  <si>
    <t>CLU_TempUnitSetReq</t>
    <phoneticPr fontId="11" type="noConversion"/>
  </si>
  <si>
    <t>AVN_TempUnit_Set</t>
    <phoneticPr fontId="11" type="noConversion"/>
  </si>
  <si>
    <t>AVN_UnitReset</t>
    <phoneticPr fontId="11" type="noConversion"/>
  </si>
  <si>
    <t>DrTemp_Actuator 전압</t>
  </si>
  <si>
    <t>PsTemp_Actuator 전압</t>
  </si>
  <si>
    <r>
      <t>*ECT</t>
    </r>
    <r>
      <rPr>
        <b/>
        <sz val="10"/>
        <rFont val="돋움"/>
        <family val="3"/>
        <charset val="129"/>
      </rPr>
      <t>인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경우</t>
    </r>
    <r>
      <rPr>
        <b/>
        <sz val="10"/>
        <rFont val="Arial"/>
        <family val="2"/>
      </rPr>
      <t>, "0.75"</t>
    </r>
    <r>
      <rPr>
        <b/>
        <sz val="10"/>
        <rFont val="돋움"/>
        <family val="3"/>
        <charset val="129"/>
      </rPr>
      <t>단위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참고하여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입력</t>
    </r>
    <phoneticPr fontId="11" type="noConversion"/>
  </si>
  <si>
    <t>USM Signal Defualt 값 설정</t>
  </si>
  <si>
    <t>RAC_TempModTyp</t>
    <phoneticPr fontId="11" type="noConversion"/>
  </si>
  <si>
    <t>RAC_DfrstCtrlReq</t>
    <phoneticPr fontId="11" type="noConversion"/>
  </si>
  <si>
    <t>RAC_TempSetVal</t>
    <phoneticPr fontId="11" type="noConversion"/>
  </si>
  <si>
    <t>RAC_AcnCtrlReq</t>
    <phoneticPr fontId="11" type="noConversion"/>
  </si>
  <si>
    <r>
      <t xml:space="preserve">Temp </t>
    </r>
    <r>
      <rPr>
        <sz val="10"/>
        <rFont val="굴림"/>
        <family val="2"/>
        <charset val="129"/>
      </rPr>
      <t>제어전압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확인</t>
    </r>
    <phoneticPr fontId="11" type="noConversion"/>
  </si>
  <si>
    <r>
      <rPr>
        <b/>
        <sz val="10"/>
        <rFont val="굴림"/>
        <family val="2"/>
        <charset val="129"/>
      </rPr>
      <t>난방기동제어</t>
    </r>
    <phoneticPr fontId="11" type="noConversion"/>
  </si>
  <si>
    <r>
      <rPr>
        <b/>
        <sz val="10"/>
        <rFont val="맑은 고딕"/>
        <family val="3"/>
        <charset val="129"/>
      </rPr>
      <t>냉각수온</t>
    </r>
    <r>
      <rPr>
        <b/>
        <sz val="10"/>
        <rFont val="Arial"/>
        <family val="2"/>
      </rPr>
      <t xml:space="preserve"> or Duct</t>
    </r>
    <phoneticPr fontId="9" type="noConversion"/>
  </si>
  <si>
    <r>
      <rPr>
        <sz val="10"/>
        <rFont val="Arial Unicode MS"/>
        <family val="2"/>
        <charset val="129"/>
      </rPr>
      <t>난방기동제어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</si>
  <si>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셀온도</t>
    </r>
    <r>
      <rPr>
        <sz val="10"/>
        <rFont val="Arial"/>
        <family val="2"/>
      </rPr>
      <t>)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</si>
  <si>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셀습도</t>
    </r>
    <r>
      <rPr>
        <sz val="10"/>
        <rFont val="Arial"/>
        <family val="2"/>
      </rPr>
      <t>)</t>
    </r>
    <phoneticPr fontId="11" type="noConversion"/>
  </si>
  <si>
    <r>
      <rPr>
        <sz val="10"/>
        <rFont val="Arial Unicode MS"/>
        <family val="2"/>
        <charset val="129"/>
      </rPr>
      <t>원격공조</t>
    </r>
    <r>
      <rPr>
        <sz val="10"/>
        <rFont val="Arial"/>
        <family val="2"/>
      </rPr>
      <t xml:space="preserve"> Signal Defualt </t>
    </r>
    <r>
      <rPr>
        <sz val="10"/>
        <rFont val="맑은 고딕"/>
        <family val="3"/>
        <charset val="129"/>
      </rPr>
      <t>값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설정</t>
    </r>
    <phoneticPr fontId="9" type="noConversion"/>
  </si>
  <si>
    <t>DEF_Blower</t>
    <phoneticPr fontId="9" type="noConversion"/>
  </si>
  <si>
    <t>DEF</t>
    <phoneticPr fontId="9" type="noConversion"/>
  </si>
  <si>
    <t>0x0:Deactivate Defrost Mode/0x1:Activate Defrost Mode/0x2:Not used/0x3:Error Indicator</t>
    <phoneticPr fontId="11" type="noConversion"/>
  </si>
  <si>
    <t>0x0:Deativatie Remote Air Conditioner Control/0x1:Activate Remote Air Condtioner Control/0x2:Not used/0x3:Error Indicator</t>
    <phoneticPr fontId="11" type="noConversion"/>
  </si>
  <si>
    <t>0x0:Centigrade mode/0x1:Fahrenheit mode/0x2:Not used/0x3:Error indicator</t>
    <phoneticPr fontId="11" type="noConversion"/>
  </si>
  <si>
    <r>
      <rPr>
        <sz val="11"/>
        <color rgb="FF0000FF"/>
        <rFont val="Arial Unicode MS"/>
        <family val="2"/>
        <charset val="129"/>
      </rPr>
      <t>모든</t>
    </r>
    <r>
      <rPr>
        <sz val="11"/>
        <color rgb="FF0000FF"/>
        <rFont val="Arial"/>
        <family val="2"/>
      </rPr>
      <t xml:space="preserve"> Eva Sensor </t>
    </r>
    <r>
      <rPr>
        <sz val="11"/>
        <color rgb="FF0000FF"/>
        <rFont val="Arial Unicode MS"/>
        <family val="2"/>
        <charset val="129"/>
      </rPr>
      <t>값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동일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설정</t>
    </r>
    <phoneticPr fontId="10" type="noConversion"/>
  </si>
  <si>
    <r>
      <rPr>
        <sz val="11"/>
        <color rgb="FF0000FF"/>
        <rFont val="Arial Unicode MS"/>
        <family val="2"/>
        <charset val="129"/>
      </rPr>
      <t>모든</t>
    </r>
    <r>
      <rPr>
        <sz val="11"/>
        <color rgb="FF0000FF"/>
        <rFont val="Arial"/>
        <family val="2"/>
      </rPr>
      <t xml:space="preserve"> Duct Sensor </t>
    </r>
    <r>
      <rPr>
        <sz val="11"/>
        <color rgb="FF0000FF"/>
        <rFont val="Arial Unicode MS"/>
        <family val="2"/>
        <charset val="129"/>
      </rPr>
      <t>값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동일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설정</t>
    </r>
    <phoneticPr fontId="10" type="noConversion"/>
  </si>
  <si>
    <r>
      <rPr>
        <sz val="11"/>
        <rFont val="Arial Unicode MS"/>
        <family val="2"/>
        <charset val="129"/>
      </rPr>
      <t>공조제어</t>
    </r>
    <r>
      <rPr>
        <sz val="11"/>
        <rFont val="Arial"/>
        <family val="2"/>
      </rPr>
      <t xml:space="preserve"> </t>
    </r>
    <r>
      <rPr>
        <sz val="11"/>
        <rFont val="Arial Unicode MS"/>
        <family val="2"/>
        <charset val="129"/>
      </rPr>
      <t>연산에</t>
    </r>
    <r>
      <rPr>
        <sz val="11"/>
        <rFont val="Arial"/>
        <family val="2"/>
      </rPr>
      <t xml:space="preserve"> </t>
    </r>
    <r>
      <rPr>
        <sz val="11"/>
        <rFont val="Arial Unicode MS"/>
        <family val="2"/>
        <charset val="129"/>
      </rPr>
      <t>따름</t>
    </r>
    <phoneticPr fontId="10" type="noConversion"/>
  </si>
  <si>
    <t>DATC_IntakeSta</t>
    <phoneticPr fontId="11" type="noConversion"/>
  </si>
  <si>
    <t>IntakeSta</t>
    <phoneticPr fontId="11" type="noConversion"/>
  </si>
  <si>
    <r>
      <t xml:space="preserve">Intake </t>
    </r>
    <r>
      <rPr>
        <sz val="10"/>
        <rFont val="Arial Unicode MS"/>
        <family val="2"/>
        <charset val="129"/>
      </rPr>
      <t>상태</t>
    </r>
    <phoneticPr fontId="11" type="noConversion"/>
  </si>
  <si>
    <t>0x0:Default/0x1:REC (Fresh off)/0x2:FRE (Rec off)/0x3:Error Indicator</t>
    <phoneticPr fontId="11" type="noConversion"/>
  </si>
  <si>
    <t>Navi_AirConditionWarning</t>
    <phoneticPr fontId="11" type="noConversion"/>
  </si>
  <si>
    <t>0x0:Unknown/0x1:On(Close)/0x2:Off/0x3:Invalid</t>
    <phoneticPr fontId="11" type="noConversion"/>
  </si>
  <si>
    <r>
      <rPr>
        <sz val="10"/>
        <rFont val="Arial Unicode MS"/>
        <family val="2"/>
        <charset val="129"/>
      </rPr>
      <t>터널연동</t>
    </r>
    <r>
      <rPr>
        <sz val="10"/>
        <rFont val="Arial"/>
        <family val="2"/>
      </rPr>
      <t xml:space="preserve"> Signal Defualt </t>
    </r>
    <r>
      <rPr>
        <sz val="10"/>
        <rFont val="맑은 고딕"/>
        <family val="3"/>
        <charset val="129"/>
      </rPr>
      <t>값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설정</t>
    </r>
    <phoneticPr fontId="9" type="noConversion"/>
  </si>
  <si>
    <t>Wiper_FrWiperWshSwSta</t>
  </si>
  <si>
    <t>Wiper_FrWiperWshSwSta_IBU</t>
  </si>
  <si>
    <t>ENG_AirCompRlySta</t>
  </si>
  <si>
    <t>DATC_ClmtTxtPopupOSD</t>
    <phoneticPr fontId="11" type="noConversion"/>
  </si>
  <si>
    <t>ClmtTxtPopupOSD</t>
    <phoneticPr fontId="11" type="noConversion"/>
  </si>
  <si>
    <r>
      <t xml:space="preserve">TextPopup </t>
    </r>
    <r>
      <rPr>
        <sz val="10"/>
        <rFont val="Arial Unicode MS"/>
        <family val="2"/>
        <charset val="129"/>
      </rPr>
      <t>신호</t>
    </r>
    <phoneticPr fontId="11" type="noConversion"/>
  </si>
  <si>
    <t>0x0:Off/0x1:On/0x2:Not Used/0x3:Error Indicator</t>
    <phoneticPr fontId="11" type="noConversion"/>
  </si>
  <si>
    <r>
      <t>*</t>
    </r>
    <r>
      <rPr>
        <sz val="10"/>
        <rFont val="Arial Unicode MS"/>
        <family val="2"/>
        <charset val="129"/>
      </rPr>
      <t>차종별</t>
    </r>
    <r>
      <rPr>
        <sz val="10"/>
        <rFont val="Arial"/>
        <family val="2"/>
      </rPr>
      <t xml:space="preserve"> CAN Signal List </t>
    </r>
    <r>
      <rPr>
        <sz val="10"/>
        <rFont val="Arial Unicode MS"/>
        <family val="2"/>
        <charset val="129"/>
      </rPr>
      <t>확인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필요</t>
    </r>
    <phoneticPr fontId="11" type="noConversion"/>
  </si>
  <si>
    <r>
      <rPr>
        <sz val="10"/>
        <rFont val="Arial Unicode MS"/>
        <family val="2"/>
        <charset val="129"/>
      </rPr>
      <t>터널연동제어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내기제어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</si>
  <si>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On/Off </t>
    </r>
    <r>
      <rPr>
        <sz val="10"/>
        <rFont val="Arial Unicode MS"/>
        <family val="2"/>
        <charset val="129"/>
      </rPr>
      <t>상태</t>
    </r>
    <phoneticPr fontId="11" type="noConversion"/>
  </si>
  <si>
    <t>0x0:Default/0x1:Washer fluid USM OFF/0x2:Washer fluid USM ON/0x3:Invalid</t>
    <phoneticPr fontId="11" type="noConversion"/>
  </si>
  <si>
    <t>0x0:Default/0x1:OFF/0x2:ON/0x3:Invalid</t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</si>
  <si>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 On/Off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</si>
  <si>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진입</t>
    </r>
    <r>
      <rPr>
        <sz val="10"/>
        <rFont val="Arial"/>
        <family val="2"/>
      </rPr>
      <t>/</t>
    </r>
    <r>
      <rPr>
        <sz val="10"/>
        <rFont val="Arial Unicode MS"/>
        <family val="2"/>
        <charset val="129"/>
      </rPr>
      <t>해제</t>
    </r>
    <phoneticPr fontId="11" type="noConversion"/>
  </si>
  <si>
    <t>HU_DATC_WshFldUSMSet</t>
    <phoneticPr fontId="11" type="noConversion"/>
  </si>
  <si>
    <t>WshFldUSMSet</t>
    <phoneticPr fontId="11" type="noConversion"/>
  </si>
  <si>
    <t>DATC_WshFldUSMSta</t>
    <phoneticPr fontId="11" type="noConversion"/>
  </si>
  <si>
    <t>WshFldUSMSta</t>
    <phoneticPr fontId="11" type="noConversion"/>
  </si>
  <si>
    <t>MFSW_WasherSw</t>
    <phoneticPr fontId="11" type="noConversion"/>
  </si>
  <si>
    <t>IBU_WasherSw</t>
    <phoneticPr fontId="11" type="noConversion"/>
  </si>
  <si>
    <t>RLY_AC</t>
    <phoneticPr fontId="11" type="noConversion"/>
  </si>
  <si>
    <r>
      <t xml:space="preserve">USM Signal Defualt </t>
    </r>
    <r>
      <rPr>
        <sz val="10"/>
        <rFont val="Arial Unicode MS"/>
        <family val="2"/>
        <charset val="129"/>
      </rPr>
      <t>값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설정</t>
    </r>
    <phoneticPr fontId="9" type="noConversion"/>
  </si>
  <si>
    <t>Washer_AC_On</t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</si>
  <si>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(="ADS OFF" </t>
    </r>
    <r>
      <rPr>
        <sz val="10"/>
        <rFont val="맑은 고딕"/>
        <family val="2"/>
        <charset val="129"/>
      </rPr>
      <t>심볼</t>
    </r>
    <r>
      <rPr>
        <sz val="10"/>
        <rFont val="Arial"/>
        <family val="2"/>
      </rPr>
      <t xml:space="preserve"> </t>
    </r>
    <r>
      <rPr>
        <sz val="10"/>
        <rFont val="Gulim"/>
        <family val="2"/>
      </rPr>
      <t>無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사양</t>
    </r>
    <r>
      <rPr>
        <sz val="10"/>
        <rFont val="Arial"/>
        <family val="2"/>
      </rPr>
      <t>)</t>
    </r>
    <phoneticPr fontId="11" type="noConversion"/>
  </si>
  <si>
    <r>
      <rPr>
        <sz val="10"/>
        <rFont val="Arial Unicode MS"/>
        <family val="2"/>
        <charset val="129"/>
      </rPr>
      <t>난방기동제어</t>
    </r>
    <r>
      <rPr>
        <sz val="10"/>
        <rFont val="Arial"/>
        <family val="2"/>
      </rPr>
      <t xml:space="preserve">(O : </t>
    </r>
    <r>
      <rPr>
        <sz val="10"/>
        <rFont val="굴림"/>
        <family val="2"/>
        <charset val="129"/>
      </rPr>
      <t>냉각수온</t>
    </r>
    <r>
      <rPr>
        <sz val="10"/>
        <rFont val="Arial"/>
        <family val="2"/>
      </rPr>
      <t>, X : Duct)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</si>
  <si>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(O : AC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On, X : </t>
    </r>
    <r>
      <rPr>
        <sz val="10"/>
        <rFont val="Arial Unicode MS"/>
        <family val="2"/>
        <charset val="129"/>
      </rPr>
      <t>이전상태</t>
    </r>
    <r>
      <rPr>
        <sz val="10"/>
        <rFont val="Arial"/>
        <family val="2"/>
      </rPr>
      <t>)</t>
    </r>
    <phoneticPr fontId="11" type="noConversion"/>
  </si>
  <si>
    <r>
      <t xml:space="preserve">Name: </t>
    </r>
    <r>
      <rPr>
        <b/>
        <sz val="10"/>
        <rFont val="Arial Unicode MS"/>
        <family val="2"/>
        <charset val="129"/>
      </rPr>
      <t>적용</t>
    </r>
    <r>
      <rPr>
        <b/>
        <sz val="10"/>
        <rFont val="Arial"/>
        <family val="2"/>
      </rPr>
      <t>/</t>
    </r>
    <r>
      <rPr>
        <b/>
        <sz val="10"/>
        <rFont val="Arial Unicode MS"/>
        <family val="2"/>
        <charset val="129"/>
      </rPr>
      <t>미적용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확인</t>
    </r>
    <phoneticPr fontId="9" type="noConversion"/>
  </si>
  <si>
    <t>Glass_Temp</t>
    <phoneticPr fontId="9" type="noConversion"/>
  </si>
  <si>
    <t>INCAR</t>
    <phoneticPr fontId="9" type="noConversion"/>
  </si>
  <si>
    <t>검증유닛용_로직 작동 확인_Depth.1_ICE_내수일반</t>
    <phoneticPr fontId="5" type="noConversion"/>
  </si>
  <si>
    <t>Title12</t>
  </si>
  <si>
    <t>Title13</t>
  </si>
  <si>
    <t>Title14</t>
  </si>
  <si>
    <t>Title15</t>
  </si>
  <si>
    <t>Title16</t>
  </si>
  <si>
    <t>Title17</t>
  </si>
  <si>
    <t>Title18</t>
  </si>
  <si>
    <t>Title19</t>
  </si>
  <si>
    <t>Title20</t>
  </si>
  <si>
    <t>Title21</t>
  </si>
  <si>
    <t>Title22</t>
  </si>
  <si>
    <t>Title23</t>
  </si>
  <si>
    <t>Title24</t>
  </si>
  <si>
    <t>Title25</t>
  </si>
  <si>
    <t>Title26</t>
  </si>
  <si>
    <t>Title27</t>
  </si>
  <si>
    <t>Title28</t>
  </si>
  <si>
    <t>Title29</t>
  </si>
  <si>
    <t>Title30</t>
  </si>
  <si>
    <t>Title31</t>
  </si>
  <si>
    <t>Title32</t>
  </si>
  <si>
    <t>Title33</t>
  </si>
  <si>
    <t>Title34</t>
  </si>
  <si>
    <t>Title35</t>
  </si>
  <si>
    <t>Title36</t>
  </si>
  <si>
    <t>Title37</t>
  </si>
  <si>
    <t>Title38</t>
  </si>
  <si>
    <t>Title39</t>
  </si>
  <si>
    <t>Title40</t>
  </si>
  <si>
    <t>Title45</t>
  </si>
  <si>
    <t>Title46</t>
  </si>
  <si>
    <t>Title47</t>
  </si>
  <si>
    <t>Title48</t>
  </si>
  <si>
    <t>Title49</t>
  </si>
  <si>
    <t>Title50</t>
  </si>
  <si>
    <t>Title51</t>
  </si>
  <si>
    <t>Title52</t>
  </si>
  <si>
    <t>Title55</t>
  </si>
  <si>
    <t>Title56</t>
  </si>
  <si>
    <t>Title57</t>
  </si>
  <si>
    <t>Title58</t>
  </si>
  <si>
    <t>Title62</t>
  </si>
  <si>
    <t>Title63</t>
  </si>
  <si>
    <t xml:space="preserve">RAM AIR </t>
  </si>
  <si>
    <t>100% FLOOR PURGE</t>
  </si>
  <si>
    <t>IGN ON/OFF LOGIC</t>
  </si>
  <si>
    <t>Title64</t>
  </si>
  <si>
    <t>T7</t>
    <phoneticPr fontId="4" type="noConversion"/>
  </si>
  <si>
    <t>T8</t>
    <phoneticPr fontId="4" type="noConversion"/>
  </si>
  <si>
    <t>T12</t>
  </si>
  <si>
    <t>T13</t>
  </si>
  <si>
    <t>T14</t>
  </si>
  <si>
    <t>T15</t>
  </si>
  <si>
    <t>T17</t>
    <phoneticPr fontId="4" type="noConversion"/>
  </si>
  <si>
    <t>T18</t>
  </si>
  <si>
    <t>T19</t>
  </si>
  <si>
    <t>T20</t>
  </si>
  <si>
    <t>T21</t>
  </si>
  <si>
    <t>T22</t>
  </si>
  <si>
    <t>T23</t>
  </si>
  <si>
    <t>T24</t>
  </si>
  <si>
    <t>T25</t>
  </si>
  <si>
    <t>T26</t>
  </si>
  <si>
    <t>T27</t>
  </si>
  <si>
    <t>T28</t>
  </si>
  <si>
    <t>T29</t>
  </si>
  <si>
    <t>T30</t>
  </si>
  <si>
    <t>T31</t>
  </si>
  <si>
    <t>T32</t>
  </si>
  <si>
    <t>T33</t>
  </si>
  <si>
    <t>T34</t>
  </si>
  <si>
    <t>T35</t>
  </si>
  <si>
    <t>T36</t>
  </si>
  <si>
    <t>T37</t>
    <phoneticPr fontId="4" type="noConversion"/>
  </si>
  <si>
    <t>T38</t>
    <phoneticPr fontId="4" type="noConversion"/>
  </si>
  <si>
    <t>T45</t>
  </si>
  <si>
    <t>T46</t>
  </si>
  <si>
    <t>T47</t>
  </si>
  <si>
    <t>T48</t>
  </si>
  <si>
    <t>T49</t>
  </si>
  <si>
    <t>T50</t>
  </si>
  <si>
    <t>T51</t>
  </si>
  <si>
    <t>T52</t>
  </si>
  <si>
    <t>T55</t>
  </si>
  <si>
    <t>T58</t>
  </si>
  <si>
    <t>T64</t>
  </si>
  <si>
    <t>T38.1</t>
  </si>
  <si>
    <t>P38.1</t>
  </si>
  <si>
    <t>T38.1.3</t>
  </si>
  <si>
    <t>T37.1</t>
  </si>
  <si>
    <t>P37.1</t>
  </si>
  <si>
    <t>T37.1.1</t>
  </si>
  <si>
    <t>T37.1.2</t>
  </si>
  <si>
    <t>T37.2</t>
  </si>
  <si>
    <t>T37.2.1</t>
  </si>
  <si>
    <t>T37.2.2</t>
  </si>
  <si>
    <t>T37.2.3</t>
  </si>
  <si>
    <t>T36.1</t>
  </si>
  <si>
    <t>P36.1</t>
  </si>
  <si>
    <t>T36.1.3</t>
  </si>
  <si>
    <t>T36.1.4</t>
  </si>
  <si>
    <t>T15.1</t>
  </si>
  <si>
    <t>P15.1</t>
  </si>
  <si>
    <t>T15.1.1</t>
  </si>
  <si>
    <t>T15.1.2</t>
  </si>
  <si>
    <t>T38.2</t>
    <phoneticPr fontId="9" type="noConversion"/>
  </si>
  <si>
    <t>O : LHD, X : RHD</t>
    <phoneticPr fontId="11" type="noConversion"/>
  </si>
  <si>
    <t>LHD_RHD</t>
    <phoneticPr fontId="11" type="noConversion"/>
  </si>
  <si>
    <t>Incar_IN</t>
    <phoneticPr fontId="11" type="noConversion"/>
  </si>
  <si>
    <t>Amb_IN</t>
    <phoneticPr fontId="11" type="noConversion"/>
  </si>
  <si>
    <t>EvaDr_IN</t>
    <phoneticPr fontId="11" type="noConversion"/>
  </si>
  <si>
    <t>EvaPs_IN</t>
    <phoneticPr fontId="11" type="noConversion"/>
  </si>
  <si>
    <t>Snr_Incar(V)_IN</t>
    <phoneticPr fontId="11" type="noConversion"/>
  </si>
  <si>
    <t>Snr_Amb(V)_IN</t>
    <phoneticPr fontId="11" type="noConversion"/>
  </si>
  <si>
    <t>Snr_Eva(V)_IN</t>
    <phoneticPr fontId="11" type="noConversion"/>
  </si>
  <si>
    <t>Snr_EvaPs(V)_IN</t>
    <phoneticPr fontId="11" type="noConversion"/>
  </si>
  <si>
    <r>
      <t xml:space="preserve">INCAR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</si>
  <si>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rPr>
        <sz val="10"/>
        <rFont val="굴림"/>
        <family val="2"/>
        <charset val="129"/>
      </rPr>
      <t>외기온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</si>
  <si>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t xml:space="preserve">Eva Dr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</si>
  <si>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t xml:space="preserve">Eva Ps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</si>
  <si>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t>Sw_DrTemp_Dn</t>
  </si>
  <si>
    <t>ADS_Def</t>
  </si>
  <si>
    <t>T19.1</t>
  </si>
  <si>
    <t>P19.1</t>
  </si>
  <si>
    <t>T19.1.1</t>
  </si>
  <si>
    <t>T19.1.2</t>
  </si>
  <si>
    <t>T19.1.3</t>
  </si>
  <si>
    <t>T19.1.4</t>
  </si>
  <si>
    <t>T19.1.5</t>
  </si>
  <si>
    <t>T19.1.6</t>
  </si>
  <si>
    <t>T19.1.7</t>
  </si>
  <si>
    <t>T19.1.8</t>
  </si>
  <si>
    <t>T19.1.9</t>
  </si>
  <si>
    <t>T19.2</t>
  </si>
  <si>
    <t>P19.2</t>
  </si>
  <si>
    <t>T19.2.1</t>
  </si>
  <si>
    <t>T19.2.2</t>
  </si>
  <si>
    <t>T18.1</t>
  </si>
  <si>
    <t>P18.1</t>
  </si>
  <si>
    <t>T18.1.1</t>
  </si>
  <si>
    <t>T18.1.3</t>
  </si>
  <si>
    <t>T18.1.4</t>
  </si>
  <si>
    <t>T18.1.5</t>
  </si>
  <si>
    <t>T18.1.6</t>
  </si>
  <si>
    <t>T18.1.7</t>
  </si>
  <si>
    <t>T18.1.8</t>
  </si>
  <si>
    <t>T18.1.9</t>
  </si>
  <si>
    <t>T18.2</t>
  </si>
  <si>
    <t>P18.2</t>
  </si>
  <si>
    <t>T18.2.3</t>
  </si>
  <si>
    <t>T18.2.4</t>
  </si>
  <si>
    <t>T18.2.5</t>
  </si>
  <si>
    <t>T18.2.6</t>
  </si>
  <si>
    <t>T18.2.7</t>
  </si>
  <si>
    <t>T18.2.8</t>
  </si>
  <si>
    <t>T18.2.9</t>
  </si>
  <si>
    <t>T14.1</t>
  </si>
  <si>
    <t>P14.1</t>
  </si>
  <si>
    <t>T14.1.1</t>
  </si>
  <si>
    <t>T14.1.2</t>
  </si>
  <si>
    <t>T13.1</t>
  </si>
  <si>
    <t>P13.1</t>
  </si>
  <si>
    <t>T13.1.1</t>
  </si>
  <si>
    <t>T13.1.2</t>
  </si>
  <si>
    <t>T12.1</t>
  </si>
  <si>
    <t>P12.1</t>
  </si>
  <si>
    <t>T12.1.1</t>
  </si>
  <si>
    <t>T12.1.2</t>
  </si>
  <si>
    <t>T17.1</t>
  </si>
  <si>
    <t>P17.1</t>
  </si>
  <si>
    <t>T17.1.1</t>
  </si>
  <si>
    <t>T17.1.2</t>
  </si>
  <si>
    <t>T17.1.3</t>
  </si>
  <si>
    <t>T17.1.4</t>
  </si>
  <si>
    <t>Sw_REC</t>
  </si>
  <si>
    <t>T17.2</t>
    <phoneticPr fontId="9" type="noConversion"/>
  </si>
  <si>
    <t>T17.3</t>
    <phoneticPr fontId="9" type="noConversion"/>
  </si>
  <si>
    <t>BAT_ON_Initialize</t>
    <phoneticPr fontId="11" type="noConversion"/>
  </si>
  <si>
    <t>O : System On, X : System Off</t>
    <phoneticPr fontId="11" type="noConversion"/>
  </si>
  <si>
    <t>Delay(Sec)</t>
    <phoneticPr fontId="10" type="noConversion"/>
  </si>
  <si>
    <t>T18.1.2</t>
    <phoneticPr fontId="9" type="noConversion"/>
  </si>
  <si>
    <t>T18.1.2</t>
    <phoneticPr fontId="10" type="noConversion"/>
  </si>
  <si>
    <t>T18.1.3</t>
    <phoneticPr fontId="10" type="noConversion"/>
  </si>
  <si>
    <t>T18.1.4</t>
    <phoneticPr fontId="10" type="noConversion"/>
  </si>
  <si>
    <t>T18.1.5</t>
    <phoneticPr fontId="10" type="noConversion"/>
  </si>
  <si>
    <t>T18.1.6</t>
    <phoneticPr fontId="10" type="noConversion"/>
  </si>
  <si>
    <t>T18.1.7</t>
    <phoneticPr fontId="10" type="noConversion"/>
  </si>
  <si>
    <t>T18.1.8</t>
    <phoneticPr fontId="10" type="noConversion"/>
  </si>
  <si>
    <t>T18.1.9</t>
    <phoneticPr fontId="10" type="noConversion"/>
  </si>
  <si>
    <t>T18.2.1</t>
    <phoneticPr fontId="10" type="noConversion"/>
  </si>
  <si>
    <t>T18.2.2</t>
    <phoneticPr fontId="10" type="noConversion"/>
  </si>
  <si>
    <t>T18.2.3</t>
    <phoneticPr fontId="10" type="noConversion"/>
  </si>
  <si>
    <t>T18.2.4</t>
    <phoneticPr fontId="10" type="noConversion"/>
  </si>
  <si>
    <t>T18.2.5</t>
    <phoneticPr fontId="10" type="noConversion"/>
  </si>
  <si>
    <t>T18.2.6</t>
    <phoneticPr fontId="10" type="noConversion"/>
  </si>
  <si>
    <t>T18.2.7</t>
    <phoneticPr fontId="10" type="noConversion"/>
  </si>
  <si>
    <t>T18.2.9</t>
    <phoneticPr fontId="10" type="noConversion"/>
  </si>
  <si>
    <t>T18.2.1</t>
    <phoneticPr fontId="9" type="noConversion"/>
  </si>
  <si>
    <t>T18.2.2</t>
    <phoneticPr fontId="9" type="noConversion"/>
  </si>
  <si>
    <r>
      <t>3</t>
    </r>
    <r>
      <rPr>
        <sz val="10"/>
        <rFont val="돋움"/>
        <family val="2"/>
        <charset val="129"/>
      </rPr>
      <t>초간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점멸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후</t>
    </r>
    <r>
      <rPr>
        <sz val="10"/>
        <rFont val="Arial"/>
        <family val="2"/>
      </rPr>
      <t xml:space="preserve"> AUTO_Defog</t>
    </r>
    <phoneticPr fontId="9" type="noConversion"/>
  </si>
  <si>
    <t>0x0: No Error[0]/0x1: Error[1]</t>
    <phoneticPr fontId="11" type="noConversion"/>
  </si>
  <si>
    <t>T19.2.2</t>
    <phoneticPr fontId="10" type="noConversion"/>
  </si>
  <si>
    <t>T19.2.3</t>
    <phoneticPr fontId="10" type="noConversion"/>
  </si>
  <si>
    <t>AUTO_Defog</t>
    <phoneticPr fontId="9" type="noConversion"/>
  </si>
  <si>
    <t>IGN1,2 On 시점부터 3초 후 Blower 전압 상승 확인할 것</t>
  </si>
  <si>
    <t>IGN1,2 On 시점부터 8초 후 Mode 전압 변경 확인할 것</t>
  </si>
  <si>
    <t>System On 시점부터 3초 후 Blower 전압 상승 확인할 것</t>
  </si>
  <si>
    <t>IGN1,2_On</t>
    <phoneticPr fontId="10" type="noConversion"/>
  </si>
  <si>
    <t>Off</t>
    <phoneticPr fontId="10" type="noConversion"/>
  </si>
  <si>
    <t>Mix</t>
    <phoneticPr fontId="9" type="noConversion"/>
  </si>
  <si>
    <t>T38.1.2</t>
    <phoneticPr fontId="9" type="noConversion"/>
  </si>
  <si>
    <t>T38.1.2</t>
    <phoneticPr fontId="10" type="noConversion"/>
  </si>
  <si>
    <t>T38.1.3</t>
    <phoneticPr fontId="10" type="noConversion"/>
  </si>
  <si>
    <t>T38.1.4</t>
    <phoneticPr fontId="10" type="noConversion"/>
  </si>
  <si>
    <t>RrTemp_Cool_Act</t>
    <phoneticPr fontId="9" type="noConversion"/>
  </si>
  <si>
    <t>RrTemp_Warm_Act</t>
    <phoneticPr fontId="9" type="noConversion"/>
  </si>
  <si>
    <t>VS_VehSpd_Kmh</t>
    <phoneticPr fontId="11" type="noConversion"/>
  </si>
  <si>
    <t>CO2_Warning</t>
    <phoneticPr fontId="11" type="noConversion"/>
  </si>
  <si>
    <t>CF_Datc_CO2_Warning</t>
    <phoneticPr fontId="11" type="noConversion"/>
  </si>
  <si>
    <t>Snr_CO2(V)_IN</t>
    <phoneticPr fontId="11" type="noConversion"/>
  </si>
  <si>
    <t>CO2_OUT</t>
    <phoneticPr fontId="11" type="noConversion"/>
  </si>
  <si>
    <t>CO2(PPM)_OUT</t>
    <phoneticPr fontId="11" type="noConversion"/>
  </si>
  <si>
    <t>CO2_PPM_V</t>
    <phoneticPr fontId="11" type="noConversion"/>
  </si>
  <si>
    <t>Name: Tbl_RrTempFB_Volt_Vent</t>
    <phoneticPr fontId="9" type="noConversion"/>
  </si>
  <si>
    <t>Name: Tbl_RrTempFB_Volt_Floor</t>
    <phoneticPr fontId="9" type="noConversion"/>
  </si>
  <si>
    <t>FRONT TEMP (DR 기준)</t>
  </si>
  <si>
    <t>REAR TEMP COOL</t>
  </si>
  <si>
    <t>REAR TEMP WARM</t>
  </si>
  <si>
    <t>Name: Tbl_CO2_Snr</t>
    <phoneticPr fontId="9" type="noConversion"/>
  </si>
  <si>
    <t>Act_RrTemp_Cool</t>
  </si>
  <si>
    <t>Act_RrTemp_Warm</t>
  </si>
  <si>
    <t>Act_RrTemp_Cool.FB(V)_OUT</t>
  </si>
  <si>
    <t>Act_RrTemp_Warm.FB(V)_OUT</t>
  </si>
  <si>
    <r>
      <t xml:space="preserve">Temp_TD </t>
    </r>
    <r>
      <rPr>
        <sz val="10"/>
        <rFont val="돋움"/>
        <family val="3"/>
        <charset val="129"/>
      </rPr>
      <t>연산에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따름</t>
    </r>
  </si>
  <si>
    <t>RrTemp_Cool_Actuator 전압</t>
  </si>
  <si>
    <t>RrTemp_Warm_Actuator 전압</t>
  </si>
  <si>
    <t>MsgBox</t>
    <phoneticPr fontId="10" type="noConversion"/>
  </si>
  <si>
    <r>
      <t>10</t>
    </r>
    <r>
      <rPr>
        <sz val="11"/>
        <rFont val="맑은 고딕"/>
        <family val="2"/>
        <charset val="129"/>
      </rPr>
      <t>초</t>
    </r>
    <r>
      <rPr>
        <sz val="11"/>
        <rFont val="Arial"/>
        <family val="2"/>
      </rPr>
      <t xml:space="preserve"> </t>
    </r>
    <r>
      <rPr>
        <sz val="11"/>
        <rFont val="맑은 고딕"/>
        <family val="2"/>
        <charset val="129"/>
      </rPr>
      <t>동안</t>
    </r>
    <r>
      <rPr>
        <sz val="11"/>
        <rFont val="Arial"/>
        <family val="2"/>
      </rPr>
      <t xml:space="preserve"> </t>
    </r>
    <r>
      <rPr>
        <sz val="11"/>
        <rFont val="맑은 고딕"/>
        <family val="2"/>
        <charset val="129"/>
      </rPr>
      <t>각각의</t>
    </r>
    <r>
      <rPr>
        <sz val="11"/>
        <rFont val="Arial"/>
        <family val="2"/>
      </rPr>
      <t xml:space="preserve"> Act_F/B(V)</t>
    </r>
    <r>
      <rPr>
        <sz val="11"/>
        <rFont val="맑은 고딕"/>
        <family val="2"/>
        <charset val="129"/>
      </rPr>
      <t>까지</t>
    </r>
    <r>
      <rPr>
        <sz val="11"/>
        <rFont val="Arial"/>
        <family val="2"/>
      </rPr>
      <t xml:space="preserve"> </t>
    </r>
    <r>
      <rPr>
        <sz val="11"/>
        <rFont val="맑은 고딕"/>
        <family val="2"/>
        <charset val="129"/>
      </rPr>
      <t>제어되는지</t>
    </r>
    <r>
      <rPr>
        <sz val="11"/>
        <rFont val="Arial"/>
        <family val="2"/>
      </rPr>
      <t xml:space="preserve"> </t>
    </r>
    <r>
      <rPr>
        <sz val="11"/>
        <rFont val="맑은 고딕"/>
        <family val="2"/>
        <charset val="129"/>
      </rPr>
      <t>확인할</t>
    </r>
    <r>
      <rPr>
        <sz val="11"/>
        <rFont val="Arial"/>
        <family val="2"/>
      </rPr>
      <t xml:space="preserve"> </t>
    </r>
    <r>
      <rPr>
        <sz val="11"/>
        <rFont val="맑은 고딕"/>
        <family val="2"/>
        <charset val="129"/>
      </rPr>
      <t>것</t>
    </r>
    <phoneticPr fontId="10" type="noConversion"/>
  </si>
  <si>
    <t>T16.1.2</t>
  </si>
  <si>
    <r>
      <rPr>
        <b/>
        <sz val="10"/>
        <color indexed="8"/>
        <rFont val="돋움"/>
        <family val="3"/>
        <charset val="129"/>
      </rPr>
      <t>사양서</t>
    </r>
    <phoneticPr fontId="11" type="noConversion"/>
  </si>
  <si>
    <r>
      <t xml:space="preserve">TEMP DOOR </t>
    </r>
    <r>
      <rPr>
        <sz val="10"/>
        <color theme="1"/>
        <rFont val="돋움"/>
        <family val="3"/>
        <charset val="129"/>
      </rPr>
      <t>제어</t>
    </r>
  </si>
  <si>
    <r>
      <t xml:space="preserve">TEMP DOOR </t>
    </r>
    <r>
      <rPr>
        <sz val="10"/>
        <color theme="1"/>
        <rFont val="맑은 고딕"/>
        <family val="2"/>
        <charset val="129"/>
      </rPr>
      <t>제어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2"/>
        <charset val="129"/>
      </rPr>
      <t>확인</t>
    </r>
    <phoneticPr fontId="9" type="noConversion"/>
  </si>
  <si>
    <r>
      <rPr>
        <sz val="10"/>
        <color theme="1"/>
        <rFont val="돋움"/>
        <family val="3"/>
        <charset val="129"/>
      </rPr>
      <t>일사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보상</t>
    </r>
  </si>
  <si>
    <r>
      <t xml:space="preserve">MIX Mode </t>
    </r>
    <r>
      <rPr>
        <sz val="10"/>
        <color theme="1"/>
        <rFont val="Arial Unicode MS"/>
        <family val="2"/>
        <charset val="129"/>
      </rPr>
      <t>선택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시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로직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작동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확인</t>
    </r>
    <r>
      <rPr>
        <sz val="10"/>
        <color theme="1"/>
        <rFont val="Arial"/>
        <family val="2"/>
      </rPr>
      <t xml:space="preserve"> - Auto Floor </t>
    </r>
    <r>
      <rPr>
        <sz val="10"/>
        <color theme="1"/>
        <rFont val="Arial Unicode MS"/>
        <family val="2"/>
        <charset val="129"/>
      </rPr>
      <t>상태</t>
    </r>
    <r>
      <rPr>
        <sz val="10"/>
        <color theme="1"/>
        <rFont val="Arial"/>
        <family val="2"/>
      </rPr>
      <t xml:space="preserve"> (AC Off, Intake FRE)</t>
    </r>
    <phoneticPr fontId="9" type="noConversion"/>
  </si>
  <si>
    <r>
      <t xml:space="preserve">DEF </t>
    </r>
    <r>
      <rPr>
        <sz val="10"/>
        <color theme="1"/>
        <rFont val="Arial Unicode MS"/>
        <family val="2"/>
        <charset val="129"/>
      </rPr>
      <t>선택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시</t>
    </r>
    <r>
      <rPr>
        <sz val="10"/>
        <color theme="1"/>
        <rFont val="Arial"/>
        <family val="2"/>
      </rPr>
      <t xml:space="preserve"> DEF </t>
    </r>
    <r>
      <rPr>
        <sz val="10"/>
        <color theme="1"/>
        <rFont val="Arial Unicode MS"/>
        <family val="2"/>
        <charset val="129"/>
      </rPr>
      <t>로직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및</t>
    </r>
    <r>
      <rPr>
        <sz val="10"/>
        <color theme="1"/>
        <rFont val="Arial"/>
        <family val="2"/>
      </rPr>
      <t xml:space="preserve"> DEF </t>
    </r>
    <r>
      <rPr>
        <sz val="10"/>
        <color theme="1"/>
        <rFont val="Arial Unicode MS"/>
        <family val="2"/>
        <charset val="129"/>
      </rPr>
      <t>풍량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증대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로직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확인</t>
    </r>
    <r>
      <rPr>
        <sz val="10"/>
        <color theme="1"/>
        <rFont val="Arial"/>
        <family val="2"/>
      </rPr>
      <t xml:space="preserve"> - Auto Floor </t>
    </r>
    <r>
      <rPr>
        <sz val="10"/>
        <color theme="1"/>
        <rFont val="Arial Unicode MS"/>
        <family val="2"/>
        <charset val="129"/>
      </rPr>
      <t>상태</t>
    </r>
    <r>
      <rPr>
        <sz val="10"/>
        <color theme="1"/>
        <rFont val="Arial"/>
        <family val="2"/>
      </rPr>
      <t xml:space="preserve"> (AC Off, Intake FRE, Blower &lt; 6.5)</t>
    </r>
    <phoneticPr fontId="9" type="noConversion"/>
  </si>
  <si>
    <r>
      <t xml:space="preserve">DEFOG LOGIC </t>
    </r>
    <r>
      <rPr>
        <sz val="10"/>
        <color theme="1"/>
        <rFont val="돋움"/>
        <family val="3"/>
        <charset val="129"/>
      </rPr>
      <t>제어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돋움"/>
        <family val="3"/>
        <charset val="129"/>
      </rPr>
      <t>내수</t>
    </r>
    <r>
      <rPr>
        <sz val="10"/>
        <color theme="1"/>
        <rFont val="Arial"/>
        <family val="2"/>
      </rPr>
      <t>/</t>
    </r>
    <r>
      <rPr>
        <sz val="10"/>
        <color theme="1"/>
        <rFont val="돋움"/>
        <family val="3"/>
        <charset val="129"/>
      </rPr>
      <t>일반</t>
    </r>
    <r>
      <rPr>
        <sz val="10"/>
        <color theme="1"/>
        <rFont val="Arial"/>
        <family val="2"/>
      </rPr>
      <t>/</t>
    </r>
    <r>
      <rPr>
        <sz val="10"/>
        <color theme="1"/>
        <rFont val="돋움"/>
        <family val="3"/>
        <charset val="129"/>
      </rPr>
      <t>인도</t>
    </r>
    <r>
      <rPr>
        <sz val="10"/>
        <color theme="1"/>
        <rFont val="Arial"/>
        <family val="2"/>
      </rPr>
      <t xml:space="preserve">) </t>
    </r>
  </si>
  <si>
    <r>
      <t xml:space="preserve">DEFOG LOGIC </t>
    </r>
    <r>
      <rPr>
        <sz val="10"/>
        <color theme="1"/>
        <rFont val="Arial Unicode MS"/>
        <family val="2"/>
        <charset val="129"/>
      </rPr>
      <t>제어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확인</t>
    </r>
    <r>
      <rPr>
        <sz val="10"/>
        <color theme="1"/>
        <rFont val="Arial"/>
        <family val="2"/>
      </rPr>
      <t xml:space="preserve"> - Mode, Mix/Def </t>
    </r>
    <r>
      <rPr>
        <sz val="10"/>
        <color theme="1"/>
        <rFont val="Arial Unicode MS"/>
        <family val="2"/>
        <charset val="129"/>
      </rPr>
      <t>외</t>
    </r>
    <phoneticPr fontId="9" type="noConversion"/>
  </si>
  <si>
    <r>
      <t xml:space="preserve">DEFOG LOGIC </t>
    </r>
    <r>
      <rPr>
        <sz val="10"/>
        <color theme="1"/>
        <rFont val="Arial Unicode MS"/>
        <family val="2"/>
        <charset val="129"/>
      </rPr>
      <t>제어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확인</t>
    </r>
    <r>
      <rPr>
        <sz val="10"/>
        <color theme="1"/>
        <rFont val="Arial"/>
        <family val="2"/>
      </rPr>
      <t xml:space="preserve"> - Mix/Def</t>
    </r>
    <phoneticPr fontId="9" type="noConversion"/>
  </si>
  <si>
    <r>
      <t>AUTO DEFOG</t>
    </r>
    <r>
      <rPr>
        <sz val="10"/>
        <color theme="1"/>
        <rFont val="돋움"/>
        <family val="3"/>
        <charset val="129"/>
      </rPr>
      <t>에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의한</t>
    </r>
    <r>
      <rPr>
        <sz val="10"/>
        <color theme="1"/>
        <rFont val="Arial"/>
        <family val="2"/>
      </rPr>
      <t xml:space="preserve"> A/C ON/OFF </t>
    </r>
    <r>
      <rPr>
        <sz val="10"/>
        <color theme="1"/>
        <rFont val="돋움"/>
        <family val="3"/>
        <charset val="129"/>
      </rPr>
      <t>제어</t>
    </r>
    <phoneticPr fontId="9" type="noConversion"/>
  </si>
  <si>
    <r>
      <t>AUTO DEFOG</t>
    </r>
    <r>
      <rPr>
        <sz val="10"/>
        <color theme="1"/>
        <rFont val="Arial Unicode MS"/>
        <family val="2"/>
        <charset val="129"/>
      </rPr>
      <t>에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의한</t>
    </r>
    <r>
      <rPr>
        <sz val="10"/>
        <color theme="1"/>
        <rFont val="Arial"/>
        <family val="2"/>
      </rPr>
      <t xml:space="preserve"> A/C ON/OFF </t>
    </r>
    <r>
      <rPr>
        <sz val="10"/>
        <color theme="1"/>
        <rFont val="Arial Unicode MS"/>
        <family val="2"/>
        <charset val="129"/>
      </rPr>
      <t>제어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2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2"/>
        <charset val="129"/>
      </rPr>
      <t>확인</t>
    </r>
    <phoneticPr fontId="9" type="noConversion"/>
  </si>
  <si>
    <r>
      <t xml:space="preserve">ADS </t>
    </r>
    <r>
      <rPr>
        <sz val="10"/>
        <color theme="1"/>
        <rFont val="맑은 고딕"/>
        <family val="2"/>
        <charset val="129"/>
      </rPr>
      <t>로직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2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2"/>
        <charset val="129"/>
      </rPr>
      <t>확인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맑은 고딕"/>
        <family val="2"/>
        <charset val="129"/>
      </rPr>
      <t>저온</t>
    </r>
    <r>
      <rPr>
        <sz val="10"/>
        <color theme="1"/>
        <rFont val="Arial"/>
        <family val="2"/>
      </rPr>
      <t>)</t>
    </r>
    <phoneticPr fontId="9" type="noConversion"/>
  </si>
  <si>
    <r>
      <t xml:space="preserve">MAX HOT </t>
    </r>
    <r>
      <rPr>
        <sz val="10"/>
        <color theme="1"/>
        <rFont val="돋움"/>
        <family val="3"/>
        <charset val="129"/>
      </rPr>
      <t>기능</t>
    </r>
  </si>
  <si>
    <r>
      <t xml:space="preserve">MaxCool&amp;Hot </t>
    </r>
    <r>
      <rPr>
        <sz val="10"/>
        <color theme="1"/>
        <rFont val="Arial Unicode MS"/>
        <family val="2"/>
        <charset val="129"/>
      </rPr>
      <t>우선순위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및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세부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확인</t>
    </r>
    <phoneticPr fontId="9" type="noConversion"/>
  </si>
  <si>
    <r>
      <t xml:space="preserve">MAX COOL </t>
    </r>
    <r>
      <rPr>
        <sz val="10"/>
        <color theme="1"/>
        <rFont val="돋움"/>
        <family val="3"/>
        <charset val="129"/>
      </rPr>
      <t>기능</t>
    </r>
  </si>
  <si>
    <r>
      <rPr>
        <sz val="10"/>
        <color theme="1"/>
        <rFont val="돋움"/>
        <family val="3"/>
        <charset val="129"/>
      </rPr>
      <t>난방기동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제어</t>
    </r>
  </si>
  <si>
    <r>
      <rPr>
        <sz val="10"/>
        <color theme="1"/>
        <rFont val="Arial Unicode MS"/>
        <family val="2"/>
        <charset val="129"/>
      </rPr>
      <t>난방기동제어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로직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확인</t>
    </r>
    <phoneticPr fontId="9" type="noConversion"/>
  </si>
  <si>
    <r>
      <rPr>
        <sz val="10"/>
        <color theme="1"/>
        <rFont val="Arial Unicode MS"/>
        <family val="2"/>
        <charset val="129"/>
      </rPr>
      <t>난방기동제어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진입</t>
    </r>
    <r>
      <rPr>
        <sz val="10"/>
        <color theme="1"/>
        <rFont val="Arial"/>
        <family val="2"/>
      </rPr>
      <t>/</t>
    </r>
    <r>
      <rPr>
        <sz val="10"/>
        <color theme="1"/>
        <rFont val="Arial Unicode MS"/>
        <family val="2"/>
        <charset val="129"/>
      </rPr>
      <t>해제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조건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확인</t>
    </r>
    <r>
      <rPr>
        <sz val="10"/>
        <color theme="1"/>
        <rFont val="Arial"/>
        <family val="2"/>
      </rPr>
      <t xml:space="preserve"> =&gt; </t>
    </r>
    <r>
      <rPr>
        <sz val="10"/>
        <color theme="1"/>
        <rFont val="Arial Unicode MS"/>
        <family val="2"/>
        <charset val="129"/>
      </rPr>
      <t>세부</t>
    </r>
    <r>
      <rPr>
        <sz val="10"/>
        <color theme="1"/>
        <rFont val="Arial"/>
        <family val="2"/>
      </rPr>
      <t xml:space="preserve"> TC </t>
    </r>
    <r>
      <rPr>
        <sz val="10"/>
        <color theme="1"/>
        <rFont val="Arial Unicode MS"/>
        <family val="2"/>
        <charset val="129"/>
      </rPr>
      <t>작성</t>
    </r>
    <phoneticPr fontId="9" type="noConversion"/>
  </si>
  <si>
    <r>
      <rPr>
        <sz val="10"/>
        <color theme="1"/>
        <rFont val="Arial Unicode MS"/>
        <family val="2"/>
        <charset val="129"/>
      </rPr>
      <t>난방기동제어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해제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조건별</t>
    </r>
    <r>
      <rPr>
        <sz val="10"/>
        <color theme="1"/>
        <rFont val="Arial"/>
        <family val="2"/>
      </rPr>
      <t xml:space="preserve"> Blower</t>
    </r>
    <r>
      <rPr>
        <sz val="10"/>
        <color theme="1"/>
        <rFont val="Arial Unicode MS"/>
        <family val="2"/>
        <charset val="129"/>
      </rPr>
      <t>제어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확인</t>
    </r>
    <r>
      <rPr>
        <sz val="10"/>
        <color theme="1"/>
        <rFont val="Arial"/>
        <family val="2"/>
      </rPr>
      <t xml:space="preserve"> =&gt; </t>
    </r>
    <r>
      <rPr>
        <sz val="10"/>
        <color theme="1"/>
        <rFont val="Arial Unicode MS"/>
        <family val="2"/>
        <charset val="129"/>
      </rPr>
      <t>세부</t>
    </r>
    <r>
      <rPr>
        <sz val="10"/>
        <color theme="1"/>
        <rFont val="Arial"/>
        <family val="2"/>
      </rPr>
      <t xml:space="preserve"> TC </t>
    </r>
    <r>
      <rPr>
        <sz val="10"/>
        <color theme="1"/>
        <rFont val="Arial Unicode MS"/>
        <family val="2"/>
        <charset val="129"/>
      </rPr>
      <t>작성</t>
    </r>
    <phoneticPr fontId="9" type="noConversion"/>
  </si>
  <si>
    <r>
      <rPr>
        <sz val="10"/>
        <color theme="1"/>
        <rFont val="Arial Unicode MS"/>
        <family val="2"/>
        <charset val="129"/>
      </rPr>
      <t>난방기동제어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우선순위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확인</t>
    </r>
    <r>
      <rPr>
        <sz val="10"/>
        <color theme="1"/>
        <rFont val="Arial"/>
        <family val="2"/>
      </rPr>
      <t xml:space="preserve"> =&gt; </t>
    </r>
    <r>
      <rPr>
        <sz val="10"/>
        <color theme="1"/>
        <rFont val="Arial Unicode MS"/>
        <family val="2"/>
        <charset val="129"/>
      </rPr>
      <t>세부</t>
    </r>
    <r>
      <rPr>
        <sz val="10"/>
        <color theme="1"/>
        <rFont val="Arial"/>
        <family val="2"/>
      </rPr>
      <t xml:space="preserve"> TC </t>
    </r>
    <r>
      <rPr>
        <sz val="10"/>
        <color theme="1"/>
        <rFont val="Arial Unicode MS"/>
        <family val="2"/>
        <charset val="129"/>
      </rPr>
      <t>작성</t>
    </r>
    <phoneticPr fontId="9" type="noConversion"/>
  </si>
  <si>
    <r>
      <t>BAT. ON</t>
    </r>
    <r>
      <rPr>
        <sz val="10"/>
        <color theme="1"/>
        <rFont val="돋움"/>
        <family val="3"/>
        <charset val="129"/>
      </rPr>
      <t>시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초기화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기능</t>
    </r>
  </si>
  <si>
    <r>
      <t>BAT. ON</t>
    </r>
    <r>
      <rPr>
        <sz val="10"/>
        <color theme="1"/>
        <rFont val="Arial Unicode MS"/>
        <family val="2"/>
        <charset val="129"/>
      </rPr>
      <t>시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초기화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기능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확인</t>
    </r>
    <phoneticPr fontId="9" type="noConversion"/>
  </si>
  <si>
    <r>
      <t xml:space="preserve">System Memory </t>
    </r>
    <r>
      <rPr>
        <sz val="10"/>
        <color theme="1"/>
        <rFont val="돋움"/>
        <family val="2"/>
        <charset val="129"/>
      </rPr>
      <t>기능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확인</t>
    </r>
    <phoneticPr fontId="9" type="noConversion"/>
  </si>
  <si>
    <r>
      <t xml:space="preserve">DEF </t>
    </r>
    <r>
      <rPr>
        <sz val="10"/>
        <color theme="1"/>
        <rFont val="돋움"/>
        <family val="3"/>
        <charset val="129"/>
      </rPr>
      <t>풍량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증대</t>
    </r>
    <r>
      <rPr>
        <sz val="10"/>
        <color theme="1"/>
        <rFont val="Arial"/>
        <family val="2"/>
      </rPr>
      <t xml:space="preserve"> LOGIC</t>
    </r>
  </si>
  <si>
    <r>
      <t xml:space="preserve">DEF </t>
    </r>
    <r>
      <rPr>
        <sz val="10"/>
        <color theme="1"/>
        <rFont val="Arial Unicode MS"/>
        <family val="2"/>
        <charset val="129"/>
      </rPr>
      <t>선택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시</t>
    </r>
    <r>
      <rPr>
        <sz val="10"/>
        <color theme="1"/>
        <rFont val="Arial"/>
        <family val="2"/>
      </rPr>
      <t xml:space="preserve"> DEF </t>
    </r>
    <r>
      <rPr>
        <sz val="10"/>
        <color theme="1"/>
        <rFont val="Arial Unicode MS"/>
        <family val="2"/>
        <charset val="129"/>
      </rPr>
      <t>로직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및</t>
    </r>
    <r>
      <rPr>
        <sz val="10"/>
        <color theme="1"/>
        <rFont val="Arial"/>
        <family val="2"/>
      </rPr>
      <t xml:space="preserve"> DEF </t>
    </r>
    <r>
      <rPr>
        <sz val="10"/>
        <color theme="1"/>
        <rFont val="Arial Unicode MS"/>
        <family val="2"/>
        <charset val="129"/>
      </rPr>
      <t>풍량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증대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로직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확인</t>
    </r>
    <phoneticPr fontId="9" type="noConversion"/>
  </si>
  <si>
    <r>
      <t xml:space="preserve">DEF </t>
    </r>
    <r>
      <rPr>
        <sz val="10"/>
        <color theme="1"/>
        <rFont val="Arial Unicode MS"/>
        <family val="2"/>
        <charset val="129"/>
      </rPr>
      <t>선택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시</t>
    </r>
    <r>
      <rPr>
        <sz val="10"/>
        <color theme="1"/>
        <rFont val="Arial"/>
        <family val="2"/>
      </rPr>
      <t xml:space="preserve"> DEF </t>
    </r>
    <r>
      <rPr>
        <sz val="10"/>
        <color theme="1"/>
        <rFont val="Arial Unicode MS"/>
        <family val="2"/>
        <charset val="129"/>
      </rPr>
      <t>로직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및</t>
    </r>
    <r>
      <rPr>
        <sz val="10"/>
        <color theme="1"/>
        <rFont val="Arial"/>
        <family val="2"/>
      </rPr>
      <t xml:space="preserve"> DEF </t>
    </r>
    <r>
      <rPr>
        <sz val="10"/>
        <color theme="1"/>
        <rFont val="Arial Unicode MS"/>
        <family val="2"/>
        <charset val="129"/>
      </rPr>
      <t>풍량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증대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로직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확인</t>
    </r>
    <r>
      <rPr>
        <sz val="10"/>
        <color theme="1"/>
        <rFont val="Arial"/>
        <family val="2"/>
      </rPr>
      <t xml:space="preserve"> - Auto Vent </t>
    </r>
    <r>
      <rPr>
        <sz val="10"/>
        <color theme="1"/>
        <rFont val="Arial Unicode MS"/>
        <family val="2"/>
        <charset val="129"/>
      </rPr>
      <t>상태</t>
    </r>
    <r>
      <rPr>
        <sz val="10"/>
        <color theme="1"/>
        <rFont val="Arial"/>
        <family val="2"/>
      </rPr>
      <t xml:space="preserve"> (AC On, Intake REC, Blower &gt; 6.5V)</t>
    </r>
    <phoneticPr fontId="9" type="noConversion"/>
  </si>
  <si>
    <r>
      <rPr>
        <sz val="10"/>
        <color theme="1"/>
        <rFont val="돋움"/>
        <family val="3"/>
        <charset val="129"/>
      </rPr>
      <t>해제</t>
    </r>
    <r>
      <rPr>
        <sz val="10"/>
        <color theme="1"/>
        <rFont val="Arial"/>
        <family val="2"/>
      </rPr>
      <t>/</t>
    </r>
    <r>
      <rPr>
        <sz val="10"/>
        <color theme="1"/>
        <rFont val="돋움"/>
        <family val="3"/>
        <charset val="129"/>
      </rPr>
      <t>복귀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로직</t>
    </r>
    <r>
      <rPr>
        <sz val="10"/>
        <color theme="1"/>
        <rFont val="Arial"/>
        <family val="2"/>
      </rPr>
      <t>(</t>
    </r>
    <r>
      <rPr>
        <sz val="10"/>
        <color theme="1"/>
        <rFont val="돋움"/>
        <family val="3"/>
        <charset val="129"/>
      </rPr>
      <t>북미</t>
    </r>
    <r>
      <rPr>
        <sz val="10"/>
        <color theme="1"/>
        <rFont val="Arial"/>
        <family val="2"/>
      </rPr>
      <t>/</t>
    </r>
    <r>
      <rPr>
        <sz val="10"/>
        <color theme="1"/>
        <rFont val="돋움"/>
        <family val="3"/>
        <charset val="129"/>
      </rPr>
      <t>중국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외</t>
    </r>
    <r>
      <rPr>
        <sz val="10"/>
        <color theme="1"/>
        <rFont val="Arial"/>
        <family val="2"/>
      </rPr>
      <t>)</t>
    </r>
  </si>
  <si>
    <r>
      <t xml:space="preserve">Key </t>
    </r>
    <r>
      <rPr>
        <sz val="10"/>
        <color theme="1"/>
        <rFont val="Arial Unicode MS"/>
        <family val="2"/>
        <charset val="129"/>
      </rPr>
      <t>조합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입력에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의한</t>
    </r>
    <r>
      <rPr>
        <sz val="10"/>
        <color theme="1"/>
        <rFont val="Arial"/>
        <family val="2"/>
      </rPr>
      <t xml:space="preserve"> A/C &amp; INTAKE </t>
    </r>
    <r>
      <rPr>
        <sz val="10"/>
        <color theme="1"/>
        <rFont val="Arial Unicode MS"/>
        <family val="2"/>
        <charset val="129"/>
      </rPr>
      <t>해제복귀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로직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확인</t>
    </r>
    <phoneticPr fontId="9" type="noConversion"/>
  </si>
  <si>
    <r>
      <t xml:space="preserve">AVN USM </t>
    </r>
    <r>
      <rPr>
        <sz val="10"/>
        <color theme="1"/>
        <rFont val="Arial Unicode MS"/>
        <family val="2"/>
        <charset val="129"/>
      </rPr>
      <t>설정에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의한</t>
    </r>
    <r>
      <rPr>
        <sz val="10"/>
        <color theme="1"/>
        <rFont val="Arial"/>
        <family val="2"/>
      </rPr>
      <t xml:space="preserve"> A/C &amp; INTAKE </t>
    </r>
    <r>
      <rPr>
        <sz val="10"/>
        <color theme="1"/>
        <rFont val="Arial Unicode MS"/>
        <family val="2"/>
        <charset val="129"/>
      </rPr>
      <t>해제</t>
    </r>
    <r>
      <rPr>
        <sz val="10"/>
        <color theme="1"/>
        <rFont val="Arial"/>
        <family val="2"/>
      </rPr>
      <t>/</t>
    </r>
    <r>
      <rPr>
        <sz val="10"/>
        <color theme="1"/>
        <rFont val="Arial Unicode MS"/>
        <family val="2"/>
        <charset val="129"/>
      </rPr>
      <t>복귀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로직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확인</t>
    </r>
    <phoneticPr fontId="9" type="noConversion"/>
  </si>
  <si>
    <r>
      <t xml:space="preserve">AUTO DEFOG </t>
    </r>
    <r>
      <rPr>
        <sz val="10"/>
        <color theme="1"/>
        <rFont val="돋움"/>
        <family val="3"/>
        <charset val="129"/>
      </rPr>
      <t>해제</t>
    </r>
    <r>
      <rPr>
        <sz val="10"/>
        <color theme="1"/>
        <rFont val="Arial"/>
        <family val="2"/>
      </rPr>
      <t>/</t>
    </r>
    <r>
      <rPr>
        <sz val="10"/>
        <color theme="1"/>
        <rFont val="돋움"/>
        <family val="3"/>
        <charset val="129"/>
      </rPr>
      <t>복귀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로직</t>
    </r>
  </si>
  <si>
    <r>
      <t xml:space="preserve">Key </t>
    </r>
    <r>
      <rPr>
        <sz val="10"/>
        <color theme="1"/>
        <rFont val="Arial Unicode MS"/>
        <family val="2"/>
        <charset val="129"/>
      </rPr>
      <t>조합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입력에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의한</t>
    </r>
    <r>
      <rPr>
        <sz val="10"/>
        <color theme="1"/>
        <rFont val="Arial"/>
        <family val="2"/>
      </rPr>
      <t xml:space="preserve"> AUTO DEFOG </t>
    </r>
    <r>
      <rPr>
        <sz val="10"/>
        <color theme="1"/>
        <rFont val="Arial Unicode MS"/>
        <family val="2"/>
        <charset val="129"/>
      </rPr>
      <t>해제복귀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로직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확인</t>
    </r>
    <r>
      <rPr>
        <sz val="10"/>
        <color theme="1"/>
        <rFont val="Arial"/>
        <family val="2"/>
      </rPr>
      <t>(</t>
    </r>
    <r>
      <rPr>
        <sz val="10"/>
        <color theme="1"/>
        <rFont val="Arial Unicode MS"/>
        <family val="2"/>
        <charset val="129"/>
      </rPr>
      <t>공조</t>
    </r>
    <r>
      <rPr>
        <sz val="10"/>
        <color theme="1"/>
        <rFont val="Arial"/>
        <family val="2"/>
      </rPr>
      <t xml:space="preserve"> LCD &amp; "ADS OFF" </t>
    </r>
    <r>
      <rPr>
        <sz val="10"/>
        <color theme="1"/>
        <rFont val="Arial Unicode MS"/>
        <family val="2"/>
        <charset val="129"/>
      </rPr>
      <t>심볼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有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사양</t>
    </r>
    <r>
      <rPr>
        <sz val="10"/>
        <color theme="1"/>
        <rFont val="Arial"/>
        <family val="2"/>
      </rPr>
      <t>)</t>
    </r>
    <phoneticPr fontId="9" type="noConversion"/>
  </si>
  <si>
    <r>
      <t xml:space="preserve">AVN USM </t>
    </r>
    <r>
      <rPr>
        <sz val="10"/>
        <color theme="1"/>
        <rFont val="Arial Unicode MS"/>
        <family val="2"/>
        <charset val="129"/>
      </rPr>
      <t>설정에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의한</t>
    </r>
    <r>
      <rPr>
        <sz val="10"/>
        <color theme="1"/>
        <rFont val="Arial"/>
        <family val="2"/>
      </rPr>
      <t xml:space="preserve"> AUTO DEFOG </t>
    </r>
    <r>
      <rPr>
        <sz val="10"/>
        <color theme="1"/>
        <rFont val="Arial Unicode MS"/>
        <family val="2"/>
        <charset val="129"/>
      </rPr>
      <t>해제</t>
    </r>
    <r>
      <rPr>
        <sz val="10"/>
        <color theme="1"/>
        <rFont val="Arial"/>
        <family val="2"/>
      </rPr>
      <t>/</t>
    </r>
    <r>
      <rPr>
        <sz val="10"/>
        <color theme="1"/>
        <rFont val="Arial Unicode MS"/>
        <family val="2"/>
        <charset val="129"/>
      </rPr>
      <t>복귀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로직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확인</t>
    </r>
    <phoneticPr fontId="9" type="noConversion"/>
  </si>
  <si>
    <r>
      <rPr>
        <sz val="10"/>
        <color theme="1"/>
        <rFont val="돋움"/>
        <family val="3"/>
        <charset val="129"/>
      </rPr>
      <t>클러스터이온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발생기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제어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돋움"/>
        <family val="3"/>
        <charset val="129"/>
      </rPr>
      <t>이온</t>
    </r>
    <r>
      <rPr>
        <sz val="10"/>
        <color theme="1"/>
        <rFont val="Arial"/>
        <family val="2"/>
      </rPr>
      <t xml:space="preserve"> MODE </t>
    </r>
    <r>
      <rPr>
        <sz val="10"/>
        <color theme="1"/>
        <rFont val="돋움"/>
        <family val="3"/>
        <charset val="129"/>
      </rPr>
      <t>有</t>
    </r>
    <r>
      <rPr>
        <sz val="10"/>
        <color theme="1"/>
        <rFont val="Arial"/>
        <family val="2"/>
      </rPr>
      <t>) (</t>
    </r>
    <r>
      <rPr>
        <sz val="10"/>
        <color theme="1"/>
        <rFont val="돋움"/>
        <family val="3"/>
        <charset val="129"/>
      </rPr>
      <t>장시간</t>
    </r>
    <r>
      <rPr>
        <sz val="10"/>
        <color theme="1"/>
        <rFont val="Arial"/>
        <family val="2"/>
      </rPr>
      <t>)</t>
    </r>
  </si>
  <si>
    <r>
      <t>PARTIAL(</t>
    </r>
    <r>
      <rPr>
        <sz val="10"/>
        <color theme="1"/>
        <rFont val="돋움"/>
        <family val="3"/>
        <charset val="129"/>
      </rPr>
      <t>가변</t>
    </r>
    <r>
      <rPr>
        <sz val="10"/>
        <color theme="1"/>
        <rFont val="Arial"/>
        <family val="2"/>
      </rPr>
      <t>) INTAKE LOGIC</t>
    </r>
  </si>
  <si>
    <r>
      <t xml:space="preserve">ISG </t>
    </r>
    <r>
      <rPr>
        <sz val="10"/>
        <color theme="1"/>
        <rFont val="돋움"/>
        <family val="3"/>
        <charset val="129"/>
      </rPr>
      <t>로직</t>
    </r>
    <r>
      <rPr>
        <sz val="10"/>
        <color theme="1"/>
        <rFont val="Arial"/>
        <family val="2"/>
      </rPr>
      <t xml:space="preserve"> &lt;</t>
    </r>
    <r>
      <rPr>
        <sz val="10"/>
        <color theme="1"/>
        <rFont val="돋움"/>
        <family val="3"/>
        <charset val="129"/>
      </rPr>
      <t>내연기관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차종</t>
    </r>
    <r>
      <rPr>
        <sz val="10"/>
        <color theme="1"/>
        <rFont val="Arial"/>
        <family val="2"/>
      </rPr>
      <t xml:space="preserve"> ONLY&gt;</t>
    </r>
  </si>
  <si>
    <r>
      <t>2</t>
    </r>
    <r>
      <rPr>
        <sz val="10"/>
        <color theme="1"/>
        <rFont val="돋움"/>
        <family val="3"/>
        <charset val="129"/>
      </rPr>
      <t>단</t>
    </r>
    <r>
      <rPr>
        <sz val="10"/>
        <color theme="1"/>
        <rFont val="Arial"/>
        <family val="2"/>
      </rPr>
      <t xml:space="preserve"> PTC </t>
    </r>
    <r>
      <rPr>
        <sz val="10"/>
        <color theme="1"/>
        <rFont val="돋움"/>
        <family val="3"/>
        <charset val="129"/>
      </rPr>
      <t>제어</t>
    </r>
    <r>
      <rPr>
        <sz val="10"/>
        <color theme="1"/>
        <rFont val="Arial"/>
        <family val="2"/>
      </rPr>
      <t xml:space="preserve"> LOGIC (GASOLINE </t>
    </r>
    <r>
      <rPr>
        <sz val="10"/>
        <color theme="1"/>
        <rFont val="돋움"/>
        <family val="3"/>
        <charset val="129"/>
      </rPr>
      <t>사양</t>
    </r>
    <r>
      <rPr>
        <sz val="10"/>
        <color theme="1"/>
        <rFont val="Arial"/>
        <family val="2"/>
      </rPr>
      <t>)</t>
    </r>
  </si>
  <si>
    <r>
      <t xml:space="preserve">ACTIVE ECO </t>
    </r>
    <r>
      <rPr>
        <sz val="10"/>
        <color theme="1"/>
        <rFont val="돋움"/>
        <family val="3"/>
        <charset val="129"/>
      </rPr>
      <t>로직</t>
    </r>
    <r>
      <rPr>
        <sz val="10"/>
        <color theme="1"/>
        <rFont val="Arial"/>
        <family val="2"/>
      </rPr>
      <t xml:space="preserve"> &lt;</t>
    </r>
    <r>
      <rPr>
        <sz val="10"/>
        <color theme="1"/>
        <rFont val="돋움"/>
        <family val="3"/>
        <charset val="129"/>
      </rPr>
      <t>내연기관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차종</t>
    </r>
    <r>
      <rPr>
        <sz val="10"/>
        <color theme="1"/>
        <rFont val="Arial"/>
        <family val="2"/>
      </rPr>
      <t xml:space="preserve"> ONLY&gt;</t>
    </r>
  </si>
  <si>
    <r>
      <t xml:space="preserve">BLOWER MAX SIGNAL </t>
    </r>
    <r>
      <rPr>
        <sz val="10"/>
        <color theme="1"/>
        <rFont val="돋움"/>
        <family val="3"/>
        <charset val="129"/>
      </rPr>
      <t>출력</t>
    </r>
  </si>
  <si>
    <r>
      <rPr>
        <sz val="10"/>
        <color theme="1"/>
        <rFont val="돋움"/>
        <family val="3"/>
        <charset val="129"/>
      </rPr>
      <t>원격공조제어</t>
    </r>
  </si>
  <si>
    <r>
      <rPr>
        <sz val="10"/>
        <color theme="1"/>
        <rFont val="맑은 고딕"/>
        <family val="2"/>
        <charset val="129"/>
      </rPr>
      <t>원격동조제어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확인</t>
    </r>
    <phoneticPr fontId="9" type="noConversion"/>
  </si>
  <si>
    <r>
      <t xml:space="preserve">100% FLOOR PURGE </t>
    </r>
    <r>
      <rPr>
        <sz val="10"/>
        <color theme="1"/>
        <rFont val="Arial Unicode MS"/>
        <family val="2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확인</t>
    </r>
    <r>
      <rPr>
        <sz val="10"/>
        <color theme="1"/>
        <rFont val="Arial"/>
        <family val="2"/>
      </rPr>
      <t xml:space="preserve"> - System On </t>
    </r>
    <r>
      <rPr>
        <sz val="10"/>
        <color theme="1"/>
        <rFont val="Arial Unicode MS"/>
        <family val="2"/>
        <charset val="129"/>
      </rPr>
      <t>상태</t>
    </r>
    <phoneticPr fontId="9" type="noConversion"/>
  </si>
  <si>
    <r>
      <t xml:space="preserve">100% FLOOR PURGE </t>
    </r>
    <r>
      <rPr>
        <sz val="10"/>
        <color theme="1"/>
        <rFont val="Arial Unicode MS"/>
        <family val="2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확인</t>
    </r>
    <r>
      <rPr>
        <sz val="10"/>
        <color theme="1"/>
        <rFont val="Arial"/>
        <family val="2"/>
      </rPr>
      <t xml:space="preserve"> - System Off </t>
    </r>
    <r>
      <rPr>
        <sz val="10"/>
        <color theme="1"/>
        <rFont val="Arial Unicode MS"/>
        <family val="2"/>
        <charset val="129"/>
      </rPr>
      <t>상태</t>
    </r>
    <phoneticPr fontId="9" type="noConversion"/>
  </si>
  <si>
    <r>
      <t xml:space="preserve">IGN ON/OFF LOGIC </t>
    </r>
    <r>
      <rPr>
        <sz val="10"/>
        <color theme="1"/>
        <rFont val="맑은 고딕"/>
        <family val="2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2"/>
        <charset val="129"/>
      </rPr>
      <t>확인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Arial Unicode MS"/>
        <family val="2"/>
        <charset val="129"/>
      </rPr>
      <t>외기온</t>
    </r>
    <r>
      <rPr>
        <sz val="10"/>
        <color theme="1"/>
        <rFont val="Arial"/>
        <family val="2"/>
      </rPr>
      <t xml:space="preserve"> 5degC </t>
    </r>
    <r>
      <rPr>
        <sz val="10"/>
        <color theme="1"/>
        <rFont val="Arial Unicode MS"/>
        <family val="2"/>
        <charset val="129"/>
      </rPr>
      <t>이하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조건</t>
    </r>
    <r>
      <rPr>
        <sz val="10"/>
        <color theme="1"/>
        <rFont val="Arial"/>
        <family val="2"/>
      </rPr>
      <t>)</t>
    </r>
    <phoneticPr fontId="9" type="noConversion"/>
  </si>
  <si>
    <r>
      <t xml:space="preserve">IGN ON/OFF LOGIC </t>
    </r>
    <r>
      <rPr>
        <sz val="10"/>
        <color theme="1"/>
        <rFont val="맑은 고딕"/>
        <family val="2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2"/>
        <charset val="129"/>
      </rPr>
      <t>확인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Arial Unicode MS"/>
        <family val="2"/>
        <charset val="129"/>
      </rPr>
      <t>외기온</t>
    </r>
    <r>
      <rPr>
        <sz val="10"/>
        <color theme="1"/>
        <rFont val="Arial"/>
        <family val="2"/>
      </rPr>
      <t xml:space="preserve"> 5degC </t>
    </r>
    <r>
      <rPr>
        <sz val="10"/>
        <color theme="1"/>
        <rFont val="Arial Unicode MS"/>
        <family val="2"/>
        <charset val="129"/>
      </rPr>
      <t>초과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조건</t>
    </r>
    <r>
      <rPr>
        <sz val="10"/>
        <color theme="1"/>
        <rFont val="Arial"/>
        <family val="2"/>
      </rPr>
      <t>)</t>
    </r>
    <phoneticPr fontId="9" type="noConversion"/>
  </si>
  <si>
    <r>
      <t xml:space="preserve">CO2 </t>
    </r>
    <r>
      <rPr>
        <sz val="10"/>
        <color theme="1"/>
        <rFont val="돋움"/>
        <family val="3"/>
        <charset val="129"/>
      </rPr>
      <t>제어</t>
    </r>
    <r>
      <rPr>
        <sz val="10"/>
        <color theme="1"/>
        <rFont val="Arial"/>
        <family val="2"/>
      </rPr>
      <t xml:space="preserve"> &lt;CO2 </t>
    </r>
    <r>
      <rPr>
        <sz val="10"/>
        <color theme="1"/>
        <rFont val="돋움"/>
        <family val="3"/>
        <charset val="129"/>
      </rPr>
      <t>사양</t>
    </r>
    <r>
      <rPr>
        <sz val="10"/>
        <color theme="1"/>
        <rFont val="Arial"/>
        <family val="2"/>
      </rPr>
      <t xml:space="preserve"> ONLY&gt;</t>
    </r>
  </si>
  <si>
    <r>
      <rPr>
        <sz val="10"/>
        <color theme="1"/>
        <rFont val="맑은 고딕"/>
        <family val="2"/>
        <charset val="129"/>
      </rPr>
      <t>온도단위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2"/>
        <charset val="129"/>
      </rPr>
      <t>동기화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2"/>
        <charset val="129"/>
      </rPr>
      <t>로직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확인</t>
    </r>
    <phoneticPr fontId="9" type="noConversion"/>
  </si>
  <si>
    <r>
      <rPr>
        <sz val="10"/>
        <color theme="1"/>
        <rFont val="돋움"/>
        <family val="3"/>
        <charset val="129"/>
      </rPr>
      <t>결로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방지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로직</t>
    </r>
    <r>
      <rPr>
        <sz val="10"/>
        <color theme="1"/>
        <rFont val="Arial"/>
        <family val="2"/>
      </rPr>
      <t xml:space="preserve"> &lt;</t>
    </r>
    <r>
      <rPr>
        <sz val="10"/>
        <color theme="1"/>
        <rFont val="돋움"/>
        <family val="3"/>
        <charset val="129"/>
      </rPr>
      <t>북미</t>
    </r>
    <r>
      <rPr>
        <sz val="10"/>
        <color theme="1"/>
        <rFont val="Arial"/>
        <family val="2"/>
      </rPr>
      <t>,</t>
    </r>
    <r>
      <rPr>
        <sz val="10"/>
        <color theme="1"/>
        <rFont val="돋움"/>
        <family val="3"/>
        <charset val="129"/>
      </rPr>
      <t>유럽</t>
    </r>
    <r>
      <rPr>
        <sz val="10"/>
        <color theme="1"/>
        <rFont val="Arial"/>
        <family val="2"/>
      </rPr>
      <t>,</t>
    </r>
    <r>
      <rPr>
        <sz val="10"/>
        <color theme="1"/>
        <rFont val="돋움"/>
        <family val="3"/>
        <charset val="129"/>
      </rPr>
      <t>중국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외</t>
    </r>
    <r>
      <rPr>
        <sz val="10"/>
        <color theme="1"/>
        <rFont val="Arial"/>
        <family val="2"/>
      </rPr>
      <t>&gt; (</t>
    </r>
    <r>
      <rPr>
        <sz val="10"/>
        <color theme="1"/>
        <rFont val="돋움"/>
        <family val="3"/>
        <charset val="129"/>
      </rPr>
      <t>장시간</t>
    </r>
    <r>
      <rPr>
        <sz val="10"/>
        <color theme="1"/>
        <rFont val="Arial"/>
        <family val="2"/>
      </rPr>
      <t>)</t>
    </r>
  </si>
  <si>
    <r>
      <rPr>
        <sz val="10"/>
        <color theme="1"/>
        <rFont val="돋움"/>
        <family val="3"/>
        <charset val="129"/>
      </rPr>
      <t>결로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방지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해제</t>
    </r>
    <r>
      <rPr>
        <sz val="10"/>
        <color theme="1"/>
        <rFont val="Arial"/>
        <family val="2"/>
      </rPr>
      <t>/</t>
    </r>
    <r>
      <rPr>
        <sz val="10"/>
        <color theme="1"/>
        <rFont val="돋움"/>
        <family val="3"/>
        <charset val="129"/>
      </rPr>
      <t>복귀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로직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돋움"/>
        <family val="3"/>
        <charset val="129"/>
      </rPr>
      <t>동작만</t>
    </r>
    <r>
      <rPr>
        <sz val="10"/>
        <color theme="1"/>
        <rFont val="Arial"/>
        <family val="2"/>
      </rPr>
      <t xml:space="preserve">, </t>
    </r>
    <r>
      <rPr>
        <sz val="10"/>
        <color theme="1"/>
        <rFont val="돋움"/>
        <family val="3"/>
        <charset val="129"/>
      </rPr>
      <t>확인은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장시간</t>
    </r>
    <r>
      <rPr>
        <sz val="10"/>
        <color theme="1"/>
        <rFont val="Arial"/>
        <family val="2"/>
      </rPr>
      <t>)</t>
    </r>
  </si>
  <si>
    <r>
      <t xml:space="preserve">Key </t>
    </r>
    <r>
      <rPr>
        <sz val="10"/>
        <color theme="1"/>
        <rFont val="Arial Unicode MS"/>
        <family val="2"/>
        <charset val="129"/>
      </rPr>
      <t>조합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입력에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의한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결로방지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해제</t>
    </r>
    <r>
      <rPr>
        <sz val="10"/>
        <color theme="1"/>
        <rFont val="Arial"/>
        <family val="2"/>
      </rPr>
      <t>/</t>
    </r>
    <r>
      <rPr>
        <sz val="10"/>
        <color theme="1"/>
        <rFont val="Arial Unicode MS"/>
        <family val="2"/>
        <charset val="129"/>
      </rPr>
      <t>복귀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로직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확인</t>
    </r>
    <phoneticPr fontId="9" type="noConversion"/>
  </si>
  <si>
    <r>
      <t xml:space="preserve">AVN USM </t>
    </r>
    <r>
      <rPr>
        <sz val="10"/>
        <color theme="1"/>
        <rFont val="Arial Unicode MS"/>
        <family val="2"/>
        <charset val="129"/>
      </rPr>
      <t>설정에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의한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결로방지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해제</t>
    </r>
    <r>
      <rPr>
        <sz val="10"/>
        <color theme="1"/>
        <rFont val="Arial"/>
        <family val="2"/>
      </rPr>
      <t>/</t>
    </r>
    <r>
      <rPr>
        <sz val="10"/>
        <color theme="1"/>
        <rFont val="Arial Unicode MS"/>
        <family val="2"/>
        <charset val="129"/>
      </rPr>
      <t>복귀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로직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확인</t>
    </r>
    <phoneticPr fontId="9" type="noConversion"/>
  </si>
  <si>
    <r>
      <rPr>
        <sz val="10"/>
        <color theme="1"/>
        <rFont val="돋움"/>
        <family val="3"/>
        <charset val="129"/>
      </rPr>
      <t>워셔액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로직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돋움"/>
        <family val="3"/>
        <charset val="129"/>
      </rPr>
      <t>해제복귀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로직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있음</t>
    </r>
    <r>
      <rPr>
        <sz val="10"/>
        <color theme="1"/>
        <rFont val="Arial"/>
        <family val="2"/>
      </rPr>
      <t>)</t>
    </r>
  </si>
  <si>
    <r>
      <t xml:space="preserve">Key </t>
    </r>
    <r>
      <rPr>
        <sz val="10"/>
        <color theme="1"/>
        <rFont val="맑은 고딕"/>
        <family val="2"/>
        <charset val="129"/>
      </rPr>
      <t>조합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2"/>
        <charset val="129"/>
      </rPr>
      <t>입력에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2"/>
        <charset val="129"/>
      </rPr>
      <t>의한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워셔액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해제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복귀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로직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확인</t>
    </r>
    <phoneticPr fontId="9" type="noConversion"/>
  </si>
  <si>
    <r>
      <t xml:space="preserve">AVN USM </t>
    </r>
    <r>
      <rPr>
        <sz val="10"/>
        <color theme="1"/>
        <rFont val="맑은 고딕"/>
        <family val="2"/>
        <charset val="129"/>
      </rPr>
      <t>설정에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2"/>
        <charset val="129"/>
      </rPr>
      <t>의한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워셔액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해제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복귀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로직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확인</t>
    </r>
    <phoneticPr fontId="9" type="noConversion"/>
  </si>
  <si>
    <r>
      <rPr>
        <sz val="10"/>
        <color theme="1"/>
        <rFont val="돋움"/>
        <family val="3"/>
        <charset val="129"/>
      </rPr>
      <t>터널연동제어</t>
    </r>
  </si>
  <si>
    <r>
      <rPr>
        <sz val="10"/>
        <color theme="1"/>
        <rFont val="맑은 고딕"/>
        <family val="2"/>
        <charset val="129"/>
      </rPr>
      <t>터널연동제어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확인</t>
    </r>
    <phoneticPr fontId="9" type="noConversion"/>
  </si>
  <si>
    <r>
      <rPr>
        <sz val="10"/>
        <color theme="1"/>
        <rFont val="돋움"/>
        <family val="3"/>
        <charset val="129"/>
      </rPr>
      <t>미세먼지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제거로직</t>
    </r>
    <r>
      <rPr>
        <sz val="10"/>
        <color theme="1"/>
        <rFont val="Arial"/>
        <family val="2"/>
      </rPr>
      <t>(</t>
    </r>
    <r>
      <rPr>
        <sz val="10"/>
        <color theme="1"/>
        <rFont val="돋움"/>
        <family val="3"/>
        <charset val="129"/>
      </rPr>
      <t>미세먼지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제거버튼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미적용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사양</t>
    </r>
    <r>
      <rPr>
        <sz val="10"/>
        <color theme="1"/>
        <rFont val="Arial"/>
        <family val="2"/>
      </rPr>
      <t>)</t>
    </r>
  </si>
  <si>
    <r>
      <t xml:space="preserve">ADS </t>
    </r>
    <r>
      <rPr>
        <sz val="10"/>
        <color theme="1"/>
        <rFont val="돋움"/>
        <family val="3"/>
        <charset val="129"/>
      </rPr>
      <t>제어</t>
    </r>
    <r>
      <rPr>
        <sz val="10"/>
        <color theme="1"/>
        <rFont val="Arial"/>
        <family val="2"/>
      </rPr>
      <t xml:space="preserve"> (ADS </t>
    </r>
    <r>
      <rPr>
        <sz val="10"/>
        <color theme="1"/>
        <rFont val="돋움"/>
        <family val="3"/>
        <charset val="129"/>
      </rPr>
      <t>사양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참고</t>
    </r>
    <r>
      <rPr>
        <sz val="10"/>
        <color theme="1"/>
        <rFont val="Arial"/>
        <family val="2"/>
      </rPr>
      <t>)</t>
    </r>
  </si>
  <si>
    <t>T16.1</t>
  </si>
  <si>
    <t>P16.1</t>
  </si>
  <si>
    <t>T16.1.1</t>
  </si>
  <si>
    <t>Sw_Blower_Up</t>
  </si>
  <si>
    <r>
      <rPr>
        <sz val="10"/>
        <rFont val="맑은 고딕"/>
        <family val="2"/>
        <charset val="129"/>
      </rPr>
      <t>매칭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9" type="noConversion"/>
  </si>
  <si>
    <t>HU_DATC_DrvOnlySet</t>
  </si>
  <si>
    <t>HU_DATC_PsTempUpDn</t>
  </si>
  <si>
    <t>HU_DATC_DrTempUpDn</t>
  </si>
  <si>
    <t>HU_DATC_FrontModeSet</t>
  </si>
  <si>
    <t>HU_DATC_IntakeSet</t>
  </si>
  <si>
    <t>HU_DATC_AutoSet</t>
  </si>
  <si>
    <t>HU_DATC_FrontDefog</t>
  </si>
  <si>
    <t>HU_DATC_AcSet</t>
  </si>
  <si>
    <t>HU_DATC_MainBlowerUpDn</t>
  </si>
  <si>
    <t>HU_DATC_SyncSet</t>
  </si>
  <si>
    <t>Sw_DrOnly</t>
    <phoneticPr fontId="9" type="noConversion"/>
  </si>
  <si>
    <t>HU_DATC_MainBlower (0x0:DATC OFF)</t>
    <phoneticPr fontId="9" type="noConversion"/>
  </si>
  <si>
    <t>0x0:Fuction Off/0x1:Function On/0x2:Not Used/0x3:Error Indicator</t>
  </si>
  <si>
    <t>Button_CAN_Signal_EN_DIS</t>
    <phoneticPr fontId="11" type="noConversion"/>
  </si>
  <si>
    <t>HU_DATC_CO2Set</t>
    <phoneticPr fontId="11" type="noConversion"/>
  </si>
  <si>
    <t>DATC_CO2OnOffSta</t>
    <phoneticPr fontId="11" type="noConversion"/>
  </si>
  <si>
    <r>
      <t xml:space="preserve">CO2 </t>
    </r>
    <r>
      <rPr>
        <sz val="10"/>
        <rFont val="돋움"/>
        <family val="2"/>
        <charset val="129"/>
      </rPr>
      <t>제어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상태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</si>
  <si>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r>
      <t xml:space="preserve">CO2 </t>
    </r>
    <r>
      <rPr>
        <sz val="10"/>
        <rFont val="돋움"/>
        <family val="2"/>
        <charset val="129"/>
      </rPr>
      <t>설정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</si>
  <si>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t>CO2_OnOffSta</t>
    <phoneticPr fontId="11" type="noConversion"/>
  </si>
  <si>
    <t>CO2_Set</t>
    <phoneticPr fontId="11" type="noConversion"/>
  </si>
  <si>
    <t>T20.1</t>
  </si>
  <si>
    <t>P20.1</t>
  </si>
  <si>
    <t>T20.1.1</t>
  </si>
  <si>
    <t>T20.1.2</t>
  </si>
  <si>
    <t>T20.1.3</t>
  </si>
  <si>
    <t>T20.1.4</t>
  </si>
  <si>
    <t>T20.1.5</t>
  </si>
  <si>
    <t>T20.2</t>
  </si>
  <si>
    <t>P20.2</t>
  </si>
  <si>
    <t>T20.2.1</t>
  </si>
  <si>
    <t>T20.2.2</t>
  </si>
  <si>
    <t>CO2_PPM_V</t>
    <phoneticPr fontId="9" type="noConversion"/>
  </si>
  <si>
    <r>
      <t xml:space="preserve">CO2 </t>
    </r>
    <r>
      <rPr>
        <sz val="10"/>
        <rFont val="돋움"/>
        <family val="2"/>
        <charset val="129"/>
      </rPr>
      <t>농도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모니터</t>
    </r>
    <phoneticPr fontId="11" type="noConversion"/>
  </si>
  <si>
    <r>
      <t xml:space="preserve">CO2 </t>
    </r>
    <r>
      <rPr>
        <sz val="10"/>
        <rFont val="Arial Unicode MS"/>
        <family val="2"/>
        <charset val="129"/>
      </rPr>
      <t>농도센서</t>
    </r>
    <phoneticPr fontId="11" type="noConversion"/>
  </si>
  <si>
    <r>
      <t>0.5</t>
    </r>
    <r>
      <rPr>
        <sz val="10"/>
        <rFont val="Arial Unicode MS"/>
        <family val="2"/>
        <charset val="129"/>
      </rPr>
      <t>초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간격</t>
    </r>
    <r>
      <rPr>
        <sz val="10"/>
        <rFont val="Arial"/>
        <family val="2"/>
      </rPr>
      <t xml:space="preserve"> 3</t>
    </r>
    <r>
      <rPr>
        <sz val="10"/>
        <rFont val="Arial Unicode MS"/>
        <family val="2"/>
        <charset val="129"/>
      </rPr>
      <t>회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점</t>
    </r>
    <r>
      <rPr>
        <sz val="10"/>
        <rFont val="Arial"/>
        <family val="2"/>
      </rPr>
      <t>/</t>
    </r>
    <r>
      <rPr>
        <sz val="10"/>
        <rFont val="Arial Unicode MS"/>
        <family val="2"/>
        <charset val="129"/>
      </rPr>
      <t>소등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후</t>
    </r>
    <r>
      <rPr>
        <sz val="10"/>
        <rFont val="Arial"/>
        <family val="2"/>
      </rPr>
      <t xml:space="preserve"> FRE</t>
    </r>
    <phoneticPr fontId="9" type="noConversion"/>
  </si>
  <si>
    <t>Title42</t>
    <phoneticPr fontId="9" type="noConversion"/>
  </si>
  <si>
    <t>Title60</t>
    <phoneticPr fontId="9" type="noConversion"/>
  </si>
  <si>
    <t>Title</t>
    <phoneticPr fontId="9" type="noConversion"/>
  </si>
  <si>
    <t>T40.1</t>
  </si>
  <si>
    <t>P40.1</t>
  </si>
  <si>
    <t>T40.1.1</t>
  </si>
  <si>
    <t>Title42</t>
    <phoneticPr fontId="10" type="noConversion"/>
  </si>
  <si>
    <t>T42</t>
  </si>
  <si>
    <t>T56</t>
  </si>
  <si>
    <t>T57</t>
  </si>
  <si>
    <t>T62</t>
  </si>
  <si>
    <t>T63</t>
  </si>
  <si>
    <t>T59.1</t>
  </si>
  <si>
    <t>P59.1</t>
  </si>
  <si>
    <t>T59.1.2</t>
  </si>
  <si>
    <r>
      <t>0.5</t>
    </r>
    <r>
      <rPr>
        <sz val="10"/>
        <rFont val="맑은 고딕"/>
        <family val="2"/>
        <charset val="129"/>
      </rPr>
      <t>초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간격</t>
    </r>
    <r>
      <rPr>
        <sz val="10"/>
        <rFont val="Arial"/>
        <family val="2"/>
      </rPr>
      <t xml:space="preserve"> 3</t>
    </r>
    <r>
      <rPr>
        <sz val="10"/>
        <rFont val="맑은 고딕"/>
        <family val="2"/>
        <charset val="129"/>
      </rPr>
      <t>회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점</t>
    </r>
    <r>
      <rPr>
        <sz val="10"/>
        <rFont val="Arial"/>
        <family val="2"/>
      </rPr>
      <t>/</t>
    </r>
    <r>
      <rPr>
        <sz val="10"/>
        <rFont val="맑은 고딕"/>
        <family val="2"/>
        <charset val="129"/>
      </rPr>
      <t>소등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후</t>
    </r>
    <r>
      <rPr>
        <sz val="10"/>
        <rFont val="Arial"/>
        <family val="2"/>
      </rPr>
      <t xml:space="preserve"> FRE</t>
    </r>
    <phoneticPr fontId="9" type="noConversion"/>
  </si>
  <si>
    <r>
      <t>0.25</t>
    </r>
    <r>
      <rPr>
        <sz val="10"/>
        <rFont val="맑은 고딕"/>
        <family val="2"/>
        <charset val="129"/>
      </rPr>
      <t>초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간격</t>
    </r>
    <r>
      <rPr>
        <sz val="10"/>
        <rFont val="Arial"/>
        <family val="2"/>
      </rPr>
      <t xml:space="preserve"> 6</t>
    </r>
    <r>
      <rPr>
        <sz val="10"/>
        <rFont val="맑은 고딕"/>
        <family val="2"/>
        <charset val="129"/>
      </rPr>
      <t>회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점</t>
    </r>
    <r>
      <rPr>
        <sz val="10"/>
        <rFont val="Arial"/>
        <family val="2"/>
      </rPr>
      <t>/</t>
    </r>
    <r>
      <rPr>
        <sz val="10"/>
        <rFont val="맑은 고딕"/>
        <family val="2"/>
        <charset val="129"/>
      </rPr>
      <t>소등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후</t>
    </r>
    <r>
      <rPr>
        <sz val="10"/>
        <rFont val="Arial"/>
        <family val="2"/>
      </rPr>
      <t xml:space="preserve"> FRE</t>
    </r>
    <phoneticPr fontId="9" type="noConversion"/>
  </si>
  <si>
    <r>
      <t>3</t>
    </r>
    <r>
      <rPr>
        <sz val="10"/>
        <rFont val="돋움"/>
        <family val="2"/>
        <charset val="129"/>
      </rPr>
      <t>초간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점</t>
    </r>
    <r>
      <rPr>
        <sz val="10"/>
        <rFont val="Arial"/>
        <family val="2"/>
      </rPr>
      <t>/</t>
    </r>
    <r>
      <rPr>
        <sz val="10"/>
        <rFont val="Arial Unicode MS"/>
        <family val="2"/>
        <charset val="129"/>
      </rPr>
      <t>소등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후</t>
    </r>
    <r>
      <rPr>
        <sz val="10"/>
        <rFont val="Arial"/>
        <family val="2"/>
      </rPr>
      <t xml:space="preserve"> On</t>
    </r>
    <phoneticPr fontId="9" type="noConversion"/>
  </si>
  <si>
    <t>T40.1.2</t>
  </si>
  <si>
    <t>T23.1</t>
  </si>
  <si>
    <t>P23.1</t>
  </si>
  <si>
    <t>T23.1.1</t>
  </si>
  <si>
    <t>T23.1.2</t>
    <phoneticPr fontId="10" type="noConversion"/>
  </si>
  <si>
    <t>T23.2</t>
  </si>
  <si>
    <t>P23.2</t>
  </si>
  <si>
    <t>T23.2.1</t>
  </si>
  <si>
    <t>T23.2.2</t>
  </si>
  <si>
    <t>T23.1</t>
    <phoneticPr fontId="9" type="noConversion"/>
  </si>
  <si>
    <t>P23.1</t>
    <phoneticPr fontId="9" type="noConversion"/>
  </si>
  <si>
    <t>TC</t>
    <phoneticPr fontId="9" type="noConversion"/>
  </si>
  <si>
    <t>T23.1.1</t>
    <phoneticPr fontId="9" type="noConversion"/>
  </si>
  <si>
    <t>P_intake</t>
  </si>
  <si>
    <t>T23.2</t>
    <phoneticPr fontId="9" type="noConversion"/>
  </si>
  <si>
    <t>P23.2</t>
    <phoneticPr fontId="9" type="noConversion"/>
  </si>
  <si>
    <t>T23.2.1</t>
    <phoneticPr fontId="9" type="noConversion"/>
  </si>
  <si>
    <t>T23.2.2</t>
    <phoneticPr fontId="9" type="noConversion"/>
  </si>
  <si>
    <t>T39.1</t>
  </si>
  <si>
    <t>P39.1</t>
  </si>
  <si>
    <t>T39.1.1</t>
  </si>
  <si>
    <t>T39.1.2</t>
  </si>
  <si>
    <t>T39</t>
  </si>
  <si>
    <t>Title40</t>
    <phoneticPr fontId="10" type="noConversion"/>
  </si>
  <si>
    <t>T40.1.3</t>
  </si>
  <si>
    <t>T40.1.4</t>
  </si>
  <si>
    <t>T40.1.5</t>
  </si>
  <si>
    <t>T40</t>
  </si>
  <si>
    <t>Title41</t>
    <phoneticPr fontId="9" type="noConversion"/>
  </si>
  <si>
    <t>T42.1</t>
  </si>
  <si>
    <t>P42.1</t>
  </si>
  <si>
    <t>T42.1.1</t>
  </si>
  <si>
    <t>T42.1.2</t>
  </si>
  <si>
    <t>T42.1.3</t>
  </si>
  <si>
    <t>T42.1.4</t>
  </si>
  <si>
    <t>T42.2</t>
  </si>
  <si>
    <t>P42.2</t>
  </si>
  <si>
    <t>T42.2.1</t>
  </si>
  <si>
    <t>T42.2.3</t>
  </si>
  <si>
    <t>Title41</t>
    <phoneticPr fontId="10" type="noConversion"/>
  </si>
  <si>
    <t>T41</t>
    <phoneticPr fontId="10" type="noConversion"/>
  </si>
  <si>
    <t>T52.2</t>
  </si>
  <si>
    <t>P52.2</t>
  </si>
  <si>
    <t>T52.2.1</t>
  </si>
  <si>
    <t>T52.2.2</t>
  </si>
  <si>
    <t>T52.2.3</t>
  </si>
  <si>
    <t>T52.2.4</t>
  </si>
  <si>
    <t>T52.3</t>
  </si>
  <si>
    <t>P52.3</t>
  </si>
  <si>
    <t>T52.3.1</t>
  </si>
  <si>
    <t>T52.1</t>
  </si>
  <si>
    <t>P52.1</t>
  </si>
  <si>
    <t>T52.1.1</t>
  </si>
  <si>
    <t>T52.1.2</t>
  </si>
  <si>
    <t>Title53</t>
    <phoneticPr fontId="9" type="noConversion"/>
  </si>
  <si>
    <t>Title59</t>
    <phoneticPr fontId="9" type="noConversion"/>
  </si>
  <si>
    <t>T58.1</t>
  </si>
  <si>
    <t>P58.1</t>
  </si>
  <si>
    <t>T58.1.1</t>
  </si>
  <si>
    <t>T58.1.2</t>
  </si>
  <si>
    <t>T58.1.3</t>
  </si>
  <si>
    <t>T58.1.4</t>
  </si>
  <si>
    <t>T58.1.5</t>
  </si>
  <si>
    <t>T58.1.6</t>
  </si>
  <si>
    <t>Title53</t>
    <phoneticPr fontId="10" type="noConversion"/>
  </si>
  <si>
    <t>Title59</t>
    <phoneticPr fontId="10" type="noConversion"/>
  </si>
  <si>
    <t>T53</t>
    <phoneticPr fontId="10" type="noConversion"/>
  </si>
  <si>
    <t>T59</t>
    <phoneticPr fontId="10" type="noConversion"/>
  </si>
  <si>
    <t>Snr_Duct_ALL(V)_IN</t>
    <phoneticPr fontId="11" type="noConversion"/>
  </si>
  <si>
    <t>Duct_ALL_V</t>
    <phoneticPr fontId="11" type="noConversion"/>
  </si>
  <si>
    <r>
      <t xml:space="preserve">Duct_ALL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</si>
  <si>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Snr_CionDiag(V)_IN</t>
    <phoneticPr fontId="11" type="noConversion"/>
  </si>
  <si>
    <t>CionDiag_V</t>
    <phoneticPr fontId="11" type="noConversion"/>
  </si>
  <si>
    <t>Snr_Photo-L(V)_IN</t>
    <phoneticPr fontId="11" type="noConversion"/>
  </si>
  <si>
    <t>Photo_L_V</t>
    <phoneticPr fontId="11" type="noConversion"/>
  </si>
  <si>
    <t>Photo_R_V</t>
    <phoneticPr fontId="11" type="noConversion"/>
  </si>
  <si>
    <r>
      <t xml:space="preserve">Photo Left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</si>
  <si>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Photo Right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</si>
  <si>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T25.1</t>
  </si>
  <si>
    <t>P25.1</t>
  </si>
  <si>
    <t>T25.1.1</t>
  </si>
  <si>
    <t>T25.2</t>
  </si>
  <si>
    <t>P25.2</t>
  </si>
  <si>
    <t>T25.2.1</t>
  </si>
  <si>
    <t>T25.1</t>
    <phoneticPr fontId="9" type="noConversion"/>
  </si>
  <si>
    <t>P25.1</t>
    <phoneticPr fontId="9" type="noConversion"/>
  </si>
  <si>
    <t>T25.1.1</t>
    <phoneticPr fontId="9" type="noConversion"/>
  </si>
  <si>
    <t>T25.2.1</t>
    <phoneticPr fontId="9" type="noConversion"/>
  </si>
  <si>
    <t>IsgStopReq</t>
    <phoneticPr fontId="11" type="noConversion"/>
  </si>
  <si>
    <t>EngStartReq</t>
    <phoneticPr fontId="11" type="noConversion"/>
  </si>
  <si>
    <r>
      <t xml:space="preserve">ISG Eng stop </t>
    </r>
    <r>
      <rPr>
        <sz val="10"/>
        <rFont val="돋움"/>
        <family val="2"/>
        <charset val="129"/>
      </rPr>
      <t>금지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</si>
  <si>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t>IsgStat</t>
    <phoneticPr fontId="11" type="noConversion"/>
  </si>
  <si>
    <t>T26.1</t>
    <phoneticPr fontId="9" type="noConversion"/>
  </si>
  <si>
    <t>P26.1</t>
    <phoneticPr fontId="9" type="noConversion"/>
  </si>
  <si>
    <t>T26.1.1</t>
    <phoneticPr fontId="9" type="noConversion"/>
  </si>
  <si>
    <t>T26.1</t>
  </si>
  <si>
    <t>P26.1</t>
  </si>
  <si>
    <t>T26.1.1</t>
  </si>
  <si>
    <t>T26.1.2</t>
    <phoneticPr fontId="10" type="noConversion"/>
  </si>
  <si>
    <t>AutoBlowerHi_3</t>
    <phoneticPr fontId="11" type="noConversion"/>
  </si>
  <si>
    <t>AutoBlowerHi_2</t>
    <phoneticPr fontId="11" type="noConversion"/>
  </si>
  <si>
    <t>AutoBlowerHi_1</t>
    <phoneticPr fontId="11" type="noConversion"/>
  </si>
  <si>
    <r>
      <t>MultiAutoblower 3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</si>
  <si>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2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</si>
  <si>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1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</si>
  <si>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3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</si>
  <si>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2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</si>
  <si>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1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</si>
  <si>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t>Name: Tbl_AUTOStep</t>
    <phoneticPr fontId="9" type="noConversion"/>
  </si>
  <si>
    <t>Num</t>
    <phoneticPr fontId="9" type="noConversion"/>
  </si>
  <si>
    <t>Off</t>
    <phoneticPr fontId="11" type="noConversion"/>
  </si>
  <si>
    <r>
      <t>1</t>
    </r>
    <r>
      <rPr>
        <sz val="10"/>
        <rFont val="Arial Unicode MS"/>
        <family val="2"/>
        <charset val="129"/>
      </rPr>
      <t>단</t>
    </r>
    <phoneticPr fontId="11" type="noConversion"/>
  </si>
  <si>
    <t>Low</t>
    <phoneticPr fontId="11" type="noConversion"/>
  </si>
  <si>
    <r>
      <t>2</t>
    </r>
    <r>
      <rPr>
        <sz val="10"/>
        <rFont val="Arial Unicode MS"/>
        <family val="2"/>
        <charset val="129"/>
      </rPr>
      <t>단</t>
    </r>
    <phoneticPr fontId="11" type="noConversion"/>
  </si>
  <si>
    <t>Medium</t>
    <phoneticPr fontId="11" type="noConversion"/>
  </si>
  <si>
    <r>
      <t>3</t>
    </r>
    <r>
      <rPr>
        <sz val="10"/>
        <rFont val="Arial Unicode MS"/>
        <family val="2"/>
        <charset val="129"/>
      </rPr>
      <t>단</t>
    </r>
    <phoneticPr fontId="11" type="noConversion"/>
  </si>
  <si>
    <t>High</t>
    <phoneticPr fontId="11" type="noConversion"/>
  </si>
  <si>
    <t>Name: Tbl_MltAutBlrTxt</t>
    <phoneticPr fontId="9" type="noConversion"/>
  </si>
  <si>
    <t>AUTOStep</t>
    <phoneticPr fontId="11" type="noConversion"/>
  </si>
  <si>
    <t>DATC_AUTOStep</t>
    <phoneticPr fontId="11" type="noConversion"/>
  </si>
  <si>
    <r>
      <t xml:space="preserve">Auto </t>
    </r>
    <r>
      <rPr>
        <sz val="10"/>
        <rFont val="Arial Unicode MS"/>
        <family val="2"/>
        <charset val="129"/>
      </rPr>
      <t>단수</t>
    </r>
    <phoneticPr fontId="11" type="noConversion"/>
  </si>
  <si>
    <t>MltAutBlrTxt</t>
    <phoneticPr fontId="11" type="noConversion"/>
  </si>
  <si>
    <t>DATC_MltAutBlrTxt</t>
    <phoneticPr fontId="11" type="noConversion"/>
  </si>
  <si>
    <r>
      <t xml:space="preserve">Multi Auto Blower </t>
    </r>
    <r>
      <rPr>
        <sz val="10"/>
        <rFont val="Arial Unicode MS"/>
        <family val="2"/>
        <charset val="129"/>
      </rPr>
      <t>단수</t>
    </r>
    <phoneticPr fontId="11" type="noConversion"/>
  </si>
  <si>
    <t>3단</t>
  </si>
  <si>
    <r>
      <t>2</t>
    </r>
    <r>
      <rPr>
        <sz val="10"/>
        <rFont val="Arial Unicode MS"/>
        <family val="2"/>
        <charset val="129"/>
      </rPr>
      <t>단</t>
    </r>
    <phoneticPr fontId="9" type="noConversion"/>
  </si>
  <si>
    <t>1단</t>
  </si>
  <si>
    <t>T53.1</t>
  </si>
  <si>
    <t>P53.1</t>
  </si>
  <si>
    <t>T53.1.1</t>
  </si>
  <si>
    <t>T53.1.2</t>
  </si>
  <si>
    <t>DATC_EngStrtReq</t>
  </si>
  <si>
    <t>DATC_IsgInhbtReq</t>
  </si>
  <si>
    <t>EMS11 - N</t>
    <phoneticPr fontId="11" type="noConversion"/>
  </si>
  <si>
    <r>
      <t xml:space="preserve">Display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</si>
  <si>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CO2 </t>
    </r>
    <r>
      <rPr>
        <b/>
        <sz val="10"/>
        <rFont val="Arial Unicode MS"/>
        <family val="2"/>
        <charset val="129"/>
      </rPr>
      <t>농도</t>
    </r>
    <r>
      <rPr>
        <b/>
        <sz val="10"/>
        <rFont val="Arial"/>
        <family val="2"/>
      </rPr>
      <t xml:space="preserve"> [PPM]</t>
    </r>
    <phoneticPr fontId="9" type="noConversion"/>
  </si>
  <si>
    <r>
      <rPr>
        <b/>
        <sz val="10"/>
        <rFont val="Arial Unicode MS"/>
        <family val="2"/>
        <charset val="129"/>
      </rPr>
      <t>출력전압</t>
    </r>
    <r>
      <rPr>
        <b/>
        <sz val="10"/>
        <rFont val="Arial"/>
        <family val="2"/>
      </rPr>
      <t xml:space="preserve"> [V]</t>
    </r>
    <phoneticPr fontId="9" type="noConversion"/>
  </si>
  <si>
    <r>
      <t xml:space="preserve">Actuator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</si>
  <si>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Sensor IN/OUT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</si>
  <si>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AC&amp;Intake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</si>
  <si>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rPr>
        <sz val="10"/>
        <rFont val="Arial Unicode MS"/>
        <family val="2"/>
        <charset val="129"/>
      </rPr>
      <t>검증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환경에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따라</t>
    </r>
    <r>
      <rPr>
        <sz val="10"/>
        <rFont val="Arial"/>
        <family val="2"/>
      </rPr>
      <t xml:space="preserve"> B+ </t>
    </r>
    <r>
      <rPr>
        <sz val="10"/>
        <rFont val="Arial Unicode MS"/>
        <family val="2"/>
        <charset val="129"/>
      </rPr>
      <t>전압은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바뀔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수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있음</t>
    </r>
    <phoneticPr fontId="11" type="noConversion"/>
  </si>
  <si>
    <r>
      <rPr>
        <sz val="10"/>
        <rFont val="Arial Unicode MS"/>
        <family val="2"/>
        <charset val="129"/>
      </rPr>
      <t>차속</t>
    </r>
    <r>
      <rPr>
        <sz val="10"/>
        <rFont val="Arial"/>
        <family val="2"/>
      </rPr>
      <t xml:space="preserve">, </t>
    </r>
    <r>
      <rPr>
        <sz val="10"/>
        <rFont val="Arial Unicode MS"/>
        <family val="2"/>
        <charset val="129"/>
      </rPr>
      <t>휠속도</t>
    </r>
    <phoneticPr fontId="11" type="noConversion"/>
  </si>
  <si>
    <r>
      <t xml:space="preserve">CO2 </t>
    </r>
    <r>
      <rPr>
        <sz val="10"/>
        <rFont val="Arial Unicode MS"/>
        <family val="2"/>
        <charset val="129"/>
      </rPr>
      <t>환기작동</t>
    </r>
    <r>
      <rPr>
        <sz val="10"/>
        <rFont val="Arial"/>
        <family val="2"/>
      </rPr>
      <t xml:space="preserve"> / 00h: </t>
    </r>
    <r>
      <rPr>
        <sz val="10"/>
        <rFont val="Arial Unicode MS"/>
        <family val="2"/>
        <charset val="129"/>
      </rPr>
      <t>해제</t>
    </r>
    <r>
      <rPr>
        <sz val="10"/>
        <rFont val="Arial"/>
        <family val="2"/>
      </rPr>
      <t xml:space="preserve">, 01h </t>
    </r>
    <r>
      <rPr>
        <sz val="10"/>
        <rFont val="Arial Unicode MS"/>
        <family val="2"/>
        <charset val="129"/>
      </rPr>
      <t>작동</t>
    </r>
    <phoneticPr fontId="11" type="noConversion"/>
  </si>
  <si>
    <r>
      <rPr>
        <sz val="10"/>
        <rFont val="Arial Unicode MS"/>
        <family val="2"/>
        <charset val="129"/>
      </rPr>
      <t>이온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</si>
  <si>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ISG Eng Start </t>
    </r>
    <r>
      <rPr>
        <sz val="10"/>
        <rFont val="Arial Unicode MS"/>
        <family val="2"/>
        <charset val="129"/>
      </rPr>
      <t>금지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</si>
  <si>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r>
      <t>Amb.(</t>
    </r>
    <r>
      <rPr>
        <b/>
        <sz val="10"/>
        <color indexed="9"/>
        <rFont val="맑은 고딕"/>
        <family val="3"/>
        <charset val="129"/>
      </rPr>
      <t>℃</t>
    </r>
    <r>
      <rPr>
        <b/>
        <sz val="10"/>
        <color indexed="9"/>
        <rFont val="Arial"/>
        <family val="2"/>
      </rPr>
      <t>)</t>
    </r>
    <phoneticPr fontId="42" type="noConversion"/>
  </si>
  <si>
    <r>
      <rPr>
        <b/>
        <sz val="10"/>
        <color indexed="9"/>
        <rFont val="맑은 고딕"/>
        <family val="3"/>
        <charset val="129"/>
      </rPr>
      <t>외기온
상승시</t>
    </r>
    <phoneticPr fontId="42" type="noConversion"/>
  </si>
  <si>
    <r>
      <rPr>
        <b/>
        <sz val="10"/>
        <color indexed="9"/>
        <rFont val="맑은 고딕"/>
        <family val="3"/>
        <charset val="129"/>
      </rPr>
      <t>외기온
하강시</t>
    </r>
    <phoneticPr fontId="42" type="noConversion"/>
  </si>
  <si>
    <r>
      <t xml:space="preserve">TD Blower </t>
    </r>
    <r>
      <rPr>
        <b/>
        <sz val="10"/>
        <color theme="0"/>
        <rFont val="맑은 고딕"/>
        <family val="3"/>
        <charset val="129"/>
      </rPr>
      <t>하한치</t>
    </r>
    <r>
      <rPr>
        <b/>
        <sz val="10"/>
        <color theme="0"/>
        <rFont val="Arial"/>
        <family val="2"/>
      </rPr>
      <t xml:space="preserve"> (V)</t>
    </r>
    <phoneticPr fontId="42" type="noConversion"/>
  </si>
  <si>
    <r>
      <t xml:space="preserve">INCAR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</si>
  <si>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rPr>
        <sz val="10"/>
        <rFont val="굴림"/>
        <family val="2"/>
        <charset val="129"/>
      </rPr>
      <t>외기온</t>
    </r>
    <r>
      <rPr>
        <sz val="10"/>
        <rFont val="Arial Unicode MS"/>
        <family val="2"/>
        <charset val="129"/>
      </rPr>
      <t>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</si>
  <si>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t xml:space="preserve">Eva Dr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</si>
  <si>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t xml:space="preserve">Eva Ps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</si>
  <si>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관련</t>
    </r>
    <phoneticPr fontId="11" type="noConversion"/>
  </si>
  <si>
    <t>DATC_PtcRlySta</t>
    <phoneticPr fontId="11" type="noConversion"/>
  </si>
  <si>
    <t>PTC_RELAY_Sta</t>
    <phoneticPr fontId="11" type="noConversion"/>
  </si>
  <si>
    <r>
      <t xml:space="preserve">PTC RELAY </t>
    </r>
    <r>
      <rPr>
        <sz val="10"/>
        <rFont val="Arial Unicode MS"/>
        <family val="2"/>
        <charset val="129"/>
      </rPr>
      <t>제어</t>
    </r>
    <r>
      <rPr>
        <sz val="10"/>
        <rFont val="Arial"/>
        <family val="2"/>
      </rPr>
      <t xml:space="preserve"> CAN SIGNAL</t>
    </r>
    <phoneticPr fontId="11" type="noConversion"/>
  </si>
  <si>
    <t>0x0:PTC OFF / 0x1:PTC ON Lv1 / 0x2:PTC ON Lv1&amp;2 / 0x3:PTC ON Lv1&amp;2&amp;3</t>
    <phoneticPr fontId="11" type="noConversion"/>
  </si>
  <si>
    <t>Sw_DrTemp_Up</t>
    <phoneticPr fontId="9" type="noConversion"/>
  </si>
  <si>
    <r>
      <t xml:space="preserve">PTC1 RELAY </t>
    </r>
    <r>
      <rPr>
        <sz val="11"/>
        <rFont val="Arial Unicode MS"/>
        <family val="2"/>
        <charset val="129"/>
      </rPr>
      <t>단</t>
    </r>
    <r>
      <rPr>
        <sz val="11"/>
        <rFont val="Arial"/>
        <family val="2"/>
      </rPr>
      <t xml:space="preserve"> HI INPUT 9V </t>
    </r>
    <r>
      <rPr>
        <sz val="11"/>
        <rFont val="Arial Unicode MS"/>
        <family val="2"/>
        <charset val="129"/>
      </rPr>
      <t>이상</t>
    </r>
    <r>
      <rPr>
        <sz val="11"/>
        <rFont val="Arial"/>
        <family val="2"/>
      </rPr>
      <t xml:space="preserve"> </t>
    </r>
    <r>
      <rPr>
        <sz val="11"/>
        <rFont val="Arial Unicode MS"/>
        <family val="2"/>
        <charset val="129"/>
      </rPr>
      <t>인가</t>
    </r>
    <phoneticPr fontId="10" type="noConversion"/>
  </si>
  <si>
    <r>
      <t>*</t>
    </r>
    <r>
      <rPr>
        <b/>
        <sz val="11"/>
        <color rgb="FF0000FF"/>
        <rFont val="Arial Unicode MS"/>
        <family val="2"/>
        <charset val="129"/>
      </rPr>
      <t>사양별</t>
    </r>
    <r>
      <rPr>
        <b/>
        <sz val="11"/>
        <color rgb="FF0000FF"/>
        <rFont val="Arial"/>
        <family val="2"/>
      </rPr>
      <t xml:space="preserve"> </t>
    </r>
    <r>
      <rPr>
        <b/>
        <sz val="11"/>
        <color rgb="FF0000FF"/>
        <rFont val="Arial Unicode MS"/>
        <family val="2"/>
        <charset val="129"/>
      </rPr>
      <t>설정온도</t>
    </r>
    <r>
      <rPr>
        <b/>
        <sz val="11"/>
        <color rgb="FF0000FF"/>
        <rFont val="Arial"/>
        <family val="2"/>
      </rPr>
      <t xml:space="preserve"> </t>
    </r>
    <r>
      <rPr>
        <b/>
        <sz val="11"/>
        <color rgb="FF0000FF"/>
        <rFont val="Arial Unicode MS"/>
        <family val="2"/>
        <charset val="129"/>
      </rPr>
      <t>입력값</t>
    </r>
    <r>
      <rPr>
        <b/>
        <sz val="11"/>
        <color rgb="FF0000FF"/>
        <rFont val="Arial"/>
        <family val="2"/>
      </rPr>
      <t xml:space="preserve"> </t>
    </r>
    <r>
      <rPr>
        <b/>
        <sz val="11"/>
        <color rgb="FF0000FF"/>
        <rFont val="Arial Unicode MS"/>
        <family val="2"/>
        <charset val="129"/>
      </rPr>
      <t>확인</t>
    </r>
    <phoneticPr fontId="10" type="noConversion"/>
  </si>
  <si>
    <t>T27.1</t>
  </si>
  <si>
    <t>P27.1</t>
  </si>
  <si>
    <t>T27.1.1</t>
  </si>
  <si>
    <t>T27.1.2</t>
    <phoneticPr fontId="10" type="noConversion"/>
  </si>
  <si>
    <t>T27.1</t>
    <phoneticPr fontId="9" type="noConversion"/>
  </si>
  <si>
    <t>P27.1</t>
    <phoneticPr fontId="9" type="noConversion"/>
  </si>
  <si>
    <t>CLU_DrvngModSwSta</t>
    <phoneticPr fontId="11" type="noConversion"/>
  </si>
  <si>
    <t>DrvngModSwSta</t>
    <phoneticPr fontId="11" type="noConversion"/>
  </si>
  <si>
    <r>
      <t xml:space="preserve">ECO Switch ON/OFF </t>
    </r>
    <r>
      <rPr>
        <sz val="10"/>
        <rFont val="Arial Unicode MS"/>
        <family val="2"/>
        <charset val="129"/>
      </rPr>
      <t>신호</t>
    </r>
    <phoneticPr fontId="11" type="noConversion"/>
  </si>
  <si>
    <t>T28.1</t>
    <phoneticPr fontId="9" type="noConversion"/>
  </si>
  <si>
    <t>P28.1</t>
    <phoneticPr fontId="9" type="noConversion"/>
  </si>
  <si>
    <t>T28.1.1</t>
    <phoneticPr fontId="9" type="noConversion"/>
  </si>
  <si>
    <t>T28.1</t>
  </si>
  <si>
    <t>P28.1</t>
  </si>
  <si>
    <t>T28.1.1</t>
  </si>
  <si>
    <t>T64.1</t>
  </si>
  <si>
    <t>P64.1</t>
  </si>
  <si>
    <t>T64.1.1</t>
  </si>
  <si>
    <t>T64.1.2</t>
  </si>
  <si>
    <t>Title64</t>
    <phoneticPr fontId="10" type="noConversion"/>
  </si>
  <si>
    <t>T27.1.3</t>
    <phoneticPr fontId="9" type="noConversion"/>
  </si>
  <si>
    <t>T27.1.3</t>
    <phoneticPr fontId="10" type="noConversion"/>
  </si>
  <si>
    <r>
      <t xml:space="preserve">EVAP TARGET </t>
    </r>
    <r>
      <rPr>
        <sz val="11"/>
        <color rgb="FFFF0000"/>
        <rFont val="Arial Unicode MS"/>
        <family val="2"/>
        <charset val="129"/>
      </rPr>
      <t>온도</t>
    </r>
    <r>
      <rPr>
        <sz val="11"/>
        <color rgb="FFFF0000"/>
        <rFont val="Arial"/>
        <family val="2"/>
      </rPr>
      <t xml:space="preserve"> 4 </t>
    </r>
    <r>
      <rPr>
        <sz val="11"/>
        <color rgb="FFFF0000"/>
        <rFont val="Segoe UI Symbol"/>
        <family val="2"/>
      </rPr>
      <t>℃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돋움"/>
        <family val="2"/>
        <charset val="129"/>
      </rPr>
      <t>미만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돋움"/>
        <family val="2"/>
        <charset val="129"/>
      </rPr>
      <t>제어</t>
    </r>
    <phoneticPr fontId="10" type="noConversion"/>
  </si>
  <si>
    <t>T28.1.2</t>
    <phoneticPr fontId="9" type="noConversion"/>
  </si>
  <si>
    <t>T28.1.2</t>
    <phoneticPr fontId="10" type="noConversion"/>
  </si>
  <si>
    <t>문요셉, 임효경</t>
    <phoneticPr fontId="5" type="noConversion"/>
  </si>
  <si>
    <t>User_Profile</t>
    <phoneticPr fontId="11" type="noConversion"/>
  </si>
  <si>
    <t>IAU_ProfileIDRVal</t>
    <phoneticPr fontId="11" type="noConversion"/>
  </si>
  <si>
    <t>Command_Blw</t>
    <phoneticPr fontId="11" type="noConversion"/>
  </si>
  <si>
    <t>HU_DATC_MainBlower</t>
    <phoneticPr fontId="11" type="noConversion"/>
  </si>
  <si>
    <t>0x0:DATC Off/0x1:0 level (Do not use)/0x2:1 level/0x3:2 level/0x4:3 level/0x5:4 level/0x6:5 level/0x7:6 level/0x8:7 level/0x9:8 level/0xA~0xE:RESERVED/0xF:Invalid</t>
    <phoneticPr fontId="11" type="noConversion"/>
  </si>
  <si>
    <t>FrChgReqDis</t>
    <phoneticPr fontId="11" type="noConversion"/>
  </si>
  <si>
    <t>DATC_FrChgReqDis</t>
    <phoneticPr fontId="11" type="noConversion"/>
  </si>
  <si>
    <t>FrontChangeRequestDisplay / 0x0:OFF/0x1:User Input/0x2:Not used/0x3:Error Indicator</t>
    <phoneticPr fontId="11" type="noConversion"/>
  </si>
  <si>
    <t>Eng_IdleRpm</t>
    <phoneticPr fontId="11" type="noConversion"/>
  </si>
  <si>
    <t>DATC_EngldlRpmUpReq</t>
    <phoneticPr fontId="11" type="noConversion"/>
  </si>
  <si>
    <t>Compressor</t>
    <phoneticPr fontId="11" type="noConversion"/>
  </si>
  <si>
    <t>DATC_AcnCompTyp</t>
    <phoneticPr fontId="11" type="noConversion"/>
  </si>
  <si>
    <t>BLW_MAX</t>
    <phoneticPr fontId="11" type="noConversion"/>
  </si>
  <si>
    <t>DATC_BlwMaxSta</t>
    <phoneticPr fontId="11" type="noConversion"/>
  </si>
  <si>
    <t>BLW_IS_IN</t>
    <phoneticPr fontId="11" type="noConversion"/>
  </si>
  <si>
    <t>BLW_IS(V)_IN</t>
    <phoneticPr fontId="11" type="noConversion"/>
  </si>
  <si>
    <r>
      <t xml:space="preserve">blw is </t>
    </r>
    <r>
      <rPr>
        <sz val="10"/>
        <rFont val="Arial Unicode MS"/>
        <family val="2"/>
        <charset val="129"/>
      </rPr>
      <t>전압</t>
    </r>
    <phoneticPr fontId="11" type="noConversion"/>
  </si>
  <si>
    <t>SmartVent_Set</t>
    <phoneticPr fontId="11" type="noConversion"/>
  </si>
  <si>
    <t>DATC_SmartVentOnOffSet</t>
    <phoneticPr fontId="11" type="noConversion"/>
  </si>
  <si>
    <t>SmartVent_Status</t>
    <phoneticPr fontId="11" type="noConversion"/>
  </si>
  <si>
    <t>DATC_SmrtVntOnOffSta</t>
    <phoneticPr fontId="11" type="noConversion"/>
  </si>
  <si>
    <t>SmartVent_Symbol</t>
    <phoneticPr fontId="11" type="noConversion"/>
  </si>
  <si>
    <t>DATC_SmartVentDisp</t>
    <phoneticPr fontId="11" type="noConversion"/>
  </si>
  <si>
    <t>PTGM_Type</t>
    <phoneticPr fontId="11" type="noConversion"/>
  </si>
  <si>
    <t>PTGM_OptTyp</t>
    <phoneticPr fontId="11" type="noConversion"/>
  </si>
  <si>
    <t>PTGM_OptionType</t>
    <phoneticPr fontId="11" type="noConversion"/>
  </si>
  <si>
    <t>PTGM_Status</t>
    <phoneticPr fontId="11" type="noConversion"/>
  </si>
  <si>
    <t>PTGM_OpnClsState</t>
    <phoneticPr fontId="11" type="noConversion"/>
  </si>
  <si>
    <t>PTGM Open/Close Status</t>
  </si>
  <si>
    <t>Eng_ACRS</t>
    <phoneticPr fontId="11" type="noConversion"/>
  </si>
  <si>
    <t>ENG_AirCompRlySta</t>
    <phoneticPr fontId="11" type="noConversion"/>
  </si>
  <si>
    <t>0x0:Air conditioner compressor relay OFF/0x1:Air conditioner compressor relay ON/0x2:Not used/0x3:Error indicator</t>
    <phoneticPr fontId="11" type="noConversion"/>
  </si>
  <si>
    <t>SunRoof_Open</t>
    <phoneticPr fontId="11" type="noConversion"/>
  </si>
  <si>
    <t>BCM_SunRoofOpnSta</t>
    <phoneticPr fontId="11" type="noConversion"/>
  </si>
  <si>
    <t>VC_VRActivity</t>
    <phoneticPr fontId="11" type="noConversion"/>
  </si>
  <si>
    <t>HU_VRActivity</t>
    <phoneticPr fontId="11" type="noConversion"/>
  </si>
  <si>
    <t>VC_IVRActivity</t>
    <phoneticPr fontId="11" type="noConversion"/>
  </si>
  <si>
    <t>TMU_IVRActivity</t>
    <phoneticPr fontId="11" type="noConversion"/>
  </si>
  <si>
    <t>ION_Sign</t>
    <phoneticPr fontId="11" type="noConversion"/>
  </si>
  <si>
    <t>CLEAN_Sign</t>
    <phoneticPr fontId="11" type="noConversion"/>
  </si>
  <si>
    <t>AutoWashMode</t>
    <phoneticPr fontId="11" type="noConversion"/>
  </si>
  <si>
    <t>CF_AVN_AutoWashModeSta</t>
    <phoneticPr fontId="11" type="noConversion"/>
  </si>
  <si>
    <t>AutoCutMode</t>
    <phoneticPr fontId="11" type="noConversion"/>
  </si>
  <si>
    <t>ICU_PowerAutoCutModSta</t>
    <phoneticPr fontId="11" type="noConversion"/>
  </si>
  <si>
    <t>AirconPrsRns</t>
    <phoneticPr fontId="11" type="noConversion"/>
  </si>
  <si>
    <t>ENG_AirconPrsrSnsrVal</t>
    <phoneticPr fontId="11" type="noConversion"/>
  </si>
  <si>
    <t>AfterBlower_OS</t>
    <phoneticPr fontId="11" type="noConversion"/>
  </si>
  <si>
    <t>DATC_AfterBlowOpSta</t>
    <phoneticPr fontId="11" type="noConversion"/>
  </si>
  <si>
    <t>AfterBlower_OR</t>
    <phoneticPr fontId="11" type="noConversion"/>
  </si>
  <si>
    <t>DATC_KeyOffBlowOpReq</t>
    <phoneticPr fontId="11" type="noConversion"/>
  </si>
  <si>
    <t>AfterBlower_PDC</t>
    <phoneticPr fontId="11" type="noConversion"/>
  </si>
  <si>
    <t>PDC_BatPwrStateClassB</t>
  </si>
  <si>
    <t>AfterBlower_Symbol</t>
    <phoneticPr fontId="11" type="noConversion"/>
  </si>
  <si>
    <t>Blw_Symbol</t>
    <phoneticPr fontId="11" type="noConversion"/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</si>
  <si>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심볼</t>
    </r>
    <phoneticPr fontId="11" type="noConversion"/>
  </si>
  <si>
    <r>
      <t xml:space="preserve">IDLE RPM </t>
    </r>
    <r>
      <rPr>
        <sz val="10"/>
        <rFont val="Arial Unicode MS"/>
        <family val="2"/>
        <charset val="129"/>
      </rPr>
      <t>상향요청</t>
    </r>
    <r>
      <rPr>
        <sz val="10"/>
        <rFont val="Arial"/>
        <family val="2"/>
      </rPr>
      <t xml:space="preserve">/0H </t>
    </r>
    <r>
      <rPr>
        <sz val="10"/>
        <rFont val="Arial Unicode MS"/>
        <family val="2"/>
        <charset val="129"/>
      </rPr>
      <t>해제시</t>
    </r>
    <r>
      <rPr>
        <sz val="10"/>
        <rFont val="Arial"/>
        <family val="2"/>
      </rPr>
      <t xml:space="preserve">, 3H </t>
    </r>
    <r>
      <rPr>
        <sz val="10"/>
        <rFont val="Arial Unicode MS"/>
        <family val="2"/>
        <charset val="129"/>
      </rPr>
      <t>진입조건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만족시</t>
    </r>
    <r>
      <rPr>
        <sz val="10"/>
        <rFont val="Arial"/>
        <family val="2"/>
      </rPr>
      <t>)</t>
    </r>
    <phoneticPr fontId="11" type="noConversion"/>
  </si>
  <si>
    <r>
      <t xml:space="preserve">COMP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11" type="noConversion"/>
  </si>
  <si>
    <r>
      <t xml:space="preserve">Blower Max </t>
    </r>
    <r>
      <rPr>
        <sz val="10"/>
        <rFont val="Arial Unicode MS"/>
        <family val="2"/>
        <charset val="129"/>
      </rPr>
      <t>시그널</t>
    </r>
    <r>
      <rPr>
        <sz val="10"/>
        <rFont val="Arial"/>
        <family val="2"/>
      </rPr>
      <t>/  0x0:NOT Max blower speed/0x1:Max blower speed/0x2:Not used/0x3:Error Indicator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</si>
  <si>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세팅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r>
      <rPr>
        <sz val="10"/>
        <rFont val="Arial"/>
        <family val="2"/>
      </rPr>
      <t xml:space="preserve"> 0x0:Function Off/0x1:Function On/0x2:reserved/0x3:Invalid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</si>
  <si>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피드백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r>
      <rPr>
        <sz val="10"/>
        <rFont val="Arial"/>
        <family val="2"/>
      </rPr>
      <t xml:space="preserve"> 0x0:Fuction Off/0x1:Function On/0x2:Not Used/0x3:Error Indicator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</si>
  <si>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심볼신호</t>
    </r>
    <r>
      <rPr>
        <sz val="10"/>
        <rFont val="Arial"/>
        <family val="2"/>
      </rPr>
      <t xml:space="preserve"> 0x0:Fuction Off/0x1:ADS Only/0x2:CO2 Only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CO2&amp;ADS </t>
    </r>
    <r>
      <rPr>
        <sz val="10"/>
        <rFont val="Arial Unicode MS"/>
        <family val="2"/>
        <charset val="129"/>
      </rPr>
      <t>동시작동</t>
    </r>
    <phoneticPr fontId="11" type="noConversion"/>
  </si>
  <si>
    <r>
      <rPr>
        <sz val="10"/>
        <rFont val="돋움"/>
        <family val="2"/>
        <charset val="129"/>
      </rPr>
      <t>선루프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열림신호</t>
    </r>
    <r>
      <rPr>
        <sz val="10"/>
        <rFont val="Arial"/>
        <family val="2"/>
      </rPr>
      <t xml:space="preserve">/ 0H </t>
    </r>
    <r>
      <rPr>
        <sz val="10"/>
        <rFont val="돋움"/>
        <family val="2"/>
        <charset val="129"/>
      </rPr>
      <t>닫힘</t>
    </r>
    <r>
      <rPr>
        <sz val="10"/>
        <rFont val="Arial"/>
        <family val="2"/>
      </rPr>
      <t xml:space="preserve">, 1H </t>
    </r>
    <r>
      <rPr>
        <sz val="10"/>
        <rFont val="돋움"/>
        <family val="2"/>
        <charset val="129"/>
      </rPr>
      <t>열림</t>
    </r>
    <phoneticPr fontId="11" type="noConversion"/>
  </si>
  <si>
    <r>
      <rPr>
        <sz val="10"/>
        <rFont val="Arial Unicode MS"/>
        <family val="2"/>
        <charset val="129"/>
      </rPr>
      <t>음성인식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phoneticPr fontId="11" type="noConversion"/>
  </si>
  <si>
    <r>
      <t xml:space="preserve">TMU </t>
    </r>
    <r>
      <rPr>
        <sz val="10"/>
        <rFont val="Arial Unicode MS"/>
        <family val="2"/>
        <charset val="129"/>
      </rPr>
      <t>단말</t>
    </r>
    <r>
      <rPr>
        <sz val="10"/>
        <rFont val="Arial"/>
        <family val="2"/>
      </rPr>
      <t>/</t>
    </r>
    <r>
      <rPr>
        <sz val="10"/>
        <rFont val="Arial Unicode MS"/>
        <family val="2"/>
        <charset val="129"/>
      </rPr>
      <t>센터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음성</t>
    </r>
    <phoneticPr fontId="11" type="noConversion"/>
  </si>
  <si>
    <r>
      <rPr>
        <sz val="10"/>
        <rFont val="Arial Unicode MS"/>
        <family val="2"/>
        <charset val="129"/>
      </rPr>
      <t>세차모드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진입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11" type="noConversion"/>
  </si>
  <si>
    <r>
      <rPr>
        <sz val="10"/>
        <rFont val="Arial Unicode MS"/>
        <family val="2"/>
        <charset val="129"/>
      </rPr>
      <t>차량모드구분</t>
    </r>
    <r>
      <rPr>
        <sz val="10"/>
        <rFont val="Arial"/>
        <family val="2"/>
      </rPr>
      <t xml:space="preserve"> 0x0: Factory mode, 0x1 dealer mode/ 0x2 Customer mode/ 0x3 Error ind</t>
    </r>
    <phoneticPr fontId="11" type="noConversion"/>
  </si>
  <si>
    <r>
      <rPr>
        <sz val="10"/>
        <rFont val="굴림"/>
        <family val="2"/>
        <charset val="129"/>
      </rPr>
      <t>냉매입력값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수신신호</t>
    </r>
    <r>
      <rPr>
        <sz val="10"/>
        <rFont val="Arial"/>
        <family val="2"/>
      </rPr>
      <t xml:space="preserve"> 0xFF: </t>
    </r>
    <r>
      <rPr>
        <sz val="10"/>
        <rFont val="굴림"/>
        <family val="2"/>
        <charset val="129"/>
      </rPr>
      <t>에러</t>
    </r>
    <phoneticPr fontId="11" type="noConversion"/>
  </si>
  <si>
    <r>
      <rPr>
        <sz val="10"/>
        <rFont val="Arial Unicode MS"/>
        <family val="2"/>
        <charset val="129"/>
      </rPr>
      <t>에프터블로우</t>
    </r>
    <r>
      <rPr>
        <sz val="10"/>
        <rFont val="Arial"/>
        <family val="2"/>
      </rPr>
      <t>_Status , 0x0:Default/0x1:Not Operation Status/0x2:Operation Status/0x3:Error Indicator</t>
    </r>
    <phoneticPr fontId="11" type="noConversion"/>
  </si>
  <si>
    <r>
      <rPr>
        <sz val="10"/>
        <rFont val="맑은 고딕"/>
        <family val="3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블로우</t>
    </r>
    <r>
      <rPr>
        <sz val="10"/>
        <rFont val="Arial"/>
        <family val="2"/>
      </rPr>
      <t>_Request , 0x0:Off (Default)/0x1:On Request/0x2:RESERVED/0x3:Error Indicator</t>
    </r>
    <phoneticPr fontId="11" type="noConversion"/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</si>
  <si>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Battery Power State classb / 0x0:Invalid/0x1:Low power condition for ClassB-load operation/0x2:High power condition for ClassB-load operation/0x3:RESERVED</t>
    </r>
    <phoneticPr fontId="11" type="noConversion"/>
  </si>
  <si>
    <t>WhlHeat_Whl_Set</t>
    <phoneticPr fontId="11" type="noConversion"/>
  </si>
  <si>
    <t>WhlHeat_Heat_Set</t>
    <phoneticPr fontId="11" type="noConversion"/>
  </si>
  <si>
    <t>CR_Datc_DRSeatHeat_USM_Set</t>
  </si>
  <si>
    <t>WhlHeat_Whl_Sta</t>
    <phoneticPr fontId="11" type="noConversion"/>
  </si>
  <si>
    <t>WhlHeat_Heat_Sta</t>
    <phoneticPr fontId="11" type="noConversion"/>
  </si>
  <si>
    <t>DATC_DrvrStHtrUSMSta</t>
  </si>
  <si>
    <t>DATC_StrWhlHtngReq</t>
  </si>
  <si>
    <t>WhlHeat_LH_Step</t>
    <phoneticPr fontId="11" type="noConversion"/>
  </si>
  <si>
    <t>DATC_FLStOpReq</t>
  </si>
  <si>
    <t>WhlHeat_RH_Step</t>
    <phoneticPr fontId="11" type="noConversion"/>
  </si>
  <si>
    <t>DATC_FRStOpReq</t>
  </si>
  <si>
    <t>WhlHeat_Drv</t>
    <phoneticPr fontId="11" type="noConversion"/>
  </si>
  <si>
    <t>Drv_SHVU_SeatOptSta</t>
  </si>
  <si>
    <t>WhlHeat_Ast</t>
    <phoneticPr fontId="11" type="noConversion"/>
  </si>
  <si>
    <t>Ast_SHVU_SeatOptSta</t>
  </si>
  <si>
    <t>WhlHeat_ICU</t>
    <phoneticPr fontId="11" type="noConversion"/>
  </si>
  <si>
    <t>C_StrgWhlHeatingOpt</t>
  </si>
  <si>
    <t>WhlHeat_Whl_Step</t>
    <phoneticPr fontId="11" type="noConversion"/>
  </si>
  <si>
    <t>0x0:Fuction Off/0x1:Function On/0x2:reserved/0x3:Invalid</t>
    <phoneticPr fontId="11" type="noConversion"/>
  </si>
  <si>
    <t>CR_Datc_DRSeatWheel_USM_Set</t>
    <phoneticPr fontId="11" type="noConversion"/>
  </si>
  <si>
    <t>0x0:Default/0x1:Off/0x2:On/0x3:Invalid</t>
  </si>
  <si>
    <t>T29.1</t>
  </si>
  <si>
    <t>P29.1</t>
  </si>
  <si>
    <t>T29.1.1</t>
  </si>
  <si>
    <r>
      <t xml:space="preserve">ENGINE </t>
    </r>
    <r>
      <rPr>
        <sz val="10"/>
        <color theme="1"/>
        <rFont val="돋움"/>
        <family val="3"/>
        <charset val="129"/>
      </rPr>
      <t>사양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구분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로직</t>
    </r>
    <r>
      <rPr>
        <sz val="10"/>
        <color theme="1"/>
        <rFont val="Arial"/>
        <family val="2"/>
      </rPr>
      <t xml:space="preserve"> &lt;3</t>
    </r>
    <r>
      <rPr>
        <sz val="10"/>
        <color theme="1"/>
        <rFont val="돋움"/>
        <family val="3"/>
        <charset val="129"/>
      </rPr>
      <t>세대</t>
    </r>
    <r>
      <rPr>
        <sz val="10"/>
        <color theme="1"/>
        <rFont val="Arial"/>
        <family val="2"/>
      </rPr>
      <t xml:space="preserve"> CAN&gt; &lt;</t>
    </r>
    <r>
      <rPr>
        <sz val="10"/>
        <color theme="1"/>
        <rFont val="돋움"/>
        <family val="3"/>
        <charset val="129"/>
      </rPr>
      <t>내연기관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차종</t>
    </r>
    <r>
      <rPr>
        <sz val="10"/>
        <color theme="1"/>
        <rFont val="Arial"/>
        <family val="2"/>
      </rPr>
      <t xml:space="preserve"> ONLY&gt;</t>
    </r>
    <phoneticPr fontId="9" type="noConversion"/>
  </si>
  <si>
    <r>
      <t xml:space="preserve">Signal Defualt </t>
    </r>
    <r>
      <rPr>
        <sz val="10"/>
        <rFont val="Arial Unicode MS"/>
        <family val="2"/>
        <charset val="129"/>
      </rPr>
      <t>값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설정</t>
    </r>
    <phoneticPr fontId="9" type="noConversion"/>
  </si>
  <si>
    <t>EngTyp1</t>
    <phoneticPr fontId="11" type="noConversion"/>
  </si>
  <si>
    <t>EngTyp2</t>
    <phoneticPr fontId="11" type="noConversion"/>
  </si>
  <si>
    <t>EngDsplceTyp</t>
    <phoneticPr fontId="11" type="noConversion"/>
  </si>
  <si>
    <t>TqStndValExt</t>
    <phoneticPr fontId="11" type="noConversion"/>
  </si>
  <si>
    <t>ENG_TqStndValExt</t>
    <phoneticPr fontId="11" type="noConversion"/>
  </si>
  <si>
    <t>ENG_EngDsplceTyp</t>
    <phoneticPr fontId="11" type="noConversion"/>
  </si>
  <si>
    <t>ENG_EngTyp1</t>
    <phoneticPr fontId="11" type="noConversion"/>
  </si>
  <si>
    <t>ENG_EngTyp2</t>
    <phoneticPr fontId="11" type="noConversion"/>
  </si>
  <si>
    <t>EMS12 - ENG_VOL</t>
    <phoneticPr fontId="11" type="noConversion"/>
  </si>
  <si>
    <t>EMS23 - ENG_TYPE</t>
    <phoneticPr fontId="11" type="noConversion"/>
  </si>
  <si>
    <t>EMS12 - ENG_CHR</t>
    <phoneticPr fontId="11" type="noConversion"/>
  </si>
  <si>
    <t>EMS12 - TQ_STND</t>
    <phoneticPr fontId="11" type="noConversion"/>
  </si>
  <si>
    <t>0x0:epsilon(ε)/0x1:gamma(γ)/0x2:kappa(κ)/0x3:theta(θ)/0x4:nu(ν)/0x5:lambda(λ)/0x6:tau(τ)/0xA:S/0xB:A/0xC:R/0xD:U/0xE:D/0xF:Error indicator</t>
    <phoneticPr fontId="11" type="noConversion"/>
  </si>
  <si>
    <t>0x0:LPI/0x1:MPI/0x2:GDI/0x3:TGDI/0x4:CVVL/0x5:CVVD/0x6:PDI/0x7:FFV/0x8:TCI/0x9:VGT/0xA:Turbo/0xB:E-SC/0xE:Not used/0xF:Error indicator</t>
    <phoneticPr fontId="11" type="noConversion"/>
  </si>
  <si>
    <t>0xFF:Error indicator, Factor : 0.1</t>
    <phoneticPr fontId="11" type="noConversion"/>
  </si>
  <si>
    <t>Factor : 10</t>
    <phoneticPr fontId="11" type="noConversion"/>
  </si>
  <si>
    <t xml:space="preserve"> </t>
  </si>
  <si>
    <t>T29.1.2</t>
    <phoneticPr fontId="10" type="noConversion"/>
  </si>
  <si>
    <t>Vert_Air_Count_1</t>
    <phoneticPr fontId="11" type="noConversion"/>
  </si>
  <si>
    <t>Count_1</t>
  </si>
  <si>
    <t>Vert_Air_Count_2</t>
  </si>
  <si>
    <t>Count_2</t>
  </si>
  <si>
    <t>Vert_Air_Count_3</t>
  </si>
  <si>
    <t>Count_3</t>
  </si>
  <si>
    <t>Vert_Air_Count_4</t>
  </si>
  <si>
    <t>Count_4</t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</si>
  <si>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Relay AC On/Off, EMS11 - RLY_AC</t>
    </r>
    <phoneticPr fontId="11" type="noConversion"/>
  </si>
  <si>
    <r>
      <t xml:space="preserve">ISG Start </t>
    </r>
    <r>
      <rPr>
        <sz val="10"/>
        <rFont val="돋움"/>
        <family val="2"/>
        <charset val="129"/>
      </rPr>
      <t>신호</t>
    </r>
    <r>
      <rPr>
        <sz val="10"/>
        <rFont val="Arial"/>
        <family val="2"/>
      </rPr>
      <t>, EMS_H12 - CF_Ems_IsgStat</t>
    </r>
    <phoneticPr fontId="11" type="noConversion"/>
  </si>
  <si>
    <t>ENG_IsgSta</t>
    <phoneticPr fontId="11" type="noConversion"/>
  </si>
  <si>
    <r>
      <rPr>
        <sz val="10"/>
        <rFont val="돋움"/>
        <family val="2"/>
        <charset val="129"/>
      </rPr>
      <t>클러스터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이온</t>
    </r>
    <phoneticPr fontId="11" type="noConversion"/>
  </si>
  <si>
    <t>DATC_StrWhlUSMSta</t>
    <phoneticPr fontId="11" type="noConversion"/>
  </si>
  <si>
    <t>0x0:NOT APPLY/0x1:OFF/0x2:ON/0x3:Error Indicator</t>
    <phoneticPr fontId="11" type="noConversion"/>
  </si>
  <si>
    <t>0x0:Default/0x1:Integrated control OFF/0x2:Steering Wheel heat OFF/0x3:Steering Wheel heat 1st ON/0x4:Steering Wheel heat 1st &amp; 2nd ON/0x5:Reserved/0x6:Reserved/0x7:Invalid</t>
    <phoneticPr fontId="11" type="noConversion"/>
  </si>
  <si>
    <t>0x0:Default/0x1:Integrated control OFF/0x2:OFF/0x3:Left Seat Ventilation 1st ON/0x4:Left Seat Ventilation 1st&amp;2nd ON/0x5:Left Seat Ventilation 1st&amp;2nd&amp;3rd ON/0x6:Left Seat Warmer 1st ON/0x7:Left Seat Warmer 1st&amp;2nd ON/0x8:Left Seat Warmer 1st&amp;2nd&amp;3rd ON/0x9~0xE:Not Used/0xF:Error Indicator</t>
  </si>
  <si>
    <t>0x0:Default/0x1:Integrated control OFF/0x2:OFF/0x3:Right Seat Ventilation 1st ON/0x4:Right Seat Ventilation 1st&amp;2nd ON/0x5:Right Seat Ventilation 1st&amp;2nd&amp;3rd ON/0x6:Right Seat Warmer 1st ON/0x7:Right Seat Warmer 1st&amp;2nd ON/0x8:Right Seat Warmer 1st&amp;2nd&amp;3rd ON/0x9~0xE:Not Used/0xF:Error Indicator</t>
  </si>
  <si>
    <t>0x0:Init/0x1:Heater only 2step/0x2:Heater only 3step/0x3:Vent only 2step/0x4:Vent only 3step/0x5:Heater and Vent 2step/0x6:Heater and Vent 3step/0x7:Invalid</t>
  </si>
  <si>
    <t>0x0:Not Applied/0x1:Applied(steering wheel applied)/0x2:Reserved/0x3:Invalid</t>
  </si>
  <si>
    <t>T21.1</t>
    <phoneticPr fontId="9" type="noConversion"/>
  </si>
  <si>
    <t>P21.1</t>
    <phoneticPr fontId="9" type="noConversion"/>
  </si>
  <si>
    <t>T21.1.1</t>
    <phoneticPr fontId="9" type="noConversion"/>
  </si>
  <si>
    <t>T21.1.2</t>
    <phoneticPr fontId="9" type="noConversion"/>
  </si>
  <si>
    <t>T24.1</t>
    <phoneticPr fontId="9" type="noConversion"/>
  </si>
  <si>
    <t>P24.1</t>
    <phoneticPr fontId="9" type="noConversion"/>
  </si>
  <si>
    <t>T24.1.1</t>
    <phoneticPr fontId="9" type="noConversion"/>
  </si>
  <si>
    <t>T24.1.2</t>
    <phoneticPr fontId="9" type="noConversion"/>
  </si>
  <si>
    <t>T24.2</t>
    <phoneticPr fontId="9" type="noConversion"/>
  </si>
  <si>
    <t>P24.2</t>
    <phoneticPr fontId="9" type="noConversion"/>
  </si>
  <si>
    <t>T24.2.1</t>
    <phoneticPr fontId="9" type="noConversion"/>
  </si>
  <si>
    <t>T30.1</t>
    <phoneticPr fontId="9" type="noConversion"/>
  </si>
  <si>
    <t>P30.1</t>
    <phoneticPr fontId="9" type="noConversion"/>
  </si>
  <si>
    <t>T30.1.1</t>
    <phoneticPr fontId="9" type="noConversion"/>
  </si>
  <si>
    <t>T30.1.2</t>
    <phoneticPr fontId="9" type="noConversion"/>
  </si>
  <si>
    <t>T31.1</t>
  </si>
  <si>
    <t>T31.1.1</t>
    <phoneticPr fontId="9" type="noConversion"/>
  </si>
  <si>
    <t>T32.1</t>
  </si>
  <si>
    <t>P32.1</t>
  </si>
  <si>
    <t>T32.1.1</t>
  </si>
  <si>
    <t>T32.1.2</t>
    <phoneticPr fontId="9" type="noConversion"/>
  </si>
  <si>
    <t>T33.1</t>
    <phoneticPr fontId="9" type="noConversion"/>
  </si>
  <si>
    <t>P33.1</t>
  </si>
  <si>
    <t>T33.1.1</t>
  </si>
  <si>
    <t>T34.1</t>
    <phoneticPr fontId="9" type="noConversion"/>
  </si>
  <si>
    <t>P34.1</t>
    <phoneticPr fontId="9" type="noConversion"/>
  </si>
  <si>
    <t>T34.1.1</t>
    <phoneticPr fontId="9" type="noConversion"/>
  </si>
  <si>
    <t>T34.1.2</t>
    <phoneticPr fontId="9" type="noConversion"/>
  </si>
  <si>
    <t>T35.1</t>
  </si>
  <si>
    <t>P35.1</t>
  </si>
  <si>
    <t>T35.1.1</t>
  </si>
  <si>
    <t>T41.1</t>
  </si>
  <si>
    <t>P41.1</t>
  </si>
  <si>
    <t>T41.1.1</t>
  </si>
  <si>
    <t>Title43</t>
  </si>
  <si>
    <t>T43.1</t>
  </si>
  <si>
    <t>P43.1</t>
  </si>
  <si>
    <t>T43.1.1</t>
  </si>
  <si>
    <t>T43.1.2</t>
  </si>
  <si>
    <t>Title44</t>
  </si>
  <si>
    <t>T44.1</t>
  </si>
  <si>
    <t>P44.1</t>
  </si>
  <si>
    <t>T44.1.1</t>
  </si>
  <si>
    <t>T44.1.2</t>
  </si>
  <si>
    <t>T45.1</t>
  </si>
  <si>
    <t>P45.1</t>
  </si>
  <si>
    <t>T45.1.1</t>
  </si>
  <si>
    <t>T45.1.2</t>
  </si>
  <si>
    <t>TS</t>
    <phoneticPr fontId="9" type="noConversion"/>
  </si>
  <si>
    <t>T46.1</t>
  </si>
  <si>
    <t>P46.1</t>
  </si>
  <si>
    <t>T46.1.1</t>
  </si>
  <si>
    <t>T46.1.2</t>
  </si>
  <si>
    <t>T47.1</t>
  </si>
  <si>
    <t>P47.1</t>
  </si>
  <si>
    <t>T47.1.1</t>
  </si>
  <si>
    <t>T47.1.2</t>
  </si>
  <si>
    <t>T48.1</t>
  </si>
  <si>
    <t>P48.1</t>
  </si>
  <si>
    <t>T48.1.1</t>
  </si>
  <si>
    <t>T49.1</t>
  </si>
  <si>
    <t>P49.1</t>
  </si>
  <si>
    <t>T49.1.1</t>
  </si>
  <si>
    <t>T49.1.2</t>
  </si>
  <si>
    <t>T50.1</t>
  </si>
  <si>
    <t>P50.1</t>
  </si>
  <si>
    <t>T50.1.1</t>
  </si>
  <si>
    <t>T50.1.2</t>
  </si>
  <si>
    <t>T51.1</t>
  </si>
  <si>
    <t>P51.1</t>
  </si>
  <si>
    <t>T51.1.1</t>
  </si>
  <si>
    <t>T51.1.2</t>
  </si>
  <si>
    <t>Title54</t>
  </si>
  <si>
    <t>T54.1</t>
  </si>
  <si>
    <t>P54.1</t>
  </si>
  <si>
    <t>T54.1.1</t>
  </si>
  <si>
    <t>T54.1.2</t>
  </si>
  <si>
    <t>T55.1</t>
  </si>
  <si>
    <t>P55.1</t>
  </si>
  <si>
    <t>T55.1.1</t>
  </si>
  <si>
    <t>T55.1.2</t>
  </si>
  <si>
    <t>T56.1</t>
  </si>
  <si>
    <t>P56.1</t>
  </si>
  <si>
    <t>T56.1.1</t>
  </si>
  <si>
    <t>T56.1.2</t>
  </si>
  <si>
    <t>T56.1.3</t>
  </si>
  <si>
    <t>T57.1</t>
  </si>
  <si>
    <t>P57.1</t>
  </si>
  <si>
    <t>T57.1.1</t>
  </si>
  <si>
    <t>T60.1</t>
  </si>
  <si>
    <t>P60.1</t>
  </si>
  <si>
    <t>T60.1.1</t>
  </si>
  <si>
    <t>T60.1.2</t>
  </si>
  <si>
    <t>T60.1.3</t>
  </si>
  <si>
    <t>T60.1.4</t>
  </si>
  <si>
    <t>off</t>
    <phoneticPr fontId="9" type="noConversion"/>
  </si>
  <si>
    <t>Title61</t>
  </si>
  <si>
    <t>T61.1</t>
  </si>
  <si>
    <t>P61.1</t>
  </si>
  <si>
    <t>T61.1.1</t>
  </si>
  <si>
    <t>T61.1.2</t>
  </si>
  <si>
    <t>T62.1</t>
  </si>
  <si>
    <t>P62.1</t>
  </si>
  <si>
    <t>T62.1.1</t>
  </si>
  <si>
    <t>T62.1.2</t>
  </si>
  <si>
    <t>T63.1</t>
  </si>
  <si>
    <t>P63.1</t>
  </si>
  <si>
    <t>T63.1.1</t>
  </si>
  <si>
    <t>T63.1.2</t>
  </si>
  <si>
    <t>P46.1</t>
    <phoneticPr fontId="9" type="noConversion"/>
  </si>
  <si>
    <t>P45.1</t>
    <phoneticPr fontId="9" type="noConversion"/>
  </si>
  <si>
    <t>T45.1.1</t>
    <phoneticPr fontId="9" type="noConversion"/>
  </si>
  <si>
    <t>T45.1.2</t>
    <phoneticPr fontId="9" type="noConversion"/>
  </si>
  <si>
    <t>P44.1</t>
    <phoneticPr fontId="9" type="noConversion"/>
  </si>
  <si>
    <t>T44.1.1</t>
    <phoneticPr fontId="9" type="noConversion"/>
  </si>
  <si>
    <t>T44.1.2</t>
    <phoneticPr fontId="9" type="noConversion"/>
  </si>
  <si>
    <t>P43.1</t>
    <phoneticPr fontId="9" type="noConversion"/>
  </si>
  <si>
    <t>T43.1.1</t>
    <phoneticPr fontId="9" type="noConversion"/>
  </si>
  <si>
    <t>T43.1.2</t>
    <phoneticPr fontId="9" type="noConversion"/>
  </si>
  <si>
    <t>P41.1</t>
    <phoneticPr fontId="9" type="noConversion"/>
  </si>
  <si>
    <t>T41.1.1</t>
    <phoneticPr fontId="9" type="noConversion"/>
  </si>
  <si>
    <t>P35.1</t>
    <phoneticPr fontId="9" type="noConversion"/>
  </si>
  <si>
    <t>T35.1.1</t>
    <phoneticPr fontId="9" type="noConversion"/>
  </si>
  <si>
    <t>T35.1.2</t>
    <phoneticPr fontId="9" type="noConversion"/>
  </si>
  <si>
    <t>P33.1</t>
    <phoneticPr fontId="9" type="noConversion"/>
  </si>
  <si>
    <t>T33.1.1</t>
    <phoneticPr fontId="9" type="noConversion"/>
  </si>
  <si>
    <t>T33.1.2</t>
    <phoneticPr fontId="9" type="noConversion"/>
  </si>
  <si>
    <t>P32.1</t>
    <phoneticPr fontId="9" type="noConversion"/>
  </si>
  <si>
    <t>T32.1.1</t>
    <phoneticPr fontId="9" type="noConversion"/>
  </si>
  <si>
    <t>P29.1</t>
    <phoneticPr fontId="9" type="noConversion"/>
  </si>
  <si>
    <t>T29.1.1</t>
    <phoneticPr fontId="9" type="noConversion"/>
  </si>
  <si>
    <t>T29.1.2</t>
    <phoneticPr fontId="9" type="noConversion"/>
  </si>
  <si>
    <t>T27.1.1</t>
    <phoneticPr fontId="9" type="noConversion"/>
  </si>
  <si>
    <t>T27.1.2</t>
    <phoneticPr fontId="9" type="noConversion"/>
  </si>
  <si>
    <t>T26.1.2</t>
    <phoneticPr fontId="9" type="noConversion"/>
  </si>
  <si>
    <t>P25.2</t>
    <phoneticPr fontId="9" type="noConversion"/>
  </si>
  <si>
    <t>T24.2.2</t>
    <phoneticPr fontId="9" type="noConversion"/>
  </si>
  <si>
    <t>T23.1.2</t>
    <phoneticPr fontId="9" type="noConversion"/>
  </si>
  <si>
    <t>T21.1</t>
  </si>
  <si>
    <t>P21.1</t>
  </si>
  <si>
    <t>T21.1.1</t>
  </si>
  <si>
    <t>T21.1.2</t>
    <phoneticPr fontId="10" type="noConversion"/>
  </si>
  <si>
    <t>T30.1</t>
  </si>
  <si>
    <t>P30.1</t>
  </si>
  <si>
    <t>T30.1.1</t>
  </si>
  <si>
    <t>T30.1.2</t>
    <phoneticPr fontId="10" type="noConversion"/>
  </si>
  <si>
    <t>T31.1.1</t>
  </si>
  <si>
    <t>T32.1.2</t>
    <phoneticPr fontId="10" type="noConversion"/>
  </si>
  <si>
    <t>T33.1</t>
  </si>
  <si>
    <t>T33.1.2</t>
    <phoneticPr fontId="10" type="noConversion"/>
  </si>
  <si>
    <t>T34.1</t>
  </si>
  <si>
    <t>P34.1</t>
  </si>
  <si>
    <t>T34.1.1</t>
  </si>
  <si>
    <t>T34.1.2</t>
    <phoneticPr fontId="10" type="noConversion"/>
  </si>
  <si>
    <t>T35.1.2</t>
    <phoneticPr fontId="10" type="noConversion"/>
  </si>
  <si>
    <t>T43</t>
  </si>
  <si>
    <r>
      <t xml:space="preserve">CF_Datc_Text_PopupReq </t>
    </r>
    <r>
      <rPr>
        <sz val="11"/>
        <rFont val="Arial Unicode MS"/>
        <family val="2"/>
        <charset val="129"/>
      </rPr>
      <t>신호는</t>
    </r>
    <r>
      <rPr>
        <sz val="11"/>
        <rFont val="Arial"/>
        <family val="2"/>
      </rPr>
      <t xml:space="preserve"> 3</t>
    </r>
    <r>
      <rPr>
        <sz val="11"/>
        <rFont val="Arial Unicode MS"/>
        <family val="2"/>
        <charset val="129"/>
      </rPr>
      <t>회만</t>
    </r>
    <r>
      <rPr>
        <sz val="11"/>
        <rFont val="Arial"/>
        <family val="2"/>
      </rPr>
      <t xml:space="preserve"> 0x1 </t>
    </r>
    <r>
      <rPr>
        <sz val="11"/>
        <rFont val="Arial Unicode MS"/>
        <family val="2"/>
        <charset val="129"/>
      </rPr>
      <t>신호처리</t>
    </r>
    <r>
      <rPr>
        <sz val="11"/>
        <rFont val="Arial"/>
        <family val="2"/>
      </rPr>
      <t xml:space="preserve"> </t>
    </r>
    <r>
      <rPr>
        <sz val="11"/>
        <rFont val="Arial Unicode MS"/>
        <family val="2"/>
        <charset val="129"/>
      </rPr>
      <t>하고</t>
    </r>
    <r>
      <rPr>
        <sz val="11"/>
        <rFont val="Arial"/>
        <family val="2"/>
      </rPr>
      <t xml:space="preserve"> </t>
    </r>
    <r>
      <rPr>
        <sz val="11"/>
        <rFont val="Arial Unicode MS"/>
        <family val="2"/>
        <charset val="129"/>
      </rPr>
      <t>나머지</t>
    </r>
    <r>
      <rPr>
        <sz val="11"/>
        <rFont val="Arial"/>
        <family val="2"/>
      </rPr>
      <t xml:space="preserve"> 0x0</t>
    </r>
    <r>
      <rPr>
        <sz val="11"/>
        <rFont val="Arial Unicode MS"/>
        <family val="2"/>
        <charset val="129"/>
      </rPr>
      <t>으로</t>
    </r>
    <r>
      <rPr>
        <sz val="11"/>
        <rFont val="Arial"/>
        <family val="2"/>
      </rPr>
      <t xml:space="preserve"> </t>
    </r>
    <r>
      <rPr>
        <sz val="11"/>
        <rFont val="Arial Unicode MS"/>
        <family val="2"/>
        <charset val="129"/>
      </rPr>
      <t>송부</t>
    </r>
    <r>
      <rPr>
        <sz val="11"/>
        <rFont val="Arial"/>
        <family val="2"/>
      </rPr>
      <t xml:space="preserve"> </t>
    </r>
    <r>
      <rPr>
        <sz val="11"/>
        <rFont val="Arial Unicode MS"/>
        <family val="2"/>
        <charset val="129"/>
      </rPr>
      <t>확인</t>
    </r>
    <phoneticPr fontId="10" type="noConversion"/>
  </si>
  <si>
    <t>T44</t>
  </si>
  <si>
    <t>PTC2</t>
    <phoneticPr fontId="10" type="noConversion"/>
  </si>
  <si>
    <t>PTC3</t>
    <phoneticPr fontId="10" type="noConversion"/>
  </si>
  <si>
    <t>Floor</t>
    <phoneticPr fontId="10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</si>
  <si>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10" type="noConversion"/>
  </si>
  <si>
    <t>.</t>
    <phoneticPr fontId="10" type="noConversion"/>
  </si>
  <si>
    <t>CR_Datc_DrTempDispC</t>
    <phoneticPr fontId="10" type="noConversion"/>
  </si>
  <si>
    <t>CR_Datc_PsTempDispC</t>
  </si>
  <si>
    <t>T60.1.2</t>
    <phoneticPr fontId="10" type="noConversion"/>
  </si>
  <si>
    <t>On</t>
    <phoneticPr fontId="10" type="noConversion"/>
  </si>
  <si>
    <t>T60.1.3</t>
    <phoneticPr fontId="10" type="noConversion"/>
  </si>
  <si>
    <r>
      <t>0.75</t>
    </r>
    <r>
      <rPr>
        <sz val="11"/>
        <rFont val="굴림"/>
        <family val="2"/>
        <charset val="129"/>
      </rPr>
      <t>초</t>
    </r>
    <r>
      <rPr>
        <sz val="11"/>
        <rFont val="Arial"/>
        <family val="2"/>
      </rPr>
      <t xml:space="preserve"> </t>
    </r>
    <r>
      <rPr>
        <sz val="11"/>
        <rFont val="굴림"/>
        <family val="2"/>
        <charset val="129"/>
      </rPr>
      <t>간격으로</t>
    </r>
    <r>
      <rPr>
        <sz val="11"/>
        <rFont val="Arial"/>
        <family val="2"/>
      </rPr>
      <t xml:space="preserve"> On/Off </t>
    </r>
    <r>
      <rPr>
        <sz val="11"/>
        <rFont val="굴림"/>
        <family val="2"/>
        <charset val="129"/>
      </rPr>
      <t>반복하여</t>
    </r>
    <r>
      <rPr>
        <sz val="11"/>
        <rFont val="Arial"/>
        <family val="2"/>
      </rPr>
      <t xml:space="preserve"> </t>
    </r>
    <r>
      <rPr>
        <sz val="11"/>
        <rFont val="굴림"/>
        <family val="2"/>
        <charset val="129"/>
      </rPr>
      <t>점</t>
    </r>
    <r>
      <rPr>
        <sz val="11"/>
        <rFont val="Arial"/>
        <family val="2"/>
      </rPr>
      <t>/</t>
    </r>
    <r>
      <rPr>
        <sz val="11"/>
        <rFont val="굴림"/>
        <family val="2"/>
        <charset val="129"/>
      </rPr>
      <t>소등</t>
    </r>
    <phoneticPr fontId="10" type="noConversion"/>
  </si>
  <si>
    <t>T60.1.4</t>
    <phoneticPr fontId="10" type="noConversion"/>
  </si>
  <si>
    <t>DIAG_DTC Code</t>
  </si>
  <si>
    <t>B18BC92</t>
  </si>
  <si>
    <t>Clear</t>
    <phoneticPr fontId="10" type="noConversion"/>
  </si>
  <si>
    <t>T24.1</t>
  </si>
  <si>
    <t>P24.1</t>
  </si>
  <si>
    <t>T24.1.1</t>
  </si>
  <si>
    <t>Vert_Air_Count_1</t>
  </si>
  <si>
    <t>T24.1.2</t>
    <phoneticPr fontId="10" type="noConversion"/>
  </si>
  <si>
    <t>T24.2</t>
  </si>
  <si>
    <t>P24.2</t>
  </si>
  <si>
    <t>T24.2.1</t>
  </si>
  <si>
    <t>T24.2.2</t>
  </si>
  <si>
    <t>ION_Signal_IO</t>
    <phoneticPr fontId="11" type="noConversion"/>
  </si>
  <si>
    <t>CLEAN_Signal_IO</t>
    <phoneticPr fontId="11" type="noConversion"/>
  </si>
  <si>
    <r>
      <t xml:space="preserve">Vert Air </t>
    </r>
    <r>
      <rPr>
        <sz val="10"/>
        <color theme="1"/>
        <rFont val="돋움"/>
        <family val="3"/>
        <charset val="129"/>
      </rPr>
      <t>로직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돋움"/>
        <family val="3"/>
        <charset val="129"/>
      </rPr>
      <t>내외기</t>
    </r>
    <r>
      <rPr>
        <sz val="10"/>
        <color theme="1"/>
        <rFont val="Arial"/>
        <family val="2"/>
      </rPr>
      <t xml:space="preserve"> 2</t>
    </r>
    <r>
      <rPr>
        <sz val="10"/>
        <color theme="1"/>
        <rFont val="돋움"/>
        <family val="3"/>
        <charset val="129"/>
      </rPr>
      <t>층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제어로직</t>
    </r>
    <r>
      <rPr>
        <sz val="10"/>
        <color theme="1"/>
        <rFont val="Arial"/>
        <family val="2"/>
      </rPr>
      <t xml:space="preserve">) - with ADS </t>
    </r>
    <r>
      <rPr>
        <sz val="10"/>
        <color theme="1"/>
        <rFont val="Arial Unicode MS"/>
        <family val="2"/>
        <charset val="129"/>
      </rPr>
      <t>사양</t>
    </r>
    <phoneticPr fontId="9" type="noConversion"/>
  </si>
  <si>
    <t>T22.1</t>
  </si>
  <si>
    <t>P22.1</t>
  </si>
  <si>
    <t>T22.1.1</t>
  </si>
  <si>
    <t>T22.1.2</t>
  </si>
  <si>
    <t>Sw_REC</t>
    <phoneticPr fontId="9" type="noConversion"/>
  </si>
  <si>
    <t>타 제어기에 의한 공조조작 신호 무시 로직</t>
  </si>
  <si>
    <t>AirconPressureSensorValue</t>
    <phoneticPr fontId="11" type="noConversion"/>
  </si>
  <si>
    <t>REC_90%</t>
    <phoneticPr fontId="11" type="noConversion"/>
  </si>
  <si>
    <t>REC_90%</t>
    <phoneticPr fontId="9" type="noConversion"/>
  </si>
  <si>
    <t>FRE</t>
    <phoneticPr fontId="10" type="noConversion"/>
  </si>
  <si>
    <t>T44.1.3</t>
    <phoneticPr fontId="10" type="noConversion"/>
  </si>
  <si>
    <t>T44.1.3</t>
    <phoneticPr fontId="9" type="noConversion"/>
  </si>
  <si>
    <t>TempLimit</t>
  </si>
  <si>
    <t>TempLimit</t>
    <phoneticPr fontId="11" type="noConversion"/>
  </si>
  <si>
    <t>MIX</t>
    <phoneticPr fontId="9" type="noConversion"/>
  </si>
  <si>
    <t>Vent Bleed</t>
    <phoneticPr fontId="11" type="noConversion"/>
  </si>
  <si>
    <t>Close</t>
    <phoneticPr fontId="11" type="noConversion"/>
  </si>
  <si>
    <t>ATS_DATC_FrDrBlowerUpDn</t>
  </si>
  <si>
    <t>HU_DATC_MainBlowerUpDn</t>
    <phoneticPr fontId="10" type="noConversion"/>
  </si>
  <si>
    <t>T54.1.3</t>
  </si>
  <si>
    <t>T54.1.4</t>
  </si>
  <si>
    <t>T54.1.5</t>
  </si>
  <si>
    <t>T54.1.2</t>
    <phoneticPr fontId="10" type="noConversion"/>
  </si>
  <si>
    <t>T54.1.3</t>
    <phoneticPr fontId="10" type="noConversion"/>
  </si>
  <si>
    <t>T54.1.4</t>
    <phoneticPr fontId="10" type="noConversion"/>
  </si>
  <si>
    <t>T54.1.5</t>
    <phoneticPr fontId="10" type="noConversion"/>
  </si>
  <si>
    <t>CF_AVN_ProfileIDRValue</t>
    <phoneticPr fontId="11" type="noConversion"/>
  </si>
  <si>
    <t>User_Profile2</t>
    <phoneticPr fontId="11" type="noConversion"/>
  </si>
  <si>
    <t>T58.1.3</t>
    <phoneticPr fontId="10" type="noConversion"/>
  </si>
  <si>
    <t>DATA_OpSta</t>
    <phoneticPr fontId="10" type="noConversion"/>
  </si>
  <si>
    <t>T54</t>
    <phoneticPr fontId="10" type="noConversion"/>
  </si>
  <si>
    <t>AfterBlower_USMSet</t>
    <phoneticPr fontId="11" type="noConversion"/>
  </si>
  <si>
    <t>DATC_AfterBlowUSMSet</t>
    <phoneticPr fontId="11" type="noConversion"/>
  </si>
  <si>
    <t>AfterBlower_USMSta</t>
    <phoneticPr fontId="11" type="noConversion"/>
  </si>
  <si>
    <t>DATC_AfterBlowUSMSta</t>
    <phoneticPr fontId="11" type="noConversion"/>
  </si>
  <si>
    <t>0x0:Default/0x1:After Blow USM OFF/0x2:After Blow USM ON/0x3:Error Indicator</t>
    <phoneticPr fontId="11" type="noConversion"/>
  </si>
  <si>
    <t>AfterBlower_OTA_mode</t>
    <phoneticPr fontId="11" type="noConversion"/>
  </si>
  <si>
    <t>CCU_OTA_mode</t>
    <phoneticPr fontId="11" type="noConversion"/>
  </si>
  <si>
    <t>0x0:idle/0x1:Download/0x2:BackgroundSend/0x3:UpdateReady_bf_apv/0x4:UpdateReady_af_apv/0x5:Update_preprocess/0x6:Update_PE/0x7:Update_other</t>
    <phoneticPr fontId="11" type="noConversion"/>
  </si>
  <si>
    <r>
      <t>Key Off 2</t>
    </r>
    <r>
      <rPr>
        <sz val="11"/>
        <rFont val="Arial Unicode MS"/>
        <family val="2"/>
        <charset val="129"/>
      </rPr>
      <t>초</t>
    </r>
    <r>
      <rPr>
        <sz val="11"/>
        <rFont val="Arial"/>
        <family val="2"/>
      </rPr>
      <t xml:space="preserve"> </t>
    </r>
    <r>
      <rPr>
        <sz val="11"/>
        <rFont val="Arial Unicode MS"/>
        <family val="2"/>
        <charset val="129"/>
      </rPr>
      <t>이내</t>
    </r>
    <r>
      <rPr>
        <sz val="11"/>
        <rFont val="Arial"/>
        <family val="2"/>
      </rPr>
      <t xml:space="preserve"> PDC_BatPwrStateClassB = 2 </t>
    </r>
    <r>
      <rPr>
        <sz val="11"/>
        <rFont val="Arial Unicode MS"/>
        <family val="2"/>
        <charset val="129"/>
      </rPr>
      <t>설정</t>
    </r>
    <phoneticPr fontId="10" type="noConversion"/>
  </si>
  <si>
    <t>T60</t>
    <phoneticPr fontId="10" type="noConversion"/>
  </si>
  <si>
    <t>T61</t>
    <phoneticPr fontId="10" type="noConversion"/>
  </si>
  <si>
    <r>
      <t xml:space="preserve">OFF </t>
    </r>
    <r>
      <rPr>
        <b/>
        <sz val="10"/>
        <rFont val="Arial Unicode MS"/>
        <family val="2"/>
        <charset val="129"/>
      </rPr>
      <t>버튼을</t>
    </r>
    <r>
      <rPr>
        <b/>
        <sz val="10"/>
        <rFont val="Arial"/>
        <family val="2"/>
      </rPr>
      <t xml:space="preserve"> 10</t>
    </r>
    <r>
      <rPr>
        <b/>
        <sz val="10"/>
        <rFont val="맑은 고딕"/>
        <family val="3"/>
        <charset val="129"/>
      </rPr>
      <t>초간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누름</t>
    </r>
    <phoneticPr fontId="11" type="noConversion"/>
  </si>
  <si>
    <t>Full_Close</t>
    <phoneticPr fontId="9" type="noConversion"/>
  </si>
  <si>
    <t>PTC_EN_DIS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</si>
  <si>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OFF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</si>
  <si>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t xml:space="preserve">PTC </t>
    </r>
    <r>
      <rPr>
        <sz val="10"/>
        <rFont val="Arial Unicode MS"/>
        <family val="2"/>
        <charset val="129"/>
      </rPr>
      <t>강제구동</t>
    </r>
    <phoneticPr fontId="11" type="noConversion"/>
  </si>
  <si>
    <t>Full_Close</t>
    <phoneticPr fontId="11" type="noConversion"/>
  </si>
  <si>
    <r>
      <t>0.5</t>
    </r>
    <r>
      <rPr>
        <sz val="10"/>
        <rFont val="굴림"/>
        <family val="2"/>
        <charset val="129"/>
      </rPr>
      <t>초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간격으로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점</t>
    </r>
    <r>
      <rPr>
        <sz val="10"/>
        <rFont val="Arial"/>
        <family val="2"/>
      </rPr>
      <t>/</t>
    </r>
    <r>
      <rPr>
        <sz val="10"/>
        <rFont val="굴림"/>
        <family val="2"/>
        <charset val="129"/>
      </rPr>
      <t>소등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확인</t>
    </r>
    <phoneticPr fontId="9" type="noConversion"/>
  </si>
  <si>
    <r>
      <t>0.5</t>
    </r>
    <r>
      <rPr>
        <sz val="10"/>
        <rFont val="돋움"/>
        <family val="3"/>
        <charset val="129"/>
      </rPr>
      <t>초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간격으로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점</t>
    </r>
    <r>
      <rPr>
        <sz val="10"/>
        <rFont val="Arial"/>
        <family val="2"/>
      </rPr>
      <t>/</t>
    </r>
    <r>
      <rPr>
        <sz val="10"/>
        <rFont val="돋움"/>
        <family val="3"/>
        <charset val="129"/>
      </rPr>
      <t>소등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확인</t>
    </r>
  </si>
  <si>
    <t>Title60</t>
    <phoneticPr fontId="10" type="noConversion"/>
  </si>
  <si>
    <t>Title61</t>
    <phoneticPr fontId="10" type="noConversion"/>
  </si>
  <si>
    <t>Title62</t>
    <phoneticPr fontId="10" type="noConversion"/>
  </si>
  <si>
    <t>Title63</t>
    <phoneticPr fontId="10" type="noConversion"/>
  </si>
  <si>
    <t>Title57</t>
    <phoneticPr fontId="10" type="noConversion"/>
  </si>
  <si>
    <t>Title56</t>
    <phoneticPr fontId="10" type="noConversion"/>
  </si>
  <si>
    <t>Title55</t>
    <phoneticPr fontId="10" type="noConversion"/>
  </si>
  <si>
    <t>Title54</t>
    <phoneticPr fontId="10" type="noConversion"/>
  </si>
  <si>
    <t>2024-11-08 ~ 2024-12-02</t>
    <phoneticPr fontId="5" type="noConversion"/>
  </si>
  <si>
    <r>
      <rPr>
        <b/>
        <sz val="10"/>
        <color theme="0"/>
        <rFont val="맑은 고딕"/>
        <family val="3"/>
        <charset val="129"/>
      </rPr>
      <t>버튼</t>
    </r>
    <r>
      <rPr>
        <b/>
        <sz val="10"/>
        <color theme="0"/>
        <rFont val="Arial"/>
        <family val="2"/>
      </rPr>
      <t xml:space="preserve"> Input </t>
    </r>
    <r>
      <rPr>
        <b/>
        <sz val="10"/>
        <color theme="0"/>
        <rFont val="맑은 고딕"/>
        <family val="3"/>
        <charset val="129"/>
      </rPr>
      <t>용어</t>
    </r>
    <phoneticPr fontId="9" type="noConversion"/>
  </si>
  <si>
    <r>
      <t xml:space="preserve">IGN2 Off, IGN1 Off </t>
    </r>
    <r>
      <rPr>
        <sz val="10"/>
        <rFont val="Arial Unicode MS"/>
        <family val="2"/>
        <charset val="129"/>
      </rPr>
      <t>수행</t>
    </r>
    <r>
      <rPr>
        <sz val="10"/>
        <rFont val="Arial"/>
        <family val="2"/>
      </rPr>
      <t xml:space="preserve"> (EV</t>
    </r>
    <r>
      <rPr>
        <sz val="10"/>
        <rFont val="Arial Unicode MS"/>
        <family val="2"/>
        <charset val="129"/>
      </rPr>
      <t>는</t>
    </r>
    <r>
      <rPr>
        <sz val="10"/>
        <rFont val="Arial"/>
        <family val="2"/>
      </rPr>
      <t xml:space="preserve"> IGN1 </t>
    </r>
    <r>
      <rPr>
        <sz val="10"/>
        <rFont val="Arial Unicode MS"/>
        <family val="2"/>
        <charset val="129"/>
      </rPr>
      <t>대신</t>
    </r>
    <r>
      <rPr>
        <sz val="10"/>
        <rFont val="Arial"/>
        <family val="2"/>
      </rPr>
      <t xml:space="preserve"> IGN3 </t>
    </r>
    <r>
      <rPr>
        <sz val="10"/>
        <rFont val="Arial Unicode MS"/>
        <family val="2"/>
        <charset val="129"/>
      </rPr>
      <t>사용</t>
    </r>
    <r>
      <rPr>
        <sz val="10"/>
        <rFont val="Arial"/>
        <family val="2"/>
      </rPr>
      <t>)</t>
    </r>
    <phoneticPr fontId="9" type="noConversion"/>
  </si>
  <si>
    <r>
      <rPr>
        <sz val="10"/>
        <rFont val="굴림"/>
        <family val="2"/>
        <charset val="129"/>
      </rPr>
      <t>개별공조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버튼</t>
    </r>
    <phoneticPr fontId="9" type="noConversion"/>
  </si>
  <si>
    <r>
      <rPr>
        <sz val="10"/>
        <color theme="1"/>
        <rFont val="맑은 고딕"/>
        <family val="3"/>
        <charset val="129"/>
      </rPr>
      <t>온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도</t>
    </r>
  </si>
  <si>
    <r>
      <rPr>
        <sz val="10"/>
        <color theme="1"/>
        <rFont val="맑은 고딕"/>
        <family val="3"/>
        <charset val="129"/>
      </rPr>
      <t>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항</t>
    </r>
  </si>
  <si>
    <r>
      <t>(</t>
    </r>
    <r>
      <rPr>
        <sz val="10"/>
        <color theme="1"/>
        <rFont val="맑은 고딕"/>
        <family val="3"/>
        <charset val="129"/>
      </rPr>
      <t>℃</t>
    </r>
    <r>
      <rPr>
        <sz val="10"/>
        <color theme="1"/>
        <rFont val="Arial"/>
        <family val="2"/>
      </rPr>
      <t>)</t>
    </r>
  </si>
  <si>
    <r>
      <t xml:space="preserve">TEMP </t>
    </r>
    <r>
      <rPr>
        <sz val="10"/>
        <rFont val="Arial Unicode MS"/>
        <family val="2"/>
        <charset val="129"/>
      </rPr>
      <t>하한치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규제</t>
    </r>
    <phoneticPr fontId="11" type="noConversion"/>
  </si>
  <si>
    <r>
      <rPr>
        <sz val="10"/>
        <rFont val="Arial Unicode MS"/>
        <family val="2"/>
        <charset val="129"/>
      </rPr>
      <t>냉매압</t>
    </r>
    <r>
      <rPr>
        <sz val="10"/>
        <rFont val="Arial"/>
        <family val="2"/>
      </rPr>
      <t>, EMS_H12 - R_PAcnC</t>
    </r>
    <phoneticPr fontId="11" type="noConversion"/>
  </si>
  <si>
    <r>
      <rPr>
        <sz val="10"/>
        <rFont val="Arial Unicode MS"/>
        <family val="2"/>
        <charset val="129"/>
      </rPr>
      <t>휠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세팅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</si>
  <si>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세팅</t>
    </r>
    <phoneticPr fontId="11" type="noConversion"/>
  </si>
  <si>
    <r>
      <rPr>
        <sz val="10"/>
        <rFont val="굴림"/>
        <family val="2"/>
        <charset val="129"/>
      </rPr>
      <t>휠</t>
    </r>
    <r>
      <rPr>
        <sz val="10"/>
        <rFont val="Arial"/>
        <family val="2"/>
      </rPr>
      <t>-USM</t>
    </r>
    <r>
      <rPr>
        <sz val="10"/>
        <rFont val="굴림"/>
        <family val="2"/>
        <charset val="129"/>
      </rPr>
      <t>피드백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</si>
  <si>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피드백</t>
    </r>
    <phoneticPr fontId="11" type="noConversion"/>
  </si>
  <si>
    <r>
      <rPr>
        <sz val="10"/>
        <rFont val="굴림"/>
        <family val="2"/>
        <charset val="129"/>
      </rPr>
      <t>시트</t>
    </r>
    <r>
      <rPr>
        <sz val="10"/>
        <rFont val="Arial"/>
        <family val="2"/>
      </rPr>
      <t>(LH)-</t>
    </r>
    <r>
      <rPr>
        <sz val="10"/>
        <rFont val="굴림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요청단수</t>
    </r>
    <phoneticPr fontId="11" type="noConversion"/>
  </si>
  <si>
    <r>
      <rPr>
        <sz val="10"/>
        <rFont val="굴림"/>
        <family val="2"/>
        <charset val="129"/>
      </rPr>
      <t>시트</t>
    </r>
    <r>
      <rPr>
        <sz val="10"/>
        <rFont val="Arial"/>
        <family val="2"/>
      </rPr>
      <t>(RH)-</t>
    </r>
    <r>
      <rPr>
        <sz val="10"/>
        <rFont val="굴림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요청단수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</si>
  <si>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</t>
    </r>
    <r>
      <rPr>
        <sz val="10"/>
        <rFont val="Arial Unicode MS"/>
        <family val="2"/>
        <charset val="129"/>
      </rPr>
      <t>연동제어</t>
    </r>
    <r>
      <rPr>
        <sz val="10"/>
        <rFont val="Arial"/>
        <family val="2"/>
      </rPr>
      <t xml:space="preserve"> OPT</t>
    </r>
    <phoneticPr fontId="11" type="noConversion"/>
  </si>
  <si>
    <r>
      <rPr>
        <sz val="11"/>
        <rFont val="Arial Unicode MS"/>
        <family val="3"/>
        <charset val="129"/>
      </rPr>
      <t>각</t>
    </r>
    <r>
      <rPr>
        <sz val="11"/>
        <rFont val="Arial"/>
        <family val="2"/>
      </rPr>
      <t xml:space="preserve"> TC </t>
    </r>
    <r>
      <rPr>
        <sz val="11"/>
        <rFont val="Arial Unicode MS"/>
        <family val="3"/>
        <charset val="129"/>
      </rPr>
      <t>별</t>
    </r>
    <r>
      <rPr>
        <sz val="11"/>
        <rFont val="Arial"/>
        <family val="2"/>
      </rPr>
      <t xml:space="preserve"> Panel Display </t>
    </r>
    <r>
      <rPr>
        <sz val="11"/>
        <rFont val="Arial Unicode MS"/>
        <family val="2"/>
        <charset val="129"/>
      </rPr>
      <t>및</t>
    </r>
    <r>
      <rPr>
        <sz val="11"/>
        <rFont val="Arial"/>
        <family val="2"/>
      </rPr>
      <t xml:space="preserve"> INDICATOR </t>
    </r>
    <r>
      <rPr>
        <sz val="11"/>
        <rFont val="Arial Unicode MS"/>
        <family val="2"/>
        <charset val="129"/>
      </rPr>
      <t>관련</t>
    </r>
    <r>
      <rPr>
        <sz val="11"/>
        <rFont val="Arial"/>
        <family val="2"/>
      </rPr>
      <t xml:space="preserve"> </t>
    </r>
    <r>
      <rPr>
        <sz val="11"/>
        <rFont val="Arial Unicode MS"/>
        <family val="3"/>
        <charset val="129"/>
      </rPr>
      <t>동작</t>
    </r>
    <r>
      <rPr>
        <sz val="11"/>
        <rFont val="Arial"/>
        <family val="2"/>
      </rPr>
      <t xml:space="preserve"> </t>
    </r>
    <r>
      <rPr>
        <sz val="11"/>
        <rFont val="Arial Unicode MS"/>
        <family val="3"/>
        <charset val="129"/>
      </rPr>
      <t>중</t>
    </r>
    <r>
      <rPr>
        <sz val="11"/>
        <rFont val="Arial"/>
        <family val="2"/>
      </rPr>
      <t xml:space="preserve"> </t>
    </r>
    <r>
      <rPr>
        <sz val="11"/>
        <color rgb="FFFF0000"/>
        <rFont val="Arial Unicode MS"/>
        <family val="3"/>
        <charset val="129"/>
      </rPr>
      <t>눈으로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 Unicode MS"/>
        <family val="3"/>
        <charset val="129"/>
      </rPr>
      <t>직접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 Unicode MS"/>
        <family val="3"/>
        <charset val="129"/>
      </rPr>
      <t>확인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 Unicode MS"/>
        <family val="3"/>
        <charset val="129"/>
      </rPr>
      <t>할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 Unicode MS"/>
        <family val="2"/>
        <charset val="129"/>
      </rPr>
      <t>수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 Unicode MS"/>
        <family val="2"/>
        <charset val="129"/>
      </rPr>
      <t>있는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 Unicode MS"/>
        <family val="2"/>
        <charset val="129"/>
      </rPr>
      <t>것은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 Unicode MS"/>
        <family val="2"/>
        <charset val="129"/>
      </rPr>
      <t>직접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 Unicode MS"/>
        <family val="2"/>
        <charset val="129"/>
      </rPr>
      <t>확인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 Unicode MS"/>
        <family val="2"/>
        <charset val="129"/>
      </rPr>
      <t>할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 Unicode MS"/>
        <family val="3"/>
        <charset val="129"/>
      </rPr>
      <t>것</t>
    </r>
    <r>
      <rPr>
        <sz val="11"/>
        <color rgb="FFFF0000"/>
        <rFont val="Arial"/>
        <family val="2"/>
      </rPr>
      <t>!</t>
    </r>
    <r>
      <rPr>
        <sz val="11"/>
        <rFont val="Arial"/>
        <family val="2"/>
      </rPr>
      <t xml:space="preserve"> (Display </t>
    </r>
    <r>
      <rPr>
        <sz val="11"/>
        <rFont val="Arial Unicode MS"/>
        <family val="3"/>
        <charset val="129"/>
      </rPr>
      <t>표시</t>
    </r>
    <r>
      <rPr>
        <sz val="11"/>
        <rFont val="Arial"/>
        <family val="2"/>
      </rPr>
      <t xml:space="preserve"> </t>
    </r>
    <r>
      <rPr>
        <sz val="11"/>
        <rFont val="Arial Unicode MS"/>
        <family val="3"/>
        <charset val="129"/>
      </rPr>
      <t>사양에</t>
    </r>
    <r>
      <rPr>
        <sz val="11"/>
        <rFont val="Arial"/>
        <family val="2"/>
      </rPr>
      <t xml:space="preserve"> </t>
    </r>
    <r>
      <rPr>
        <sz val="11"/>
        <rFont val="Arial Unicode MS"/>
        <family val="3"/>
        <charset val="129"/>
      </rPr>
      <t>따름</t>
    </r>
    <r>
      <rPr>
        <sz val="11"/>
        <rFont val="Arial"/>
        <family val="2"/>
      </rPr>
      <t>)</t>
    </r>
    <phoneticPr fontId="9" type="noConversion"/>
  </si>
  <si>
    <r>
      <t xml:space="preserve">EVAP TARGET </t>
    </r>
    <r>
      <rPr>
        <sz val="11"/>
        <color rgb="FFFF0000"/>
        <rFont val="Arial Unicode MS"/>
        <family val="2"/>
        <charset val="129"/>
      </rPr>
      <t>온도</t>
    </r>
    <r>
      <rPr>
        <sz val="11"/>
        <color rgb="FFFF0000"/>
        <rFont val="Arial"/>
        <family val="2"/>
      </rPr>
      <t xml:space="preserve"> 4~6</t>
    </r>
    <r>
      <rPr>
        <sz val="11"/>
        <color rgb="FFFF0000"/>
        <rFont val="Segoe UI Symbol"/>
        <family val="2"/>
      </rPr>
      <t>℃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돋움"/>
        <family val="2"/>
        <charset val="129"/>
      </rPr>
      <t>상향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돋움"/>
        <family val="2"/>
        <charset val="129"/>
      </rPr>
      <t>제어</t>
    </r>
    <phoneticPr fontId="10" type="noConversion"/>
  </si>
  <si>
    <r>
      <t xml:space="preserve">Comp RPM </t>
    </r>
    <r>
      <rPr>
        <sz val="11"/>
        <color rgb="FFFF0000"/>
        <rFont val="Arial Unicode MS"/>
        <family val="2"/>
        <charset val="129"/>
      </rPr>
      <t>또는</t>
    </r>
    <r>
      <rPr>
        <sz val="11"/>
        <color rgb="FFFF0000"/>
        <rFont val="Arial"/>
        <family val="2"/>
      </rPr>
      <t xml:space="preserve"> Tq </t>
    </r>
    <r>
      <rPr>
        <sz val="11"/>
        <color rgb="FFFF0000"/>
        <rFont val="Arial Unicode MS"/>
        <family val="2"/>
        <charset val="129"/>
      </rPr>
      <t>제어</t>
    </r>
    <r>
      <rPr>
        <sz val="11"/>
        <color rgb="FFFF0000"/>
        <rFont val="Arial"/>
        <family val="2"/>
      </rPr>
      <t xml:space="preserve">, CLUTCH Type </t>
    </r>
    <r>
      <rPr>
        <sz val="11"/>
        <color rgb="FFFF0000"/>
        <rFont val="Arial Unicode MS"/>
        <family val="2"/>
        <charset val="129"/>
      </rPr>
      <t>연산값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 Unicode MS"/>
        <family val="2"/>
        <charset val="129"/>
      </rPr>
      <t>확인</t>
    </r>
    <phoneticPr fontId="10" type="noConversion"/>
  </si>
  <si>
    <r>
      <t xml:space="preserve">Comp RPM </t>
    </r>
    <r>
      <rPr>
        <sz val="11"/>
        <color rgb="FFFF0000"/>
        <rFont val="Arial Unicode MS"/>
        <family val="2"/>
        <charset val="129"/>
      </rPr>
      <t>또는</t>
    </r>
    <r>
      <rPr>
        <sz val="11"/>
        <color rgb="FFFF0000"/>
        <rFont val="Arial"/>
        <family val="2"/>
      </rPr>
      <t xml:space="preserve"> Tq </t>
    </r>
    <r>
      <rPr>
        <sz val="11"/>
        <color rgb="FFFF0000"/>
        <rFont val="Arial Unicode MS"/>
        <family val="2"/>
        <charset val="129"/>
      </rPr>
      <t>제어</t>
    </r>
    <r>
      <rPr>
        <sz val="11"/>
        <color rgb="FFFF0000"/>
        <rFont val="Arial"/>
        <family val="2"/>
      </rPr>
      <t xml:space="preserve">, CLUTCHLESS Type </t>
    </r>
    <r>
      <rPr>
        <sz val="11"/>
        <color rgb="FFFF0000"/>
        <rFont val="Arial Unicode MS"/>
        <family val="2"/>
        <charset val="129"/>
      </rPr>
      <t>연산값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 Unicode MS"/>
        <family val="2"/>
        <charset val="129"/>
      </rPr>
      <t>확인</t>
    </r>
    <phoneticPr fontId="10" type="noConversion"/>
  </si>
  <si>
    <r>
      <t>0</t>
    </r>
    <r>
      <rPr>
        <sz val="11"/>
        <rFont val="Arial Unicode MS"/>
        <family val="2"/>
        <charset val="129"/>
      </rPr>
      <t>→</t>
    </r>
    <r>
      <rPr>
        <sz val="11"/>
        <rFont val="Arial"/>
        <family val="2"/>
      </rPr>
      <t>1</t>
    </r>
    <r>
      <rPr>
        <sz val="11"/>
        <rFont val="Arial Unicode MS"/>
        <family val="2"/>
        <charset val="129"/>
      </rPr>
      <t>→</t>
    </r>
    <r>
      <rPr>
        <sz val="11"/>
        <rFont val="Arial"/>
        <family val="2"/>
      </rPr>
      <t>0</t>
    </r>
    <phoneticPr fontId="10" type="noConversion"/>
  </si>
  <si>
    <r>
      <t>Pre-condition check. *</t>
    </r>
    <r>
      <rPr>
        <sz val="11"/>
        <rFont val="Arial Unicode MS"/>
        <family val="2"/>
        <charset val="129"/>
      </rPr>
      <t>차종별</t>
    </r>
    <r>
      <rPr>
        <sz val="11"/>
        <rFont val="Arial"/>
        <family val="2"/>
      </rPr>
      <t xml:space="preserve"> FRE, </t>
    </r>
    <r>
      <rPr>
        <sz val="11"/>
        <rFont val="Arial Unicode MS"/>
        <family val="2"/>
        <charset val="129"/>
      </rPr>
      <t>내기흡입</t>
    </r>
    <r>
      <rPr>
        <sz val="11"/>
        <rFont val="Arial"/>
        <family val="2"/>
      </rPr>
      <t xml:space="preserve"> F/B </t>
    </r>
    <r>
      <rPr>
        <sz val="11"/>
        <rFont val="Arial Unicode MS"/>
        <family val="2"/>
        <charset val="129"/>
      </rPr>
      <t>전압</t>
    </r>
    <r>
      <rPr>
        <sz val="11"/>
        <rFont val="Arial"/>
        <family val="2"/>
      </rPr>
      <t xml:space="preserve"> </t>
    </r>
    <r>
      <rPr>
        <sz val="11"/>
        <rFont val="Arial Unicode MS"/>
        <family val="2"/>
        <charset val="129"/>
      </rPr>
      <t>확인</t>
    </r>
    <r>
      <rPr>
        <sz val="11"/>
        <rFont val="Arial"/>
        <family val="2"/>
      </rPr>
      <t xml:space="preserve"> </t>
    </r>
    <r>
      <rPr>
        <sz val="11"/>
        <rFont val="Arial Unicode MS"/>
        <family val="2"/>
        <charset val="129"/>
      </rPr>
      <t>필요</t>
    </r>
    <phoneticPr fontId="4" type="noConversion"/>
  </si>
  <si>
    <r>
      <t>EVAP.SNS</t>
    </r>
    <r>
      <rPr>
        <sz val="10"/>
        <color theme="1"/>
        <rFont val="돋움"/>
        <family val="3"/>
        <charset val="129"/>
      </rPr>
      <t>에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의한</t>
    </r>
    <r>
      <rPr>
        <sz val="10"/>
        <color theme="1"/>
        <rFont val="Arial"/>
        <family val="2"/>
      </rPr>
      <t xml:space="preserve"> A/C ON/OFF </t>
    </r>
    <r>
      <rPr>
        <sz val="10"/>
        <color theme="1"/>
        <rFont val="돋움"/>
        <family val="3"/>
        <charset val="129"/>
      </rPr>
      <t>제어</t>
    </r>
    <r>
      <rPr>
        <sz val="10"/>
        <color theme="1"/>
        <rFont val="Arial"/>
        <family val="2"/>
      </rPr>
      <t xml:space="preserve"> &lt;ECV&gt;</t>
    </r>
    <phoneticPr fontId="9" type="noConversion"/>
  </si>
  <si>
    <r>
      <t>EVAP.SNS</t>
    </r>
    <r>
      <rPr>
        <sz val="10"/>
        <color theme="1"/>
        <rFont val="맑은 고딕"/>
        <family val="2"/>
        <charset val="129"/>
      </rPr>
      <t>에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2"/>
        <charset val="129"/>
      </rPr>
      <t>의한</t>
    </r>
    <r>
      <rPr>
        <sz val="10"/>
        <color theme="1"/>
        <rFont val="Arial"/>
        <family val="2"/>
      </rPr>
      <t xml:space="preserve"> A/C ON/OFF </t>
    </r>
    <r>
      <rPr>
        <sz val="10"/>
        <color theme="1"/>
        <rFont val="맑은 고딕"/>
        <family val="2"/>
        <charset val="129"/>
      </rPr>
      <t>제어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2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2"/>
        <charset val="129"/>
      </rPr>
      <t>확인</t>
    </r>
    <phoneticPr fontId="9" type="noConversion"/>
  </si>
  <si>
    <t>T26.1.3</t>
    <phoneticPr fontId="10" type="noConversion"/>
  </si>
  <si>
    <t>T26.1.3</t>
    <phoneticPr fontId="9" type="noConversion"/>
  </si>
  <si>
    <t>T57.1.2</t>
    <phoneticPr fontId="10" type="noConversion"/>
  </si>
  <si>
    <t>T57.1.2</t>
    <phoneticPr fontId="9" type="noConversion"/>
  </si>
  <si>
    <t>Off</t>
    <phoneticPr fontId="9" type="noConversion"/>
  </si>
  <si>
    <r>
      <rPr>
        <sz val="11"/>
        <color rgb="FFFF0000"/>
        <rFont val="Arial Unicode MS"/>
        <family val="2"/>
        <charset val="129"/>
      </rPr>
      <t>검증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 Unicode MS"/>
        <family val="2"/>
        <charset val="129"/>
      </rPr>
      <t>차종에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 Unicode MS"/>
        <family val="2"/>
        <charset val="129"/>
      </rPr>
      <t>맞춰</t>
    </r>
    <r>
      <rPr>
        <sz val="11"/>
        <color rgb="FFFF0000"/>
        <rFont val="Arial"/>
        <family val="2"/>
      </rPr>
      <t xml:space="preserve"> Initialization </t>
    </r>
    <r>
      <rPr>
        <sz val="11"/>
        <color rgb="FFFF0000"/>
        <rFont val="Arial Unicode MS"/>
        <family val="2"/>
        <charset val="129"/>
      </rPr>
      <t>수정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 Unicode MS"/>
        <family val="2"/>
        <charset val="129"/>
      </rPr>
      <t>필요</t>
    </r>
    <phoneticPr fontId="4" type="noConversion"/>
  </si>
  <si>
    <t>VCU_FatcPermPwrVal</t>
  </si>
  <si>
    <t>(For EV) NE PE : 650 이상</t>
  </si>
  <si>
    <t>VCU_FatcPermPwrVal &gt; 650 설정하기 위한 변수 확인</t>
  </si>
  <si>
    <r>
      <rPr>
        <sz val="11"/>
        <color rgb="FF0000FF"/>
        <rFont val="Arial Unicode MS"/>
        <family val="2"/>
        <charset val="129"/>
      </rPr>
      <t>모든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휠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차속값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동일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설정</t>
    </r>
    <phoneticPr fontId="10" type="noConversion"/>
  </si>
  <si>
    <r>
      <rPr>
        <sz val="11"/>
        <color rgb="FF0000FF"/>
        <rFont val="Arial Unicode MS"/>
        <family val="2"/>
        <charset val="129"/>
      </rPr>
      <t>고차속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설정</t>
    </r>
    <phoneticPr fontId="10" type="noConversion"/>
  </si>
  <si>
    <r>
      <rPr>
        <sz val="11"/>
        <color rgb="FF0000FF"/>
        <rFont val="Arial Unicode MS"/>
        <family val="2"/>
        <charset val="129"/>
      </rPr>
      <t>냉각수온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차종</t>
    </r>
    <phoneticPr fontId="10" type="noConversion"/>
  </si>
  <si>
    <t>CompSpd_rpm</t>
  </si>
  <si>
    <r>
      <t xml:space="preserve">Snr_Proto(V) Defualt </t>
    </r>
    <r>
      <rPr>
        <sz val="10"/>
        <rFont val="Arial Unicode MS"/>
        <family val="2"/>
        <charset val="129"/>
      </rPr>
      <t>값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설정</t>
    </r>
    <phoneticPr fontId="9" type="noConversion"/>
  </si>
  <si>
    <t>ENGINE_rpm</t>
    <phoneticPr fontId="11" type="noConversion"/>
  </si>
  <si>
    <r>
      <rPr>
        <sz val="10"/>
        <rFont val="Arial Unicode MS"/>
        <family val="2"/>
        <charset val="129"/>
      </rPr>
      <t>휠</t>
    </r>
    <r>
      <rPr>
        <sz val="10"/>
        <rFont val="Arial"/>
        <family val="2"/>
      </rPr>
      <t>-</t>
    </r>
    <r>
      <rPr>
        <sz val="10"/>
        <rFont val="Arial Unicode MS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요청단수</t>
    </r>
    <phoneticPr fontId="11" type="noConversion"/>
  </si>
  <si>
    <t>Off</t>
    <phoneticPr fontId="9" type="noConversion"/>
  </si>
  <si>
    <r>
      <rPr>
        <b/>
        <sz val="11"/>
        <rFont val="Arial Unicode MS"/>
        <family val="2"/>
        <charset val="129"/>
      </rPr>
      <t>아래 항목의 테스트 시나리오 일부 수정</t>
    </r>
    <r>
      <rPr>
        <b/>
        <sz val="11"/>
        <rFont val="Arial"/>
        <family val="2"/>
      </rPr>
      <t xml:space="preserve">
 - Title15 BAT. ON</t>
    </r>
    <r>
      <rPr>
        <b/>
        <sz val="11"/>
        <rFont val="Arial Unicode MS"/>
        <family val="2"/>
        <charset val="129"/>
      </rPr>
      <t>시</t>
    </r>
    <r>
      <rPr>
        <b/>
        <sz val="11"/>
        <rFont val="Arial"/>
        <family val="2"/>
      </rPr>
      <t xml:space="preserve"> </t>
    </r>
    <r>
      <rPr>
        <b/>
        <sz val="11"/>
        <rFont val="Arial Unicode MS"/>
        <family val="2"/>
        <charset val="129"/>
      </rPr>
      <t>초기화</t>
    </r>
    <r>
      <rPr>
        <b/>
        <sz val="11"/>
        <rFont val="Arial"/>
        <family val="2"/>
      </rPr>
      <t xml:space="preserve"> </t>
    </r>
    <r>
      <rPr>
        <b/>
        <sz val="11"/>
        <rFont val="Arial Unicode MS"/>
        <family val="2"/>
        <charset val="129"/>
      </rPr>
      <t>기능</t>
    </r>
    <r>
      <rPr>
        <b/>
        <sz val="11"/>
        <rFont val="Arial"/>
        <family val="2"/>
      </rPr>
      <t xml:space="preserve">
 - Title16 SYSTEM MEMORY </t>
    </r>
    <r>
      <rPr>
        <b/>
        <sz val="11"/>
        <rFont val="Arial Unicode MS"/>
        <family val="2"/>
        <charset val="129"/>
      </rPr>
      <t>기능</t>
    </r>
    <phoneticPr fontId="5" type="noConversion"/>
  </si>
  <si>
    <r>
      <t xml:space="preserve">LHD </t>
    </r>
    <r>
      <rPr>
        <sz val="10"/>
        <color theme="1"/>
        <rFont val="Arial Unicode MS"/>
        <family val="2"/>
        <charset val="129"/>
      </rPr>
      <t>사양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일사보상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확인</t>
    </r>
    <phoneticPr fontId="9" type="noConversion"/>
  </si>
  <si>
    <t>DATC_OutTempSnsrVal</t>
    <phoneticPr fontId="11" type="noConversion"/>
  </si>
  <si>
    <r>
      <rPr>
        <b/>
        <sz val="11"/>
        <rFont val="맑은 고딕"/>
        <family val="2"/>
        <charset val="129"/>
      </rPr>
      <t xml:space="preserve"> - 검토</t>
    </r>
    <r>
      <rPr>
        <b/>
        <sz val="11"/>
        <rFont val="Arial"/>
        <family val="2"/>
      </rPr>
      <t xml:space="preserve"> </t>
    </r>
    <r>
      <rPr>
        <b/>
        <sz val="11"/>
        <rFont val="맑은 고딕"/>
        <family val="2"/>
        <charset val="129"/>
      </rPr>
      <t xml:space="preserve">사항 반영
 - </t>
    </r>
    <r>
      <rPr>
        <b/>
        <sz val="11"/>
        <rFont val="Arial"/>
        <family val="2"/>
      </rPr>
      <t xml:space="preserve">ICU_PowerAutoCutModSta </t>
    </r>
    <r>
      <rPr>
        <b/>
        <sz val="11"/>
        <rFont val="맑은 고딕"/>
        <family val="2"/>
        <charset val="129"/>
      </rPr>
      <t xml:space="preserve">적용에 따른 </t>
    </r>
    <r>
      <rPr>
        <b/>
        <sz val="11"/>
        <rFont val="Arial"/>
        <family val="2"/>
      </rPr>
      <t xml:space="preserve">TC </t>
    </r>
    <r>
      <rPr>
        <b/>
        <sz val="11"/>
        <rFont val="맑은 고딕"/>
        <family val="2"/>
        <charset val="129"/>
      </rPr>
      <t>구조 변경 및 전반적인 내용 수정 보완</t>
    </r>
    <phoneticPr fontId="5" type="noConversion"/>
  </si>
  <si>
    <r>
      <t xml:space="preserve">MIX/DEF LOGIC </t>
    </r>
    <r>
      <rPr>
        <sz val="10"/>
        <color theme="1"/>
        <rFont val="돋움"/>
        <family val="3"/>
        <charset val="129"/>
      </rPr>
      <t>제어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돋움"/>
        <family val="3"/>
        <charset val="129"/>
      </rPr>
      <t>내수</t>
    </r>
    <r>
      <rPr>
        <sz val="10"/>
        <color theme="1"/>
        <rFont val="Arial"/>
        <family val="2"/>
      </rPr>
      <t>/</t>
    </r>
    <r>
      <rPr>
        <sz val="10"/>
        <color theme="1"/>
        <rFont val="돋움"/>
        <family val="3"/>
        <charset val="129"/>
      </rPr>
      <t>일반</t>
    </r>
    <r>
      <rPr>
        <sz val="10"/>
        <color theme="1"/>
        <rFont val="Arial"/>
        <family val="2"/>
      </rPr>
      <t>/</t>
    </r>
    <r>
      <rPr>
        <sz val="10"/>
        <color theme="1"/>
        <rFont val="돋움"/>
        <family val="3"/>
        <charset val="129"/>
      </rPr>
      <t>인도</t>
    </r>
    <r>
      <rPr>
        <sz val="10"/>
        <color theme="1"/>
        <rFont val="Arial"/>
        <family val="2"/>
      </rPr>
      <t xml:space="preserve">) =&gt; </t>
    </r>
    <r>
      <rPr>
        <sz val="10"/>
        <color theme="1"/>
        <rFont val="맑은 고딕"/>
        <family val="2"/>
        <charset val="129"/>
      </rPr>
      <t>버튼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2"/>
        <charset val="129"/>
      </rPr>
      <t>작동</t>
    </r>
    <r>
      <rPr>
        <sz val="10"/>
        <color theme="1"/>
        <rFont val="Arial"/>
        <family val="2"/>
      </rPr>
      <t xml:space="preserve"> TC </t>
    </r>
    <r>
      <rPr>
        <sz val="10"/>
        <color theme="1"/>
        <rFont val="맑은 고딕"/>
        <family val="2"/>
        <charset val="129"/>
      </rPr>
      <t>확인</t>
    </r>
    <phoneticPr fontId="9" type="noConversion"/>
  </si>
  <si>
    <r>
      <t xml:space="preserve">auto indi 확인 </t>
    </r>
    <r>
      <rPr>
        <sz val="11"/>
        <color rgb="FF00B050"/>
        <rFont val="맑은 고딕"/>
        <family val="2"/>
        <charset val="129"/>
      </rPr>
      <t>불필요</t>
    </r>
    <r>
      <rPr>
        <sz val="11"/>
        <color rgb="FF00B050"/>
        <rFont val="Arial"/>
        <family val="2"/>
      </rPr>
      <t xml:space="preserve"> (</t>
    </r>
    <r>
      <rPr>
        <sz val="11"/>
        <color rgb="FF00B050"/>
        <rFont val="맑은 고딕"/>
        <family val="2"/>
        <charset val="129"/>
      </rPr>
      <t>버튼로직</t>
    </r>
    <r>
      <rPr>
        <sz val="11"/>
        <color rgb="FF00B050"/>
        <rFont val="Arial"/>
        <family val="2"/>
      </rPr>
      <t xml:space="preserve"> </t>
    </r>
    <r>
      <rPr>
        <sz val="11"/>
        <color rgb="FF00B050"/>
        <rFont val="맑은 고딕"/>
        <family val="2"/>
        <charset val="129"/>
      </rPr>
      <t>테스트와</t>
    </r>
    <r>
      <rPr>
        <sz val="11"/>
        <color rgb="FF00B050"/>
        <rFont val="Arial"/>
        <family val="2"/>
      </rPr>
      <t xml:space="preserve"> </t>
    </r>
    <r>
      <rPr>
        <sz val="11"/>
        <color rgb="FF00B050"/>
        <rFont val="맑은 고딕"/>
        <family val="2"/>
        <charset val="129"/>
      </rPr>
      <t>중복되지</t>
    </r>
    <r>
      <rPr>
        <sz val="11"/>
        <color rgb="FF00B050"/>
        <rFont val="Arial"/>
        <family val="2"/>
      </rPr>
      <t xml:space="preserve"> </t>
    </r>
    <r>
      <rPr>
        <sz val="11"/>
        <color rgb="FF00B050"/>
        <rFont val="맑은 고딕"/>
        <family val="2"/>
        <charset val="129"/>
      </rPr>
      <t>않나</t>
    </r>
    <r>
      <rPr>
        <sz val="11"/>
        <color rgb="FF00B050"/>
        <rFont val="Arial"/>
        <family val="2"/>
      </rPr>
      <t xml:space="preserve"> </t>
    </r>
    <r>
      <rPr>
        <sz val="11"/>
        <color rgb="FF00B050"/>
        <rFont val="맑은 고딕"/>
        <family val="2"/>
        <charset val="129"/>
      </rPr>
      <t>생각이</t>
    </r>
    <r>
      <rPr>
        <sz val="11"/>
        <color rgb="FF00B050"/>
        <rFont val="Arial"/>
        <family val="2"/>
      </rPr>
      <t xml:space="preserve"> </t>
    </r>
    <r>
      <rPr>
        <sz val="11"/>
        <color rgb="FF00B050"/>
        <rFont val="맑은 고딕"/>
        <family val="2"/>
        <charset val="129"/>
      </rPr>
      <t>듭니다</t>
    </r>
    <r>
      <rPr>
        <sz val="11"/>
        <color rgb="FF00B050"/>
        <rFont val="Arial"/>
        <family val="2"/>
      </rPr>
      <t>)</t>
    </r>
    <phoneticPr fontId="4" type="noConversion"/>
  </si>
  <si>
    <r>
      <t xml:space="preserve"> =&gt; </t>
    </r>
    <r>
      <rPr>
        <sz val="11"/>
        <color rgb="FFFF0000"/>
        <rFont val="맑은 고딕"/>
        <family val="2"/>
        <charset val="129"/>
      </rPr>
      <t>네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해당</t>
    </r>
    <r>
      <rPr>
        <sz val="11"/>
        <color rgb="FFFF0000"/>
        <rFont val="Arial"/>
        <family val="2"/>
      </rPr>
      <t xml:space="preserve"> TC</t>
    </r>
    <r>
      <rPr>
        <sz val="11"/>
        <color rgb="FFFF0000"/>
        <rFont val="맑은 고딕"/>
        <family val="2"/>
        <charset val="129"/>
      </rPr>
      <t>는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버튼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로직과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중복됩니다</t>
    </r>
    <r>
      <rPr>
        <sz val="11"/>
        <color rgb="FFFF0000"/>
        <rFont val="Arial"/>
        <family val="2"/>
      </rPr>
      <t xml:space="preserve">. " =&gt; </t>
    </r>
    <r>
      <rPr>
        <sz val="11"/>
        <color rgb="FFFF0000"/>
        <rFont val="맑은 고딕"/>
        <family val="2"/>
        <charset val="129"/>
      </rPr>
      <t>버튼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작동</t>
    </r>
    <r>
      <rPr>
        <sz val="11"/>
        <color rgb="FFFF0000"/>
        <rFont val="Arial"/>
        <family val="2"/>
      </rPr>
      <t xml:space="preserve"> TC </t>
    </r>
    <r>
      <rPr>
        <sz val="11"/>
        <color rgb="FFFF0000"/>
        <rFont val="맑은 고딕"/>
        <family val="2"/>
        <charset val="129"/>
      </rPr>
      <t>확인</t>
    </r>
    <r>
      <rPr>
        <sz val="11"/>
        <color rgb="FFFF0000"/>
        <rFont val="Arial"/>
        <family val="2"/>
      </rPr>
      <t xml:space="preserve">" </t>
    </r>
    <r>
      <rPr>
        <sz val="11"/>
        <color rgb="FFFF0000"/>
        <rFont val="맑은 고딕"/>
        <family val="2"/>
        <charset val="129"/>
      </rPr>
      <t>표기해두었습니다</t>
    </r>
    <r>
      <rPr>
        <sz val="11"/>
        <color rgb="FFFF0000"/>
        <rFont val="Arial"/>
        <family val="2"/>
      </rPr>
      <t>.</t>
    </r>
    <phoneticPr fontId="4" type="noConversion"/>
  </si>
  <si>
    <r>
      <t xml:space="preserve">blower dn 롱키 </t>
    </r>
    <r>
      <rPr>
        <sz val="11"/>
        <color rgb="FF00B050"/>
        <rFont val="맑은 고딕"/>
        <family val="2"/>
        <charset val="129"/>
      </rPr>
      <t>선택으로</t>
    </r>
    <r>
      <rPr>
        <sz val="11"/>
        <color rgb="FF00B050"/>
        <rFont val="Arial"/>
        <family val="2"/>
      </rPr>
      <t xml:space="preserve"> system off</t>
    </r>
    <r>
      <rPr>
        <sz val="11"/>
        <color rgb="FF00B050"/>
        <rFont val="맑은 고딕"/>
        <family val="2"/>
        <charset val="129"/>
      </rPr>
      <t>되는</t>
    </r>
    <r>
      <rPr>
        <sz val="11"/>
        <color rgb="FF00B050"/>
        <rFont val="Arial"/>
        <family val="2"/>
      </rPr>
      <t xml:space="preserve"> </t>
    </r>
    <r>
      <rPr>
        <sz val="11"/>
        <color rgb="FF00B050"/>
        <rFont val="맑은 고딕"/>
        <family val="2"/>
        <charset val="129"/>
      </rPr>
      <t>경우는</t>
    </r>
    <r>
      <rPr>
        <sz val="11"/>
        <color rgb="FF00B050"/>
        <rFont val="Arial"/>
        <family val="2"/>
      </rPr>
      <t xml:space="preserve"> </t>
    </r>
    <r>
      <rPr>
        <sz val="11"/>
        <color rgb="FF00B050"/>
        <rFont val="맑은 고딕"/>
        <family val="2"/>
        <charset val="129"/>
      </rPr>
      <t>없나요</t>
    </r>
    <r>
      <rPr>
        <sz val="11"/>
        <color rgb="FF00B050"/>
        <rFont val="Arial"/>
        <family val="2"/>
      </rPr>
      <t xml:space="preserve"> ??</t>
    </r>
    <phoneticPr fontId="4" type="noConversion"/>
  </si>
  <si>
    <r>
      <t xml:space="preserve"> =&gt; </t>
    </r>
    <r>
      <rPr>
        <sz val="11"/>
        <color rgb="FFFF0000"/>
        <rFont val="맑은 고딕"/>
        <family val="2"/>
        <charset val="129"/>
      </rPr>
      <t>맞습니다</t>
    </r>
    <r>
      <rPr>
        <sz val="11"/>
        <color rgb="FFFF0000"/>
        <rFont val="Arial"/>
        <family val="2"/>
      </rPr>
      <t xml:space="preserve">. </t>
    </r>
    <r>
      <rPr>
        <sz val="11"/>
        <color rgb="FFFF0000"/>
        <rFont val="맑은 고딕"/>
        <family val="2"/>
        <charset val="129"/>
      </rPr>
      <t>단순히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로직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검증만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하면</t>
    </r>
    <r>
      <rPr>
        <sz val="11"/>
        <color rgb="FFFF0000"/>
        <rFont val="Arial"/>
        <family val="2"/>
      </rPr>
      <t xml:space="preserve"> Blower</t>
    </r>
    <r>
      <rPr>
        <sz val="11"/>
        <color rgb="FFFF0000"/>
        <rFont val="맑은 고딕"/>
        <family val="2"/>
        <charset val="129"/>
      </rPr>
      <t>는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확인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필요가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없습니다</t>
    </r>
    <r>
      <rPr>
        <sz val="11"/>
        <color rgb="FFFF0000"/>
        <rFont val="Arial"/>
        <family val="2"/>
      </rPr>
      <t xml:space="preserve">. </t>
    </r>
    <r>
      <rPr>
        <sz val="11"/>
        <color rgb="FFFF0000"/>
        <rFont val="맑은 고딕"/>
        <family val="2"/>
        <charset val="129"/>
      </rPr>
      <t>다만</t>
    </r>
    <r>
      <rPr>
        <sz val="11"/>
        <color rgb="FFFF0000"/>
        <rFont val="Arial"/>
        <family val="2"/>
      </rPr>
      <t xml:space="preserve">, </t>
    </r>
    <r>
      <rPr>
        <sz val="11"/>
        <color rgb="FFFF0000"/>
        <rFont val="맑은 고딕"/>
        <family val="2"/>
        <charset val="129"/>
      </rPr>
      <t>기존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차종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중에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해제</t>
    </r>
    <r>
      <rPr>
        <sz val="11"/>
        <color rgb="FFFF0000"/>
        <rFont val="Arial"/>
        <family val="2"/>
      </rPr>
      <t>/</t>
    </r>
    <r>
      <rPr>
        <sz val="11"/>
        <color rgb="FFFF0000"/>
        <rFont val="맑은 고딕"/>
        <family val="2"/>
        <charset val="129"/>
      </rPr>
      <t>복귀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후</t>
    </r>
    <r>
      <rPr>
        <sz val="11"/>
        <color rgb="FFFF0000"/>
        <rFont val="Arial"/>
        <family val="2"/>
      </rPr>
      <t xml:space="preserve"> DEF </t>
    </r>
    <r>
      <rPr>
        <sz val="11"/>
        <color rgb="FFFF0000"/>
        <rFont val="맑은 고딕"/>
        <family val="2"/>
        <charset val="129"/>
      </rPr>
      <t>시</t>
    </r>
    <r>
      <rPr>
        <sz val="11"/>
        <color rgb="FFFF0000"/>
        <rFont val="Arial"/>
        <family val="2"/>
      </rPr>
      <t xml:space="preserve"> DEF blower </t>
    </r>
    <r>
      <rPr>
        <sz val="11"/>
        <color rgb="FFFF0000"/>
        <rFont val="맑은 고딕"/>
        <family val="2"/>
        <charset val="129"/>
      </rPr>
      <t>미진입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동작하거나</t>
    </r>
    <r>
      <rPr>
        <sz val="11"/>
        <color rgb="FFFF0000"/>
        <rFont val="Arial"/>
        <family val="2"/>
      </rPr>
      <t xml:space="preserve">, </t>
    </r>
    <r>
      <rPr>
        <sz val="11"/>
        <color rgb="FFFF0000"/>
        <rFont val="맑은 고딕"/>
        <family val="2"/>
        <charset val="129"/>
      </rPr>
      <t>진입</t>
    </r>
    <r>
      <rPr>
        <sz val="11"/>
        <color rgb="FFFF0000"/>
        <rFont val="Arial"/>
        <family val="2"/>
      </rPr>
      <t>/</t>
    </r>
    <r>
      <rPr>
        <sz val="11"/>
        <color rgb="FFFF0000"/>
        <rFont val="맑은 고딕"/>
        <family val="2"/>
        <charset val="129"/>
      </rPr>
      <t>미진입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동작이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반대로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동작하는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등의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이슈가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있어서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동작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확인은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필요해보입니다</t>
    </r>
    <r>
      <rPr>
        <sz val="11"/>
        <color rgb="FFFF0000"/>
        <rFont val="Arial"/>
        <family val="2"/>
      </rPr>
      <t>. Depth 1</t>
    </r>
    <r>
      <rPr>
        <sz val="11"/>
        <color rgb="FFFF0000"/>
        <rFont val="맑은 고딕"/>
        <family val="2"/>
        <charset val="129"/>
      </rPr>
      <t>에서는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제외하고</t>
    </r>
    <r>
      <rPr>
        <sz val="11"/>
        <color rgb="FFFF0000"/>
        <rFont val="Arial"/>
        <family val="2"/>
      </rPr>
      <t xml:space="preserve"> Depth 2 </t>
    </r>
    <r>
      <rPr>
        <sz val="11"/>
        <color rgb="FFFF0000"/>
        <rFont val="맑은 고딕"/>
        <family val="2"/>
        <charset val="129"/>
      </rPr>
      <t>나</t>
    </r>
    <r>
      <rPr>
        <sz val="11"/>
        <color rgb="FFFF0000"/>
        <rFont val="Arial"/>
        <family val="2"/>
      </rPr>
      <t xml:space="preserve"> 3</t>
    </r>
    <r>
      <rPr>
        <sz val="11"/>
        <color rgb="FFFF0000"/>
        <rFont val="맑은 고딕"/>
        <family val="2"/>
        <charset val="129"/>
      </rPr>
      <t>에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추가를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원하시면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말씀해주세요</t>
    </r>
    <r>
      <rPr>
        <sz val="11"/>
        <color rgb="FFFF0000"/>
        <rFont val="Arial"/>
        <family val="2"/>
      </rPr>
      <t>.</t>
    </r>
    <phoneticPr fontId="4" type="noConversion"/>
  </si>
  <si>
    <t>T19.1.6</t>
    <phoneticPr fontId="4" type="noConversion"/>
  </si>
  <si>
    <t>T19.1.5</t>
    <phoneticPr fontId="4" type="noConversion"/>
  </si>
  <si>
    <t>T19.1.7</t>
    <phoneticPr fontId="4" type="noConversion"/>
  </si>
  <si>
    <t>DATC_AcnReq</t>
    <phoneticPr fontId="11" type="noConversion"/>
  </si>
  <si>
    <t>DATC_DrvTempCDis</t>
  </si>
  <si>
    <t>DATC_DrvTempFDis</t>
  </si>
  <si>
    <t>DATC_PassTempFDis</t>
  </si>
  <si>
    <t>WHL_Spd_ALLVal_Kmh</t>
    <phoneticPr fontId="11" type="noConversion"/>
  </si>
  <si>
    <t>T18.2.8</t>
    <phoneticPr fontId="10" type="noConversion"/>
  </si>
  <si>
    <t>T19.2.3</t>
    <phoneticPr fontId="9" type="noConversion"/>
  </si>
  <si>
    <r>
      <t xml:space="preserve">CO2 </t>
    </r>
    <r>
      <rPr>
        <sz val="10"/>
        <color theme="1"/>
        <rFont val="돋움"/>
        <family val="3"/>
        <charset val="129"/>
      </rPr>
      <t>제어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해제</t>
    </r>
    <r>
      <rPr>
        <sz val="10"/>
        <color theme="1"/>
        <rFont val="Arial"/>
        <family val="2"/>
      </rPr>
      <t>/</t>
    </r>
    <r>
      <rPr>
        <sz val="10"/>
        <color theme="1"/>
        <rFont val="돋움"/>
        <family val="3"/>
        <charset val="129"/>
      </rPr>
      <t>복귀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로직</t>
    </r>
    <r>
      <rPr>
        <sz val="10"/>
        <color theme="1"/>
        <rFont val="Arial"/>
        <family val="2"/>
      </rPr>
      <t xml:space="preserve"> &lt;CO2 </t>
    </r>
    <r>
      <rPr>
        <sz val="10"/>
        <color theme="1"/>
        <rFont val="돋움"/>
        <family val="3"/>
        <charset val="129"/>
      </rPr>
      <t>사양</t>
    </r>
    <r>
      <rPr>
        <sz val="10"/>
        <color theme="1"/>
        <rFont val="Arial"/>
        <family val="2"/>
      </rPr>
      <t xml:space="preserve"> ONLY&gt;</t>
    </r>
    <phoneticPr fontId="9" type="noConversion"/>
  </si>
  <si>
    <r>
      <t xml:space="preserve">AVN USM </t>
    </r>
    <r>
      <rPr>
        <sz val="10"/>
        <color theme="1"/>
        <rFont val="Arial Unicode MS"/>
        <family val="2"/>
        <charset val="129"/>
      </rPr>
      <t>설정에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의한</t>
    </r>
    <r>
      <rPr>
        <sz val="10"/>
        <color theme="1"/>
        <rFont val="Arial"/>
        <family val="2"/>
      </rPr>
      <t xml:space="preserve"> CO2 </t>
    </r>
    <r>
      <rPr>
        <sz val="10"/>
        <color theme="1"/>
        <rFont val="맑은 고딕"/>
        <family val="2"/>
        <charset val="129"/>
      </rPr>
      <t>제어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2"/>
        <charset val="129"/>
      </rPr>
      <t>해제</t>
    </r>
    <r>
      <rPr>
        <sz val="10"/>
        <color theme="1"/>
        <rFont val="Arial"/>
        <family val="2"/>
      </rPr>
      <t>/</t>
    </r>
    <r>
      <rPr>
        <sz val="10"/>
        <color theme="1"/>
        <rFont val="맑은 고딕"/>
        <family val="2"/>
        <charset val="129"/>
      </rPr>
      <t>복귀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2"/>
        <charset val="129"/>
      </rPr>
      <t>로직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확인</t>
    </r>
    <phoneticPr fontId="9" type="noConversion"/>
  </si>
  <si>
    <t>END</t>
    <phoneticPr fontId="4" type="noConversion"/>
  </si>
  <si>
    <r>
      <t xml:space="preserve">SYSTEM MEMORY </t>
    </r>
    <r>
      <rPr>
        <sz val="10"/>
        <color theme="1"/>
        <rFont val="돋움"/>
        <family val="3"/>
        <charset val="129"/>
      </rPr>
      <t>기능</t>
    </r>
    <phoneticPr fontId="9" type="noConversion"/>
  </si>
  <si>
    <t>Title1</t>
  </si>
  <si>
    <t>T1.1</t>
  </si>
  <si>
    <t>P1.1</t>
  </si>
  <si>
    <t>T1.1.1</t>
  </si>
  <si>
    <t>T1.1.2</t>
  </si>
  <si>
    <t>T1.1.3</t>
  </si>
  <si>
    <t>T1</t>
  </si>
  <si>
    <t>Title2</t>
  </si>
  <si>
    <t>T2</t>
  </si>
  <si>
    <t>T2.1</t>
  </si>
  <si>
    <t>P2.1</t>
  </si>
  <si>
    <t>T2.1.1</t>
  </si>
  <si>
    <t>T2.1.2</t>
  </si>
  <si>
    <t>T2.1.3</t>
  </si>
  <si>
    <t>T2.1.4</t>
  </si>
  <si>
    <t>Title3</t>
    <phoneticPr fontId="9" type="noConversion"/>
  </si>
  <si>
    <t>T3.1</t>
  </si>
  <si>
    <t>T3.1</t>
    <phoneticPr fontId="9" type="noConversion"/>
  </si>
  <si>
    <t>P3.1</t>
    <phoneticPr fontId="9" type="noConversion"/>
  </si>
  <si>
    <t>T3.1.1</t>
  </si>
  <si>
    <t>T3.1.1</t>
    <phoneticPr fontId="9" type="noConversion"/>
  </si>
  <si>
    <t>T3.1.2</t>
  </si>
  <si>
    <t>T3.1.2</t>
    <phoneticPr fontId="9" type="noConversion"/>
  </si>
  <si>
    <t>Title4</t>
    <phoneticPr fontId="9" type="noConversion"/>
  </si>
  <si>
    <t>Title5</t>
    <phoneticPr fontId="9" type="noConversion"/>
  </si>
  <si>
    <t>T6.1.3</t>
  </si>
  <si>
    <t>Title7</t>
    <phoneticPr fontId="9" type="noConversion"/>
  </si>
  <si>
    <t>T8.1</t>
  </si>
  <si>
    <t>P8.1</t>
  </si>
  <si>
    <t>T8.1.1</t>
  </si>
  <si>
    <t>T8.1.2</t>
  </si>
  <si>
    <t>T8.2</t>
  </si>
  <si>
    <t>T8.2.1</t>
  </si>
  <si>
    <t>T8.2.2</t>
  </si>
  <si>
    <t>T9.1</t>
  </si>
  <si>
    <t>T9.2</t>
  </si>
  <si>
    <t>T9.2.1</t>
  </si>
  <si>
    <t>T9.2.2</t>
  </si>
  <si>
    <t>T9.2.3</t>
  </si>
  <si>
    <t>T9.2.6</t>
  </si>
  <si>
    <t>T9.2.7</t>
  </si>
  <si>
    <t>T9.2.8</t>
  </si>
  <si>
    <t>T9.2.10</t>
  </si>
  <si>
    <t>T9.2.11</t>
  </si>
  <si>
    <t>Title9</t>
    <phoneticPr fontId="9" type="noConversion"/>
  </si>
  <si>
    <t>P9.1</t>
  </si>
  <si>
    <t>P9.1</t>
    <phoneticPr fontId="9" type="noConversion"/>
  </si>
  <si>
    <t>Title10</t>
    <phoneticPr fontId="9" type="noConversion"/>
  </si>
  <si>
    <t>Title11</t>
    <phoneticPr fontId="9" type="noConversion"/>
  </si>
  <si>
    <t>T14.2</t>
  </si>
  <si>
    <t>T16.2</t>
  </si>
  <si>
    <t>T16.3</t>
  </si>
  <si>
    <t>T16.4</t>
  </si>
  <si>
    <t>T3</t>
  </si>
  <si>
    <t>P3.1</t>
    <phoneticPr fontId="10" type="noConversion"/>
  </si>
  <si>
    <t>Title4</t>
    <phoneticPr fontId="4" type="noConversion"/>
  </si>
  <si>
    <t>Title5</t>
    <phoneticPr fontId="4" type="noConversion"/>
  </si>
  <si>
    <t>T6</t>
  </si>
  <si>
    <t>Title7</t>
    <phoneticPr fontId="4" type="noConversion"/>
  </si>
  <si>
    <t>Title8</t>
    <phoneticPr fontId="4" type="noConversion"/>
  </si>
  <si>
    <t>Title10</t>
    <phoneticPr fontId="4" type="noConversion"/>
  </si>
  <si>
    <t>T10</t>
    <phoneticPr fontId="4" type="noConversion"/>
  </si>
  <si>
    <t>Title11</t>
    <phoneticPr fontId="4" type="noConversion"/>
  </si>
  <si>
    <t>T11</t>
    <phoneticPr fontId="4" type="noConversion"/>
  </si>
  <si>
    <t>T16</t>
  </si>
  <si>
    <t>T2.1.5</t>
    <phoneticPr fontId="9" type="noConversion"/>
  </si>
  <si>
    <t>T2.1.2</t>
    <phoneticPr fontId="4" type="noConversion"/>
  </si>
  <si>
    <t>T2.1.3</t>
    <phoneticPr fontId="4" type="noConversion"/>
  </si>
  <si>
    <t>T2.1.4</t>
    <phoneticPr fontId="4" type="noConversion"/>
  </si>
  <si>
    <t>T2.1.5</t>
    <phoneticPr fontId="4" type="noConversion"/>
  </si>
  <si>
    <r>
      <rPr>
        <sz val="11"/>
        <rFont val="맑은 고딕"/>
        <family val="2"/>
        <charset val="129"/>
      </rPr>
      <t>설정온도</t>
    </r>
    <r>
      <rPr>
        <sz val="11"/>
        <rFont val="Arial"/>
        <family val="2"/>
      </rPr>
      <t xml:space="preserve"> Dr != Ps (Sync=Off), Mode=Vent, Intake=REC, Blower=8</t>
    </r>
    <r>
      <rPr>
        <sz val="11"/>
        <rFont val="맑은 고딕"/>
        <family val="2"/>
        <charset val="129"/>
      </rPr>
      <t>단</t>
    </r>
    <r>
      <rPr>
        <sz val="11"/>
        <rFont val="Arial"/>
        <family val="2"/>
      </rPr>
      <t xml:space="preserve">, AC=On </t>
    </r>
    <r>
      <rPr>
        <sz val="11"/>
        <rFont val="맑은 고딕"/>
        <family val="2"/>
        <charset val="129"/>
      </rPr>
      <t>설정</t>
    </r>
    <phoneticPr fontId="4" type="noConversion"/>
  </si>
  <si>
    <r>
      <rPr>
        <sz val="10"/>
        <rFont val="맑은 고딕"/>
        <family val="2"/>
        <charset val="129"/>
      </rPr>
      <t>설정온도</t>
    </r>
    <r>
      <rPr>
        <sz val="10"/>
        <rFont val="Arial"/>
        <family val="2"/>
      </rPr>
      <t xml:space="preserve"> Lo </t>
    </r>
    <r>
      <rPr>
        <sz val="10"/>
        <rFont val="맑은 고딕"/>
        <family val="2"/>
        <charset val="129"/>
      </rPr>
      <t>설정</t>
    </r>
    <phoneticPr fontId="9" type="noConversion"/>
  </si>
  <si>
    <r>
      <rPr>
        <sz val="10"/>
        <rFont val="맑은 고딕"/>
        <family val="2"/>
        <charset val="129"/>
      </rPr>
      <t>설정온도</t>
    </r>
    <r>
      <rPr>
        <sz val="10"/>
        <rFont val="Arial"/>
        <family val="2"/>
      </rPr>
      <t xml:space="preserve"> Hi </t>
    </r>
    <r>
      <rPr>
        <sz val="10"/>
        <rFont val="맑은 고딕"/>
        <family val="2"/>
        <charset val="129"/>
      </rPr>
      <t>설정</t>
    </r>
    <phoneticPr fontId="9" type="noConversion"/>
  </si>
  <si>
    <r>
      <t>ICU_PowerAutoCutModSta = 0x1 (dealer mode)</t>
    </r>
    <r>
      <rPr>
        <sz val="11"/>
        <color rgb="FF00B050"/>
        <rFont val="맑은 고딕"/>
        <family val="3"/>
        <charset val="129"/>
      </rPr>
      <t>일</t>
    </r>
    <r>
      <rPr>
        <sz val="11"/>
        <color rgb="FF00B050"/>
        <rFont val="Arial"/>
        <family val="2"/>
      </rPr>
      <t xml:space="preserve"> </t>
    </r>
    <r>
      <rPr>
        <sz val="11"/>
        <color rgb="FF00B050"/>
        <rFont val="맑은 고딕"/>
        <family val="2"/>
        <charset val="129"/>
      </rPr>
      <t>경우</t>
    </r>
    <r>
      <rPr>
        <sz val="11"/>
        <color rgb="FF00B050"/>
        <rFont val="Arial"/>
        <family val="2"/>
      </rPr>
      <t xml:space="preserve"> ign off to on </t>
    </r>
    <r>
      <rPr>
        <sz val="11"/>
        <color rgb="FF00B050"/>
        <rFont val="맑은 고딕"/>
        <family val="2"/>
        <charset val="129"/>
      </rPr>
      <t>시</t>
    </r>
    <r>
      <rPr>
        <sz val="11"/>
        <color rgb="FF00B050"/>
        <rFont val="Arial"/>
        <family val="2"/>
      </rPr>
      <t xml:space="preserve"> system off</t>
    </r>
    <r>
      <rPr>
        <sz val="11"/>
        <color rgb="FF00B050"/>
        <rFont val="맑은 고딕"/>
        <family val="2"/>
        <charset val="129"/>
      </rPr>
      <t>되는</t>
    </r>
    <r>
      <rPr>
        <sz val="11"/>
        <color rgb="FF00B050"/>
        <rFont val="Arial"/>
        <family val="2"/>
      </rPr>
      <t xml:space="preserve"> </t>
    </r>
    <r>
      <rPr>
        <sz val="11"/>
        <color rgb="FF00B050"/>
        <rFont val="맑은 고딕"/>
        <family val="2"/>
        <charset val="129"/>
      </rPr>
      <t>사양이</t>
    </r>
    <r>
      <rPr>
        <sz val="11"/>
        <color rgb="FF00B050"/>
        <rFont val="Arial"/>
        <family val="2"/>
      </rPr>
      <t xml:space="preserve"> </t>
    </r>
    <r>
      <rPr>
        <sz val="11"/>
        <color rgb="FF00B050"/>
        <rFont val="맑은 고딕"/>
        <family val="2"/>
        <charset val="129"/>
      </rPr>
      <t>있습니다</t>
    </r>
    <r>
      <rPr>
        <sz val="11"/>
        <color rgb="FF00B050"/>
        <rFont val="Arial"/>
        <family val="2"/>
      </rPr>
      <t>.</t>
    </r>
    <phoneticPr fontId="4" type="noConversion"/>
  </si>
  <si>
    <r>
      <t xml:space="preserve"> =&gt; </t>
    </r>
    <r>
      <rPr>
        <sz val="11"/>
        <color rgb="FFFF0000"/>
        <rFont val="맑은 고딕"/>
        <family val="2"/>
        <charset val="129"/>
      </rPr>
      <t>맞습니다</t>
    </r>
    <r>
      <rPr>
        <sz val="11"/>
        <color rgb="FFFF0000"/>
        <rFont val="Arial"/>
        <family val="2"/>
      </rPr>
      <t xml:space="preserve">. </t>
    </r>
    <r>
      <rPr>
        <sz val="11"/>
        <color rgb="FFFF0000"/>
        <rFont val="맑은 고딕"/>
        <family val="2"/>
        <charset val="129"/>
      </rPr>
      <t>다만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현재</t>
    </r>
    <r>
      <rPr>
        <sz val="11"/>
        <color rgb="FFFF0000"/>
        <rFont val="Arial"/>
        <family val="2"/>
      </rPr>
      <t xml:space="preserve"> TC</t>
    </r>
    <r>
      <rPr>
        <sz val="11"/>
        <color rgb="FFFF0000"/>
        <rFont val="맑은 고딕"/>
        <family val="2"/>
        <charset val="129"/>
      </rPr>
      <t>는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작동만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확인하면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되기때문에</t>
    </r>
    <r>
      <rPr>
        <sz val="11"/>
        <color rgb="FFFF0000"/>
        <rFont val="Arial"/>
        <family val="2"/>
      </rPr>
      <t xml:space="preserve"> Desciption</t>
    </r>
    <r>
      <rPr>
        <sz val="11"/>
        <color rgb="FFFF0000"/>
        <rFont val="맑은 고딕"/>
        <family val="2"/>
        <charset val="129"/>
      </rPr>
      <t>을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포괄적인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의미로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작성하였으며</t>
    </r>
    <r>
      <rPr>
        <sz val="11"/>
        <color rgb="FFFF0000"/>
        <rFont val="Arial"/>
        <family val="2"/>
      </rPr>
      <t>, PreCondition</t>
    </r>
    <r>
      <rPr>
        <sz val="11"/>
        <color rgb="FFFF0000"/>
        <rFont val="맑은 고딕"/>
        <family val="2"/>
        <charset val="129"/>
      </rPr>
      <t>에는</t>
    </r>
    <r>
      <rPr>
        <sz val="11"/>
        <color rgb="FFFF0000"/>
        <rFont val="Arial"/>
        <family val="2"/>
      </rPr>
      <t xml:space="preserve"> ICU_PowerAutoCutModSta = 0x2</t>
    </r>
    <r>
      <rPr>
        <sz val="11"/>
        <color rgb="FFFF0000"/>
        <rFont val="맑은 고딕"/>
        <family val="2"/>
        <charset val="129"/>
      </rPr>
      <t>로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설정하여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동작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확인하는</t>
    </r>
    <r>
      <rPr>
        <sz val="11"/>
        <color rgb="FFFF0000"/>
        <rFont val="Arial"/>
        <family val="2"/>
      </rPr>
      <t xml:space="preserve"> TC</t>
    </r>
    <r>
      <rPr>
        <sz val="11"/>
        <color rgb="FFFF0000"/>
        <rFont val="맑은 고딕"/>
        <family val="2"/>
        <charset val="129"/>
      </rPr>
      <t>로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구성하였습니다</t>
    </r>
    <r>
      <rPr>
        <sz val="11"/>
        <color rgb="FFFF0000"/>
        <rFont val="Arial"/>
        <family val="2"/>
      </rPr>
      <t xml:space="preserve">. </t>
    </r>
    <r>
      <rPr>
        <sz val="11"/>
        <color rgb="FFFF0000"/>
        <rFont val="맑은 고딕"/>
        <family val="2"/>
        <charset val="129"/>
      </rPr>
      <t>해당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시그널의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각각에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대한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동작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확인은</t>
    </r>
    <r>
      <rPr>
        <sz val="11"/>
        <color rgb="FFFF0000"/>
        <rFont val="Arial"/>
        <family val="2"/>
      </rPr>
      <t xml:space="preserve"> Ign Off to On </t>
    </r>
    <r>
      <rPr>
        <sz val="11"/>
        <color rgb="FFFF0000"/>
        <rFont val="맑은 고딕"/>
        <family val="2"/>
        <charset val="129"/>
      </rPr>
      <t>로직</t>
    </r>
    <r>
      <rPr>
        <sz val="11"/>
        <color rgb="FFFF0000"/>
        <rFont val="Arial"/>
        <family val="2"/>
      </rPr>
      <t xml:space="preserve"> Depth 2 </t>
    </r>
    <r>
      <rPr>
        <sz val="11"/>
        <color rgb="FFFF0000"/>
        <rFont val="맑은 고딕"/>
        <family val="2"/>
        <charset val="129"/>
      </rPr>
      <t>또는</t>
    </r>
    <r>
      <rPr>
        <sz val="11"/>
        <color rgb="FFFF0000"/>
        <rFont val="Arial"/>
        <family val="2"/>
      </rPr>
      <t xml:space="preserve"> 3</t>
    </r>
    <r>
      <rPr>
        <sz val="11"/>
        <color rgb="FFFF0000"/>
        <rFont val="맑은 고딕"/>
        <family val="2"/>
        <charset val="129"/>
      </rPr>
      <t>에서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작성할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예정입니다</t>
    </r>
    <r>
      <rPr>
        <sz val="11"/>
        <color rgb="FFFF0000"/>
        <rFont val="Arial"/>
        <family val="2"/>
      </rPr>
      <t>.</t>
    </r>
    <phoneticPr fontId="4" type="noConversion"/>
  </si>
  <si>
    <r>
      <t>ac, intake</t>
    </r>
    <r>
      <rPr>
        <sz val="11"/>
        <color rgb="FF00B050"/>
        <rFont val="맑은 고딕"/>
        <family val="3"/>
        <charset val="129"/>
      </rPr>
      <t>만</t>
    </r>
    <r>
      <rPr>
        <sz val="11"/>
        <color rgb="FF00B050"/>
        <rFont val="Arial"/>
        <family val="2"/>
      </rPr>
      <t xml:space="preserve"> </t>
    </r>
    <r>
      <rPr>
        <sz val="11"/>
        <color rgb="FF00B050"/>
        <rFont val="맑은 고딕"/>
        <family val="2"/>
        <charset val="129"/>
      </rPr>
      <t>확인</t>
    </r>
    <r>
      <rPr>
        <sz val="11"/>
        <color rgb="FF00B050"/>
        <rFont val="Arial"/>
        <family val="2"/>
      </rPr>
      <t xml:space="preserve"> + blower </t>
    </r>
    <r>
      <rPr>
        <sz val="11"/>
        <color rgb="FF00B050"/>
        <rFont val="맑은 고딕"/>
        <family val="2"/>
        <charset val="129"/>
      </rPr>
      <t>테스트할</t>
    </r>
    <r>
      <rPr>
        <sz val="11"/>
        <color rgb="FF00B050"/>
        <rFont val="Arial"/>
        <family val="2"/>
      </rPr>
      <t xml:space="preserve"> </t>
    </r>
    <r>
      <rPr>
        <sz val="11"/>
        <color rgb="FF00B050"/>
        <rFont val="맑은 고딕"/>
        <family val="2"/>
        <charset val="129"/>
      </rPr>
      <t>필요</t>
    </r>
    <r>
      <rPr>
        <sz val="11"/>
        <color rgb="FF00B050"/>
        <rFont val="Arial"/>
        <family val="2"/>
      </rPr>
      <t xml:space="preserve"> </t>
    </r>
    <r>
      <rPr>
        <sz val="11"/>
        <color rgb="FF00B050"/>
        <rFont val="맑은 고딕"/>
        <family val="2"/>
        <charset val="129"/>
      </rPr>
      <t>없어보임</t>
    </r>
    <phoneticPr fontId="4" type="noConversion"/>
  </si>
  <si>
    <r>
      <t xml:space="preserve"> =&gt; Mode </t>
    </r>
    <r>
      <rPr>
        <sz val="11"/>
        <color rgb="FFFF0000"/>
        <rFont val="맑은 고딕"/>
        <family val="2"/>
        <charset val="129"/>
      </rPr>
      <t>버튼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동작에서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로직관련된</t>
    </r>
    <r>
      <rPr>
        <sz val="11"/>
        <color rgb="FFFF0000"/>
        <rFont val="Arial"/>
        <family val="2"/>
      </rPr>
      <t xml:space="preserve"> AC/Intake </t>
    </r>
    <r>
      <rPr>
        <sz val="11"/>
        <color rgb="FFFF0000"/>
        <rFont val="맑은 고딕"/>
        <family val="2"/>
        <charset val="129"/>
      </rPr>
      <t>동작은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별도로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확인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내용이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없어 확인이 필요해보입니다.</t>
    </r>
    <phoneticPr fontId="4" type="noConversion"/>
  </si>
  <si>
    <r>
      <rPr>
        <sz val="10"/>
        <rFont val="맑은 고딕"/>
        <family val="2"/>
        <charset val="129"/>
      </rPr>
      <t>암전류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차단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기능으로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저장된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값이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없는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최초</t>
    </r>
    <r>
      <rPr>
        <sz val="10"/>
        <rFont val="Arial"/>
        <family val="2"/>
      </rPr>
      <t xml:space="preserve"> 1</t>
    </r>
    <r>
      <rPr>
        <sz val="10"/>
        <rFont val="맑은 고딕"/>
        <family val="2"/>
        <charset val="129"/>
      </rPr>
      <t>회</t>
    </r>
    <r>
      <rPr>
        <sz val="10"/>
        <rFont val="Arial"/>
        <family val="2"/>
      </rPr>
      <t xml:space="preserve"> BAT. On </t>
    </r>
    <r>
      <rPr>
        <sz val="10"/>
        <rFont val="맑은 고딕"/>
        <family val="2"/>
        <charset val="129"/>
      </rPr>
      <t>동작을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보기위해</t>
    </r>
    <r>
      <rPr>
        <sz val="10"/>
        <rFont val="Arial"/>
        <family val="2"/>
      </rPr>
      <t xml:space="preserve"> S/W </t>
    </r>
    <r>
      <rPr>
        <sz val="10"/>
        <rFont val="맑은 고딕"/>
        <family val="2"/>
        <charset val="129"/>
      </rPr>
      <t>신규</t>
    </r>
    <r>
      <rPr>
        <sz val="10"/>
        <rFont val="Arial"/>
        <family val="2"/>
      </rPr>
      <t xml:space="preserve"> Write </t>
    </r>
    <r>
      <rPr>
        <sz val="10"/>
        <rFont val="맑은 고딕"/>
        <family val="2"/>
        <charset val="129"/>
      </rPr>
      <t>후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수행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필요</t>
    </r>
    <phoneticPr fontId="9" type="noConversion"/>
  </si>
  <si>
    <t>T9.1.1</t>
    <phoneticPr fontId="4" type="noConversion"/>
  </si>
  <si>
    <t>T9.1.2</t>
    <phoneticPr fontId="4" type="noConversion"/>
  </si>
  <si>
    <t>T9.1.1</t>
    <phoneticPr fontId="9" type="noConversion"/>
  </si>
  <si>
    <t>T9.1.2</t>
    <phoneticPr fontId="9" type="noConversion"/>
  </si>
  <si>
    <r>
      <t xml:space="preserve">System Off to On </t>
    </r>
    <r>
      <rPr>
        <sz val="11"/>
        <rFont val="맑은 고딕"/>
        <family val="2"/>
        <charset val="129"/>
      </rPr>
      <t>동작 추가!</t>
    </r>
    <r>
      <rPr>
        <sz val="11"/>
        <rFont val="Arial"/>
        <family val="2"/>
      </rPr>
      <t xml:space="preserve"> </t>
    </r>
    <r>
      <rPr>
        <sz val="11"/>
        <rFont val="맑은 고딕"/>
        <family val="2"/>
        <charset val="129"/>
      </rPr>
      <t>이전상태 유지</t>
    </r>
    <phoneticPr fontId="4" type="noConversion"/>
  </si>
  <si>
    <t>T9.2.4</t>
  </si>
  <si>
    <t>T9.2.5</t>
  </si>
  <si>
    <t>T9.2.9</t>
  </si>
  <si>
    <t>T9.2.1</t>
    <phoneticPr fontId="4" type="noConversion"/>
  </si>
  <si>
    <t>T9.2.2</t>
    <phoneticPr fontId="4" type="noConversion"/>
  </si>
  <si>
    <t>T9.2.3</t>
    <phoneticPr fontId="4" type="noConversion"/>
  </si>
  <si>
    <t>T9.2.4</t>
    <phoneticPr fontId="4" type="noConversion"/>
  </si>
  <si>
    <t>T9.2.5</t>
    <phoneticPr fontId="4" type="noConversion"/>
  </si>
  <si>
    <t>T9.2.6</t>
    <phoneticPr fontId="4" type="noConversion"/>
  </si>
  <si>
    <t>T9.2.7</t>
    <phoneticPr fontId="4" type="noConversion"/>
  </si>
  <si>
    <t>T9.2.8</t>
    <phoneticPr fontId="4" type="noConversion"/>
  </si>
  <si>
    <t>T9.2.9</t>
    <phoneticPr fontId="4" type="noConversion"/>
  </si>
  <si>
    <t>T9.2.10</t>
    <phoneticPr fontId="4" type="noConversion"/>
  </si>
  <si>
    <t>Sw_AUTO</t>
    <phoneticPr fontId="4" type="noConversion"/>
  </si>
  <si>
    <t>T20.1.6</t>
    <phoneticPr fontId="9" type="noConversion"/>
  </si>
  <si>
    <t>T20.1.6</t>
    <phoneticPr fontId="4" type="noConversion"/>
  </si>
  <si>
    <t>T20.2.3</t>
    <phoneticPr fontId="9" type="noConversion"/>
  </si>
  <si>
    <t>T20.2.3</t>
    <phoneticPr fontId="4" type="noConversion"/>
  </si>
  <si>
    <r>
      <rPr>
        <sz val="11"/>
        <rFont val="Arial Unicode MS"/>
        <family val="2"/>
        <charset val="129"/>
      </rPr>
      <t>공조제어</t>
    </r>
    <r>
      <rPr>
        <sz val="11"/>
        <rFont val="Arial"/>
        <family val="2"/>
      </rPr>
      <t xml:space="preserve"> </t>
    </r>
    <r>
      <rPr>
        <sz val="11"/>
        <rFont val="Arial Unicode MS"/>
        <family val="2"/>
        <charset val="129"/>
      </rPr>
      <t>사양서</t>
    </r>
    <r>
      <rPr>
        <sz val="11"/>
        <rFont val="Arial"/>
        <family val="2"/>
      </rPr>
      <t xml:space="preserve"> Blower </t>
    </r>
    <r>
      <rPr>
        <sz val="11"/>
        <rFont val="Arial Unicode MS"/>
        <family val="2"/>
        <charset val="129"/>
      </rPr>
      <t>감쇄율에</t>
    </r>
    <r>
      <rPr>
        <sz val="11"/>
        <rFont val="Arial"/>
        <family val="2"/>
      </rPr>
      <t xml:space="preserve"> </t>
    </r>
    <r>
      <rPr>
        <sz val="11"/>
        <rFont val="Arial Unicode MS"/>
        <family val="2"/>
        <charset val="129"/>
      </rPr>
      <t>따른</t>
    </r>
    <r>
      <rPr>
        <sz val="11"/>
        <rFont val="Arial"/>
        <family val="2"/>
      </rPr>
      <t xml:space="preserve"> Blower </t>
    </r>
    <r>
      <rPr>
        <sz val="11"/>
        <rFont val="Arial Unicode MS"/>
        <family val="2"/>
        <charset val="129"/>
      </rPr>
      <t>전압</t>
    </r>
    <r>
      <rPr>
        <sz val="11"/>
        <rFont val="Arial"/>
        <family val="2"/>
      </rPr>
      <t xml:space="preserve"> </t>
    </r>
    <r>
      <rPr>
        <sz val="11"/>
        <rFont val="맑은 고딕"/>
        <family val="2"/>
        <charset val="129"/>
      </rPr>
      <t xml:space="preserve">보상 동작 </t>
    </r>
    <r>
      <rPr>
        <sz val="11"/>
        <rFont val="Arial Unicode MS"/>
        <family val="2"/>
        <charset val="129"/>
      </rPr>
      <t>확인</t>
    </r>
    <phoneticPr fontId="10" type="noConversion"/>
  </si>
  <si>
    <r>
      <rPr>
        <sz val="11"/>
        <rFont val="Arial Unicode MS"/>
        <family val="2"/>
        <charset val="129"/>
      </rPr>
      <t>공조제어</t>
    </r>
    <r>
      <rPr>
        <sz val="11"/>
        <rFont val="Arial"/>
        <family val="2"/>
      </rPr>
      <t xml:space="preserve"> </t>
    </r>
    <r>
      <rPr>
        <sz val="11"/>
        <rFont val="Arial Unicode MS"/>
        <family val="2"/>
        <charset val="129"/>
      </rPr>
      <t>사양서</t>
    </r>
    <r>
      <rPr>
        <sz val="11"/>
        <rFont val="Arial"/>
        <family val="2"/>
      </rPr>
      <t xml:space="preserve"> </t>
    </r>
    <r>
      <rPr>
        <sz val="11"/>
        <rFont val="맑은 고딕"/>
        <family val="2"/>
        <charset val="129"/>
      </rPr>
      <t>내외기</t>
    </r>
    <r>
      <rPr>
        <sz val="11"/>
        <rFont val="Arial"/>
        <family val="2"/>
      </rPr>
      <t xml:space="preserve"> </t>
    </r>
    <r>
      <rPr>
        <sz val="11"/>
        <rFont val="맑은 고딕"/>
        <family val="2"/>
        <charset val="129"/>
      </rPr>
      <t>변동에</t>
    </r>
    <r>
      <rPr>
        <sz val="11"/>
        <rFont val="Arial"/>
        <family val="2"/>
      </rPr>
      <t xml:space="preserve"> </t>
    </r>
    <r>
      <rPr>
        <sz val="11"/>
        <rFont val="맑은 고딕"/>
        <family val="2"/>
        <charset val="129"/>
      </rPr>
      <t>따른</t>
    </r>
    <r>
      <rPr>
        <sz val="11"/>
        <rFont val="Arial"/>
        <family val="2"/>
      </rPr>
      <t xml:space="preserve"> Blower </t>
    </r>
    <r>
      <rPr>
        <sz val="11"/>
        <rFont val="Arial Unicode MS"/>
        <family val="2"/>
        <charset val="129"/>
      </rPr>
      <t>전압</t>
    </r>
    <r>
      <rPr>
        <sz val="11"/>
        <rFont val="Arial"/>
        <family val="2"/>
      </rPr>
      <t xml:space="preserve"> </t>
    </r>
    <r>
      <rPr>
        <sz val="11"/>
        <rFont val="맑은 고딕"/>
        <family val="2"/>
        <charset val="129"/>
      </rPr>
      <t xml:space="preserve">보상 동작 </t>
    </r>
    <r>
      <rPr>
        <sz val="11"/>
        <rFont val="Arial Unicode MS"/>
        <family val="2"/>
        <charset val="129"/>
      </rPr>
      <t>확인</t>
    </r>
    <phoneticPr fontId="10" type="noConversion"/>
  </si>
  <si>
    <r>
      <t xml:space="preserve">* Intake=0.3V </t>
    </r>
    <r>
      <rPr>
        <sz val="11"/>
        <color rgb="FF0000FF"/>
        <rFont val="맑은 고딕"/>
        <family val="2"/>
        <charset val="129"/>
      </rPr>
      <t>되도록</t>
    </r>
    <r>
      <rPr>
        <sz val="11"/>
        <color rgb="FF0000FF"/>
        <rFont val="Arial"/>
        <family val="2"/>
      </rPr>
      <t xml:space="preserve"> Incar </t>
    </r>
    <r>
      <rPr>
        <sz val="11"/>
        <color rgb="FF0000FF"/>
        <rFont val="맑은 고딕"/>
        <family val="2"/>
        <charset val="129"/>
      </rPr>
      <t>온도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맑은 고딕"/>
        <family val="2"/>
        <charset val="129"/>
      </rPr>
      <t>설정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맑은 고딕"/>
        <family val="2"/>
        <charset val="129"/>
      </rPr>
      <t>필요</t>
    </r>
    <phoneticPr fontId="4" type="noConversion"/>
  </si>
  <si>
    <t>IGN2_Off</t>
    <phoneticPr fontId="9" type="noConversion"/>
  </si>
  <si>
    <t>IGN2_On</t>
    <phoneticPr fontId="9" type="noConversion"/>
  </si>
  <si>
    <r>
      <t>Mode=Mix, Blower=8</t>
    </r>
    <r>
      <rPr>
        <sz val="10"/>
        <rFont val="맑은 고딕"/>
        <family val="2"/>
        <charset val="129"/>
      </rPr>
      <t>단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수동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설정</t>
    </r>
    <phoneticPr fontId="9" type="noConversion"/>
  </si>
  <si>
    <r>
      <t xml:space="preserve">Intake=REC </t>
    </r>
    <r>
      <rPr>
        <sz val="10"/>
        <rFont val="맑은 고딕"/>
        <family val="2"/>
        <charset val="129"/>
      </rPr>
      <t>수동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설정</t>
    </r>
    <phoneticPr fontId="9" type="noConversion"/>
  </si>
  <si>
    <r>
      <t xml:space="preserve">AC=ON </t>
    </r>
    <r>
      <rPr>
        <sz val="10"/>
        <rFont val="맑은 고딕"/>
        <family val="2"/>
        <charset val="129"/>
      </rPr>
      <t>수동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설정</t>
    </r>
    <phoneticPr fontId="9" type="noConversion"/>
  </si>
  <si>
    <r>
      <t>AC=ON, Blower=1</t>
    </r>
    <r>
      <rPr>
        <sz val="10"/>
        <rFont val="맑은 고딕"/>
        <family val="2"/>
        <charset val="129"/>
      </rPr>
      <t>단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수동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설정</t>
    </r>
    <phoneticPr fontId="9" type="noConversion"/>
  </si>
  <si>
    <r>
      <t>Blower=7</t>
    </r>
    <r>
      <rPr>
        <sz val="10"/>
        <rFont val="맑은 고딕"/>
        <family val="2"/>
        <charset val="129"/>
      </rPr>
      <t>단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수동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설정</t>
    </r>
    <phoneticPr fontId="9" type="noConversion"/>
  </si>
  <si>
    <r>
      <rPr>
        <sz val="10"/>
        <rFont val="맑은 고딕"/>
        <family val="2"/>
        <charset val="129"/>
      </rPr>
      <t>설정온도</t>
    </r>
    <r>
      <rPr>
        <sz val="10"/>
        <rFont val="Arial"/>
        <family val="2"/>
      </rPr>
      <t>=Hi, Blower=4</t>
    </r>
    <r>
      <rPr>
        <sz val="10"/>
        <rFont val="맑은 고딕"/>
        <family val="2"/>
        <charset val="129"/>
      </rPr>
      <t>단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수동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설정</t>
    </r>
    <phoneticPr fontId="9" type="noConversion"/>
  </si>
  <si>
    <r>
      <rPr>
        <sz val="10"/>
        <rFont val="맑은 고딕"/>
        <family val="2"/>
        <charset val="129"/>
      </rPr>
      <t>설정온도</t>
    </r>
    <r>
      <rPr>
        <sz val="10"/>
        <rFont val="Arial"/>
        <family val="2"/>
      </rPr>
      <t>=Hi, Blower=5</t>
    </r>
    <r>
      <rPr>
        <sz val="10"/>
        <rFont val="맑은 고딕"/>
        <family val="2"/>
        <charset val="129"/>
      </rPr>
      <t>단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수동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설정</t>
    </r>
    <phoneticPr fontId="9" type="noConversion"/>
  </si>
  <si>
    <r>
      <t>Blower=6</t>
    </r>
    <r>
      <rPr>
        <sz val="10"/>
        <rFont val="맑은 고딕"/>
        <family val="2"/>
        <charset val="129"/>
      </rPr>
      <t>단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수동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설정</t>
    </r>
    <phoneticPr fontId="9" type="noConversion"/>
  </si>
  <si>
    <r>
      <t xml:space="preserve">Intake=REC </t>
    </r>
    <r>
      <rPr>
        <sz val="10"/>
        <rFont val="맑은 고딕"/>
        <family val="2"/>
        <charset val="129"/>
      </rPr>
      <t>수동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설정</t>
    </r>
    <phoneticPr fontId="9" type="noConversion"/>
  </si>
  <si>
    <r>
      <t>AC=Off, Intake=REC, Blower=1</t>
    </r>
    <r>
      <rPr>
        <sz val="10"/>
        <rFont val="돋움"/>
        <family val="3"/>
        <charset val="129"/>
      </rPr>
      <t>단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수동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설정</t>
    </r>
    <phoneticPr fontId="9" type="noConversion"/>
  </si>
  <si>
    <r>
      <rPr>
        <sz val="10"/>
        <rFont val="맑은 고딕"/>
        <family val="2"/>
        <charset val="129"/>
      </rPr>
      <t>설정온도</t>
    </r>
    <r>
      <rPr>
        <sz val="10"/>
        <rFont val="Arial"/>
        <family val="2"/>
      </rPr>
      <t xml:space="preserve"> Dr != Ps (Sync=Off), Mode=Vent, Intake=REC, Blower=1</t>
    </r>
    <r>
      <rPr>
        <sz val="10"/>
        <rFont val="맑은 고딕"/>
        <family val="2"/>
        <charset val="129"/>
      </rPr>
      <t>단</t>
    </r>
    <r>
      <rPr>
        <sz val="10"/>
        <rFont val="Arial"/>
        <family val="2"/>
      </rPr>
      <t xml:space="preserve">, AC=On </t>
    </r>
    <r>
      <rPr>
        <sz val="10"/>
        <rFont val="맑은 고딕"/>
        <family val="2"/>
        <charset val="129"/>
      </rPr>
      <t>수동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설정</t>
    </r>
    <phoneticPr fontId="9" type="noConversion"/>
  </si>
  <si>
    <t>Vent Bleed</t>
    <phoneticPr fontId="9" type="noConversion"/>
  </si>
  <si>
    <r>
      <rPr>
        <sz val="10"/>
        <rFont val="맑은 고딕"/>
        <family val="2"/>
        <charset val="129"/>
      </rPr>
      <t>설정온도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표시부에</t>
    </r>
    <r>
      <rPr>
        <sz val="10"/>
        <rFont val="Arial"/>
        <family val="2"/>
      </rPr>
      <t xml:space="preserve"> OFF </t>
    </r>
    <r>
      <rPr>
        <sz val="10"/>
        <rFont val="맑은 고딕"/>
        <family val="2"/>
        <charset val="129"/>
      </rPr>
      <t>전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설정온도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기준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점</t>
    </r>
    <r>
      <rPr>
        <sz val="10"/>
        <rFont val="Arial"/>
        <family val="2"/>
      </rPr>
      <t>/</t>
    </r>
    <r>
      <rPr>
        <sz val="10"/>
        <rFont val="맑은 고딕"/>
        <family val="2"/>
        <charset val="129"/>
      </rPr>
      <t>소등</t>
    </r>
    <r>
      <rPr>
        <sz val="10"/>
        <rFont val="Arial"/>
        <family val="2"/>
      </rPr>
      <t xml:space="preserve"> 0.25sec </t>
    </r>
    <r>
      <rPr>
        <sz val="10"/>
        <rFont val="맑은 고딕"/>
        <family val="2"/>
        <charset val="129"/>
      </rPr>
      <t>간격으로</t>
    </r>
    <r>
      <rPr>
        <sz val="10"/>
        <rFont val="Arial"/>
        <family val="2"/>
      </rPr>
      <t xml:space="preserve"> 6</t>
    </r>
    <r>
      <rPr>
        <sz val="10"/>
        <rFont val="맑은 고딕"/>
        <family val="2"/>
        <charset val="129"/>
      </rPr>
      <t>회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동작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확인</t>
    </r>
    <phoneticPr fontId="9" type="noConversion"/>
  </si>
  <si>
    <t>0-&gt;1-&gt;0</t>
    <phoneticPr fontId="4" type="noConversion"/>
  </si>
  <si>
    <r>
      <rPr>
        <sz val="10"/>
        <rFont val="맑은 고딕"/>
        <family val="3"/>
        <charset val="129"/>
      </rPr>
      <t>설정온도</t>
    </r>
    <r>
      <rPr>
        <sz val="10"/>
        <rFont val="Arial"/>
        <family val="2"/>
      </rPr>
      <t xml:space="preserve"> Dr != Ps (Sync=Off), Mode=Vent, Intake=REC, Blower=8</t>
    </r>
    <r>
      <rPr>
        <sz val="10"/>
        <rFont val="맑은 고딕"/>
        <family val="3"/>
        <charset val="129"/>
      </rPr>
      <t>단</t>
    </r>
    <r>
      <rPr>
        <sz val="10"/>
        <rFont val="Arial"/>
        <family val="2"/>
      </rPr>
      <t xml:space="preserve">, AC=On </t>
    </r>
    <r>
      <rPr>
        <sz val="10"/>
        <rFont val="맑은 고딕"/>
        <family val="3"/>
        <charset val="129"/>
      </rPr>
      <t>수동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설정</t>
    </r>
    <phoneticPr fontId="9" type="noConversion"/>
  </si>
  <si>
    <r>
      <t xml:space="preserve">Intake=REC </t>
    </r>
    <r>
      <rPr>
        <sz val="10"/>
        <rFont val="맑은 고딕"/>
        <family val="3"/>
        <charset val="129"/>
      </rPr>
      <t>수동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설정</t>
    </r>
    <phoneticPr fontId="9" type="noConversion"/>
  </si>
  <si>
    <r>
      <t xml:space="preserve">DEF </t>
    </r>
    <r>
      <rPr>
        <sz val="10"/>
        <color theme="1"/>
        <rFont val="Arial Unicode MS"/>
        <family val="2"/>
        <charset val="129"/>
      </rPr>
      <t>선택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시</t>
    </r>
    <r>
      <rPr>
        <sz val="10"/>
        <color theme="1"/>
        <rFont val="Arial"/>
        <family val="2"/>
      </rPr>
      <t xml:space="preserve"> DEF </t>
    </r>
    <r>
      <rPr>
        <sz val="10"/>
        <color theme="1"/>
        <rFont val="Arial Unicode MS"/>
        <family val="2"/>
        <charset val="129"/>
      </rPr>
      <t>로직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작동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확인</t>
    </r>
    <r>
      <rPr>
        <sz val="10"/>
        <color theme="1"/>
        <rFont val="Arial"/>
        <family val="2"/>
      </rPr>
      <t xml:space="preserve"> - Auto Floor </t>
    </r>
    <r>
      <rPr>
        <sz val="10"/>
        <color theme="1"/>
        <rFont val="Arial Unicode MS"/>
        <family val="2"/>
        <charset val="129"/>
      </rPr>
      <t>상태</t>
    </r>
    <r>
      <rPr>
        <sz val="10"/>
        <color theme="1"/>
        <rFont val="Arial"/>
        <family val="2"/>
      </rPr>
      <t xml:space="preserve"> (AC Off, Intake FRE, Blower &lt; 6.5)  =&gt; </t>
    </r>
    <r>
      <rPr>
        <sz val="10"/>
        <color theme="1"/>
        <rFont val="맑은 고딕"/>
        <family val="2"/>
        <charset val="129"/>
      </rPr>
      <t>버튼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2"/>
        <charset val="129"/>
      </rPr>
      <t>작동</t>
    </r>
    <r>
      <rPr>
        <sz val="10"/>
        <color theme="1"/>
        <rFont val="Arial"/>
        <family val="2"/>
      </rPr>
      <t xml:space="preserve"> TC </t>
    </r>
    <r>
      <rPr>
        <sz val="10"/>
        <color theme="1"/>
        <rFont val="맑은 고딕"/>
        <family val="2"/>
        <charset val="129"/>
      </rPr>
      <t>확인</t>
    </r>
    <phoneticPr fontId="9" type="noConversion"/>
  </si>
  <si>
    <r>
      <t xml:space="preserve">AC=Off, Intake=REC </t>
    </r>
    <r>
      <rPr>
        <sz val="10"/>
        <rFont val="맑은 고딕"/>
        <family val="3"/>
        <charset val="129"/>
      </rPr>
      <t>수동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설정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후</t>
    </r>
    <r>
      <rPr>
        <sz val="10"/>
        <rFont val="Arial"/>
        <family val="2"/>
      </rPr>
      <t xml:space="preserve"> System Off</t>
    </r>
    <phoneticPr fontId="9" type="noConversion"/>
  </si>
  <si>
    <r>
      <t>3</t>
    </r>
    <r>
      <rPr>
        <sz val="10"/>
        <rFont val="맑은 고딕"/>
        <family val="3"/>
        <charset val="129"/>
      </rPr>
      <t>초간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점</t>
    </r>
    <r>
      <rPr>
        <sz val="10"/>
        <rFont val="Arial"/>
        <family val="2"/>
      </rPr>
      <t>/</t>
    </r>
    <r>
      <rPr>
        <sz val="10"/>
        <rFont val="Arial Unicode MS"/>
        <family val="3"/>
        <charset val="129"/>
      </rPr>
      <t>소등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후</t>
    </r>
    <r>
      <rPr>
        <sz val="10"/>
        <rFont val="Arial"/>
        <family val="2"/>
      </rPr>
      <t xml:space="preserve"> On</t>
    </r>
    <phoneticPr fontId="9" type="noConversion"/>
  </si>
  <si>
    <r>
      <t>Blower=1</t>
    </r>
    <r>
      <rPr>
        <sz val="10"/>
        <rFont val="맑은 고딕"/>
        <family val="3"/>
        <charset val="129"/>
      </rPr>
      <t>단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수동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설정</t>
    </r>
    <phoneticPr fontId="9" type="noConversion"/>
  </si>
  <si>
    <r>
      <t>0.5</t>
    </r>
    <r>
      <rPr>
        <sz val="10"/>
        <rFont val="돋움"/>
        <family val="3"/>
        <charset val="129"/>
      </rPr>
      <t>초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간격</t>
    </r>
    <r>
      <rPr>
        <sz val="10"/>
        <rFont val="Arial"/>
        <family val="2"/>
      </rPr>
      <t xml:space="preserve"> 3</t>
    </r>
    <r>
      <rPr>
        <sz val="10"/>
        <rFont val="돋움"/>
        <family val="3"/>
        <charset val="129"/>
      </rPr>
      <t>회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점</t>
    </r>
    <r>
      <rPr>
        <sz val="10"/>
        <rFont val="Arial"/>
        <family val="2"/>
      </rPr>
      <t>/</t>
    </r>
    <r>
      <rPr>
        <sz val="10"/>
        <rFont val="Arial Unicode MS"/>
        <family val="3"/>
        <charset val="129"/>
      </rPr>
      <t>소등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후</t>
    </r>
    <r>
      <rPr>
        <sz val="10"/>
        <rFont val="Arial"/>
        <family val="2"/>
      </rPr>
      <t xml:space="preserve"> FRE</t>
    </r>
    <phoneticPr fontId="9" type="noConversion"/>
  </si>
  <si>
    <r>
      <t xml:space="preserve">Key </t>
    </r>
    <r>
      <rPr>
        <sz val="10"/>
        <color theme="1"/>
        <rFont val="Arial Unicode MS"/>
        <family val="2"/>
        <charset val="129"/>
      </rPr>
      <t>조합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입력에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의한</t>
    </r>
    <r>
      <rPr>
        <sz val="10"/>
        <color theme="1"/>
        <rFont val="Arial"/>
        <family val="2"/>
      </rPr>
      <t xml:space="preserve"> CO2 </t>
    </r>
    <r>
      <rPr>
        <sz val="10"/>
        <color theme="1"/>
        <rFont val="맑은 고딕"/>
        <family val="2"/>
        <charset val="129"/>
      </rPr>
      <t>제어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2"/>
        <charset val="129"/>
      </rPr>
      <t>해제</t>
    </r>
    <r>
      <rPr>
        <sz val="10"/>
        <color theme="1"/>
        <rFont val="Arial"/>
        <family val="2"/>
      </rPr>
      <t>/</t>
    </r>
    <r>
      <rPr>
        <sz val="10"/>
        <color theme="1"/>
        <rFont val="맑은 고딕"/>
        <family val="2"/>
        <charset val="129"/>
      </rPr>
      <t>복귀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2"/>
        <charset val="129"/>
      </rPr>
      <t>로직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2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2"/>
        <charset val="129"/>
      </rPr>
      <t>확인</t>
    </r>
    <r>
      <rPr>
        <sz val="10"/>
        <color theme="1"/>
        <rFont val="Arial"/>
        <family val="2"/>
      </rPr>
      <t xml:space="preserve"> &lt;CO2 </t>
    </r>
    <r>
      <rPr>
        <sz val="10"/>
        <color theme="1"/>
        <rFont val="맑은 고딕"/>
        <family val="2"/>
        <charset val="129"/>
      </rPr>
      <t>사양</t>
    </r>
    <r>
      <rPr>
        <sz val="10"/>
        <color theme="1"/>
        <rFont val="Arial"/>
        <family val="2"/>
      </rPr>
      <t xml:space="preserve"> ONLY&gt;</t>
    </r>
    <phoneticPr fontId="9" type="noConversion"/>
  </si>
  <si>
    <r>
      <t>0.5</t>
    </r>
    <r>
      <rPr>
        <sz val="10"/>
        <rFont val="돋움"/>
        <family val="3"/>
        <charset val="129"/>
      </rPr>
      <t>초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간격</t>
    </r>
    <r>
      <rPr>
        <sz val="10"/>
        <rFont val="Arial"/>
        <family val="2"/>
      </rPr>
      <t xml:space="preserve"> 3</t>
    </r>
    <r>
      <rPr>
        <sz val="10"/>
        <rFont val="돋움"/>
        <family val="3"/>
        <charset val="129"/>
      </rPr>
      <t>회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점</t>
    </r>
    <r>
      <rPr>
        <sz val="10"/>
        <rFont val="Arial"/>
        <family val="2"/>
      </rPr>
      <t>/</t>
    </r>
    <r>
      <rPr>
        <sz val="10"/>
        <rFont val="Arial Unicode MS"/>
        <family val="3"/>
        <charset val="129"/>
      </rPr>
      <t>소등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후</t>
    </r>
    <r>
      <rPr>
        <sz val="10"/>
        <rFont val="Arial"/>
        <family val="2"/>
      </rPr>
      <t xml:space="preserve"> REC</t>
    </r>
    <phoneticPr fontId="9" type="noConversion"/>
  </si>
  <si>
    <r>
      <t xml:space="preserve">Type </t>
    </r>
    <r>
      <rPr>
        <sz val="10"/>
        <rFont val="Arial Unicode MS"/>
        <family val="2"/>
        <charset val="129"/>
      </rPr>
      <t>별</t>
    </r>
    <r>
      <rPr>
        <sz val="10"/>
        <rFont val="Arial"/>
        <family val="2"/>
      </rPr>
      <t xml:space="preserve"> Signal </t>
    </r>
    <r>
      <rPr>
        <sz val="10"/>
        <rFont val="Arial Unicode MS"/>
        <family val="2"/>
        <charset val="129"/>
      </rPr>
      <t>값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설정</t>
    </r>
    <phoneticPr fontId="9" type="noConversion"/>
  </si>
  <si>
    <r>
      <rPr>
        <sz val="10"/>
        <rFont val="맑은 고딕"/>
        <family val="2"/>
        <charset val="129"/>
      </rPr>
      <t>설정온도</t>
    </r>
    <r>
      <rPr>
        <sz val="10"/>
        <rFont val="Arial"/>
        <family val="2"/>
      </rPr>
      <t xml:space="preserve">=Hi, Mode=Floor </t>
    </r>
    <r>
      <rPr>
        <sz val="10"/>
        <rFont val="맑은 고딕"/>
        <family val="2"/>
        <charset val="129"/>
      </rPr>
      <t>수동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설정</t>
    </r>
    <phoneticPr fontId="9" type="noConversion"/>
  </si>
  <si>
    <r>
      <t xml:space="preserve">Mode=Mix </t>
    </r>
    <r>
      <rPr>
        <sz val="10"/>
        <rFont val="맑은 고딕"/>
        <family val="2"/>
        <charset val="129"/>
      </rPr>
      <t>수동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설정</t>
    </r>
    <phoneticPr fontId="9" type="noConversion"/>
  </si>
  <si>
    <r>
      <rPr>
        <sz val="10"/>
        <rFont val="Arial Unicode MS"/>
        <family val="2"/>
        <charset val="129"/>
      </rPr>
      <t>공조</t>
    </r>
    <r>
      <rPr>
        <sz val="10"/>
        <rFont val="Arial"/>
        <family val="2"/>
      </rPr>
      <t>-</t>
    </r>
    <r>
      <rPr>
        <sz val="10"/>
        <rFont val="Arial Unicode MS"/>
        <family val="2"/>
        <charset val="129"/>
      </rPr>
      <t>시트스티어링휠</t>
    </r>
    <r>
      <rPr>
        <sz val="10"/>
        <rFont val="Arial"/>
        <family val="2"/>
      </rPr>
      <t xml:space="preserve"> Signal Defualt </t>
    </r>
    <r>
      <rPr>
        <sz val="10"/>
        <rFont val="Arial Unicode MS"/>
        <family val="2"/>
        <charset val="129"/>
      </rPr>
      <t>값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설정</t>
    </r>
    <phoneticPr fontId="9" type="noConversion"/>
  </si>
  <si>
    <r>
      <rPr>
        <sz val="10"/>
        <color theme="1"/>
        <rFont val="돋움"/>
        <family val="2"/>
        <charset val="129"/>
      </rPr>
      <t>클러스터이온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발생기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제어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로직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확인</t>
    </r>
    <phoneticPr fontId="9" type="noConversion"/>
  </si>
  <si>
    <r>
      <t xml:space="preserve">RAM AIR </t>
    </r>
    <r>
      <rPr>
        <sz val="10"/>
        <color theme="1"/>
        <rFont val="돋움"/>
        <family val="2"/>
        <charset val="129"/>
      </rPr>
      <t>보상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조건에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따른</t>
    </r>
    <r>
      <rPr>
        <sz val="10"/>
        <color theme="1"/>
        <rFont val="Arial"/>
        <family val="2"/>
      </rPr>
      <t xml:space="preserve"> Blower </t>
    </r>
    <r>
      <rPr>
        <sz val="10"/>
        <color theme="1"/>
        <rFont val="돋움"/>
        <family val="2"/>
        <charset val="129"/>
      </rPr>
      <t>제어전압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확인</t>
    </r>
    <phoneticPr fontId="9" type="noConversion"/>
  </si>
  <si>
    <r>
      <t>PARTIAL(</t>
    </r>
    <r>
      <rPr>
        <sz val="10"/>
        <color theme="1"/>
        <rFont val="돋움"/>
        <family val="2"/>
        <charset val="129"/>
      </rPr>
      <t>가변</t>
    </r>
    <r>
      <rPr>
        <sz val="10"/>
        <color theme="1"/>
        <rFont val="Arial"/>
        <family val="2"/>
      </rPr>
      <t xml:space="preserve">) INTAKE LOGIC - </t>
    </r>
    <r>
      <rPr>
        <sz val="10"/>
        <color theme="1"/>
        <rFont val="돋움"/>
        <family val="2"/>
        <charset val="129"/>
      </rPr>
      <t>난방개선</t>
    </r>
    <phoneticPr fontId="9" type="noConversion"/>
  </si>
  <si>
    <r>
      <t>PARTIAL(</t>
    </r>
    <r>
      <rPr>
        <sz val="10"/>
        <color theme="1"/>
        <rFont val="돋움"/>
        <family val="2"/>
        <charset val="129"/>
      </rPr>
      <t>가변</t>
    </r>
    <r>
      <rPr>
        <sz val="10"/>
        <color theme="1"/>
        <rFont val="Arial"/>
        <family val="2"/>
      </rPr>
      <t xml:space="preserve">) INTAKE LOGIC - </t>
    </r>
    <r>
      <rPr>
        <sz val="10"/>
        <color theme="1"/>
        <rFont val="돋움"/>
        <family val="2"/>
        <charset val="129"/>
      </rPr>
      <t>냉방개선</t>
    </r>
    <phoneticPr fontId="9" type="noConversion"/>
  </si>
  <si>
    <r>
      <t xml:space="preserve">Vert Air </t>
    </r>
    <r>
      <rPr>
        <sz val="10"/>
        <color theme="1"/>
        <rFont val="돋움"/>
        <family val="2"/>
        <charset val="129"/>
      </rPr>
      <t>로직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확인</t>
    </r>
    <r>
      <rPr>
        <sz val="10"/>
        <color theme="1"/>
        <rFont val="Arial"/>
        <family val="2"/>
      </rPr>
      <t xml:space="preserve"> - </t>
    </r>
    <r>
      <rPr>
        <sz val="10"/>
        <color theme="1"/>
        <rFont val="돋움"/>
        <family val="2"/>
        <charset val="129"/>
      </rPr>
      <t>난방개선</t>
    </r>
    <phoneticPr fontId="9" type="noConversion"/>
  </si>
  <si>
    <r>
      <t xml:space="preserve">Vert Air </t>
    </r>
    <r>
      <rPr>
        <sz val="10"/>
        <color theme="1"/>
        <rFont val="돋움"/>
        <family val="2"/>
        <charset val="129"/>
      </rPr>
      <t>로직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확인</t>
    </r>
    <r>
      <rPr>
        <sz val="10"/>
        <color theme="1"/>
        <rFont val="Arial"/>
        <family val="2"/>
      </rPr>
      <t xml:space="preserve"> - </t>
    </r>
    <r>
      <rPr>
        <sz val="10"/>
        <color theme="1"/>
        <rFont val="돋움"/>
        <family val="2"/>
        <charset val="129"/>
      </rPr>
      <t>냉방개선</t>
    </r>
    <phoneticPr fontId="9" type="noConversion"/>
  </si>
  <si>
    <r>
      <t xml:space="preserve">IDLE STOP(ENGINE STOP) </t>
    </r>
    <r>
      <rPr>
        <sz val="10"/>
        <color theme="1"/>
        <rFont val="돋움"/>
        <family val="2"/>
        <charset val="129"/>
      </rPr>
      <t>진입금지</t>
    </r>
    <r>
      <rPr>
        <sz val="10"/>
        <color theme="1"/>
        <rFont val="Arial"/>
        <family val="2"/>
      </rPr>
      <t xml:space="preserve"> LOGIC </t>
    </r>
    <r>
      <rPr>
        <sz val="10"/>
        <color theme="1"/>
        <rFont val="돋움"/>
        <family val="2"/>
        <charset val="129"/>
      </rPr>
      <t>제어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확인</t>
    </r>
    <phoneticPr fontId="9" type="noConversion"/>
  </si>
  <si>
    <r>
      <t xml:space="preserve">IDLE STOP(ENGINE STOP) </t>
    </r>
    <r>
      <rPr>
        <sz val="10"/>
        <color theme="1"/>
        <rFont val="돋움"/>
        <family val="2"/>
        <charset val="129"/>
      </rPr>
      <t>해제</t>
    </r>
    <r>
      <rPr>
        <sz val="10"/>
        <color theme="1"/>
        <rFont val="Arial"/>
        <family val="2"/>
      </rPr>
      <t xml:space="preserve"> LOGIC </t>
    </r>
    <r>
      <rPr>
        <sz val="10"/>
        <color theme="1"/>
        <rFont val="돋움"/>
        <family val="2"/>
        <charset val="129"/>
      </rPr>
      <t>제어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확인</t>
    </r>
    <phoneticPr fontId="9" type="noConversion"/>
  </si>
  <si>
    <r>
      <t xml:space="preserve">PTC </t>
    </r>
    <r>
      <rPr>
        <sz val="10"/>
        <color theme="1"/>
        <rFont val="돋움"/>
        <family val="2"/>
        <charset val="129"/>
      </rPr>
      <t>제어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로직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확인</t>
    </r>
    <phoneticPr fontId="9" type="noConversion"/>
  </si>
  <si>
    <r>
      <t xml:space="preserve">ACTIVE ECO </t>
    </r>
    <r>
      <rPr>
        <sz val="10"/>
        <color theme="1"/>
        <rFont val="돋움"/>
        <family val="2"/>
        <charset val="129"/>
      </rPr>
      <t>로직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확인</t>
    </r>
    <r>
      <rPr>
        <sz val="10"/>
        <color theme="1"/>
        <rFont val="Arial"/>
        <family val="2"/>
      </rPr>
      <t xml:space="preserve"> (ECO On </t>
    </r>
    <r>
      <rPr>
        <sz val="10"/>
        <color theme="1"/>
        <rFont val="돋움"/>
        <family val="2"/>
        <charset val="129"/>
      </rPr>
      <t>시</t>
    </r>
    <r>
      <rPr>
        <sz val="10"/>
        <color theme="1"/>
        <rFont val="Arial"/>
        <family val="2"/>
      </rPr>
      <t xml:space="preserve"> EvapTarget 3 </t>
    </r>
    <r>
      <rPr>
        <sz val="10"/>
        <color theme="1"/>
        <rFont val="돋움"/>
        <family val="2"/>
        <charset val="129"/>
      </rPr>
      <t>이하로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설정</t>
    </r>
    <r>
      <rPr>
        <sz val="10"/>
        <color theme="1"/>
        <rFont val="Arial"/>
        <family val="2"/>
      </rPr>
      <t xml:space="preserve">) : </t>
    </r>
    <r>
      <rPr>
        <sz val="10"/>
        <color theme="1"/>
        <rFont val="돋움"/>
        <family val="2"/>
        <charset val="129"/>
      </rPr>
      <t>연산값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확인</t>
    </r>
    <phoneticPr fontId="9" type="noConversion"/>
  </si>
  <si>
    <r>
      <t xml:space="preserve">BLOWER MAX SIGNAL </t>
    </r>
    <r>
      <rPr>
        <sz val="10"/>
        <color theme="1"/>
        <rFont val="돋움"/>
        <family val="2"/>
        <charset val="129"/>
      </rPr>
      <t>출력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확인</t>
    </r>
    <phoneticPr fontId="9" type="noConversion"/>
  </si>
  <si>
    <r>
      <t xml:space="preserve">ENGINE </t>
    </r>
    <r>
      <rPr>
        <sz val="10"/>
        <color theme="1"/>
        <rFont val="돋움"/>
        <family val="2"/>
        <charset val="129"/>
      </rPr>
      <t>사양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구분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로직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확인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돋움"/>
        <family val="2"/>
        <charset val="129"/>
      </rPr>
      <t>각</t>
    </r>
    <r>
      <rPr>
        <sz val="10"/>
        <color theme="1"/>
        <rFont val="Arial"/>
        <family val="2"/>
      </rPr>
      <t xml:space="preserve"> ENGINE </t>
    </r>
    <r>
      <rPr>
        <sz val="10"/>
        <color theme="1"/>
        <rFont val="돋움"/>
        <family val="2"/>
        <charset val="129"/>
      </rPr>
      <t>구분에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따른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동작은</t>
    </r>
    <r>
      <rPr>
        <sz val="10"/>
        <color theme="1"/>
        <rFont val="Arial"/>
        <family val="2"/>
      </rPr>
      <t xml:space="preserve"> Comp </t>
    </r>
    <r>
      <rPr>
        <sz val="10"/>
        <color theme="1"/>
        <rFont val="돋움"/>
        <family val="2"/>
        <charset val="129"/>
      </rPr>
      <t>연산값으로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확인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필요</t>
    </r>
    <r>
      <rPr>
        <sz val="10"/>
        <color theme="1"/>
        <rFont val="Arial"/>
        <family val="2"/>
      </rPr>
      <t xml:space="preserve">) : </t>
    </r>
    <r>
      <rPr>
        <sz val="10"/>
        <color theme="1"/>
        <rFont val="돋움"/>
        <family val="2"/>
        <charset val="129"/>
      </rPr>
      <t>연산값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확인</t>
    </r>
    <phoneticPr fontId="9" type="noConversion"/>
  </si>
  <si>
    <r>
      <t>ENGINE IDLE RPM UP &lt;</t>
    </r>
    <r>
      <rPr>
        <sz val="10"/>
        <color theme="1"/>
        <rFont val="돋움"/>
        <family val="3"/>
        <charset val="129"/>
      </rPr>
      <t>내연기관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차종</t>
    </r>
    <r>
      <rPr>
        <sz val="10"/>
        <color theme="1"/>
        <rFont val="Arial"/>
        <family val="2"/>
      </rPr>
      <t xml:space="preserve"> ONLY&gt;</t>
    </r>
    <phoneticPr fontId="9" type="noConversion"/>
  </si>
  <si>
    <r>
      <t xml:space="preserve">ENGINE IDLE RPM UP </t>
    </r>
    <r>
      <rPr>
        <sz val="10"/>
        <color theme="1"/>
        <rFont val="돋움"/>
        <family val="2"/>
        <charset val="129"/>
      </rPr>
      <t>제어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확인</t>
    </r>
  </si>
  <si>
    <r>
      <t xml:space="preserve">COMP </t>
    </r>
    <r>
      <rPr>
        <sz val="10"/>
        <color theme="1"/>
        <rFont val="돋움"/>
        <family val="3"/>
        <charset val="129"/>
      </rPr>
      <t>정보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송신</t>
    </r>
    <r>
      <rPr>
        <sz val="10"/>
        <color theme="1"/>
        <rFont val="Arial"/>
        <family val="2"/>
      </rPr>
      <t xml:space="preserve"> &lt;</t>
    </r>
    <r>
      <rPr>
        <sz val="10"/>
        <color theme="1"/>
        <rFont val="돋움"/>
        <family val="3"/>
        <charset val="129"/>
      </rPr>
      <t>내연기관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차종</t>
    </r>
    <r>
      <rPr>
        <sz val="10"/>
        <color theme="1"/>
        <rFont val="Arial"/>
        <family val="2"/>
      </rPr>
      <t xml:space="preserve"> ONLY&gt;</t>
    </r>
  </si>
  <si>
    <r>
      <t xml:space="preserve">COMP </t>
    </r>
    <r>
      <rPr>
        <sz val="10"/>
        <color theme="1"/>
        <rFont val="돋움"/>
        <family val="2"/>
        <charset val="129"/>
      </rPr>
      <t>정보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송신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확인</t>
    </r>
    <r>
      <rPr>
        <sz val="10"/>
        <color theme="1"/>
        <rFont val="Arial"/>
        <family val="2"/>
      </rPr>
      <t xml:space="preserve"> (internal compress </t>
    </r>
    <r>
      <rPr>
        <sz val="10"/>
        <color theme="1"/>
        <rFont val="돋움"/>
        <family val="2"/>
        <charset val="129"/>
      </rPr>
      <t>옵션</t>
    </r>
    <r>
      <rPr>
        <sz val="10"/>
        <color theme="1"/>
        <rFont val="Arial"/>
        <family val="2"/>
      </rPr>
      <t>)</t>
    </r>
    <phoneticPr fontId="9" type="noConversion"/>
  </si>
  <si>
    <r>
      <t xml:space="preserve">PWM MOTOR </t>
    </r>
    <r>
      <rPr>
        <sz val="10"/>
        <color theme="1"/>
        <rFont val="돋움"/>
        <family val="3"/>
        <charset val="129"/>
      </rPr>
      <t>구속</t>
    </r>
    <r>
      <rPr>
        <sz val="10"/>
        <color theme="1"/>
        <rFont val="Arial"/>
        <family val="2"/>
      </rPr>
      <t xml:space="preserve"> LOGIC &lt;</t>
    </r>
    <r>
      <rPr>
        <sz val="10"/>
        <color theme="1"/>
        <rFont val="돋움"/>
        <family val="3"/>
        <charset val="129"/>
      </rPr>
      <t>분리형</t>
    </r>
    <r>
      <rPr>
        <sz val="10"/>
        <color theme="1"/>
        <rFont val="Arial"/>
        <family val="2"/>
      </rPr>
      <t xml:space="preserve"> PWM TYPE&gt;</t>
    </r>
    <phoneticPr fontId="9" type="noConversion"/>
  </si>
  <si>
    <r>
      <t xml:space="preserve">PWM MOTOR </t>
    </r>
    <r>
      <rPr>
        <sz val="10"/>
        <color theme="1"/>
        <rFont val="돋움"/>
        <family val="2"/>
        <charset val="129"/>
      </rPr>
      <t>구속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확인</t>
    </r>
    <phoneticPr fontId="9" type="noConversion"/>
  </si>
  <si>
    <r>
      <rPr>
        <sz val="10"/>
        <color theme="1"/>
        <rFont val="돋움"/>
        <family val="3"/>
        <charset val="129"/>
      </rPr>
      <t>저외기온</t>
    </r>
    <r>
      <rPr>
        <sz val="10"/>
        <color theme="1"/>
        <rFont val="Arial"/>
        <family val="2"/>
      </rPr>
      <t xml:space="preserve"> COMP </t>
    </r>
    <r>
      <rPr>
        <sz val="10"/>
        <color theme="1"/>
        <rFont val="돋움"/>
        <family val="3"/>
        <charset val="129"/>
      </rPr>
      <t>작동방지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로직</t>
    </r>
    <phoneticPr fontId="9" type="noConversion"/>
  </si>
  <si>
    <r>
      <rPr>
        <sz val="10"/>
        <color theme="1"/>
        <rFont val="돋움"/>
        <family val="2"/>
        <charset val="129"/>
      </rPr>
      <t>저외기온</t>
    </r>
    <r>
      <rPr>
        <sz val="10"/>
        <color theme="1"/>
        <rFont val="Arial"/>
        <family val="2"/>
      </rPr>
      <t xml:space="preserve"> COMP </t>
    </r>
    <r>
      <rPr>
        <sz val="10"/>
        <color theme="1"/>
        <rFont val="돋움"/>
        <family val="2"/>
        <charset val="129"/>
      </rPr>
      <t>작동방지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확인</t>
    </r>
    <phoneticPr fontId="9" type="noConversion"/>
  </si>
  <si>
    <r>
      <rPr>
        <sz val="10"/>
        <color theme="1"/>
        <rFont val="돋움"/>
        <family val="3"/>
        <charset val="129"/>
      </rPr>
      <t>외기유입로직</t>
    </r>
    <r>
      <rPr>
        <sz val="10"/>
        <color theme="1"/>
        <rFont val="Arial"/>
        <family val="2"/>
      </rPr>
      <t xml:space="preserve"> &lt;EV/FCEV </t>
    </r>
    <r>
      <rPr>
        <sz val="10"/>
        <color theme="1"/>
        <rFont val="돋움"/>
        <family val="3"/>
        <charset val="129"/>
      </rPr>
      <t>外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차종</t>
    </r>
    <r>
      <rPr>
        <sz val="10"/>
        <color theme="1"/>
        <rFont val="Arial"/>
        <family val="2"/>
      </rPr>
      <t>&gt;</t>
    </r>
  </si>
  <si>
    <r>
      <rPr>
        <sz val="10"/>
        <color theme="1"/>
        <rFont val="돋움"/>
        <family val="2"/>
        <charset val="129"/>
      </rPr>
      <t>외기유입로직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확인</t>
    </r>
    <phoneticPr fontId="9" type="noConversion"/>
  </si>
  <si>
    <r>
      <rPr>
        <sz val="10"/>
        <color theme="1"/>
        <rFont val="돋움"/>
        <family val="3"/>
        <charset val="129"/>
      </rPr>
      <t>외기로직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돋움"/>
        <family val="3"/>
        <charset val="129"/>
      </rPr>
      <t>선루프</t>
    </r>
    <r>
      <rPr>
        <sz val="10"/>
        <color theme="1"/>
        <rFont val="Arial"/>
        <family val="2"/>
      </rPr>
      <t>) (</t>
    </r>
    <r>
      <rPr>
        <sz val="10"/>
        <color theme="1"/>
        <rFont val="돋움"/>
        <family val="3"/>
        <charset val="129"/>
      </rPr>
      <t>선루프적용차종만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해당</t>
    </r>
    <r>
      <rPr>
        <sz val="10"/>
        <color theme="1"/>
        <rFont val="Arial"/>
        <family val="2"/>
      </rPr>
      <t xml:space="preserve">) &lt;EV/FCEV </t>
    </r>
    <r>
      <rPr>
        <sz val="10"/>
        <color theme="1"/>
        <rFont val="돋움"/>
        <family val="3"/>
        <charset val="129"/>
      </rPr>
      <t>外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차종</t>
    </r>
    <r>
      <rPr>
        <sz val="10"/>
        <color theme="1"/>
        <rFont val="Arial"/>
        <family val="2"/>
      </rPr>
      <t>&gt;</t>
    </r>
  </si>
  <si>
    <r>
      <rPr>
        <sz val="10"/>
        <color theme="1"/>
        <rFont val="돋움"/>
        <family val="2"/>
        <charset val="129"/>
      </rPr>
      <t>외기로직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돋움"/>
        <family val="2"/>
        <charset val="129"/>
      </rPr>
      <t>선루프</t>
    </r>
    <r>
      <rPr>
        <sz val="10"/>
        <color theme="1"/>
        <rFont val="Arial"/>
        <family val="2"/>
      </rPr>
      <t xml:space="preserve">) </t>
    </r>
    <r>
      <rPr>
        <sz val="10"/>
        <color theme="1"/>
        <rFont val="돋움"/>
        <family val="2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확인</t>
    </r>
    <phoneticPr fontId="9" type="noConversion"/>
  </si>
  <si>
    <r>
      <rPr>
        <sz val="10"/>
        <color theme="1"/>
        <rFont val="돋움"/>
        <family val="2"/>
        <charset val="129"/>
      </rPr>
      <t>결로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방지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로직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확인</t>
    </r>
    <phoneticPr fontId="9" type="noConversion"/>
  </si>
  <si>
    <r>
      <rPr>
        <sz val="10"/>
        <color theme="1"/>
        <rFont val="돋움"/>
        <family val="3"/>
        <charset val="129"/>
      </rPr>
      <t>자동환기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보조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시스템</t>
    </r>
    <r>
      <rPr>
        <sz val="10"/>
        <color theme="1"/>
        <rFont val="Arial"/>
        <family val="2"/>
      </rPr>
      <t xml:space="preserve"> (SMART VENTILATION)</t>
    </r>
  </si>
  <si>
    <r>
      <rPr>
        <sz val="10"/>
        <color theme="1"/>
        <rFont val="돋움"/>
        <family val="2"/>
        <charset val="129"/>
      </rPr>
      <t>자동환기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보조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시스템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로직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확인</t>
    </r>
    <r>
      <rPr>
        <sz val="10"/>
        <color theme="1"/>
        <rFont val="Arial"/>
        <family val="2"/>
      </rPr>
      <t xml:space="preserve"> (Non CO2 </t>
    </r>
    <r>
      <rPr>
        <sz val="10"/>
        <color theme="1"/>
        <rFont val="돋움"/>
        <family val="2"/>
        <charset val="129"/>
      </rPr>
      <t>사양</t>
    </r>
    <r>
      <rPr>
        <sz val="10"/>
        <color theme="1"/>
        <rFont val="Arial"/>
        <family val="2"/>
      </rPr>
      <t>)</t>
    </r>
    <phoneticPr fontId="9" type="noConversion"/>
  </si>
  <si>
    <r>
      <t xml:space="preserve">PTC </t>
    </r>
    <r>
      <rPr>
        <sz val="10"/>
        <color theme="1"/>
        <rFont val="돋움"/>
        <family val="3"/>
        <charset val="129"/>
      </rPr>
      <t>강제구동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로직</t>
    </r>
    <r>
      <rPr>
        <sz val="10"/>
        <color theme="1"/>
        <rFont val="Arial"/>
        <family val="2"/>
      </rPr>
      <t xml:space="preserve"> &lt;</t>
    </r>
    <r>
      <rPr>
        <sz val="10"/>
        <color theme="1"/>
        <rFont val="돋움"/>
        <family val="3"/>
        <charset val="129"/>
      </rPr>
      <t>전석에</t>
    </r>
    <r>
      <rPr>
        <sz val="10"/>
        <color theme="1"/>
        <rFont val="Arial"/>
        <family val="2"/>
      </rPr>
      <t xml:space="preserve"> PTC </t>
    </r>
    <r>
      <rPr>
        <sz val="10"/>
        <color theme="1"/>
        <rFont val="돋움"/>
        <family val="3"/>
        <charset val="129"/>
      </rPr>
      <t>적용사양</t>
    </r>
    <r>
      <rPr>
        <sz val="10"/>
        <color theme="1"/>
        <rFont val="Arial"/>
        <family val="2"/>
      </rPr>
      <t>&gt;</t>
    </r>
  </si>
  <si>
    <r>
      <t xml:space="preserve">PTC </t>
    </r>
    <r>
      <rPr>
        <sz val="10"/>
        <color theme="1"/>
        <rFont val="돋움"/>
        <family val="2"/>
        <charset val="129"/>
      </rPr>
      <t>강제구동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로직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확인</t>
    </r>
    <phoneticPr fontId="9" type="noConversion"/>
  </si>
  <si>
    <r>
      <t>DEF</t>
    </r>
    <r>
      <rPr>
        <sz val="10"/>
        <color theme="1"/>
        <rFont val="돋움"/>
        <family val="3"/>
        <charset val="129"/>
      </rPr>
      <t>시</t>
    </r>
    <r>
      <rPr>
        <sz val="10"/>
        <color theme="1"/>
        <rFont val="Arial"/>
        <family val="2"/>
      </rPr>
      <t xml:space="preserve"> TEMP </t>
    </r>
    <r>
      <rPr>
        <sz val="10"/>
        <color theme="1"/>
        <rFont val="돋움"/>
        <family val="3"/>
        <charset val="129"/>
      </rPr>
      <t>하한치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규제</t>
    </r>
    <r>
      <rPr>
        <sz val="10"/>
        <color theme="1"/>
        <rFont val="Arial"/>
        <family val="2"/>
      </rPr>
      <t xml:space="preserve"> &lt;EV </t>
    </r>
    <r>
      <rPr>
        <sz val="10"/>
        <color theme="1"/>
        <rFont val="돋움"/>
        <family val="3"/>
        <charset val="129"/>
      </rPr>
      <t>外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차종</t>
    </r>
    <r>
      <rPr>
        <sz val="10"/>
        <color theme="1"/>
        <rFont val="Arial"/>
        <family val="2"/>
      </rPr>
      <t>&gt;</t>
    </r>
    <phoneticPr fontId="9" type="noConversion"/>
  </si>
  <si>
    <r>
      <t>DEF</t>
    </r>
    <r>
      <rPr>
        <sz val="10"/>
        <color theme="1"/>
        <rFont val="돋움"/>
        <family val="2"/>
        <charset val="129"/>
      </rPr>
      <t>시</t>
    </r>
    <r>
      <rPr>
        <sz val="10"/>
        <color theme="1"/>
        <rFont val="Arial"/>
        <family val="2"/>
      </rPr>
      <t xml:space="preserve"> TEMP </t>
    </r>
    <r>
      <rPr>
        <sz val="10"/>
        <color theme="1"/>
        <rFont val="돋움"/>
        <family val="2"/>
        <charset val="129"/>
      </rPr>
      <t>하한치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규제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확인</t>
    </r>
    <phoneticPr fontId="9" type="noConversion"/>
  </si>
  <si>
    <r>
      <t xml:space="preserve">Floor </t>
    </r>
    <r>
      <rPr>
        <sz val="10"/>
        <color theme="1"/>
        <rFont val="돋움"/>
        <family val="3"/>
        <charset val="129"/>
      </rPr>
      <t>모드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시</t>
    </r>
    <r>
      <rPr>
        <sz val="10"/>
        <color theme="1"/>
        <rFont val="Arial"/>
        <family val="2"/>
      </rPr>
      <t xml:space="preserve"> DEF </t>
    </r>
    <r>
      <rPr>
        <sz val="10"/>
        <color theme="1"/>
        <rFont val="돋움"/>
        <family val="3"/>
        <charset val="129"/>
      </rPr>
      <t>토출방지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로직</t>
    </r>
    <phoneticPr fontId="9" type="noConversion"/>
  </si>
  <si>
    <r>
      <t xml:space="preserve">Floor </t>
    </r>
    <r>
      <rPr>
        <sz val="10"/>
        <color theme="1"/>
        <rFont val="돋움"/>
        <family val="2"/>
        <charset val="129"/>
      </rPr>
      <t>모드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시</t>
    </r>
    <r>
      <rPr>
        <sz val="10"/>
        <color theme="1"/>
        <rFont val="Arial"/>
        <family val="2"/>
      </rPr>
      <t xml:space="preserve"> DEF </t>
    </r>
    <r>
      <rPr>
        <sz val="10"/>
        <color theme="1"/>
        <rFont val="돋움"/>
        <family val="2"/>
        <charset val="129"/>
      </rPr>
      <t>토출방지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확인</t>
    </r>
    <phoneticPr fontId="9" type="noConversion"/>
  </si>
  <si>
    <r>
      <t xml:space="preserve">Quick Fog </t>
    </r>
    <r>
      <rPr>
        <sz val="10"/>
        <color theme="1"/>
        <rFont val="돋움"/>
        <family val="3"/>
        <charset val="129"/>
      </rPr>
      <t>방지로직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돋움"/>
        <family val="3"/>
        <charset val="129"/>
      </rPr>
      <t>전지역</t>
    </r>
    <r>
      <rPr>
        <sz val="10"/>
        <color theme="1"/>
        <rFont val="Arial"/>
        <family val="2"/>
      </rPr>
      <t>)</t>
    </r>
    <phoneticPr fontId="9" type="noConversion"/>
  </si>
  <si>
    <r>
      <t xml:space="preserve">Quick Fog </t>
    </r>
    <r>
      <rPr>
        <sz val="10"/>
        <color theme="1"/>
        <rFont val="돋움"/>
        <family val="2"/>
        <charset val="129"/>
      </rPr>
      <t>방지로직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확인</t>
    </r>
    <phoneticPr fontId="9" type="noConversion"/>
  </si>
  <si>
    <r>
      <rPr>
        <sz val="10"/>
        <color theme="1"/>
        <rFont val="돋움"/>
        <family val="3"/>
        <charset val="129"/>
      </rPr>
      <t>음성인식</t>
    </r>
    <r>
      <rPr>
        <sz val="10"/>
        <color theme="1"/>
        <rFont val="Arial"/>
        <family val="2"/>
      </rPr>
      <t>/</t>
    </r>
    <r>
      <rPr>
        <sz val="10"/>
        <color theme="1"/>
        <rFont val="돋움"/>
        <family val="3"/>
        <charset val="129"/>
      </rPr>
      <t>핸즈프리</t>
    </r>
    <r>
      <rPr>
        <sz val="10"/>
        <color theme="1"/>
        <rFont val="Arial"/>
        <family val="2"/>
      </rPr>
      <t xml:space="preserve">/TMU </t>
    </r>
    <r>
      <rPr>
        <sz val="10"/>
        <color theme="1"/>
        <rFont val="돋움"/>
        <family val="3"/>
        <charset val="129"/>
      </rPr>
      <t>연동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로직</t>
    </r>
    <r>
      <rPr>
        <sz val="10"/>
        <color theme="1"/>
        <rFont val="Arial"/>
        <family val="2"/>
      </rPr>
      <t xml:space="preserve"> (2</t>
    </r>
    <r>
      <rPr>
        <sz val="10"/>
        <color theme="1"/>
        <rFont val="돋움"/>
        <family val="3"/>
        <charset val="129"/>
      </rPr>
      <t>세대</t>
    </r>
    <r>
      <rPr>
        <sz val="10"/>
        <color theme="1"/>
        <rFont val="Arial"/>
        <family val="2"/>
      </rPr>
      <t xml:space="preserve"> CAN </t>
    </r>
    <r>
      <rPr>
        <sz val="10"/>
        <color theme="1"/>
        <rFont val="돋움"/>
        <family val="3"/>
        <charset val="129"/>
      </rPr>
      <t>기준</t>
    </r>
    <r>
      <rPr>
        <sz val="10"/>
        <color theme="1"/>
        <rFont val="Arial"/>
        <family val="2"/>
      </rPr>
      <t>) (</t>
    </r>
    <r>
      <rPr>
        <sz val="10"/>
        <color theme="1"/>
        <rFont val="돋움"/>
        <family val="3"/>
        <charset val="129"/>
      </rPr>
      <t>전지역</t>
    </r>
    <r>
      <rPr>
        <sz val="10"/>
        <color theme="1"/>
        <rFont val="Arial"/>
        <family val="2"/>
      </rPr>
      <t>)</t>
    </r>
  </si>
  <si>
    <r>
      <rPr>
        <sz val="10"/>
        <color theme="1"/>
        <rFont val="돋움"/>
        <family val="2"/>
        <charset val="129"/>
      </rPr>
      <t>음성인식</t>
    </r>
    <r>
      <rPr>
        <sz val="10"/>
        <color theme="1"/>
        <rFont val="Arial"/>
        <family val="2"/>
      </rPr>
      <t>/</t>
    </r>
    <r>
      <rPr>
        <sz val="10"/>
        <color theme="1"/>
        <rFont val="돋움"/>
        <family val="2"/>
        <charset val="129"/>
      </rPr>
      <t>핸즈프리</t>
    </r>
    <r>
      <rPr>
        <sz val="10"/>
        <color theme="1"/>
        <rFont val="Arial"/>
        <family val="2"/>
      </rPr>
      <t xml:space="preserve">/TMU </t>
    </r>
    <r>
      <rPr>
        <sz val="10"/>
        <color theme="1"/>
        <rFont val="돋움"/>
        <family val="2"/>
        <charset val="129"/>
      </rPr>
      <t>연동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로직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확인</t>
    </r>
    <phoneticPr fontId="9" type="noConversion"/>
  </si>
  <si>
    <r>
      <rPr>
        <sz val="10"/>
        <color theme="1"/>
        <rFont val="돋움"/>
        <family val="3"/>
        <charset val="129"/>
      </rPr>
      <t>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제어기에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의한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공조조작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신호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무시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로직</t>
    </r>
  </si>
  <si>
    <r>
      <rPr>
        <sz val="10"/>
        <color theme="1"/>
        <rFont val="돋움"/>
        <family val="2"/>
        <charset val="129"/>
      </rPr>
      <t>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제어기에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의한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공조조작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신호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무시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확인</t>
    </r>
    <phoneticPr fontId="9" type="noConversion"/>
  </si>
  <si>
    <r>
      <rPr>
        <sz val="10"/>
        <rFont val="맑은 고딕"/>
        <family val="2"/>
        <charset val="129"/>
      </rPr>
      <t>설정온도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표시부에</t>
    </r>
    <r>
      <rPr>
        <sz val="10"/>
        <rFont val="Arial"/>
        <family val="2"/>
      </rPr>
      <t xml:space="preserve"> OFF </t>
    </r>
    <r>
      <rPr>
        <sz val="10"/>
        <rFont val="맑은 고딕"/>
        <family val="2"/>
        <charset val="129"/>
      </rPr>
      <t>전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설정온도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기준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점</t>
    </r>
    <r>
      <rPr>
        <sz val="10"/>
        <rFont val="Arial"/>
        <family val="2"/>
      </rPr>
      <t>/</t>
    </r>
    <r>
      <rPr>
        <sz val="10"/>
        <rFont val="맑은 고딕"/>
        <family val="2"/>
        <charset val="129"/>
      </rPr>
      <t>소등</t>
    </r>
    <r>
      <rPr>
        <sz val="10"/>
        <rFont val="Arial"/>
        <family val="2"/>
      </rPr>
      <t xml:space="preserve"> 0.5sec </t>
    </r>
    <r>
      <rPr>
        <sz val="10"/>
        <rFont val="맑은 고딕"/>
        <family val="2"/>
        <charset val="129"/>
      </rPr>
      <t>간격으로</t>
    </r>
    <r>
      <rPr>
        <sz val="10"/>
        <rFont val="Arial"/>
        <family val="2"/>
      </rPr>
      <t xml:space="preserve"> 3</t>
    </r>
    <r>
      <rPr>
        <sz val="10"/>
        <rFont val="맑은 고딕"/>
        <family val="2"/>
        <charset val="129"/>
      </rPr>
      <t>회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동작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확인</t>
    </r>
    <phoneticPr fontId="9" type="noConversion"/>
  </si>
  <si>
    <r>
      <rPr>
        <sz val="10"/>
        <color theme="1"/>
        <rFont val="돋움"/>
        <family val="3"/>
        <charset val="129"/>
      </rPr>
      <t>외기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역류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유입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방지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로직</t>
    </r>
    <r>
      <rPr>
        <sz val="10"/>
        <color theme="1"/>
        <rFont val="Arial"/>
        <family val="2"/>
      </rPr>
      <t xml:space="preserve"> &lt;</t>
    </r>
    <r>
      <rPr>
        <sz val="10"/>
        <color theme="1"/>
        <rFont val="돋움"/>
        <family val="3"/>
        <charset val="129"/>
      </rPr>
      <t>스마트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인테이크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적용차종</t>
    </r>
    <r>
      <rPr>
        <sz val="10"/>
        <color theme="1"/>
        <rFont val="Arial"/>
        <family val="2"/>
      </rPr>
      <t xml:space="preserve"> Only&gt;</t>
    </r>
  </si>
  <si>
    <r>
      <rPr>
        <sz val="10"/>
        <color theme="1"/>
        <rFont val="돋움"/>
        <family val="2"/>
        <charset val="129"/>
      </rPr>
      <t>외기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역류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유입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방지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로직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확인</t>
    </r>
    <phoneticPr fontId="9" type="noConversion"/>
  </si>
  <si>
    <r>
      <rPr>
        <sz val="10"/>
        <color theme="1"/>
        <rFont val="돋움"/>
        <family val="3"/>
        <charset val="129"/>
      </rPr>
      <t>공조</t>
    </r>
    <r>
      <rPr>
        <sz val="10"/>
        <color theme="1"/>
        <rFont val="Arial"/>
        <family val="2"/>
      </rPr>
      <t>-</t>
    </r>
    <r>
      <rPr>
        <sz val="10"/>
        <color theme="1"/>
        <rFont val="돋움"/>
        <family val="3"/>
        <charset val="129"/>
      </rPr>
      <t>시트스티어링휠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연동제어</t>
    </r>
  </si>
  <si>
    <r>
      <rPr>
        <sz val="10"/>
        <color theme="1"/>
        <rFont val="돋움"/>
        <family val="2"/>
        <charset val="129"/>
      </rPr>
      <t>공조</t>
    </r>
    <r>
      <rPr>
        <sz val="10"/>
        <color theme="1"/>
        <rFont val="Arial"/>
        <family val="2"/>
      </rPr>
      <t>-</t>
    </r>
    <r>
      <rPr>
        <sz val="10"/>
        <color theme="1"/>
        <rFont val="돋움"/>
        <family val="2"/>
        <charset val="129"/>
      </rPr>
      <t>시트스티어링휠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연동제어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로직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확인</t>
    </r>
    <phoneticPr fontId="9" type="noConversion"/>
  </si>
  <si>
    <r>
      <t xml:space="preserve">PTG </t>
    </r>
    <r>
      <rPr>
        <sz val="10"/>
        <color theme="1"/>
        <rFont val="돋움"/>
        <family val="3"/>
        <charset val="129"/>
      </rPr>
      <t>연동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제어</t>
    </r>
  </si>
  <si>
    <r>
      <t xml:space="preserve">PTG </t>
    </r>
    <r>
      <rPr>
        <sz val="10"/>
        <color theme="1"/>
        <rFont val="돋움"/>
        <family val="2"/>
        <charset val="129"/>
      </rPr>
      <t>연동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제어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로직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확인</t>
    </r>
    <phoneticPr fontId="9" type="noConversion"/>
  </si>
  <si>
    <r>
      <rPr>
        <sz val="10"/>
        <color theme="1"/>
        <rFont val="돋움"/>
        <family val="3"/>
        <charset val="129"/>
      </rPr>
      <t>사용자</t>
    </r>
    <r>
      <rPr>
        <sz val="10"/>
        <color theme="1"/>
        <rFont val="Arial"/>
        <family val="2"/>
      </rPr>
      <t>Profile</t>
    </r>
  </si>
  <si>
    <r>
      <rPr>
        <sz val="10"/>
        <color theme="1"/>
        <rFont val="돋움"/>
        <family val="2"/>
        <charset val="129"/>
      </rPr>
      <t>사용자</t>
    </r>
    <r>
      <rPr>
        <sz val="10"/>
        <color theme="1"/>
        <rFont val="Arial"/>
        <family val="2"/>
      </rPr>
      <t xml:space="preserve">Profile </t>
    </r>
    <r>
      <rPr>
        <sz val="10"/>
        <color theme="1"/>
        <rFont val="돋움"/>
        <family val="2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확인</t>
    </r>
    <phoneticPr fontId="9" type="noConversion"/>
  </si>
  <si>
    <r>
      <rPr>
        <sz val="10"/>
        <color theme="1"/>
        <rFont val="돋움"/>
        <family val="3"/>
        <charset val="129"/>
      </rPr>
      <t>음성인식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공조연동</t>
    </r>
  </si>
  <si>
    <r>
      <rPr>
        <sz val="10"/>
        <color theme="1"/>
        <rFont val="돋움"/>
        <family val="2"/>
        <charset val="129"/>
      </rPr>
      <t>음성인식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공조연동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확인</t>
    </r>
    <phoneticPr fontId="9" type="noConversion"/>
  </si>
  <si>
    <r>
      <rPr>
        <sz val="10"/>
        <color theme="1"/>
        <rFont val="돋움"/>
        <family val="3"/>
        <charset val="129"/>
      </rPr>
      <t>에프터블로워</t>
    </r>
    <r>
      <rPr>
        <sz val="10"/>
        <color theme="1"/>
        <rFont val="Arial"/>
        <family val="2"/>
      </rPr>
      <t xml:space="preserve"> (PDC </t>
    </r>
    <r>
      <rPr>
        <sz val="10"/>
        <color theme="1"/>
        <rFont val="돋움"/>
        <family val="3"/>
        <charset val="129"/>
      </rPr>
      <t>적용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차종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사양</t>
    </r>
    <r>
      <rPr>
        <sz val="10"/>
        <color theme="1"/>
        <rFont val="Arial"/>
        <family val="2"/>
      </rPr>
      <t>)</t>
    </r>
    <phoneticPr fontId="9" type="noConversion"/>
  </si>
  <si>
    <r>
      <rPr>
        <sz val="10"/>
        <color theme="1"/>
        <rFont val="돋움"/>
        <family val="2"/>
        <charset val="129"/>
      </rPr>
      <t>에프터블로워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로직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확인</t>
    </r>
    <phoneticPr fontId="9" type="noConversion"/>
  </si>
  <si>
    <r>
      <t xml:space="preserve">AC </t>
    </r>
    <r>
      <rPr>
        <sz val="10"/>
        <color theme="1"/>
        <rFont val="돋움"/>
        <family val="3"/>
        <charset val="129"/>
      </rPr>
      <t>프리런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로직</t>
    </r>
  </si>
  <si>
    <r>
      <t xml:space="preserve">AC </t>
    </r>
    <r>
      <rPr>
        <sz val="10"/>
        <color theme="1"/>
        <rFont val="돋움"/>
        <family val="2"/>
        <charset val="129"/>
      </rPr>
      <t>프리런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로직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확인</t>
    </r>
    <phoneticPr fontId="9" type="noConversion"/>
  </si>
  <si>
    <r>
      <rPr>
        <sz val="10"/>
        <color theme="1"/>
        <rFont val="돋움"/>
        <family val="3"/>
        <charset val="129"/>
      </rPr>
      <t>냉매부족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검출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로직</t>
    </r>
  </si>
  <si>
    <r>
      <rPr>
        <sz val="10"/>
        <color theme="1"/>
        <rFont val="돋움"/>
        <family val="2"/>
        <charset val="129"/>
      </rPr>
      <t>냉매부족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검출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확인</t>
    </r>
    <phoneticPr fontId="9" type="noConversion"/>
  </si>
  <si>
    <r>
      <rPr>
        <sz val="10"/>
        <color theme="1"/>
        <rFont val="돋움"/>
        <family val="3"/>
        <charset val="129"/>
      </rPr>
      <t>세차모드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연동제어</t>
    </r>
  </si>
  <si>
    <r>
      <rPr>
        <sz val="10"/>
        <color theme="1"/>
        <rFont val="돋움"/>
        <family val="2"/>
        <charset val="129"/>
      </rPr>
      <t>세차모드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연동제어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확인</t>
    </r>
    <phoneticPr fontId="9" type="noConversion"/>
  </si>
  <si>
    <r>
      <t>blower=8</t>
    </r>
    <r>
      <rPr>
        <sz val="10"/>
        <rFont val="맑은 고딕"/>
        <family val="2"/>
        <charset val="129"/>
      </rPr>
      <t>단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수동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설정</t>
    </r>
    <phoneticPr fontId="9" type="noConversion"/>
  </si>
  <si>
    <t>T52.1</t>
    <phoneticPr fontId="4" type="noConversion"/>
  </si>
  <si>
    <t>P52.1</t>
    <phoneticPr fontId="4" type="noConversion"/>
  </si>
  <si>
    <t>T52.1.2</t>
    <phoneticPr fontId="4" type="noConversion"/>
  </si>
  <si>
    <t>T52.1.1</t>
    <phoneticPr fontId="4" type="noConversion"/>
  </si>
  <si>
    <t>T52.2.3</t>
    <phoneticPr fontId="4" type="noConversion"/>
  </si>
  <si>
    <r>
      <rPr>
        <sz val="10"/>
        <color theme="1"/>
        <rFont val="맑은 고딕"/>
        <family val="2"/>
        <charset val="129"/>
      </rPr>
      <t>워셔액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2"/>
        <charset val="129"/>
      </rPr>
      <t>로직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2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2"/>
        <charset val="129"/>
      </rPr>
      <t>확인</t>
    </r>
    <phoneticPr fontId="9" type="noConversion"/>
  </si>
  <si>
    <t>0-&gt;1-&gt;0</t>
    <phoneticPr fontId="9" type="noConversion"/>
  </si>
  <si>
    <t>T52.3.3</t>
    <phoneticPr fontId="4" type="noConversion"/>
  </si>
  <si>
    <t>T52.2.4</t>
    <phoneticPr fontId="4" type="noConversion"/>
  </si>
  <si>
    <t>내기 제어 시작 60초 후 외기로 복귀 확인</t>
    <phoneticPr fontId="9" type="noConversion"/>
  </si>
  <si>
    <t>T53.1.3</t>
    <phoneticPr fontId="4" type="noConversion"/>
  </si>
  <si>
    <t>T53.1.3</t>
    <phoneticPr fontId="9" type="noConversion"/>
  </si>
  <si>
    <t>T53.1.1</t>
    <phoneticPr fontId="4" type="noConversion"/>
  </si>
  <si>
    <r>
      <rPr>
        <sz val="10"/>
        <rFont val="맑은 고딕"/>
        <family val="3"/>
        <charset val="129"/>
      </rPr>
      <t>설정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온도</t>
    </r>
    <r>
      <rPr>
        <sz val="10"/>
        <rFont val="Arial"/>
        <family val="2"/>
      </rPr>
      <t xml:space="preserve">=Hi, AUTO ON (SYNC ON) </t>
    </r>
    <r>
      <rPr>
        <sz val="10"/>
        <rFont val="맑은 고딕"/>
        <family val="3"/>
        <charset val="129"/>
      </rPr>
      <t>선택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상태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설정</t>
    </r>
    <phoneticPr fontId="9" type="noConversion"/>
  </si>
  <si>
    <t>T54.1.6</t>
  </si>
  <si>
    <t>T54.1.6</t>
    <phoneticPr fontId="10" type="noConversion"/>
  </si>
  <si>
    <t>T54.1.7</t>
  </si>
  <si>
    <t>T54.1.7</t>
    <phoneticPr fontId="10" type="noConversion"/>
  </si>
  <si>
    <t>T54.1.8</t>
  </si>
  <si>
    <t>T54.1.8</t>
    <phoneticPr fontId="10" type="noConversion"/>
  </si>
  <si>
    <r>
      <rPr>
        <sz val="10"/>
        <rFont val="맑은 고딕"/>
        <family val="3"/>
        <charset val="129"/>
      </rPr>
      <t>설정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온도</t>
    </r>
    <r>
      <rPr>
        <sz val="10"/>
        <rFont val="Arial"/>
        <family val="2"/>
      </rPr>
      <t xml:space="preserve">=Lo </t>
    </r>
    <r>
      <rPr>
        <sz val="10"/>
        <rFont val="맑은 고딕"/>
        <family val="3"/>
        <charset val="129"/>
      </rPr>
      <t>설정</t>
    </r>
    <phoneticPr fontId="9" type="noConversion"/>
  </si>
  <si>
    <t>IGN1,2_Off_to_On</t>
    <phoneticPr fontId="4" type="noConversion"/>
  </si>
  <si>
    <r>
      <t xml:space="preserve">Pre-condition check. (Guest </t>
    </r>
    <r>
      <rPr>
        <sz val="11"/>
        <rFont val="맑은 고딕"/>
        <family val="2"/>
        <charset val="129"/>
      </rPr>
      <t>사용자</t>
    </r>
    <r>
      <rPr>
        <sz val="11"/>
        <rFont val="Arial"/>
        <family val="2"/>
      </rPr>
      <t>Profile</t>
    </r>
    <r>
      <rPr>
        <sz val="11"/>
        <rFont val="맑은 고딕"/>
        <family val="2"/>
        <charset val="129"/>
      </rPr>
      <t>정보</t>
    </r>
    <r>
      <rPr>
        <sz val="11"/>
        <rFont val="Arial"/>
        <family val="2"/>
      </rPr>
      <t xml:space="preserve"> </t>
    </r>
    <r>
      <rPr>
        <sz val="11"/>
        <rFont val="맑은 고딕"/>
        <family val="2"/>
        <charset val="129"/>
      </rPr>
      <t>저장)</t>
    </r>
    <phoneticPr fontId="4" type="noConversion"/>
  </si>
  <si>
    <r>
      <rPr>
        <sz val="10"/>
        <rFont val="Arial"/>
        <family val="2"/>
      </rPr>
      <t>Blower=1</t>
    </r>
    <r>
      <rPr>
        <sz val="10"/>
        <rFont val="맑은 고딕"/>
        <family val="2"/>
        <charset val="129"/>
      </rPr>
      <t>단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수동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설정</t>
    </r>
    <phoneticPr fontId="9" type="noConversion"/>
  </si>
  <si>
    <t>T58.1.4</t>
    <phoneticPr fontId="10" type="noConversion"/>
  </si>
  <si>
    <t>T58.1.5</t>
    <phoneticPr fontId="10" type="noConversion"/>
  </si>
  <si>
    <t>T58.1.6</t>
    <phoneticPr fontId="10" type="noConversion"/>
  </si>
  <si>
    <t>미세먼지 제거로직 동작 확인</t>
    <phoneticPr fontId="9" type="noConversion"/>
  </si>
  <si>
    <r>
      <t xml:space="preserve">ENG_AirCompRlySta=1 &amp; Comp On </t>
    </r>
    <r>
      <rPr>
        <sz val="11"/>
        <rFont val="돋움"/>
        <family val="3"/>
        <charset val="129"/>
      </rPr>
      <t>시점부터</t>
    </r>
    <r>
      <rPr>
        <sz val="11"/>
        <rFont val="Arial"/>
        <family val="2"/>
      </rPr>
      <t xml:space="preserve"> 60</t>
    </r>
    <r>
      <rPr>
        <sz val="11"/>
        <rFont val="돋움"/>
        <family val="3"/>
        <charset val="129"/>
      </rPr>
      <t>초</t>
    </r>
    <r>
      <rPr>
        <sz val="11"/>
        <rFont val="Arial"/>
        <family val="2"/>
      </rPr>
      <t xml:space="preserve"> </t>
    </r>
    <r>
      <rPr>
        <sz val="11"/>
        <rFont val="돋움"/>
        <family val="3"/>
        <charset val="129"/>
      </rPr>
      <t>뒤</t>
    </r>
    <r>
      <rPr>
        <sz val="11"/>
        <rFont val="Arial"/>
        <family val="2"/>
      </rPr>
      <t xml:space="preserve"> Comp rpm On </t>
    </r>
    <r>
      <rPr>
        <sz val="11"/>
        <rFont val="맑은 고딕"/>
        <family val="2"/>
        <charset val="129"/>
      </rPr>
      <t>동작</t>
    </r>
    <r>
      <rPr>
        <sz val="11"/>
        <rFont val="Arial"/>
        <family val="2"/>
      </rPr>
      <t xml:space="preserve"> </t>
    </r>
    <r>
      <rPr>
        <sz val="11"/>
        <rFont val="돋움"/>
        <family val="3"/>
        <charset val="129"/>
      </rPr>
      <t>확인</t>
    </r>
    <r>
      <rPr>
        <sz val="11"/>
        <rFont val="Arial"/>
        <family val="2"/>
      </rPr>
      <t xml:space="preserve"> </t>
    </r>
    <r>
      <rPr>
        <sz val="11"/>
        <rFont val="돋움"/>
        <family val="3"/>
        <charset val="129"/>
      </rPr>
      <t>할</t>
    </r>
    <r>
      <rPr>
        <sz val="11"/>
        <rFont val="Arial"/>
        <family val="2"/>
      </rPr>
      <t xml:space="preserve"> </t>
    </r>
    <r>
      <rPr>
        <sz val="11"/>
        <rFont val="돋움"/>
        <family val="3"/>
        <charset val="129"/>
      </rPr>
      <t>것</t>
    </r>
    <phoneticPr fontId="4" type="noConversion"/>
  </si>
  <si>
    <r>
      <t xml:space="preserve"> =&gt; </t>
    </r>
    <r>
      <rPr>
        <sz val="11"/>
        <color rgb="FFFF0000"/>
        <rFont val="맑은 고딕"/>
        <family val="2"/>
        <charset val="129"/>
      </rPr>
      <t>차종에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따라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다릅니다</t>
    </r>
    <r>
      <rPr>
        <sz val="11"/>
        <color rgb="FFFF0000"/>
        <rFont val="Arial"/>
        <family val="2"/>
      </rPr>
      <t xml:space="preserve">. </t>
    </r>
    <r>
      <rPr>
        <sz val="11"/>
        <color rgb="FFFF0000"/>
        <rFont val="맑은 고딕"/>
        <family val="2"/>
        <charset val="129"/>
      </rPr>
      <t>기존에</t>
    </r>
    <r>
      <rPr>
        <sz val="11"/>
        <color rgb="FFFF0000"/>
        <rFont val="Arial"/>
        <family val="2"/>
      </rPr>
      <t xml:space="preserve"> Blower 1</t>
    </r>
    <r>
      <rPr>
        <sz val="11"/>
        <color rgb="FFFF0000"/>
        <rFont val="맑은 고딕"/>
        <family val="2"/>
        <charset val="129"/>
      </rPr>
      <t>단에서</t>
    </r>
    <r>
      <rPr>
        <sz val="11"/>
        <color rgb="FFFF0000"/>
        <rFont val="Arial"/>
        <family val="2"/>
      </rPr>
      <t xml:space="preserve"> Blower Dn </t>
    </r>
    <r>
      <rPr>
        <sz val="11"/>
        <color rgb="FFFF0000"/>
        <rFont val="맑은 고딕"/>
        <family val="2"/>
        <charset val="129"/>
      </rPr>
      <t>버튼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또는</t>
    </r>
    <r>
      <rPr>
        <sz val="11"/>
        <color rgb="FFFF0000"/>
        <rFont val="Arial"/>
        <family val="2"/>
      </rPr>
      <t xml:space="preserve"> LongKey</t>
    </r>
    <r>
      <rPr>
        <sz val="11"/>
        <color rgb="FFFF0000"/>
        <rFont val="맑은 고딕"/>
        <family val="2"/>
        <charset val="129"/>
      </rPr>
      <t>로</t>
    </r>
    <r>
      <rPr>
        <sz val="11"/>
        <color rgb="FFFF0000"/>
        <rFont val="Arial"/>
        <family val="2"/>
      </rPr>
      <t xml:space="preserve"> System Off </t>
    </r>
    <r>
      <rPr>
        <sz val="11"/>
        <color rgb="FFFF0000"/>
        <rFont val="맑은 고딕"/>
        <family val="2"/>
        <charset val="129"/>
      </rPr>
      <t>되는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차종이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있었기 때문에 포괄적으로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사용할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수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있도록</t>
    </r>
    <r>
      <rPr>
        <sz val="11"/>
        <color rgb="FFFF0000"/>
        <rFont val="Arial"/>
        <family val="2"/>
      </rPr>
      <t xml:space="preserve"> Input </t>
    </r>
    <r>
      <rPr>
        <sz val="11"/>
        <color rgb="FFFF0000"/>
        <rFont val="맑은 고딕"/>
        <family val="2"/>
        <charset val="129"/>
      </rPr>
      <t>값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변경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하였습니다</t>
    </r>
    <r>
      <rPr>
        <sz val="11"/>
        <color rgb="FFFF0000"/>
        <rFont val="Arial"/>
        <family val="2"/>
      </rPr>
      <t>.</t>
    </r>
    <phoneticPr fontId="4" type="noConversion"/>
  </si>
  <si>
    <t>에바타겟 확인할 수 없는 경우에는, 해당 테스트 수행 못함</t>
  </si>
  <si>
    <t>DATC_AcnCompTyp</t>
    <phoneticPr fontId="4" type="noConversion"/>
  </si>
  <si>
    <t>0x0:Internal Compressor/0x1:External Compressor with Comp clutch/0x2:External Compressor without Comp clutch/0x3:Fixed Compressor/0x4:electrical Compressor/0x6:Not used/0x7:Error Indicator</t>
    <phoneticPr fontId="4" type="noConversion"/>
  </si>
  <si>
    <r>
      <rPr>
        <sz val="11"/>
        <color rgb="FFFF0000"/>
        <rFont val="맑은 고딕"/>
        <family val="2"/>
        <charset val="129"/>
      </rPr>
      <t xml:space="preserve"> =&gt; 아래 </t>
    </r>
    <r>
      <rPr>
        <sz val="11"/>
        <color rgb="FFFF0000"/>
        <rFont val="Arial"/>
        <family val="2"/>
      </rPr>
      <t xml:space="preserve">Value Table </t>
    </r>
    <r>
      <rPr>
        <sz val="11"/>
        <color rgb="FFFF0000"/>
        <rFont val="맑은 고딕"/>
        <family val="2"/>
        <charset val="129"/>
      </rPr>
      <t xml:space="preserve">참고하여 </t>
    </r>
    <r>
      <rPr>
        <sz val="11"/>
        <color rgb="FFFF0000"/>
        <rFont val="Arial"/>
        <family val="2"/>
      </rPr>
      <t xml:space="preserve">Comp </t>
    </r>
    <r>
      <rPr>
        <sz val="11"/>
        <color rgb="FFFF0000"/>
        <rFont val="맑은 고딕"/>
        <family val="2"/>
        <charset val="129"/>
      </rPr>
      <t>타입 별 값 확인 필요</t>
    </r>
    <phoneticPr fontId="4" type="noConversion"/>
  </si>
  <si>
    <r>
      <t>comp type</t>
    </r>
    <r>
      <rPr>
        <sz val="11"/>
        <color rgb="FF00B050"/>
        <rFont val="맑은 고딕"/>
        <family val="2"/>
        <charset val="129"/>
      </rPr>
      <t>마다</t>
    </r>
    <r>
      <rPr>
        <sz val="11"/>
        <color rgb="FF00B050"/>
        <rFont val="Arial"/>
        <family val="2"/>
      </rPr>
      <t xml:space="preserve"> </t>
    </r>
    <r>
      <rPr>
        <sz val="11"/>
        <color rgb="FF00B050"/>
        <rFont val="맑은 고딕"/>
        <family val="2"/>
        <charset val="129"/>
      </rPr>
      <t>송부</t>
    </r>
    <r>
      <rPr>
        <sz val="11"/>
        <color rgb="FF00B050"/>
        <rFont val="Arial"/>
        <family val="2"/>
      </rPr>
      <t xml:space="preserve"> </t>
    </r>
    <r>
      <rPr>
        <sz val="11"/>
        <color rgb="FF00B050"/>
        <rFont val="맑은 고딕"/>
        <family val="2"/>
        <charset val="129"/>
      </rPr>
      <t>값이</t>
    </r>
    <r>
      <rPr>
        <sz val="11"/>
        <color rgb="FF00B050"/>
        <rFont val="Arial"/>
        <family val="2"/>
      </rPr>
      <t xml:space="preserve"> </t>
    </r>
    <r>
      <rPr>
        <sz val="11"/>
        <color rgb="FF00B050"/>
        <rFont val="맑은 고딕"/>
        <family val="2"/>
        <charset val="129"/>
      </rPr>
      <t>다름</t>
    </r>
    <phoneticPr fontId="4" type="noConversion"/>
  </si>
  <si>
    <r>
      <t>해당</t>
    </r>
    <r>
      <rPr>
        <sz val="11"/>
        <color rgb="FF00B050"/>
        <rFont val="Arial"/>
        <family val="2"/>
      </rPr>
      <t xml:space="preserve"> </t>
    </r>
    <r>
      <rPr>
        <sz val="11"/>
        <color rgb="FF00B050"/>
        <rFont val="돋움"/>
        <family val="3"/>
        <charset val="129"/>
      </rPr>
      <t>사양</t>
    </r>
    <r>
      <rPr>
        <sz val="11"/>
        <color rgb="FF00B050"/>
        <rFont val="Arial"/>
        <family val="2"/>
      </rPr>
      <t xml:space="preserve"> </t>
    </r>
    <r>
      <rPr>
        <sz val="11"/>
        <color rgb="FF00B050"/>
        <rFont val="돋움"/>
        <family val="3"/>
        <charset val="129"/>
      </rPr>
      <t>테스트하기</t>
    </r>
    <r>
      <rPr>
        <sz val="11"/>
        <color rgb="FF00B050"/>
        <rFont val="Arial"/>
        <family val="2"/>
      </rPr>
      <t xml:space="preserve"> </t>
    </r>
    <r>
      <rPr>
        <sz val="11"/>
        <color rgb="FF00B050"/>
        <rFont val="돋움"/>
        <family val="3"/>
        <charset val="129"/>
      </rPr>
      <t>애매함</t>
    </r>
  </si>
  <si>
    <r>
      <t xml:space="preserve"> =&gt; 검증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"/>
        <family val="2"/>
        <charset val="129"/>
      </rPr>
      <t>환경에서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"/>
        <family val="2"/>
        <charset val="129"/>
      </rPr>
      <t>에바타겟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"/>
        <family val="2"/>
        <charset val="129"/>
      </rPr>
      <t>확인할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"/>
        <family val="2"/>
        <charset val="129"/>
      </rPr>
      <t>수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"/>
        <family val="2"/>
        <charset val="129"/>
      </rPr>
      <t>있는지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"/>
        <family val="2"/>
        <charset val="129"/>
      </rPr>
      <t>확인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"/>
        <family val="2"/>
        <charset val="129"/>
      </rPr>
      <t>필요</t>
    </r>
  </si>
  <si>
    <r>
      <t xml:space="preserve"> =&gt; RPM </t>
    </r>
    <r>
      <rPr>
        <sz val="11"/>
        <color rgb="FFFF0000"/>
        <rFont val="돋움"/>
        <family val="3"/>
        <charset val="129"/>
      </rPr>
      <t>연산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돋움"/>
        <family val="3"/>
        <charset val="129"/>
      </rPr>
      <t>값으로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돋움"/>
        <family val="3"/>
        <charset val="129"/>
      </rPr>
      <t>확인할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돋움"/>
        <family val="3"/>
        <charset val="129"/>
      </rPr>
      <t>것인지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돋움"/>
        <family val="3"/>
        <charset val="129"/>
      </rPr>
      <t>테스트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돋움"/>
        <family val="3"/>
        <charset val="129"/>
      </rPr>
      <t>항목에서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돋움"/>
        <family val="3"/>
        <charset val="129"/>
      </rPr>
      <t>제외할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돋움"/>
        <family val="3"/>
        <charset val="129"/>
      </rPr>
      <t>것인지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돋움"/>
        <family val="3"/>
        <charset val="129"/>
      </rPr>
      <t>확인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돋움"/>
        <family val="3"/>
        <charset val="129"/>
      </rPr>
      <t>필요</t>
    </r>
  </si>
  <si>
    <t>온도가 완전히 도달할때까지 대기</t>
    <phoneticPr fontId="4" type="noConversion"/>
  </si>
  <si>
    <t>BL</t>
    <phoneticPr fontId="9" type="noConversion"/>
  </si>
  <si>
    <t>설정 온도 22 degC, AUTO ON (SYNC ON) 선택 상태 설정</t>
  </si>
  <si>
    <t>T36.1.1</t>
    <phoneticPr fontId="9" type="noConversion"/>
  </si>
  <si>
    <t>T36.1.2</t>
    <phoneticPr fontId="9" type="noConversion"/>
  </si>
  <si>
    <t>T36.1.1</t>
    <phoneticPr fontId="4" type="noConversion"/>
  </si>
  <si>
    <t>T36.1.2</t>
    <phoneticPr fontId="4" type="noConversion"/>
  </si>
  <si>
    <t>T36.1.3</t>
    <phoneticPr fontId="4" type="noConversion"/>
  </si>
  <si>
    <t>T36.1.4</t>
    <phoneticPr fontId="4" type="noConversion"/>
  </si>
  <si>
    <r>
      <t>IGN OFF -&gt; ON 한</t>
    </r>
    <r>
      <rPr>
        <sz val="11"/>
        <color rgb="FF00B050"/>
        <rFont val="맑은 고딕"/>
        <family val="2"/>
        <charset val="129"/>
      </rPr>
      <t xml:space="preserve"> step으로 합쳐도 될 듯 합니다</t>
    </r>
    <phoneticPr fontId="4" type="noConversion"/>
  </si>
  <si>
    <r>
      <t xml:space="preserve"> =&gt; </t>
    </r>
    <r>
      <rPr>
        <sz val="11"/>
        <color rgb="FFFF0000"/>
        <rFont val="맑은 고딕"/>
        <family val="2"/>
        <charset val="129"/>
      </rPr>
      <t xml:space="preserve">처음 검증자 관점으로 생각했을때, IGN Off to On 시에는 Act'r가 해당 타겟까지 가지못하고 FloorPurge 동작 중에도 타겟까지 이동하게 됩니다. 이에 IGN OFF-&gt;ON 시 순수하게 동작을 확인 할 수 있도록 </t>
    </r>
    <r>
      <rPr>
        <sz val="11"/>
        <color rgb="FFFF0000"/>
        <rFont val="Arial"/>
        <family val="2"/>
      </rPr>
      <t xml:space="preserve">IGN OFF </t>
    </r>
    <r>
      <rPr>
        <sz val="11"/>
        <color rgb="FFFF0000"/>
        <rFont val="맑은 고딕"/>
        <family val="2"/>
        <charset val="129"/>
      </rPr>
      <t xml:space="preserve">후 </t>
    </r>
    <r>
      <rPr>
        <sz val="11"/>
        <color rgb="FFFF0000"/>
        <rFont val="Arial"/>
        <family val="2"/>
      </rPr>
      <t>Act'r</t>
    </r>
    <r>
      <rPr>
        <sz val="11"/>
        <color rgb="FFFF0000"/>
        <rFont val="맑은 고딕"/>
        <family val="2"/>
        <charset val="129"/>
      </rPr>
      <t xml:space="preserve">를 100% </t>
    </r>
    <r>
      <rPr>
        <sz val="11"/>
        <color rgb="FFFF0000"/>
        <rFont val="Arial"/>
        <family val="2"/>
      </rPr>
      <t xml:space="preserve">Floor </t>
    </r>
    <r>
      <rPr>
        <sz val="11"/>
        <color rgb="FFFF0000"/>
        <rFont val="맑은 고딕"/>
        <family val="2"/>
        <charset val="129"/>
      </rPr>
      <t xml:space="preserve">위치로 보낸 뒤 </t>
    </r>
    <r>
      <rPr>
        <sz val="11"/>
        <color rgb="FFFF0000"/>
        <rFont val="Arial"/>
        <family val="2"/>
      </rPr>
      <t xml:space="preserve">IGN ON </t>
    </r>
    <r>
      <rPr>
        <sz val="11"/>
        <color rgb="FFFF0000"/>
        <rFont val="맑은 고딕"/>
        <family val="2"/>
        <charset val="129"/>
      </rPr>
      <t xml:space="preserve">하면 </t>
    </r>
    <r>
      <rPr>
        <sz val="11"/>
        <color rgb="FFFF0000"/>
        <rFont val="Arial"/>
        <family val="2"/>
      </rPr>
      <t>Act'r</t>
    </r>
    <r>
      <rPr>
        <sz val="11"/>
        <color rgb="FFFF0000"/>
        <rFont val="맑은 고딕"/>
        <family val="2"/>
        <charset val="129"/>
      </rPr>
      <t xml:space="preserve">가 100% </t>
    </r>
    <r>
      <rPr>
        <sz val="11"/>
        <color rgb="FFFF0000"/>
        <rFont val="Arial"/>
        <family val="2"/>
      </rPr>
      <t xml:space="preserve">Floor </t>
    </r>
    <r>
      <rPr>
        <sz val="11"/>
        <color rgb="FFFF0000"/>
        <rFont val="맑은 고딕"/>
        <family val="2"/>
        <charset val="129"/>
      </rPr>
      <t>타겟에서 변화없이 확인 가능할 것으로 생각됩니다.</t>
    </r>
    <phoneticPr fontId="4" type="noConversion"/>
  </si>
  <si>
    <r>
      <rPr>
        <sz val="10"/>
        <rFont val="맑은 고딕"/>
        <family val="3"/>
        <charset val="129"/>
      </rPr>
      <t>설정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온도</t>
    </r>
    <r>
      <rPr>
        <sz val="10"/>
        <rFont val="Arial"/>
        <family val="2"/>
      </rPr>
      <t>=</t>
    </r>
    <r>
      <rPr>
        <sz val="10"/>
        <rFont val="맑은 고딕"/>
        <family val="3"/>
        <charset val="129"/>
      </rPr>
      <t>L</t>
    </r>
    <r>
      <rPr>
        <sz val="10"/>
        <rFont val="Arial"/>
        <family val="2"/>
      </rPr>
      <t xml:space="preserve">o, AUTO ON (SYNC ON) </t>
    </r>
    <r>
      <rPr>
        <sz val="10"/>
        <rFont val="맑은 고딕"/>
        <family val="3"/>
        <charset val="129"/>
      </rPr>
      <t>선택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상태</t>
    </r>
    <r>
      <rPr>
        <sz val="10"/>
        <rFont val="Arial"/>
        <family val="2"/>
      </rPr>
      <t>, Mode=Vent, Intake=REC, Blower=1</t>
    </r>
    <r>
      <rPr>
        <sz val="10"/>
        <rFont val="맑은 고딕"/>
        <family val="3"/>
        <charset val="129"/>
      </rPr>
      <t>단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수동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설정</t>
    </r>
    <phoneticPr fontId="9" type="noConversion"/>
  </si>
  <si>
    <t>T38.1.4</t>
    <phoneticPr fontId="9" type="noConversion"/>
  </si>
  <si>
    <t>T38.1.1</t>
    <phoneticPr fontId="9" type="noConversion"/>
  </si>
  <si>
    <t>T38.1.1</t>
    <phoneticPr fontId="10" type="noConversion"/>
  </si>
  <si>
    <t>센서 값 기입 불필요 + TempDispF 값 확인 필요 (현재 ℃/℉ 제어상태와 무관하게 설정온도에 해당하는 값 송부 필요)</t>
    <phoneticPr fontId="4" type="noConversion"/>
  </si>
  <si>
    <r>
      <t xml:space="preserve">IGN1,2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BAT</t>
    </r>
    <r>
      <rPr>
        <sz val="10"/>
        <rFont val="Arial Unicode MS"/>
        <family val="2"/>
        <charset val="129"/>
      </rPr>
      <t>까지</t>
    </r>
    <r>
      <rPr>
        <sz val="10"/>
        <rFont val="Arial"/>
        <family val="2"/>
      </rPr>
      <t xml:space="preserve"> Off </t>
    </r>
    <r>
      <rPr>
        <sz val="10"/>
        <rFont val="Arial Unicode MS"/>
        <family val="2"/>
        <charset val="129"/>
      </rPr>
      <t>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뒤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다시</t>
    </r>
    <r>
      <rPr>
        <sz val="10"/>
        <rFont val="Arial"/>
        <family val="2"/>
      </rPr>
      <t xml:space="preserve"> BAT</t>
    </r>
    <r>
      <rPr>
        <sz val="10"/>
        <rFont val="Arial Unicode MS"/>
        <family val="2"/>
        <charset val="129"/>
      </rPr>
      <t>와</t>
    </r>
    <r>
      <rPr>
        <sz val="10"/>
        <rFont val="Arial"/>
        <family val="2"/>
      </rPr>
      <t xml:space="preserve"> IGN1,2 On </t>
    </r>
    <r>
      <rPr>
        <sz val="10"/>
        <rFont val="Arial Unicode MS"/>
        <family val="2"/>
        <charset val="129"/>
      </rPr>
      <t>수행</t>
    </r>
    <r>
      <rPr>
        <sz val="10"/>
        <rFont val="Arial"/>
        <family val="2"/>
      </rPr>
      <t xml:space="preserve">
 : </t>
    </r>
    <r>
      <rPr>
        <sz val="10"/>
        <color rgb="FFFF0000"/>
        <rFont val="Arial"/>
        <family val="2"/>
      </rPr>
      <t>IGN1,2 Off -&gt; BAT Off -&gt; BAT On -&gt; IGN1,2 On</t>
    </r>
    <phoneticPr fontId="9" type="noConversion"/>
  </si>
  <si>
    <r>
      <t xml:space="preserve"> =&gt; TempDispF </t>
    </r>
    <r>
      <rPr>
        <sz val="11"/>
        <color rgb="FFFF0000"/>
        <rFont val="맑은 고딕"/>
        <family val="2"/>
        <charset val="129"/>
      </rPr>
      <t>값은</t>
    </r>
    <r>
      <rPr>
        <sz val="11"/>
        <color rgb="FFFF0000"/>
        <rFont val="Arial"/>
        <family val="2"/>
      </rPr>
      <t xml:space="preserve"> Master </t>
    </r>
    <r>
      <rPr>
        <sz val="11"/>
        <color rgb="FFFF0000"/>
        <rFont val="맑은 고딕"/>
        <family val="2"/>
        <charset val="129"/>
      </rPr>
      <t>사양 기준 &lt;</t>
    </r>
    <r>
      <rPr>
        <sz val="11"/>
        <color rgb="FFFF0000"/>
        <rFont val="Arial"/>
        <family val="2"/>
      </rPr>
      <t>2</t>
    </r>
    <r>
      <rPr>
        <sz val="11"/>
        <color rgb="FFFF0000"/>
        <rFont val="맑은 고딕"/>
        <family val="2"/>
        <charset val="129"/>
      </rPr>
      <t>세대, P_CAN용&gt;, &lt;1세대, C_CAN용&gt; 두가지 버전 모두 선택하여 사용할 수 있도록 Table Sheet에 적용하였습니다. 현재는 &lt;2세대, P_CAN용&gt;용으로 적용한 상태입니다.</t>
    </r>
    <phoneticPr fontId="4" type="noConversion"/>
  </si>
  <si>
    <t>T42.2.3</t>
    <phoneticPr fontId="9" type="noConversion"/>
  </si>
  <si>
    <t>T42.2.2</t>
    <phoneticPr fontId="9" type="noConversion"/>
  </si>
  <si>
    <t>T42.2.2</t>
    <phoneticPr fontId="4" type="noConversion"/>
  </si>
  <si>
    <t>센서 값 기입 불필요 + glass temp 입력 값 확인 부탁드립니다 + system off 상태인데 mode disp 표시하는 사양으로 되어있음 (위의 tc 내용과 상이함)</t>
    <phoneticPr fontId="4" type="noConversion"/>
  </si>
  <si>
    <r>
      <t xml:space="preserve"> =&gt; </t>
    </r>
    <r>
      <rPr>
        <sz val="11"/>
        <color rgb="FFFF0000"/>
        <rFont val="맑은 고딕"/>
        <family val="2"/>
        <charset val="129"/>
      </rPr>
      <t>사양에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 xml:space="preserve">따라 </t>
    </r>
    <r>
      <rPr>
        <sz val="11"/>
        <color rgb="FFFF0000"/>
        <rFont val="Arial"/>
        <family val="2"/>
      </rPr>
      <t xml:space="preserve">SystemOff </t>
    </r>
    <r>
      <rPr>
        <sz val="11"/>
        <color rgb="FFFF0000"/>
        <rFont val="맑은 고딕"/>
        <family val="2"/>
        <charset val="129"/>
      </rPr>
      <t xml:space="preserve">시 </t>
    </r>
    <r>
      <rPr>
        <sz val="11"/>
        <color rgb="FFFF0000"/>
        <rFont val="Arial"/>
        <family val="2"/>
      </rPr>
      <t xml:space="preserve">ModeDisp On/Off </t>
    </r>
    <r>
      <rPr>
        <sz val="11"/>
        <color rgb="FFFF0000"/>
        <rFont val="맑은 고딕"/>
        <family val="2"/>
        <charset val="129"/>
      </rPr>
      <t xml:space="preserve">동작을 선택하여 적용할 수 있도록 </t>
    </r>
    <r>
      <rPr>
        <sz val="11"/>
        <color rgb="FFFF0000"/>
        <rFont val="Arial"/>
        <family val="2"/>
      </rPr>
      <t>table</t>
    </r>
    <r>
      <rPr>
        <sz val="11"/>
        <color rgb="FFFF0000"/>
        <rFont val="맑은 고딕"/>
        <family val="2"/>
        <charset val="129"/>
      </rPr>
      <t>에 추가하였습니다.</t>
    </r>
    <phoneticPr fontId="4" type="noConversion"/>
  </si>
  <si>
    <r>
      <t xml:space="preserve">VENT BLEED </t>
    </r>
    <r>
      <rPr>
        <sz val="10"/>
        <color theme="1"/>
        <rFont val="돋움"/>
        <family val="3"/>
        <charset val="129"/>
      </rPr>
      <t>제어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돋움"/>
        <family val="3"/>
        <charset val="129"/>
      </rPr>
      <t>전지역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적용</t>
    </r>
    <r>
      <rPr>
        <sz val="10"/>
        <color theme="1"/>
        <rFont val="Arial"/>
        <family val="2"/>
      </rPr>
      <t xml:space="preserve">) </t>
    </r>
    <r>
      <rPr>
        <sz val="10"/>
        <color theme="1"/>
        <rFont val="돋움"/>
        <family val="3"/>
        <charset val="129"/>
      </rPr>
      <t>※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유럽사양</t>
    </r>
    <r>
      <rPr>
        <sz val="10"/>
        <color theme="1"/>
        <rFont val="Arial"/>
        <family val="2"/>
      </rPr>
      <t xml:space="preserve"> H/W </t>
    </r>
    <r>
      <rPr>
        <sz val="10"/>
        <color theme="1"/>
        <rFont val="돋움"/>
        <family val="3"/>
        <charset val="129"/>
      </rPr>
      <t>구현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불가시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미적용</t>
    </r>
    <phoneticPr fontId="9" type="noConversion"/>
  </si>
  <si>
    <r>
      <t xml:space="preserve">VENT BLEED </t>
    </r>
    <r>
      <rPr>
        <sz val="10"/>
        <color theme="1"/>
        <rFont val="맑은 고딕"/>
        <family val="2"/>
        <charset val="129"/>
      </rPr>
      <t xml:space="preserve">제어 </t>
    </r>
    <r>
      <rPr>
        <sz val="10"/>
        <color theme="1"/>
        <rFont val="돋움"/>
        <family val="2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확인</t>
    </r>
    <phoneticPr fontId="9" type="noConversion"/>
  </si>
  <si>
    <t>확인 부탁드립니다. ATS 신호에 의해 On된 이후 Sw_Off로 System Off하고, HU 신호 테스트해야하는 것 아닌지</t>
    <phoneticPr fontId="4" type="noConversion"/>
  </si>
  <si>
    <r>
      <t xml:space="preserve"> =&gt; </t>
    </r>
    <r>
      <rPr>
        <sz val="11"/>
        <color rgb="FFFF0000"/>
        <rFont val="맑은 고딕"/>
        <family val="2"/>
        <charset val="129"/>
      </rPr>
      <t>각각의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시그널에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대한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 xml:space="preserve">동작만 확인하면 되는 </t>
    </r>
    <r>
      <rPr>
        <sz val="11"/>
        <color rgb="FFFF0000"/>
        <rFont val="Arial"/>
        <family val="2"/>
      </rPr>
      <t xml:space="preserve">TC </t>
    </r>
    <r>
      <rPr>
        <sz val="11"/>
        <color rgb="FFFF0000"/>
        <rFont val="맑은 고딕"/>
        <family val="2"/>
        <charset val="129"/>
      </rPr>
      <t xml:space="preserve">로 굳이 재 </t>
    </r>
    <r>
      <rPr>
        <sz val="11"/>
        <color rgb="FFFF0000"/>
        <rFont val="Arial"/>
        <family val="2"/>
      </rPr>
      <t xml:space="preserve">Off </t>
    </r>
    <r>
      <rPr>
        <sz val="11"/>
        <color rgb="FFFF0000"/>
        <rFont val="맑은 고딕"/>
        <family val="2"/>
        <charset val="129"/>
      </rPr>
      <t>하지 않아도 될 것으로 보입니다. 하지만 이에 대한 예상결과가 틀렸었네요. 수정반영하였습니다.</t>
    </r>
    <phoneticPr fontId="4" type="noConversion"/>
  </si>
  <si>
    <r>
      <rPr>
        <sz val="10"/>
        <rFont val="맑은 고딕"/>
        <family val="3"/>
        <charset val="129"/>
      </rPr>
      <t>설정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온도</t>
    </r>
    <r>
      <rPr>
        <sz val="10"/>
        <rFont val="Arial"/>
        <family val="2"/>
      </rPr>
      <t xml:space="preserve">=Hi, AUTO ON (SYNC ON) </t>
    </r>
    <r>
      <rPr>
        <sz val="10"/>
        <rFont val="맑은 고딕"/>
        <family val="3"/>
        <charset val="129"/>
      </rPr>
      <t>선택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상태</t>
    </r>
    <r>
      <rPr>
        <sz val="10"/>
        <rFont val="Arial"/>
        <family val="2"/>
      </rPr>
      <t xml:space="preserve"> + Blower=6</t>
    </r>
    <r>
      <rPr>
        <sz val="10"/>
        <rFont val="맑은 고딕"/>
        <family val="2"/>
        <charset val="129"/>
      </rPr>
      <t>단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수동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설정</t>
    </r>
    <phoneticPr fontId="9" type="noConversion"/>
  </si>
  <si>
    <t>DATC_OpSta</t>
    <phoneticPr fontId="11" type="noConversion"/>
  </si>
  <si>
    <t>0x0:DATC Off (Default)/0x1:DATC Normal/0x2:DATC System Off (Blower Off)/0x3:DATC Self Diagnosis/0x4:SW Ver Display/0x5~0x6:RESERVED/0x7:Error Indicator</t>
    <phoneticPr fontId="11" type="noConversion"/>
  </si>
  <si>
    <t>0-&gt;1-&gt;0</t>
    <phoneticPr fontId="10" type="noConversion"/>
  </si>
  <si>
    <t>T59.1.2</t>
    <phoneticPr fontId="4" type="noConversion"/>
  </si>
  <si>
    <t>T59.1.1</t>
    <phoneticPr fontId="4" type="noConversion"/>
  </si>
  <si>
    <t>T59.1.1</t>
    <phoneticPr fontId="9" type="noConversion"/>
  </si>
  <si>
    <r>
      <t xml:space="preserve">Intake_TD </t>
    </r>
    <r>
      <rPr>
        <sz val="10"/>
        <rFont val="맑은 고딕"/>
        <family val="3"/>
        <charset val="129"/>
      </rPr>
      <t>연산에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따름</t>
    </r>
    <phoneticPr fontId="9" type="noConversion"/>
  </si>
  <si>
    <r>
      <rPr>
        <sz val="11"/>
        <color rgb="FFFF0000"/>
        <rFont val="맑은 고딕"/>
        <family val="2"/>
        <charset val="129"/>
      </rPr>
      <t>※</t>
    </r>
    <r>
      <rPr>
        <sz val="11"/>
        <color rgb="FFFF0000"/>
        <rFont val="Arial"/>
        <family val="2"/>
      </rPr>
      <t xml:space="preserve"> MKBD </t>
    </r>
    <r>
      <rPr>
        <sz val="11"/>
        <color rgb="FFFF0000"/>
        <rFont val="맑은 고딕"/>
        <family val="2"/>
        <charset val="129"/>
      </rPr>
      <t>적용</t>
    </r>
    <r>
      <rPr>
        <sz val="11"/>
        <color rgb="FFFF0000"/>
        <rFont val="Arial"/>
        <family val="2"/>
        <charset val="129"/>
      </rPr>
      <t xml:space="preserve"> </t>
    </r>
    <r>
      <rPr>
        <sz val="11"/>
        <color rgb="FFFF0000"/>
        <rFont val="맑은 고딕"/>
        <family val="2"/>
        <charset val="129"/>
      </rPr>
      <t>사양</t>
    </r>
    <phoneticPr fontId="4" type="noConversion"/>
  </si>
  <si>
    <r>
      <rPr>
        <sz val="10"/>
        <rFont val="맑은 고딕"/>
        <family val="2"/>
        <charset val="129"/>
      </rPr>
      <t>수동</t>
    </r>
    <r>
      <rPr>
        <sz val="10"/>
        <rFont val="Arial"/>
        <family val="2"/>
      </rPr>
      <t xml:space="preserve"> FRE </t>
    </r>
    <r>
      <rPr>
        <sz val="10"/>
        <rFont val="맑은 고딕"/>
        <family val="2"/>
        <charset val="129"/>
      </rPr>
      <t>전압에 따름</t>
    </r>
    <phoneticPr fontId="9" type="noConversion"/>
  </si>
  <si>
    <r>
      <t xml:space="preserve">T_DW </t>
    </r>
    <r>
      <rPr>
        <sz val="11"/>
        <rFont val="맑은 고딕"/>
        <family val="2"/>
        <charset val="129"/>
      </rPr>
      <t xml:space="preserve">연산값에 따라 </t>
    </r>
    <r>
      <rPr>
        <sz val="11"/>
        <rFont val="Arial"/>
        <family val="2"/>
      </rPr>
      <t xml:space="preserve">ADS </t>
    </r>
    <r>
      <rPr>
        <sz val="11"/>
        <rFont val="맑은 고딕"/>
        <family val="2"/>
        <charset val="129"/>
      </rPr>
      <t>해제까지 필터링 시간 대기할 것</t>
    </r>
    <phoneticPr fontId="4" type="noConversion"/>
  </si>
  <si>
    <t>T4.1</t>
  </si>
  <si>
    <t>T4.1.1</t>
  </si>
  <si>
    <t>T4.1.2</t>
  </si>
  <si>
    <t>T4.1.3</t>
  </si>
  <si>
    <t>T4.1.4</t>
  </si>
  <si>
    <t>T4.1.5</t>
  </si>
  <si>
    <t>T4.1.6</t>
  </si>
  <si>
    <t>T4.1.7</t>
  </si>
  <si>
    <t>P4.1</t>
  </si>
  <si>
    <t>P4.1</t>
    <phoneticPr fontId="4" type="noConversion"/>
  </si>
  <si>
    <r>
      <t xml:space="preserve">BLOWER SPEED </t>
    </r>
    <r>
      <rPr>
        <sz val="10"/>
        <color theme="1"/>
        <rFont val="맑은 고딕"/>
        <family val="2"/>
        <charset val="129"/>
      </rPr>
      <t>제어</t>
    </r>
    <r>
      <rPr>
        <sz val="10"/>
        <color theme="1"/>
        <rFont val="Arial"/>
        <family val="2"/>
      </rPr>
      <t xml:space="preserve"> - </t>
    </r>
    <r>
      <rPr>
        <sz val="10"/>
        <color theme="1"/>
        <rFont val="맑은 고딕"/>
        <family val="2"/>
        <charset val="129"/>
      </rPr>
      <t>수동제어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확인</t>
    </r>
    <phoneticPr fontId="9" type="noConversion"/>
  </si>
  <si>
    <t>T4.2</t>
  </si>
  <si>
    <t>P4.2</t>
  </si>
  <si>
    <t>T4.2.1</t>
  </si>
  <si>
    <t>T4.2.2</t>
  </si>
  <si>
    <t>Const_mild_blower_v</t>
    <phoneticPr fontId="11" type="noConversion"/>
  </si>
  <si>
    <r>
      <t xml:space="preserve">blower_TD </t>
    </r>
    <r>
      <rPr>
        <sz val="10"/>
        <rFont val="맑은 고딕"/>
        <family val="2"/>
        <charset val="129"/>
      </rPr>
      <t>연산에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따름</t>
    </r>
    <phoneticPr fontId="9" type="noConversion"/>
  </si>
  <si>
    <t>T4.2.2</t>
    <phoneticPr fontId="4" type="noConversion"/>
  </si>
  <si>
    <r>
      <t xml:space="preserve">Auto </t>
    </r>
    <r>
      <rPr>
        <sz val="11"/>
        <color rgb="FF0000FF"/>
        <rFont val="맑은 고딕"/>
        <family val="2"/>
        <charset val="129"/>
      </rPr>
      <t>단수가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맑은 고딕"/>
        <family val="2"/>
        <charset val="129"/>
      </rPr>
      <t>있는 경우 : 1단 설정</t>
    </r>
    <phoneticPr fontId="4" type="noConversion"/>
  </si>
  <si>
    <t>T4.1.8</t>
  </si>
  <si>
    <t>T4.1.9</t>
  </si>
  <si>
    <t>T4.1.10</t>
  </si>
  <si>
    <t>T4.1.8</t>
    <phoneticPr fontId="4" type="noConversion"/>
  </si>
  <si>
    <t>T4.1.9</t>
    <phoneticPr fontId="4" type="noConversion"/>
  </si>
  <si>
    <t>T4.1.10</t>
    <phoneticPr fontId="4" type="noConversion"/>
  </si>
  <si>
    <t>T5.1</t>
  </si>
  <si>
    <t>P5.1</t>
  </si>
  <si>
    <t>T5.1.1</t>
  </si>
  <si>
    <t>T5.1.2</t>
  </si>
  <si>
    <r>
      <t xml:space="preserve">BLOWER SPEED </t>
    </r>
    <r>
      <rPr>
        <sz val="10"/>
        <color theme="1"/>
        <rFont val="돋움"/>
        <family val="3"/>
        <charset val="129"/>
      </rPr>
      <t>제</t>
    </r>
    <r>
      <rPr>
        <sz val="10"/>
        <color theme="1"/>
        <rFont val="맑은 고딕"/>
        <family val="3"/>
        <charset val="129"/>
      </rPr>
      <t>어</t>
    </r>
    <phoneticPr fontId="9" type="noConversion"/>
  </si>
  <si>
    <r>
      <rPr>
        <sz val="10"/>
        <color theme="1"/>
        <rFont val="돋움"/>
        <family val="3"/>
        <charset val="129"/>
      </rPr>
      <t>기동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풍량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제어</t>
    </r>
    <phoneticPr fontId="9" type="noConversion"/>
  </si>
  <si>
    <r>
      <rPr>
        <sz val="10"/>
        <color theme="1"/>
        <rFont val="맑은 고딕"/>
        <family val="2"/>
        <charset val="129"/>
      </rPr>
      <t>기동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2"/>
        <charset val="129"/>
      </rPr>
      <t>풍량 제어 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확인</t>
    </r>
    <phoneticPr fontId="9" type="noConversion"/>
  </si>
  <si>
    <t>T5.1.2</t>
    <phoneticPr fontId="4" type="noConversion"/>
  </si>
  <si>
    <r>
      <t>1.0V/</t>
    </r>
    <r>
      <rPr>
        <sz val="10"/>
        <rFont val="맑은 고딕"/>
        <family val="2"/>
        <charset val="129"/>
      </rPr>
      <t>초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속도로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증가하는지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확인</t>
    </r>
    <phoneticPr fontId="9" type="noConversion"/>
  </si>
  <si>
    <t>T7.1</t>
  </si>
  <si>
    <t>P7.1</t>
  </si>
  <si>
    <t>T7.1.1</t>
  </si>
  <si>
    <t>T7.1.2</t>
  </si>
  <si>
    <r>
      <t xml:space="preserve">MODE ACT'R </t>
    </r>
    <r>
      <rPr>
        <sz val="10"/>
        <color theme="1"/>
        <rFont val="돋움"/>
        <family val="3"/>
        <charset val="129"/>
      </rPr>
      <t>제어</t>
    </r>
    <r>
      <rPr>
        <sz val="10"/>
        <color theme="1"/>
        <rFont val="Arial"/>
        <family val="2"/>
      </rPr>
      <t xml:space="preserve"> &lt;5 MODE + DEFOG ACT'R&gt;</t>
    </r>
    <phoneticPr fontId="9" type="noConversion"/>
  </si>
  <si>
    <r>
      <t xml:space="preserve">MODE ACT'R </t>
    </r>
    <r>
      <rPr>
        <sz val="10"/>
        <color theme="1"/>
        <rFont val="맑은 고딕"/>
        <family val="2"/>
        <charset val="129"/>
      </rPr>
      <t>제어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2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2"/>
        <charset val="129"/>
      </rPr>
      <t>확인</t>
    </r>
    <phoneticPr fontId="9" type="noConversion"/>
  </si>
  <si>
    <t>T7.1.3</t>
  </si>
  <si>
    <t>T7.1.4</t>
  </si>
  <si>
    <t>T7.1.3</t>
    <phoneticPr fontId="4" type="noConversion"/>
  </si>
  <si>
    <t>T7.1.4</t>
    <phoneticPr fontId="4" type="noConversion"/>
  </si>
  <si>
    <t>T10.1</t>
  </si>
  <si>
    <t>P10.1</t>
  </si>
  <si>
    <t>T10.1.1</t>
  </si>
  <si>
    <t>T10.1.2</t>
  </si>
  <si>
    <t>T11.1</t>
  </si>
  <si>
    <t>P11.1</t>
  </si>
  <si>
    <t>T11.1.1</t>
  </si>
  <si>
    <r>
      <t xml:space="preserve">INTAKE DOOR </t>
    </r>
    <r>
      <rPr>
        <sz val="10"/>
        <color theme="1"/>
        <rFont val="맑은 고딕"/>
        <family val="2"/>
        <charset val="129"/>
      </rPr>
      <t>제어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2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2"/>
        <charset val="129"/>
      </rPr>
      <t>확인</t>
    </r>
    <phoneticPr fontId="9" type="noConversion"/>
  </si>
  <si>
    <r>
      <t xml:space="preserve">A/C </t>
    </r>
    <r>
      <rPr>
        <sz val="10"/>
        <color theme="1"/>
        <rFont val="맑은 고딕"/>
        <family val="2"/>
        <charset val="129"/>
      </rPr>
      <t>자동제어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2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2"/>
        <charset val="129"/>
      </rPr>
      <t>확인</t>
    </r>
    <phoneticPr fontId="9" type="noConversion"/>
  </si>
  <si>
    <r>
      <t xml:space="preserve">A/C </t>
    </r>
    <r>
      <rPr>
        <sz val="10"/>
        <color theme="1"/>
        <rFont val="돋움"/>
        <family val="3"/>
        <charset val="129"/>
      </rPr>
      <t>자동제어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돋움"/>
        <family val="3"/>
        <charset val="129"/>
      </rPr>
      <t>내수</t>
    </r>
    <r>
      <rPr>
        <sz val="10"/>
        <color theme="1"/>
        <rFont val="Arial"/>
        <family val="2"/>
      </rPr>
      <t>/</t>
    </r>
    <r>
      <rPr>
        <sz val="10"/>
        <color theme="1"/>
        <rFont val="돋움"/>
        <family val="3"/>
        <charset val="129"/>
      </rPr>
      <t>일반</t>
    </r>
    <r>
      <rPr>
        <sz val="10"/>
        <color theme="1"/>
        <rFont val="Arial"/>
        <family val="2"/>
      </rPr>
      <t>)</t>
    </r>
    <phoneticPr fontId="9" type="noConversion"/>
  </si>
  <si>
    <t>T10.1.2</t>
    <phoneticPr fontId="9" type="noConversion"/>
  </si>
  <si>
    <t>T11.1.2</t>
  </si>
  <si>
    <t>T11.1.2</t>
    <phoneticPr fontId="9" type="noConversion"/>
  </si>
  <si>
    <t>T11.1.3</t>
  </si>
  <si>
    <t>T11.1.4</t>
  </si>
  <si>
    <r>
      <t xml:space="preserve">INTAKE DOOR </t>
    </r>
    <r>
      <rPr>
        <sz val="10"/>
        <color theme="1"/>
        <rFont val="돋움"/>
        <family val="3"/>
        <charset val="129"/>
      </rPr>
      <t>제어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돋움"/>
        <family val="3"/>
        <charset val="129"/>
      </rPr>
      <t>내수</t>
    </r>
    <r>
      <rPr>
        <sz val="10"/>
        <color theme="1"/>
        <rFont val="Arial"/>
        <family val="2"/>
      </rPr>
      <t>/</t>
    </r>
    <r>
      <rPr>
        <sz val="10"/>
        <color theme="1"/>
        <rFont val="돋움"/>
        <family val="3"/>
        <charset val="129"/>
      </rPr>
      <t>일반</t>
    </r>
    <r>
      <rPr>
        <sz val="10"/>
        <color theme="1"/>
        <rFont val="Arial"/>
        <family val="2"/>
      </rPr>
      <t>)</t>
    </r>
    <phoneticPr fontId="9" type="noConversion"/>
  </si>
  <si>
    <r>
      <t xml:space="preserve">Intake_TD </t>
    </r>
    <r>
      <rPr>
        <sz val="10"/>
        <rFont val="맑은 고딕"/>
        <family val="2"/>
        <charset val="129"/>
      </rPr>
      <t>연산에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따름</t>
    </r>
    <phoneticPr fontId="9" type="noConversion"/>
  </si>
  <si>
    <t>Sw_AC</t>
    <phoneticPr fontId="11" type="noConversion"/>
  </si>
  <si>
    <t>Sw_AUTO</t>
    <phoneticPr fontId="11" type="noConversion"/>
  </si>
  <si>
    <t>T11.1.5</t>
    <phoneticPr fontId="9" type="noConversion"/>
  </si>
  <si>
    <t>T11.1.3</t>
    <phoneticPr fontId="4" type="noConversion"/>
  </si>
  <si>
    <t>T11.1.4</t>
    <phoneticPr fontId="4" type="noConversion"/>
  </si>
  <si>
    <t>T11.1.5</t>
    <phoneticPr fontId="4" type="noConversion"/>
  </si>
  <si>
    <r>
      <t xml:space="preserve"> - </t>
    </r>
    <r>
      <rPr>
        <b/>
        <sz val="11"/>
        <rFont val="맑은 고딕"/>
        <family val="2"/>
        <charset val="129"/>
      </rPr>
      <t>버튼</t>
    </r>
    <r>
      <rPr>
        <b/>
        <sz val="11"/>
        <rFont val="Arial"/>
        <family val="2"/>
      </rPr>
      <t xml:space="preserve"> </t>
    </r>
    <r>
      <rPr>
        <b/>
        <sz val="11"/>
        <rFont val="맑은 고딕"/>
        <family val="2"/>
        <charset val="129"/>
      </rPr>
      <t xml:space="preserve">동작 </t>
    </r>
    <r>
      <rPr>
        <b/>
        <sz val="11"/>
        <rFont val="Arial"/>
        <family val="2"/>
      </rPr>
      <t xml:space="preserve">TC </t>
    </r>
    <r>
      <rPr>
        <b/>
        <sz val="11"/>
        <rFont val="맑은 고딕"/>
        <family val="2"/>
        <charset val="129"/>
      </rPr>
      <t>추가 완료</t>
    </r>
    <phoneticPr fontId="5" type="noConversion"/>
  </si>
  <si>
    <t>FRE_50</t>
    <phoneticPr fontId="9" type="noConversion"/>
  </si>
  <si>
    <r>
      <t xml:space="preserve">CO2 </t>
    </r>
    <r>
      <rPr>
        <sz val="10"/>
        <color theme="1"/>
        <rFont val="돋움"/>
        <family val="2"/>
        <charset val="129"/>
      </rPr>
      <t>제어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로직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확인</t>
    </r>
    <phoneticPr fontId="9" type="noConversion"/>
  </si>
  <si>
    <r>
      <t>공조제어</t>
    </r>
    <r>
      <rPr>
        <sz val="11"/>
        <color rgb="FFFF0000"/>
        <rFont val="돋움"/>
        <family val="2"/>
        <charset val="129"/>
      </rPr>
      <t xml:space="preserve"> 연산에 따름</t>
    </r>
    <phoneticPr fontId="4" type="noConversion"/>
  </si>
  <si>
    <r>
      <t>Pre-condition check :</t>
    </r>
    <r>
      <rPr>
        <sz val="11"/>
        <color rgb="FFFF0000"/>
        <rFont val="Arial"/>
        <family val="2"/>
      </rPr>
      <t xml:space="preserve"> Incar</t>
    </r>
    <r>
      <rPr>
        <sz val="11"/>
        <color rgb="FFFF0000"/>
        <rFont val="맑은 고딕"/>
        <family val="2"/>
        <charset val="129"/>
      </rPr>
      <t>를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조절하여</t>
    </r>
    <r>
      <rPr>
        <sz val="11"/>
        <color rgb="FFFF0000"/>
        <rFont val="Arial"/>
        <family val="2"/>
      </rPr>
      <t xml:space="preserve"> Auto REC </t>
    </r>
    <r>
      <rPr>
        <sz val="11"/>
        <color rgb="FFFF0000"/>
        <rFont val="맑은 고딕"/>
        <family val="2"/>
        <charset val="129"/>
      </rPr>
      <t>조건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설정</t>
    </r>
    <phoneticPr fontId="4" type="noConversion"/>
  </si>
  <si>
    <r>
      <t>Pre-condition check :</t>
    </r>
    <r>
      <rPr>
        <sz val="11"/>
        <color rgb="FFFF0000"/>
        <rFont val="Arial"/>
        <family val="2"/>
      </rPr>
      <t xml:space="preserve"> Incar</t>
    </r>
    <r>
      <rPr>
        <sz val="11"/>
        <color rgb="FFFF0000"/>
        <rFont val="맑은 고딕"/>
        <family val="2"/>
        <charset val="129"/>
      </rPr>
      <t>를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조절하여</t>
    </r>
    <r>
      <rPr>
        <sz val="11"/>
        <color rgb="FFFF0000"/>
        <rFont val="Arial"/>
        <family val="2"/>
      </rPr>
      <t xml:space="preserve"> Auto Blower </t>
    </r>
    <r>
      <rPr>
        <sz val="11"/>
        <color rgb="FFFF0000"/>
        <rFont val="맑은 고딕"/>
        <family val="2"/>
        <charset val="129"/>
      </rPr>
      <t>전압을 9.8</t>
    </r>
    <r>
      <rPr>
        <sz val="11"/>
        <color rgb="FFFF0000"/>
        <rFont val="Arial"/>
        <family val="2"/>
      </rPr>
      <t xml:space="preserve">V </t>
    </r>
    <r>
      <rPr>
        <sz val="11"/>
        <color rgb="FFFF0000"/>
        <rFont val="맑은 고딕"/>
        <family val="2"/>
        <charset val="129"/>
      </rPr>
      <t>이하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조건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맑은 고딕"/>
        <family val="2"/>
        <charset val="129"/>
      </rPr>
      <t>설정</t>
    </r>
    <phoneticPr fontId="4" type="noConversion"/>
  </si>
  <si>
    <r>
      <t xml:space="preserve">BLOWER SPEED </t>
    </r>
    <r>
      <rPr>
        <sz val="10"/>
        <color theme="1"/>
        <rFont val="맑은 고딕"/>
        <family val="2"/>
        <charset val="129"/>
      </rPr>
      <t>제어</t>
    </r>
    <r>
      <rPr>
        <sz val="10"/>
        <color theme="1"/>
        <rFont val="Arial"/>
        <family val="2"/>
      </rPr>
      <t xml:space="preserve"> - AUTO </t>
    </r>
    <r>
      <rPr>
        <sz val="10"/>
        <color theme="1"/>
        <rFont val="맑은 고딕"/>
        <family val="2"/>
        <charset val="129"/>
      </rPr>
      <t>제어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2"/>
        <charset val="129"/>
      </rPr>
      <t>확인</t>
    </r>
    <phoneticPr fontId="9" type="noConversion"/>
  </si>
  <si>
    <r>
      <rPr>
        <sz val="10"/>
        <rFont val="돋움"/>
        <family val="3"/>
        <charset val="129"/>
      </rPr>
      <t>설정온도를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높여</t>
    </r>
    <r>
      <rPr>
        <sz val="10"/>
        <rFont val="Arial"/>
        <family val="2"/>
      </rPr>
      <t xml:space="preserve"> Blower </t>
    </r>
    <r>
      <rPr>
        <sz val="10"/>
        <rFont val="돋움"/>
        <family val="3"/>
        <charset val="129"/>
      </rPr>
      <t>전압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하강에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따른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변경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시점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확인 (설정온도</t>
    </r>
    <r>
      <rPr>
        <sz val="10"/>
        <rFont val="Arial"/>
        <family val="3"/>
      </rPr>
      <t xml:space="preserve"> Hi</t>
    </r>
    <r>
      <rPr>
        <sz val="10"/>
        <rFont val="맑은 고딕"/>
        <family val="3"/>
        <charset val="129"/>
      </rPr>
      <t>까지</t>
    </r>
    <r>
      <rPr>
        <sz val="10"/>
        <rFont val="Arial"/>
        <family val="3"/>
      </rPr>
      <t xml:space="preserve"> </t>
    </r>
    <r>
      <rPr>
        <sz val="10"/>
        <rFont val="맑은 고딕"/>
        <family val="3"/>
        <charset val="129"/>
      </rPr>
      <t xml:space="preserve">설정했으나 8단 도달하지 못할 시 </t>
    </r>
    <r>
      <rPr>
        <sz val="10"/>
        <rFont val="Arial"/>
        <family val="3"/>
      </rPr>
      <t xml:space="preserve">Incar </t>
    </r>
    <r>
      <rPr>
        <sz val="10"/>
        <rFont val="맑은 고딕"/>
        <family val="3"/>
        <charset val="129"/>
      </rPr>
      <t>온도를</t>
    </r>
    <r>
      <rPr>
        <sz val="10"/>
        <rFont val="Arial"/>
        <family val="3"/>
      </rPr>
      <t xml:space="preserve"> </t>
    </r>
    <r>
      <rPr>
        <sz val="10"/>
        <rFont val="맑은 고딕"/>
        <family val="3"/>
        <charset val="129"/>
      </rPr>
      <t>낮춰</t>
    </r>
    <r>
      <rPr>
        <sz val="10"/>
        <rFont val="Arial"/>
        <family val="3"/>
      </rPr>
      <t xml:space="preserve"> </t>
    </r>
    <r>
      <rPr>
        <sz val="10"/>
        <rFont val="맑은 고딕"/>
        <family val="3"/>
        <charset val="129"/>
      </rPr>
      <t>확인)</t>
    </r>
    <phoneticPr fontId="9" type="noConversion"/>
  </si>
  <si>
    <r>
      <rPr>
        <sz val="10"/>
        <rFont val="돋움"/>
        <family val="3"/>
        <charset val="129"/>
      </rPr>
      <t>설정온도를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낮춰</t>
    </r>
    <r>
      <rPr>
        <sz val="10"/>
        <rFont val="Arial"/>
        <family val="2"/>
      </rPr>
      <t xml:space="preserve"> Blower </t>
    </r>
    <r>
      <rPr>
        <sz val="10"/>
        <rFont val="돋움"/>
        <family val="3"/>
        <charset val="129"/>
      </rPr>
      <t>전압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상승에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따른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변경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시점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 xml:space="preserve">확인 (설정온도 </t>
    </r>
    <r>
      <rPr>
        <sz val="10"/>
        <rFont val="Arial"/>
        <family val="3"/>
      </rPr>
      <t>Lo</t>
    </r>
    <r>
      <rPr>
        <sz val="10"/>
        <rFont val="맑은 고딕"/>
        <family val="3"/>
        <charset val="129"/>
      </rPr>
      <t>까지</t>
    </r>
    <r>
      <rPr>
        <sz val="10"/>
        <rFont val="Arial"/>
        <family val="3"/>
      </rPr>
      <t xml:space="preserve"> </t>
    </r>
    <r>
      <rPr>
        <sz val="10"/>
        <rFont val="맑은 고딕"/>
        <family val="3"/>
        <charset val="129"/>
      </rPr>
      <t xml:space="preserve">설정했으나 8단 도달하지 못할 시 </t>
    </r>
    <r>
      <rPr>
        <sz val="10"/>
        <rFont val="Arial"/>
        <family val="3"/>
      </rPr>
      <t xml:space="preserve">Incar </t>
    </r>
    <r>
      <rPr>
        <sz val="10"/>
        <rFont val="맑은 고딕"/>
        <family val="3"/>
        <charset val="129"/>
      </rPr>
      <t>온도를</t>
    </r>
    <r>
      <rPr>
        <sz val="10"/>
        <rFont val="Arial"/>
        <family val="3"/>
      </rPr>
      <t xml:space="preserve"> </t>
    </r>
    <r>
      <rPr>
        <sz val="10"/>
        <rFont val="맑은 고딕"/>
        <family val="3"/>
        <charset val="129"/>
      </rPr>
      <t>높여</t>
    </r>
    <r>
      <rPr>
        <sz val="10"/>
        <rFont val="Arial"/>
        <family val="3"/>
      </rPr>
      <t xml:space="preserve"> </t>
    </r>
    <r>
      <rPr>
        <sz val="10"/>
        <rFont val="맑은 고딕"/>
        <family val="3"/>
        <charset val="129"/>
      </rPr>
      <t>확인)</t>
    </r>
    <phoneticPr fontId="9" type="noConversion"/>
  </si>
  <si>
    <r>
      <t xml:space="preserve">Blower </t>
    </r>
    <r>
      <rPr>
        <sz val="11"/>
        <rFont val="맑은 고딕"/>
        <family val="2"/>
        <charset val="129"/>
      </rPr>
      <t>전압 하강에 따른 변경점 확인</t>
    </r>
    <phoneticPr fontId="4" type="noConversion"/>
  </si>
  <si>
    <r>
      <t xml:space="preserve">Blower </t>
    </r>
    <r>
      <rPr>
        <sz val="11"/>
        <rFont val="맑은 고딕"/>
        <family val="2"/>
        <charset val="129"/>
      </rPr>
      <t>전압 상승에 따른 변경점 확인</t>
    </r>
    <phoneticPr fontId="4" type="noConversion"/>
  </si>
  <si>
    <r>
      <rPr>
        <sz val="10"/>
        <rFont val="맑은 고딕"/>
        <family val="2"/>
        <charset val="129"/>
      </rPr>
      <t>공조제어에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따름</t>
    </r>
    <phoneticPr fontId="9" type="noConversion"/>
  </si>
  <si>
    <r>
      <rPr>
        <sz val="11"/>
        <color rgb="FF0000FF"/>
        <rFont val="맑은 고딕"/>
        <family val="2"/>
        <charset val="129"/>
      </rPr>
      <t>공조제어에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맑은 고딕"/>
        <family val="2"/>
        <charset val="129"/>
      </rPr>
      <t>따름</t>
    </r>
    <phoneticPr fontId="4" type="noConversion"/>
  </si>
  <si>
    <r>
      <t xml:space="preserve">AC AUTO ON </t>
    </r>
    <r>
      <rPr>
        <sz val="10"/>
        <rFont val="맑은 고딕"/>
        <family val="2"/>
        <charset val="129"/>
      </rPr>
      <t>까지 대기</t>
    </r>
    <phoneticPr fontId="9" type="noConversion"/>
  </si>
  <si>
    <t>냉각수온 도달 시까지 대기</t>
    <phoneticPr fontId="9" type="noConversion"/>
  </si>
  <si>
    <r>
      <t xml:space="preserve"> - </t>
    </r>
    <r>
      <rPr>
        <b/>
        <sz val="11"/>
        <rFont val="맑은 고딕"/>
        <family val="2"/>
        <charset val="129"/>
      </rPr>
      <t>리뷰 내용 반영</t>
    </r>
    <phoneticPr fontId="5" type="noConversion"/>
  </si>
  <si>
    <r>
      <t xml:space="preserve">Vert Air </t>
    </r>
    <r>
      <rPr>
        <sz val="10"/>
        <rFont val="맑은 고딕"/>
        <family val="3"/>
        <charset val="129"/>
      </rPr>
      <t>해제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시까지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대기</t>
    </r>
    <phoneticPr fontId="9" type="noConversion"/>
  </si>
  <si>
    <t>T52.9</t>
  </si>
  <si>
    <t>P52.9</t>
  </si>
  <si>
    <t>T52.9.1</t>
  </si>
  <si>
    <t>T52.9.2</t>
  </si>
  <si>
    <t>T52.9.3</t>
  </si>
  <si>
    <t>T52.9.4</t>
  </si>
  <si>
    <t>T52.9.5</t>
  </si>
  <si>
    <t>T52.3.3</t>
    <phoneticPr fontId="9" type="noConversion"/>
  </si>
  <si>
    <t>T52.3.2</t>
    <phoneticPr fontId="9" type="noConversion"/>
  </si>
  <si>
    <t>T52.3.2</t>
    <phoneticPr fontId="4" type="noConversion"/>
  </si>
  <si>
    <r>
      <t>Multi Auto Blower</t>
    </r>
    <r>
      <rPr>
        <sz val="10"/>
        <color theme="1"/>
        <rFont val="맑은 고딕"/>
        <family val="2"/>
        <charset val="129"/>
      </rPr>
      <t xml:space="preserve">제어 </t>
    </r>
    <r>
      <rPr>
        <sz val="10"/>
        <color theme="1"/>
        <rFont val="Arial Unicode MS"/>
        <family val="2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확인 (</t>
    </r>
    <r>
      <rPr>
        <sz val="10"/>
        <color theme="1"/>
        <rFont val="Arial"/>
        <family val="2"/>
      </rPr>
      <t xml:space="preserve">AUTO </t>
    </r>
    <r>
      <rPr>
        <sz val="10"/>
        <color theme="1"/>
        <rFont val="맑은 고딕"/>
        <family val="2"/>
        <charset val="129"/>
      </rPr>
      <t>선택 시, AUTO-3단(Default) → AUTO-2단 → AUTO-1단 → AUTO-3단 → AUTO-2단 순)</t>
    </r>
    <phoneticPr fontId="9" type="noConversion"/>
  </si>
  <si>
    <r>
      <t>Multi Auto Blower</t>
    </r>
    <r>
      <rPr>
        <sz val="10"/>
        <color theme="1"/>
        <rFont val="돋움"/>
        <family val="3"/>
        <charset val="129"/>
      </rPr>
      <t>제어</t>
    </r>
    <r>
      <rPr>
        <sz val="10"/>
        <color theme="1"/>
        <rFont val="Arial"/>
        <family val="2"/>
      </rPr>
      <t xml:space="preserve"> (AUTO 3</t>
    </r>
    <r>
      <rPr>
        <sz val="10"/>
        <color theme="1"/>
        <rFont val="돋움"/>
        <family val="3"/>
        <charset val="129"/>
      </rPr>
      <t>단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버튼인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경우</t>
    </r>
    <r>
      <rPr>
        <sz val="10"/>
        <color theme="1"/>
        <rFont val="Arial"/>
        <family val="2"/>
      </rPr>
      <t>)</t>
    </r>
    <phoneticPr fontId="9" type="noConversion"/>
  </si>
  <si>
    <r>
      <t>SW</t>
    </r>
    <r>
      <rPr>
        <sz val="11"/>
        <rFont val="맑은 고딕"/>
        <family val="2"/>
        <charset val="129"/>
      </rPr>
      <t xml:space="preserve">에서 </t>
    </r>
    <r>
      <rPr>
        <sz val="11"/>
        <rFont val="Arial"/>
        <family val="2"/>
      </rPr>
      <t xml:space="preserve">ECV </t>
    </r>
    <r>
      <rPr>
        <sz val="11"/>
        <rFont val="맑은 고딕"/>
        <family val="2"/>
        <charset val="129"/>
      </rPr>
      <t>출력을 "</t>
    </r>
    <r>
      <rPr>
        <sz val="11"/>
        <rFont val="Arial"/>
        <family val="2"/>
      </rPr>
      <t xml:space="preserve">Ecomp_CompSpd_rpm (ECOMP2)" </t>
    </r>
    <r>
      <rPr>
        <sz val="11"/>
        <rFont val="맑은 고딕"/>
        <family val="2"/>
        <charset val="129"/>
      </rPr>
      <t>값으로</t>
    </r>
    <r>
      <rPr>
        <sz val="11"/>
        <rFont val="Arial"/>
        <family val="2"/>
      </rPr>
      <t xml:space="preserve"> </t>
    </r>
    <r>
      <rPr>
        <sz val="11"/>
        <rFont val="맑은 고딕"/>
        <family val="2"/>
        <charset val="129"/>
      </rPr>
      <t xml:space="preserve">보고있는 경우, 해당 값으로 설정하여 </t>
    </r>
    <r>
      <rPr>
        <sz val="11"/>
        <rFont val="Arial"/>
        <family val="2"/>
      </rPr>
      <t xml:space="preserve">ON </t>
    </r>
    <r>
      <rPr>
        <sz val="11"/>
        <rFont val="맑은 고딕"/>
        <family val="2"/>
        <charset val="129"/>
      </rPr>
      <t>누적시간을 체크할 것</t>
    </r>
    <phoneticPr fontId="4" type="noConversion"/>
  </si>
  <si>
    <t>Name: Tbl_Blower_DrOnly_Offset</t>
    <phoneticPr fontId="7" type="noConversion"/>
  </si>
  <si>
    <t>Blower_Volt</t>
    <phoneticPr fontId="7" type="noConversion"/>
  </si>
  <si>
    <t>Offset_Vent</t>
    <phoneticPr fontId="7" type="noConversion"/>
  </si>
  <si>
    <t>Offset_Floor</t>
    <phoneticPr fontId="7" type="noConversion"/>
  </si>
  <si>
    <t>DrOnly_Min</t>
    <phoneticPr fontId="7" type="noConversion"/>
  </si>
  <si>
    <t>DrOnly_Max</t>
    <phoneticPr fontId="7" type="noConversion"/>
  </si>
  <si>
    <t>DrOnly</t>
    <phoneticPr fontId="11" type="noConversion"/>
  </si>
  <si>
    <t>Vent Bleed PTC</t>
    <phoneticPr fontId="11" type="noConversion"/>
  </si>
  <si>
    <r>
      <t xml:space="preserve">MAX COOL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</si>
  <si>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>0x0:Centigrade(</t>
    </r>
    <r>
      <rPr>
        <sz val="10"/>
        <rFont val="Segoe UI Symbol"/>
        <family val="1"/>
      </rPr>
      <t>℃</t>
    </r>
    <r>
      <rPr>
        <sz val="10"/>
        <rFont val="Arial"/>
        <family val="2"/>
      </rPr>
      <t>)/0x1:Fahrenheit(</t>
    </r>
    <r>
      <rPr>
        <sz val="10"/>
        <rFont val="Segoe UI Symbol"/>
        <family val="1"/>
      </rPr>
      <t>℉</t>
    </r>
    <r>
      <rPr>
        <sz val="10"/>
        <rFont val="Arial"/>
        <family val="2"/>
      </rPr>
      <t>)/0x2:Not used/0x3:Error Indicator</t>
    </r>
    <phoneticPr fontId="11" type="noConversion"/>
  </si>
  <si>
    <r>
      <t xml:space="preserve">MAX HOT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</si>
  <si>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 xml:space="preserve">MIX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</si>
  <si>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DATC_PassTempCDis</t>
    <phoneticPr fontId="11" type="noConversion"/>
  </si>
  <si>
    <r>
      <t xml:space="preserve">DEF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</si>
  <si>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DATC_DrvAutoDis</t>
    <phoneticPr fontId="11" type="noConversion"/>
  </si>
  <si>
    <t>DATC_SyncDis</t>
    <phoneticPr fontId="11" type="noConversion"/>
  </si>
  <si>
    <t>DATC_FrDrvModDis</t>
    <phoneticPr fontId="11" type="noConversion"/>
  </si>
  <si>
    <t>DATC_AcDis</t>
    <phoneticPr fontId="11" type="noConversion"/>
  </si>
  <si>
    <t>PeEwpRPMReq_EN_DIS</t>
    <phoneticPr fontId="7" type="noConversion"/>
  </si>
  <si>
    <r>
      <t xml:space="preserve">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phoneticPr fontId="11" type="noConversion"/>
  </si>
  <si>
    <t>DATC_IntakeDis</t>
    <phoneticPr fontId="11" type="noConversion"/>
  </si>
  <si>
    <t>Partial_Cool</t>
    <phoneticPr fontId="11" type="noConversion"/>
  </si>
  <si>
    <r>
      <rPr>
        <sz val="10"/>
        <rFont val="돋움"/>
        <family val="2"/>
        <charset val="129"/>
      </rPr>
      <t>냉방개선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</si>
  <si>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 xml:space="preserve">Name: Tbl_Blw_Step_Ctl (Blower </t>
    </r>
    <r>
      <rPr>
        <b/>
        <sz val="10"/>
        <rFont val="맑은 고딕"/>
        <family val="2"/>
        <charset val="129"/>
      </rPr>
      <t>단수별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제어</t>
    </r>
    <r>
      <rPr>
        <b/>
        <sz val="10"/>
        <rFont val="Arial"/>
        <family val="2"/>
      </rPr>
      <t>)</t>
    </r>
    <phoneticPr fontId="9" type="noConversion"/>
  </si>
  <si>
    <t>DATC_FrDrvBlwDis</t>
    <phoneticPr fontId="11" type="noConversion"/>
  </si>
  <si>
    <t>Partial_HOT</t>
    <phoneticPr fontId="11" type="noConversion"/>
  </si>
  <si>
    <r>
      <rPr>
        <sz val="10"/>
        <rFont val="맑은 고딕"/>
        <family val="2"/>
        <charset val="129"/>
      </rPr>
      <t>난방개선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</si>
  <si>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V</t>
    <phoneticPr fontId="9" type="noConversion"/>
  </si>
  <si>
    <t>9V</t>
    <phoneticPr fontId="9" type="noConversion"/>
  </si>
  <si>
    <t>12V</t>
    <phoneticPr fontId="9" type="noConversion"/>
  </si>
  <si>
    <t>14V</t>
    <phoneticPr fontId="9" type="noConversion"/>
  </si>
  <si>
    <t>16V</t>
    <phoneticPr fontId="9" type="noConversion"/>
  </si>
  <si>
    <t>0x0:A/C Non-Request/0x1:A/C Request/0x2:Not used/0x3:Error Indicator</t>
    <phoneticPr fontId="11" type="noConversion"/>
  </si>
  <si>
    <t>CCU_CompTgtSpd_rpm</t>
  </si>
  <si>
    <r>
      <t xml:space="preserve">Comp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RPM</t>
    </r>
    <phoneticPr fontId="11" type="noConversion"/>
  </si>
  <si>
    <t>DATC_DrvOnlyDis</t>
    <phoneticPr fontId="11" type="noConversion"/>
  </si>
  <si>
    <t>DATC_FrDfgSta</t>
    <phoneticPr fontId="11" type="noConversion"/>
  </si>
  <si>
    <t>DiagCodeDis</t>
    <phoneticPr fontId="11" type="noConversion"/>
  </si>
  <si>
    <t>DATC_DiagCodeDis</t>
    <phoneticPr fontId="11" type="noConversion"/>
  </si>
  <si>
    <r>
      <rPr>
        <sz val="10"/>
        <rFont val="맑은 고딕"/>
        <family val="2"/>
        <charset val="129"/>
      </rPr>
      <t>진단코드</t>
    </r>
    <phoneticPr fontId="11" type="noConversion"/>
  </si>
  <si>
    <t>Tbl_WaterVlvSta</t>
    <phoneticPr fontId="9" type="noConversion"/>
  </si>
  <si>
    <t>HTR</t>
    <phoneticPr fontId="9" type="noConversion"/>
  </si>
  <si>
    <t>WATER COND</t>
    <phoneticPr fontId="9" type="noConversion"/>
  </si>
  <si>
    <t>Tbl_HP_Cycle</t>
    <phoneticPr fontId="9" type="noConversion"/>
  </si>
  <si>
    <t>0x0:A/C/0x1:H/P A/0x2:H/P A-1/0x3:H/P B/0x4:H/P B-1/0x5:PTC Only/0x6:FAN Only/0x7:OFF/0x8:BAT Cooling Only/0x9:A/C + BAT Cooling/0xA:PTC + BAT Cooling/0xB~0xE:RESERVED/0xE:Not Apply(Default)/0xF:Error Indicator</t>
    <phoneticPr fontId="11" type="noConversion"/>
  </si>
  <si>
    <t>A/C</t>
    <phoneticPr fontId="9" type="noConversion"/>
  </si>
  <si>
    <t>H/P A</t>
    <phoneticPr fontId="9" type="noConversion"/>
  </si>
  <si>
    <t>BATT_V</t>
    <phoneticPr fontId="11" type="noConversion"/>
  </si>
  <si>
    <t>BATT(V)_IN</t>
    <phoneticPr fontId="11" type="noConversion"/>
  </si>
  <si>
    <r>
      <t xml:space="preserve">BATT </t>
    </r>
    <r>
      <rPr>
        <sz val="10"/>
        <rFont val="Arial Unicode MS"/>
        <family val="2"/>
        <charset val="129"/>
      </rPr>
      <t>전압</t>
    </r>
    <phoneticPr fontId="11" type="noConversion"/>
  </si>
  <si>
    <t>H/P A-1</t>
    <phoneticPr fontId="9" type="noConversion"/>
  </si>
  <si>
    <t>H/P B</t>
    <phoneticPr fontId="9" type="noConversion"/>
  </si>
  <si>
    <t>H/P B-1</t>
    <phoneticPr fontId="9" type="noConversion"/>
  </si>
  <si>
    <t>PTC Only</t>
    <phoneticPr fontId="9" type="noConversion"/>
  </si>
  <si>
    <t>FAN Only</t>
    <phoneticPr fontId="9" type="noConversion"/>
  </si>
  <si>
    <t>Blower OFF</t>
    <phoneticPr fontId="9" type="noConversion"/>
  </si>
  <si>
    <t>Duct_FrVent_V</t>
    <phoneticPr fontId="11" type="noConversion"/>
  </si>
  <si>
    <t>Snr_Duct_FrVent(V)_IN</t>
    <phoneticPr fontId="11" type="noConversion"/>
  </si>
  <si>
    <r>
      <t xml:space="preserve">Duct_FrVent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</si>
  <si>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Bat Cooling Only</t>
    <phoneticPr fontId="9" type="noConversion"/>
  </si>
  <si>
    <t>Duct_PsVent_V</t>
    <phoneticPr fontId="11" type="noConversion"/>
  </si>
  <si>
    <t>Snr_Duct_PsVent(V)_IN</t>
    <phoneticPr fontId="11" type="noConversion"/>
  </si>
  <si>
    <r>
      <t xml:space="preserve">Duct_PsVent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</si>
  <si>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A/C + BAT Cooling</t>
    <phoneticPr fontId="11" type="noConversion"/>
  </si>
  <si>
    <t>Duct_FrFloor_V</t>
    <phoneticPr fontId="11" type="noConversion"/>
  </si>
  <si>
    <t>Snr_Duct_FrFloor(V)_IN</t>
    <phoneticPr fontId="11" type="noConversion"/>
  </si>
  <si>
    <r>
      <t xml:space="preserve">Duct_FrFloor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</si>
  <si>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PTC + BAT Cooling</t>
    <phoneticPr fontId="11" type="noConversion"/>
  </si>
  <si>
    <t>Duct_PsFloor_V</t>
    <phoneticPr fontId="11" type="noConversion"/>
  </si>
  <si>
    <t>Snr_Duct_PsFloor(V)_IN</t>
    <phoneticPr fontId="11" type="noConversion"/>
  </si>
  <si>
    <r>
      <t xml:space="preserve">Duct_PsFloor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</si>
  <si>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Duct_DEF_V</t>
    <phoneticPr fontId="11" type="noConversion"/>
  </si>
  <si>
    <t>Snr_Duct_DEF(V)_IN</t>
    <phoneticPr fontId="11" type="noConversion"/>
  </si>
  <si>
    <r>
      <t xml:space="preserve">Duct_DEF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</si>
  <si>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P_SIGNAL_COMP_OUT</t>
    <phoneticPr fontId="9" type="noConversion"/>
  </si>
  <si>
    <t>Snr_P SIGNAL_COMP OUT(PSI)_IN</t>
    <phoneticPr fontId="9" type="noConversion"/>
  </si>
  <si>
    <r>
      <t xml:space="preserve">APT : P SIGNAL - COMP OUT </t>
    </r>
    <r>
      <rPr>
        <sz val="10"/>
        <rFont val="맑은 고딕"/>
        <family val="2"/>
        <charset val="129"/>
      </rPr>
      <t>압력</t>
    </r>
    <phoneticPr fontId="9" type="noConversion"/>
  </si>
  <si>
    <t>T_SIGNAL_COMP_OUT</t>
    <phoneticPr fontId="9" type="noConversion"/>
  </si>
  <si>
    <t>Snr_T SIGNAL_COMP OUT(degC)_IN</t>
    <phoneticPr fontId="9" type="noConversion"/>
  </si>
  <si>
    <r>
      <t xml:space="preserve">RTS_COMP : T SIGNAL - COMP OUT </t>
    </r>
    <r>
      <rPr>
        <sz val="10"/>
        <rFont val="맑은 고딕"/>
        <family val="2"/>
        <charset val="129"/>
      </rPr>
      <t>온도</t>
    </r>
    <phoneticPr fontId="9" type="noConversion"/>
  </si>
  <si>
    <t>P_SIGNAL_BCHILLER</t>
    <phoneticPr fontId="9" type="noConversion"/>
  </si>
  <si>
    <t>Snr_P SIGNAL_B/CHILLER(PSI)_IN</t>
    <phoneticPr fontId="9" type="noConversion"/>
  </si>
  <si>
    <r>
      <t xml:space="preserve">Ps_Value : P SIGNAL - B/CHILLER </t>
    </r>
    <r>
      <rPr>
        <sz val="10"/>
        <rFont val="맑은 고딕"/>
        <family val="2"/>
        <charset val="129"/>
      </rPr>
      <t>압력</t>
    </r>
    <phoneticPr fontId="9" type="noConversion"/>
  </si>
  <si>
    <t>T_SIGNAL_BCHILLER</t>
    <phoneticPr fontId="9" type="noConversion"/>
  </si>
  <si>
    <t>Snr_T SIGNAL_B/CHILLER(degC)_IN</t>
    <phoneticPr fontId="9" type="noConversion"/>
  </si>
  <si>
    <r>
      <t>Tm (</t>
    </r>
    <r>
      <rPr>
        <sz val="10"/>
        <rFont val="Segoe UI Symbol"/>
        <family val="2"/>
      </rPr>
      <t>℃</t>
    </r>
    <r>
      <rPr>
        <sz val="10"/>
        <rFont val="Arial"/>
        <family val="2"/>
      </rPr>
      <t xml:space="preserve">) : </t>
    </r>
    <r>
      <rPr>
        <sz val="10"/>
        <rFont val="맑은 고딕"/>
        <family val="2"/>
        <charset val="129"/>
      </rPr>
      <t>칠러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출구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온도</t>
    </r>
    <r>
      <rPr>
        <sz val="10"/>
        <rFont val="Arial"/>
        <family val="2"/>
      </rPr>
      <t xml:space="preserve"> (RTS SIGNAL (EXV)), </t>
    </r>
    <r>
      <rPr>
        <sz val="10"/>
        <rFont val="맑은 고딕"/>
        <family val="2"/>
        <charset val="129"/>
      </rPr>
      <t>칠러</t>
    </r>
    <r>
      <rPr>
        <sz val="10"/>
        <rFont val="Arial"/>
        <family val="2"/>
      </rPr>
      <t>EXV</t>
    </r>
    <r>
      <rPr>
        <sz val="10"/>
        <rFont val="맑은 고딕"/>
        <family val="2"/>
        <charset val="129"/>
      </rPr>
      <t>밸브로직에서 사용</t>
    </r>
    <phoneticPr fontId="9" type="noConversion"/>
  </si>
  <si>
    <t>DATC_IncarSnsrTempCTestVal</t>
  </si>
  <si>
    <r>
      <t xml:space="preserve">HEV </t>
    </r>
    <r>
      <rPr>
        <sz val="10"/>
        <rFont val="Arial Unicode MS"/>
        <family val="3"/>
        <charset val="129"/>
      </rPr>
      <t>협조제어용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실내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온도</t>
    </r>
    <r>
      <rPr>
        <sz val="10"/>
        <rFont val="Arial"/>
        <family val="2"/>
      </rPr>
      <t xml:space="preserve"> Raw Data, </t>
    </r>
    <r>
      <rPr>
        <sz val="10"/>
        <rFont val="돋움"/>
        <family val="2"/>
        <charset val="129"/>
      </rPr>
      <t>정상시</t>
    </r>
    <r>
      <rPr>
        <sz val="10"/>
        <rFont val="Arial"/>
        <family val="2"/>
      </rPr>
      <t xml:space="preserve"> : Factor : 0.5, Offset : -40 , </t>
    </r>
    <r>
      <rPr>
        <sz val="10"/>
        <rFont val="돋움"/>
        <family val="2"/>
        <charset val="129"/>
      </rPr>
      <t>고장시</t>
    </r>
    <r>
      <rPr>
        <sz val="10"/>
        <rFont val="Arial"/>
        <family val="2"/>
      </rPr>
      <t xml:space="preserve"> : 0xFF </t>
    </r>
    <phoneticPr fontId="11" type="noConversion"/>
  </si>
  <si>
    <t>DATC_EvapTempSnsrCTestVal</t>
  </si>
  <si>
    <t>Duct_FrVent_OUT</t>
    <phoneticPr fontId="7" type="noConversion"/>
  </si>
  <si>
    <t>DATC_DrvVentTempCTestVal</t>
  </si>
  <si>
    <t>Duct_PsVent_OUT</t>
    <phoneticPr fontId="7" type="noConversion"/>
  </si>
  <si>
    <t>DATC_PsVentTempCTestVal</t>
  </si>
  <si>
    <t>Duct_FrFloor_OUT</t>
    <phoneticPr fontId="7" type="noConversion"/>
  </si>
  <si>
    <t>DATC_DrFlrTempCTestVal</t>
  </si>
  <si>
    <t>Duct_PsFloor_OUT</t>
    <phoneticPr fontId="7" type="noConversion"/>
  </si>
  <si>
    <t>DATC_PsFlrTempCTestVal</t>
  </si>
  <si>
    <t>Duct_DEF_OUT</t>
    <phoneticPr fontId="7" type="noConversion"/>
  </si>
  <si>
    <t>DATC_DefTempCTestVal</t>
  </si>
  <si>
    <t>HEV_EngClntTempVal</t>
    <phoneticPr fontId="11" type="noConversion"/>
  </si>
  <si>
    <t>Factor : 0.75, Offset : -48</t>
  </si>
  <si>
    <t>WheelSpeed_FL</t>
    <phoneticPr fontId="11" type="noConversion"/>
  </si>
  <si>
    <t>WHL_SpdFLVal</t>
  </si>
  <si>
    <t>Factor : 0.03125, Offset : 0, 0x3FFF : Error</t>
  </si>
  <si>
    <t>WheelSpeed_FR</t>
    <phoneticPr fontId="11" type="noConversion"/>
  </si>
  <si>
    <t>WHL_SpdFRVal</t>
  </si>
  <si>
    <t>WheelSpeed_RL</t>
    <phoneticPr fontId="11" type="noConversion"/>
  </si>
  <si>
    <t>WHL_SpdRLVal</t>
  </si>
  <si>
    <t>WheelSpeed_RR</t>
    <phoneticPr fontId="11" type="noConversion"/>
  </si>
  <si>
    <t>WHL_SpdRRVal</t>
  </si>
  <si>
    <r>
      <t xml:space="preserve">ADS Blower </t>
    </r>
    <r>
      <rPr>
        <sz val="10"/>
        <rFont val="Arial Unicode MS"/>
        <family val="2"/>
        <charset val="129"/>
      </rPr>
      <t>사양</t>
    </r>
    <phoneticPr fontId="11" type="noConversion"/>
  </si>
  <si>
    <t>DATC_AutoDfgSysOffDis</t>
    <phoneticPr fontId="11" type="noConversion"/>
  </si>
  <si>
    <t>DATC_ADSOnOffSet</t>
    <phoneticPr fontId="11" type="noConversion"/>
  </si>
  <si>
    <t>UNIT2_MassTreeDisp_2p5</t>
    <phoneticPr fontId="11" type="noConversion"/>
  </si>
  <si>
    <t>UNIT2_MassConcDisp_2p5</t>
    <phoneticPr fontId="11" type="noConversion"/>
  </si>
  <si>
    <t>UNIT4_PMSnsrEna</t>
    <phoneticPr fontId="11" type="noConversion"/>
  </si>
  <si>
    <r>
      <t>0x0( Disable Module)/SYSTEM ON</t>
    </r>
    <r>
      <rPr>
        <sz val="10"/>
        <rFont val="돋움"/>
        <family val="2"/>
        <charset val="129"/>
      </rPr>
      <t>시</t>
    </r>
    <r>
      <rPr>
        <sz val="10"/>
        <rFont val="Arial"/>
        <family val="2"/>
      </rPr>
      <t xml:space="preserve"> 0x1(Enable Module)</t>
    </r>
    <phoneticPr fontId="11" type="noConversion"/>
  </si>
  <si>
    <t>VCU_AirconCtrReq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</si>
  <si>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진입</t>
    </r>
    <r>
      <rPr>
        <sz val="10"/>
        <rFont val="Arial"/>
        <family val="2"/>
      </rPr>
      <t>/</t>
    </r>
    <r>
      <rPr>
        <sz val="10"/>
        <rFont val="Arial Unicode MS"/>
        <family val="3"/>
        <charset val="129"/>
      </rPr>
      <t>해제</t>
    </r>
    <phoneticPr fontId="11" type="noConversion"/>
  </si>
  <si>
    <t>VCU_FatcTempSetVal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</si>
  <si>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설정온도</t>
    </r>
    <phoneticPr fontId="11" type="noConversion"/>
  </si>
  <si>
    <t>VCU_FatcTempSetUnit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</si>
  <si>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온도단위</t>
    </r>
    <phoneticPr fontId="11" type="noConversion"/>
  </si>
  <si>
    <t>VCU_FatcDefrostCtrReq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</si>
  <si>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DEF</t>
    </r>
    <phoneticPr fontId="11" type="noConversion"/>
  </si>
  <si>
    <t>SchedRmtFcn_OpSta</t>
    <phoneticPr fontId="11" type="noConversion"/>
  </si>
  <si>
    <t>VCU_SchedRmtFcn_OpSta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</si>
  <si>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3"/>
      </rPr>
      <t xml:space="preserve"> </t>
    </r>
    <r>
      <rPr>
        <sz val="10"/>
        <rFont val="맑은 고딕"/>
        <family val="3"/>
        <charset val="129"/>
      </rPr>
      <t>상태판단</t>
    </r>
    <phoneticPr fontId="11" type="noConversion"/>
  </si>
  <si>
    <t>0x0:None/0x1:Monitoring Mode(by AVN)/0x2:Normal Charge Mode(by OBC)/0x3:Prog/Imme Charge Start Mode(by VCU/AVN)/0x4:Prog FATC Mode(by VCU)/0x5:Imme FATC Mode during Prog/Imme Charge Mode(by VCU/AVN)/0x6:Prog/Imme Charge Mode during Imme FATC Mode(by VCU/AVN)/0x7:Imme FATC Mode during nor charge(by AVN/OBC)/0x8:Imme FATC Mode(by AVN)/0x9:Aux battery Charge Mode(by VCU)/0xA:Abnormal Stop Mode during Prog/Imme Charge(by VCU)/0xB~0xF:Reserved</t>
    <phoneticPr fontId="11" type="noConversion"/>
  </si>
  <si>
    <t>공조상태</t>
    <phoneticPr fontId="11" type="noConversion"/>
  </si>
  <si>
    <t>DATC_CtrlablSta</t>
    <phoneticPr fontId="11" type="noConversion"/>
  </si>
  <si>
    <t>0x0:Not Controllable/0x1:Controllable/0x2:Not used/0x3:Error Indicator</t>
    <phoneticPr fontId="11" type="noConversion"/>
  </si>
  <si>
    <t>TunnelFuncOff4AutoDfgReq</t>
    <phoneticPr fontId="11" type="noConversion"/>
  </si>
  <si>
    <t>DATC_TunnelFuncOff4AutoDfgReq</t>
    <phoneticPr fontId="11" type="noConversion"/>
  </si>
  <si>
    <t>HEV_EngSpdVal</t>
    <phoneticPr fontId="11" type="noConversion"/>
  </si>
  <si>
    <r>
      <rPr>
        <sz val="10"/>
        <rFont val="돋움"/>
        <family val="2"/>
        <charset val="129"/>
      </rPr>
      <t>사용자</t>
    </r>
    <r>
      <rPr>
        <sz val="10"/>
        <rFont val="Arial"/>
        <family val="2"/>
      </rPr>
      <t xml:space="preserve"> profile</t>
    </r>
    <phoneticPr fontId="11" type="noConversion"/>
  </si>
  <si>
    <r>
      <rPr>
        <sz val="10"/>
        <rFont val="돋움"/>
        <family val="2"/>
        <charset val="129"/>
      </rPr>
      <t>사용자</t>
    </r>
    <r>
      <rPr>
        <sz val="10"/>
        <rFont val="Arial"/>
        <family val="2"/>
      </rPr>
      <t xml:space="preserve"> profile </t>
    </r>
    <r>
      <rPr>
        <sz val="10"/>
        <rFont val="돋움"/>
        <family val="2"/>
        <charset val="129"/>
      </rPr>
      <t>제어</t>
    </r>
    <r>
      <rPr>
        <sz val="10"/>
        <rFont val="Arial"/>
        <family val="2"/>
      </rPr>
      <t xml:space="preserve">  0x2 user1/ 0x3user2/ 0x1 Guest</t>
    </r>
    <phoneticPr fontId="11" type="noConversion"/>
  </si>
  <si>
    <t>OpSta</t>
    <phoneticPr fontId="11" type="noConversion"/>
  </si>
  <si>
    <t>HEV_AptVal</t>
    <phoneticPr fontId="11" type="noConversion"/>
  </si>
  <si>
    <t>Blower_Motor_Relay</t>
    <phoneticPr fontId="11" type="noConversion"/>
  </si>
  <si>
    <t>Blower_Motor_Relay_IO</t>
    <phoneticPr fontId="11" type="noConversion"/>
  </si>
  <si>
    <r>
      <rPr>
        <sz val="10"/>
        <rFont val="돋움"/>
        <family val="2"/>
        <charset val="129"/>
      </rPr>
      <t>블로워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모터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릴레이</t>
    </r>
    <r>
      <rPr>
        <sz val="10"/>
        <rFont val="Arial"/>
        <family val="2"/>
      </rPr>
      <t xml:space="preserve"> I/O</t>
    </r>
    <phoneticPr fontId="11" type="noConversion"/>
  </si>
  <si>
    <t>eComp_Interlock_Sta</t>
    <phoneticPr fontId="11" type="noConversion"/>
  </si>
  <si>
    <t>DATC_HVCompIntlkSta</t>
  </si>
  <si>
    <r>
      <t xml:space="preserve">INTERLOCK </t>
    </r>
    <r>
      <rPr>
        <sz val="10"/>
        <rFont val="Arial Unicode MS"/>
        <family val="2"/>
        <charset val="129"/>
      </rPr>
      <t>상태</t>
    </r>
    <phoneticPr fontId="11" type="noConversion"/>
  </si>
  <si>
    <t>0x0(Disconnect), 0x1(Connect)</t>
  </si>
  <si>
    <t>Service_Lamp_Req</t>
    <phoneticPr fontId="11" type="noConversion"/>
  </si>
  <si>
    <t>DATC_SrvLmpReq</t>
  </si>
  <si>
    <t>0x0(Off)/0x1(Service Lamp On)</t>
  </si>
  <si>
    <t>FATC_Interlock_Req</t>
    <phoneticPr fontId="11" type="noConversion"/>
  </si>
  <si>
    <t>DATC_HVIntDischrgLkReq</t>
  </si>
  <si>
    <t>0x0:Not Request/0x1:Request/0x2:Not used/0x3:Error Indicator</t>
  </si>
  <si>
    <t>MCU_Interlock_Req</t>
    <phoneticPr fontId="11" type="noConversion"/>
  </si>
  <si>
    <t>MCU_Mg1HiVoltIntlkReq</t>
  </si>
  <si>
    <t>0x0:Normal/0x1:Detect Interlock Disconnect/0x2:Not used/0x3:Error Indicator</t>
  </si>
  <si>
    <t>BMS_Interlock_Req</t>
    <phoneticPr fontId="11" type="noConversion"/>
  </si>
  <si>
    <t>xEV_BmsHvIntlockReq</t>
  </si>
  <si>
    <t>0x0:Normal/0x1:Discharging Request/0x2:Not used/0x3:Error indicator</t>
  </si>
  <si>
    <t>Main_Relay_Sta</t>
    <phoneticPr fontId="11" type="noConversion"/>
  </si>
  <si>
    <t>xEV_MainRlyOnSta</t>
  </si>
  <si>
    <r>
      <t xml:space="preserve">0x0:Open/0x2:Not used/0x3:Error indicator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OFF, 0x1:Close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ON</t>
    </r>
  </si>
  <si>
    <t>PreCharging_Sta</t>
    <phoneticPr fontId="11" type="noConversion"/>
  </si>
  <si>
    <t>xEV_PreChrgSta</t>
  </si>
  <si>
    <r>
      <t xml:space="preserve">0x0:Normal/0x1:Prechargingy Operation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ON, 0x2:Not used/0x3:Error indicator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OFF</t>
    </r>
  </si>
  <si>
    <t>OBC_Interlock_Req</t>
    <phoneticPr fontId="11" type="noConversion"/>
  </si>
  <si>
    <t>OBC_HvIntlkReq</t>
  </si>
  <si>
    <t>0x0:Off/0x1:On/0x2:Not used/0x3:Error indicator</t>
  </si>
  <si>
    <t>OPU_Interlock_Req</t>
    <phoneticPr fontId="11" type="noConversion"/>
  </si>
  <si>
    <t>OPU_HiVoltIntlkReq</t>
  </si>
  <si>
    <t>EMS_Vehicle_Speed</t>
    <phoneticPr fontId="11" type="noConversion"/>
  </si>
  <si>
    <t>HEV_VehSpdVal</t>
  </si>
  <si>
    <t>Factor : 1, Offset : 0, 0xFF : Error</t>
  </si>
  <si>
    <t>HTCU_Vehicle_Speed</t>
    <phoneticPr fontId="11" type="noConversion"/>
  </si>
  <si>
    <t>HTCU_VehSpdKphVal</t>
  </si>
  <si>
    <t>Factor : 1, Offset : 0</t>
  </si>
  <si>
    <t>HEV_Ready</t>
    <phoneticPr fontId="11" type="noConversion"/>
  </si>
  <si>
    <t>HCU_HevRdySta</t>
  </si>
  <si>
    <t>0x0:HEV not ready/0x1:HEV Drivable/0x2:Not used/0x3:Error Indicator</t>
  </si>
  <si>
    <t>Vehicle_Startup</t>
    <phoneticPr fontId="11" type="noConversion"/>
  </si>
  <si>
    <t>HCU_VehStrtEnblSta</t>
    <phoneticPr fontId="11" type="noConversion"/>
  </si>
  <si>
    <t>DC(Driving Cycle) Count</t>
    <phoneticPr fontId="11" type="noConversion"/>
  </si>
  <si>
    <t>0x0:Start disable/0x1:Start Enable/0x2:Not used/0x3:Error Indicator</t>
    <phoneticPr fontId="11" type="noConversion"/>
  </si>
  <si>
    <t>ATS_FrDrBlowerUpDn</t>
    <phoneticPr fontId="11" type="noConversion"/>
  </si>
  <si>
    <t>ATS_DATC_FrDrBlowerUpDn</t>
    <phoneticPr fontId="11" type="noConversion"/>
  </si>
  <si>
    <t>HU_MainBlowerUpDn</t>
    <phoneticPr fontId="11" type="noConversion"/>
  </si>
  <si>
    <t>HU_DATC_MainBlowerUpDn</t>
    <phoneticPr fontId="11" type="noConversion"/>
  </si>
  <si>
    <t>AfterBlower_ICU</t>
    <phoneticPr fontId="11" type="noConversion"/>
  </si>
  <si>
    <t>ICU_PowerAutoCutModSta</t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</si>
  <si>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icu delivery / 0x0:Factory Mode (default)/0x1:Dealer Mode/0x2:Customer Mode/0x3:Error Indicator</t>
    </r>
    <phoneticPr fontId="11" type="noConversion"/>
  </si>
  <si>
    <t>DTC_Code</t>
    <phoneticPr fontId="11" type="noConversion"/>
  </si>
  <si>
    <t>DIAG_DTC_Code</t>
  </si>
  <si>
    <t>SelfDiagDisp</t>
    <phoneticPr fontId="11" type="noConversion"/>
  </si>
  <si>
    <t>DATC_SelfDiagDisp</t>
  </si>
  <si>
    <t>CLI_eComp_Interlock_Status</t>
    <phoneticPr fontId="11" type="noConversion"/>
  </si>
  <si>
    <t>eComp_Interlock_Status</t>
    <phoneticPr fontId="11" type="noConversion"/>
  </si>
  <si>
    <t>Climate LIN</t>
    <phoneticPr fontId="11" type="noConversion"/>
  </si>
  <si>
    <t>0x0(Disconnect), 0x1(Connect), 0x2: Not used, 0x3: Error Indicator</t>
    <phoneticPr fontId="11" type="noConversion"/>
  </si>
  <si>
    <t>HV_PTC_Interlock_Sta</t>
    <phoneticPr fontId="11" type="noConversion"/>
  </si>
  <si>
    <t>DATC_HVPtcIntLkSta</t>
    <phoneticPr fontId="11" type="noConversion"/>
  </si>
  <si>
    <t>REAR_HV_PTC_Interlock_Sta</t>
    <phoneticPr fontId="11" type="noConversion"/>
  </si>
  <si>
    <t>DATC_RrHVPtcIntLkSta</t>
  </si>
  <si>
    <t>DTC_Clear_Service</t>
    <phoneticPr fontId="11" type="noConversion"/>
  </si>
  <si>
    <t>ClearDiagnosticInformatio_Service</t>
    <phoneticPr fontId="11" type="noConversion"/>
  </si>
  <si>
    <t>ClearDiagnosticInformation Service</t>
  </si>
  <si>
    <t>DTC_Read_Service</t>
    <phoneticPr fontId="11" type="noConversion"/>
  </si>
  <si>
    <t>ReadDTCInformation_Service</t>
    <phoneticPr fontId="11" type="noConversion"/>
  </si>
  <si>
    <t>ReadDTCInformation Service</t>
  </si>
  <si>
    <t>DTC_Resp</t>
    <phoneticPr fontId="11" type="noConversion"/>
  </si>
  <si>
    <t>DTC_Responsible</t>
    <phoneticPr fontId="11" type="noConversion"/>
  </si>
  <si>
    <r>
      <t xml:space="preserve">DTC </t>
    </r>
    <r>
      <rPr>
        <sz val="10"/>
        <rFont val="Arial Unicode MS"/>
        <family val="2"/>
        <charset val="129"/>
      </rPr>
      <t>상태</t>
    </r>
    <phoneticPr fontId="11" type="noConversion"/>
  </si>
  <si>
    <t>MCU_Interlock_Req_1</t>
    <phoneticPr fontId="11" type="noConversion"/>
  </si>
  <si>
    <t>MCU_Interlock_Req_2</t>
    <phoneticPr fontId="11" type="noConversion"/>
  </si>
  <si>
    <t>MCU_Mg2HiVoltIntlkReq</t>
    <phoneticPr fontId="11" type="noConversion"/>
  </si>
  <si>
    <t>WCCU_Interlock_Req</t>
    <phoneticPr fontId="11" type="noConversion"/>
  </si>
  <si>
    <t>WCCU_HvIntlockReq</t>
    <phoneticPr fontId="11" type="noConversion"/>
  </si>
  <si>
    <t>MCU_Mg1ActualRotation_SpeedRpmValue</t>
    <phoneticPr fontId="11" type="noConversion"/>
  </si>
  <si>
    <t>MCU_Mg1ActlRotat
SpdRpmVal</t>
    <phoneticPr fontId="11" type="noConversion"/>
  </si>
  <si>
    <t>Factor : 1, Offset : 0, 0x7FFF : Error</t>
  </si>
  <si>
    <t>MCU_Mg2ActualRotation_SpeedRpmValue</t>
    <phoneticPr fontId="11" type="noConversion"/>
  </si>
  <si>
    <t>MCU_Mg2ActlRotat
SpdRpmVal</t>
    <phoneticPr fontId="11" type="noConversion"/>
  </si>
  <si>
    <t>CLI_HVPTC_Interlock_Sta</t>
    <phoneticPr fontId="11" type="noConversion"/>
  </si>
  <si>
    <t>HVPP_HVPtcIntLk_Flag</t>
    <phoneticPr fontId="11" type="noConversion"/>
  </si>
  <si>
    <t>0x0:Disconnect/0x1:Connect</t>
  </si>
  <si>
    <t>CLI_HVREARPTC_Interlock_Sta</t>
    <phoneticPr fontId="11" type="noConversion"/>
  </si>
  <si>
    <t>HVREAR_HVPtcIntLk_Flag</t>
    <phoneticPr fontId="11" type="noConversion"/>
  </si>
  <si>
    <r>
      <t xml:space="preserve">HP </t>
    </r>
    <r>
      <rPr>
        <sz val="10"/>
        <rFont val="Arial Unicode MS"/>
        <family val="2"/>
        <charset val="129"/>
      </rPr>
      <t>전용</t>
    </r>
    <phoneticPr fontId="11" type="noConversion"/>
  </si>
  <si>
    <t>HP_ModSta</t>
    <phoneticPr fontId="11" type="noConversion"/>
  </si>
  <si>
    <t>DATC_HtrPmpModSta</t>
  </si>
  <si>
    <t>EcoClmtLimSet</t>
    <phoneticPr fontId="9" type="noConversion"/>
  </si>
  <si>
    <t>HU_EcoClmtLimSet</t>
    <phoneticPr fontId="9" type="noConversion"/>
  </si>
  <si>
    <r>
      <t>eco</t>
    </r>
    <r>
      <rPr>
        <sz val="10"/>
        <rFont val="맑은 고딕"/>
        <family val="2"/>
        <charset val="129"/>
      </rPr>
      <t>제어</t>
    </r>
    <phoneticPr fontId="9" type="noConversion"/>
  </si>
  <si>
    <t>EcoClmtLimSta</t>
    <phoneticPr fontId="9" type="noConversion"/>
  </si>
  <si>
    <t>DATC_EcoClmtLimSta</t>
  </si>
  <si>
    <t>0x0:ClimateLimit Setting Off/0x1:ClimateLimit Setting On/0x2:Default/0x3:Error Indicator</t>
  </si>
  <si>
    <t>ClmtLimOpSta</t>
    <phoneticPr fontId="9" type="noConversion"/>
  </si>
  <si>
    <t>DATC_ClmtLimOpSta</t>
  </si>
  <si>
    <t>0x0:Off/0x1:Operating ClimateLimit/0x2:Not used/0x3:Error Indicator</t>
  </si>
  <si>
    <t>Coolingfan_Duty</t>
    <phoneticPr fontId="11" type="noConversion"/>
  </si>
  <si>
    <t>DATC_RadFanReq_Duty</t>
  </si>
  <si>
    <t>냉각 팬 속도 듀티 값</t>
    <phoneticPr fontId="11" type="noConversion"/>
  </si>
  <si>
    <r>
      <t xml:space="preserve">Cooling fan </t>
    </r>
    <r>
      <rPr>
        <sz val="10"/>
        <rFont val="맑은 고딕"/>
        <family val="2"/>
        <charset val="129"/>
      </rPr>
      <t>협조제어</t>
    </r>
    <phoneticPr fontId="11" type="noConversion"/>
  </si>
  <si>
    <t>PeEwpRPMReq</t>
    <phoneticPr fontId="11" type="noConversion"/>
  </si>
  <si>
    <t>DATC_PeEwpRPMReq</t>
    <phoneticPr fontId="11" type="noConversion"/>
  </si>
  <si>
    <r>
      <t xml:space="preserve">EWP </t>
    </r>
    <r>
      <rPr>
        <sz val="10"/>
        <rFont val="Arial Unicode MS"/>
        <family val="2"/>
        <charset val="129"/>
      </rPr>
      <t>협조 제어</t>
    </r>
    <phoneticPr fontId="11" type="noConversion"/>
  </si>
  <si>
    <r>
      <t xml:space="preserve">EWP </t>
    </r>
    <r>
      <rPr>
        <sz val="10"/>
        <rFont val="맑은 고딕"/>
        <family val="2"/>
        <charset val="129"/>
      </rPr>
      <t>협조제어</t>
    </r>
    <phoneticPr fontId="11" type="noConversion"/>
  </si>
  <si>
    <t>BatteryEWPOper</t>
    <phoneticPr fontId="11" type="noConversion"/>
  </si>
  <si>
    <t>DATC_BattEwpOpReq</t>
  </si>
  <si>
    <r>
      <t xml:space="preserve">EWP </t>
    </r>
    <r>
      <rPr>
        <sz val="10"/>
        <rFont val="Arial Unicode MS"/>
        <family val="2"/>
        <charset val="129"/>
      </rPr>
      <t>구동 요청 회전수</t>
    </r>
    <phoneticPr fontId="11" type="noConversion"/>
  </si>
  <si>
    <t>CHRG_ChargeStatus</t>
    <phoneticPr fontId="11" type="noConversion"/>
  </si>
  <si>
    <t>CHRG_ChrgSta</t>
  </si>
  <si>
    <t>냉각수 3way 밸브 협조제어</t>
    <phoneticPr fontId="11" type="noConversion"/>
  </si>
  <si>
    <t>0x0:None/0x1:Charging/0x2:Not used/0x3:Error indicator</t>
  </si>
  <si>
    <t>WaterVlvSta</t>
    <phoneticPr fontId="11" type="noConversion"/>
  </si>
  <si>
    <t>DATC_WaterVlvSta</t>
    <phoneticPr fontId="11" type="noConversion"/>
  </si>
  <si>
    <r>
      <t>HTR</t>
    </r>
    <r>
      <rPr>
        <sz val="10"/>
        <rFont val="맑은 고딕"/>
        <family val="2"/>
        <charset val="129"/>
      </rPr>
      <t>방향: 0</t>
    </r>
    <r>
      <rPr>
        <sz val="10"/>
        <rFont val="Arial"/>
        <family val="2"/>
      </rPr>
      <t>H / Water Cond</t>
    </r>
    <r>
      <rPr>
        <sz val="10"/>
        <rFont val="맑은 고딕"/>
        <family val="2"/>
        <charset val="129"/>
      </rPr>
      <t>방향: 1</t>
    </r>
    <r>
      <rPr>
        <sz val="10"/>
        <rFont val="Arial"/>
        <family val="2"/>
      </rPr>
      <t>H</t>
    </r>
    <phoneticPr fontId="11" type="noConversion"/>
  </si>
  <si>
    <t>Mg1HeatsinkTemperatureValue</t>
    <phoneticPr fontId="11" type="noConversion"/>
  </si>
  <si>
    <t>MCU_Mg1HtsnkTempVal</t>
    <phoneticPr fontId="11" type="noConversion"/>
  </si>
  <si>
    <t>Mg2HeatsinkTemperatureValue</t>
    <phoneticPr fontId="11" type="noConversion"/>
  </si>
  <si>
    <t>MCU_Mg2HtsnkTempVal</t>
    <phoneticPr fontId="11" type="noConversion"/>
  </si>
  <si>
    <t>HtrEwpForecedOpt</t>
    <phoneticPr fontId="11" type="noConversion"/>
  </si>
  <si>
    <t>VCU_HtrEwpForcedOpStatus</t>
  </si>
  <si>
    <t>냉각수 3way 밸브 강제구동</t>
    <phoneticPr fontId="11" type="noConversion"/>
  </si>
  <si>
    <t>0x0:OFF/0x1:EWP Forced Operating/0x2:Not used/0x3:Error Indicator</t>
  </si>
  <si>
    <t>Default_Position(DP)</t>
    <phoneticPr fontId="11" type="noConversion"/>
  </si>
  <si>
    <t>V01_EXV</t>
    <phoneticPr fontId="11" type="noConversion"/>
  </si>
  <si>
    <t>V01_EXV (H/P)</t>
    <phoneticPr fontId="11" type="noConversion"/>
  </si>
  <si>
    <t>EXV (H/P)</t>
    <phoneticPr fontId="9" type="noConversion"/>
  </si>
  <si>
    <t>밸브류 제어</t>
    <phoneticPr fontId="11" type="noConversion"/>
  </si>
  <si>
    <t>V02_EXV</t>
    <phoneticPr fontId="11" type="noConversion"/>
  </si>
  <si>
    <t>V02_EXV (B/CHILLER)</t>
    <phoneticPr fontId="11" type="noConversion"/>
  </si>
  <si>
    <t>EXV (B/CHILLER)</t>
    <phoneticPr fontId="9" type="noConversion"/>
  </si>
  <si>
    <t>V04_3way</t>
    <phoneticPr fontId="11" type="noConversion"/>
  </si>
  <si>
    <t>V04_3WAY (R/D)</t>
    <phoneticPr fontId="11" type="noConversion"/>
  </si>
  <si>
    <t>3WAY (R/D)</t>
    <phoneticPr fontId="9" type="noConversion"/>
  </si>
  <si>
    <t>V05_2way</t>
    <phoneticPr fontId="11" type="noConversion"/>
  </si>
  <si>
    <t>V05_2WAY (DEHUMI)</t>
    <phoneticPr fontId="11" type="noConversion"/>
  </si>
  <si>
    <t>2WAY (DEHUMI)</t>
    <phoneticPr fontId="9" type="noConversion"/>
  </si>
  <si>
    <t>V01_DiagFunctnValue</t>
    <phoneticPr fontId="9" type="noConversion"/>
  </si>
  <si>
    <t>V01_DiagFunctnValue</t>
  </si>
  <si>
    <r>
      <t xml:space="preserve">REF. </t>
    </r>
    <r>
      <rPr>
        <sz val="10"/>
        <rFont val="맑은 고딕"/>
        <family val="2"/>
        <charset val="129"/>
      </rPr>
      <t>초기화 로직</t>
    </r>
    <phoneticPr fontId="11" type="noConversion"/>
  </si>
  <si>
    <t>V01_SystemState</t>
    <phoneticPr fontId="9" type="noConversion"/>
  </si>
  <si>
    <t>V01_SystemState</t>
  </si>
  <si>
    <t>V02_DiagFunctnValue</t>
    <phoneticPr fontId="9" type="noConversion"/>
  </si>
  <si>
    <t>V02_DiagFunctnValue</t>
  </si>
  <si>
    <t>V02_SystemState</t>
    <phoneticPr fontId="9" type="noConversion"/>
  </si>
  <si>
    <t>V02_SystemState</t>
  </si>
  <si>
    <t>V04_DiagFunctnValue</t>
    <phoneticPr fontId="9" type="noConversion"/>
  </si>
  <si>
    <t>V04_DiagFunctnValue</t>
  </si>
  <si>
    <t>V04_SystemState</t>
    <phoneticPr fontId="9" type="noConversion"/>
  </si>
  <si>
    <t>V04_SystemState</t>
  </si>
  <si>
    <t>V05_DiagFunctnValue</t>
    <phoneticPr fontId="9" type="noConversion"/>
  </si>
  <si>
    <t>V05_SystemState</t>
    <phoneticPr fontId="9" type="noConversion"/>
  </si>
  <si>
    <t>V05_SystemState</t>
  </si>
  <si>
    <t>WaterCooling_ROTV</t>
    <phoneticPr fontId="9" type="noConversion"/>
  </si>
  <si>
    <t>xEV_RadOutTempVal</t>
  </si>
  <si>
    <t>WaterCoolingRadiatorOutletTemperatureValue</t>
    <phoneticPr fontId="9" type="noConversion"/>
  </si>
  <si>
    <t>실외 제상 모드</t>
    <phoneticPr fontId="11" type="noConversion"/>
  </si>
  <si>
    <t>AAFOpen</t>
    <phoneticPr fontId="11" type="noConversion"/>
  </si>
  <si>
    <t>DATC_AAFOpenReq</t>
  </si>
  <si>
    <r>
      <t xml:space="preserve">AAF </t>
    </r>
    <r>
      <rPr>
        <sz val="10"/>
        <rFont val="맑은 고딕"/>
        <family val="2"/>
        <charset val="129"/>
      </rPr>
      <t>협조제어</t>
    </r>
    <phoneticPr fontId="11" type="noConversion"/>
  </si>
  <si>
    <t>Mg1_TV</t>
    <phoneticPr fontId="9" type="noConversion"/>
  </si>
  <si>
    <t>MCU_Mg1TempVal</t>
  </si>
  <si>
    <t>MCU_Mg1TemperatureValue</t>
  </si>
  <si>
    <t>EV_Ready</t>
    <phoneticPr fontId="11" type="noConversion"/>
  </si>
  <si>
    <t>VCU_EvDrvRdySta</t>
    <phoneticPr fontId="11" type="noConversion"/>
  </si>
  <si>
    <t>BattCompPwrCnsmptn</t>
    <phoneticPr fontId="9" type="noConversion"/>
  </si>
  <si>
    <t>DATC_BattCompPwrCnsmptn_W2</t>
  </si>
  <si>
    <t>전력량 연산</t>
    <phoneticPr fontId="9" type="noConversion"/>
  </si>
  <si>
    <t>AcnECompCnsmptPwrVal</t>
    <phoneticPr fontId="9" type="noConversion"/>
  </si>
  <si>
    <t>DATC_AcnECompCnsmptPwrVal_W</t>
  </si>
  <si>
    <t>PtcPwrCnsmptnVal</t>
    <phoneticPr fontId="9" type="noConversion"/>
  </si>
  <si>
    <t>DATC_PtcPwrCnsmptnVal_W</t>
    <phoneticPr fontId="9" type="noConversion"/>
  </si>
  <si>
    <t>ClmtPwrCnsmptn</t>
    <phoneticPr fontId="9" type="noConversion"/>
  </si>
  <si>
    <t>DATC_ClmtPwrCnsmptn_W</t>
    <phoneticPr fontId="9" type="noConversion"/>
  </si>
  <si>
    <t>Ecomp_CompCst_W</t>
    <phoneticPr fontId="9" type="noConversion"/>
  </si>
  <si>
    <t>Ecomp_CompCst_W</t>
  </si>
  <si>
    <t>CstPwrDr_W</t>
    <phoneticPr fontId="9" type="noConversion"/>
  </si>
  <si>
    <t>HVPP_CstPwrDr_W</t>
  </si>
  <si>
    <t>CstPwrPs_W</t>
    <phoneticPr fontId="9" type="noConversion"/>
  </si>
  <si>
    <t>HVPP_CstPwrPs_W</t>
  </si>
  <si>
    <t>ClmtPwrSum</t>
    <phoneticPr fontId="9" type="noConversion"/>
  </si>
  <si>
    <t>DATC_ClmtPwrSum_Wh</t>
    <phoneticPr fontId="9" type="noConversion"/>
  </si>
  <si>
    <t>BattPwrSum</t>
    <phoneticPr fontId="9" type="noConversion"/>
  </si>
  <si>
    <t>DATC_BattPwrSum_Wh2</t>
    <phoneticPr fontId="9" type="noConversion"/>
  </si>
  <si>
    <t>HvBat_ADOS</t>
    <phoneticPr fontId="9" type="noConversion"/>
  </si>
  <si>
    <t>BMS_HvBatAutoDchOpSta</t>
  </si>
  <si>
    <r>
      <t xml:space="preserve">SOC </t>
    </r>
    <r>
      <rPr>
        <sz val="10"/>
        <rFont val="맑은 고딕"/>
        <family val="2"/>
        <charset val="129"/>
      </rPr>
      <t>방전 로직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Highvoltage Battery Auto Discharge Operating Status</t>
    </r>
    <phoneticPr fontId="11" type="noConversion"/>
  </si>
  <si>
    <t>0x0:Default/0x1:Ready/0x2:Progress/0x3:Complete</t>
  </si>
  <si>
    <t>VCU_HvBat_ADOS</t>
    <phoneticPr fontId="9" type="noConversion"/>
  </si>
  <si>
    <t>VCU_HvBatAutoDchOpSta</t>
  </si>
  <si>
    <t>hev_HEU_Per</t>
    <phoneticPr fontId="11" type="noConversion"/>
  </si>
  <si>
    <t>VCU_FatcOperPermSta</t>
    <phoneticPr fontId="11" type="noConversion"/>
  </si>
  <si>
    <r>
      <rPr>
        <sz val="10"/>
        <rFont val="맑은 고딕"/>
        <family val="2"/>
        <charset val="129"/>
      </rPr>
      <t>메인릴레이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융착방지</t>
    </r>
    <phoneticPr fontId="11" type="noConversion"/>
  </si>
  <si>
    <t>0x0:Not Permitted/0x1:Permitted/0x2:Not used/0x3:Error Indicator</t>
    <phoneticPr fontId="11" type="noConversion"/>
  </si>
  <si>
    <t>PtcOprPrm</t>
    <phoneticPr fontId="11" type="noConversion"/>
  </si>
  <si>
    <t>CF_Fcu_PtcOprPrm</t>
  </si>
  <si>
    <r>
      <t xml:space="preserve">PTC </t>
    </r>
    <r>
      <rPr>
        <sz val="10"/>
        <rFont val="맑은 고딕"/>
        <family val="3"/>
        <charset val="129"/>
      </rPr>
      <t>작동조건</t>
    </r>
    <phoneticPr fontId="11" type="noConversion"/>
  </si>
  <si>
    <t>고전압 PTC 과열 방지를 위한 VENT BLEED 제어 (전지역 적용)</t>
  </si>
  <si>
    <t>PtcPrmPwr_W</t>
    <phoneticPr fontId="11" type="noConversion"/>
  </si>
  <si>
    <t>CR_Fcu_PtcPrmPwr_W</t>
  </si>
  <si>
    <t>HVPP_CstPwrDr_W</t>
    <phoneticPr fontId="11" type="noConversion"/>
  </si>
  <si>
    <t>HVPP_CstPwrPs_W</t>
    <phoneticPr fontId="11" type="noConversion"/>
  </si>
  <si>
    <t>BatEwpFltSta</t>
    <phoneticPr fontId="11" type="noConversion"/>
  </si>
  <si>
    <t>VCU_BatEwpFltSta</t>
    <phoneticPr fontId="11" type="noConversion"/>
  </si>
  <si>
    <t>배터리 쿨링 필요 신호</t>
    <phoneticPr fontId="11" type="noConversion"/>
  </si>
  <si>
    <t>LtrEwpFltSt</t>
    <phoneticPr fontId="11" type="noConversion"/>
  </si>
  <si>
    <t>VCU_LtrEwpFltSt</t>
    <phoneticPr fontId="11" type="noConversion"/>
  </si>
  <si>
    <t>BatChllrTgtRpm</t>
    <phoneticPr fontId="11" type="noConversion"/>
  </si>
  <si>
    <t>VCU_BatChllrTgtRpm</t>
    <phoneticPr fontId="11" type="noConversion"/>
  </si>
  <si>
    <t>배터리쿨링 협조제어</t>
    <phoneticPr fontId="11" type="noConversion"/>
  </si>
  <si>
    <t>BattChlrVlvSta</t>
    <phoneticPr fontId="11" type="noConversion"/>
  </si>
  <si>
    <t>DATC_BattChlrVlvSta</t>
    <phoneticPr fontId="11" type="noConversion"/>
  </si>
  <si>
    <t>BattChlrVlv_FltCode</t>
    <phoneticPr fontId="11" type="noConversion"/>
  </si>
  <si>
    <t>DATC_BattChlrVlv_FltCode</t>
    <phoneticPr fontId="11" type="noConversion"/>
  </si>
  <si>
    <t>BattEvapVlvSta</t>
    <phoneticPr fontId="11" type="noConversion"/>
  </si>
  <si>
    <t>DATC_BattEvapVlvSta</t>
    <phoneticPr fontId="11" type="noConversion"/>
  </si>
  <si>
    <t>BattEvapVlv_FltCode</t>
    <phoneticPr fontId="11" type="noConversion"/>
  </si>
  <si>
    <t>DATC_BattEvapVlv_FltCode</t>
  </si>
  <si>
    <t>HVPPTargetDutyDr_Perc</t>
    <phoneticPr fontId="11" type="noConversion"/>
  </si>
  <si>
    <t>CCU_HVPPTargetDutyDriver_Perc (CCU2)</t>
    <phoneticPr fontId="11" type="noConversion"/>
  </si>
  <si>
    <r>
      <rPr>
        <sz val="10"/>
        <rFont val="Arial"/>
        <family val="3"/>
      </rPr>
      <t xml:space="preserve">Dr PTC Duty </t>
    </r>
    <r>
      <rPr>
        <sz val="10"/>
        <rFont val="맑은 고딕"/>
        <family val="3"/>
        <charset val="129"/>
      </rPr>
      <t>출력</t>
    </r>
    <phoneticPr fontId="11" type="noConversion"/>
  </si>
  <si>
    <t>HVPPTargetDutyPs_Perc</t>
    <phoneticPr fontId="11" type="noConversion"/>
  </si>
  <si>
    <t>CCU_HVPPTargetDutyPassenger_Perc (CCU2)</t>
    <phoneticPr fontId="11" type="noConversion"/>
  </si>
  <si>
    <r>
      <t xml:space="preserve">Ps PTC Duty </t>
    </r>
    <r>
      <rPr>
        <sz val="10"/>
        <rFont val="맑은 고딕"/>
        <family val="2"/>
        <charset val="129"/>
      </rPr>
      <t>출력</t>
    </r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</si>
</sst>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1" formatCode="_-* #,##0_-;\-* #,##0_-;_-* &quot;-&quot;_-;_-@_-"/>
    <numFmt numFmtId="176" formatCode="_(&quot;$&quot;* #,##0.00_);_(&quot;$&quot;* \(#,##0.00\);_(&quot;$&quot;* &quot;-&quot;??_);_(@_)"/>
    <numFmt numFmtId="177" formatCode="yyyy\-mm\-dd;@"/>
    <numFmt numFmtId="178" formatCode="0.000"/>
    <numFmt numFmtId="179" formatCode="0.0_ "/>
    <numFmt numFmtId="180" formatCode="0.000_ "/>
    <numFmt numFmtId="181" formatCode="0.00_ "/>
    <numFmt numFmtId="182" formatCode="0.0"/>
    <numFmt numFmtId="183" formatCode="General\ &quot;(V)&quot;&quot; &quot;&quot;이&quot;&quot;상&quot;"/>
    <numFmt numFmtId="184" formatCode="General\ &quot;(V)&quot;&quot; &quot;&quot;이&quot;&quot;하&quot;"/>
  </numFmts>
  <fonts count="103">
    <font>
      <sz val="10"/>
      <name val="Arial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2"/>
      <name val="Arial"/>
      <family val="2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12"/>
      <name val="바탕체"/>
      <family val="1"/>
      <charset val="129"/>
    </font>
    <font>
      <sz val="11"/>
      <name val="??"/>
      <family val="1"/>
    </font>
    <font>
      <sz val="9"/>
      <name val="굴림"/>
      <family val="3"/>
      <charset val="129"/>
    </font>
    <font>
      <sz val="12"/>
      <name val="돋움"/>
      <family val="3"/>
      <charset val="129"/>
    </font>
    <font>
      <sz val="8"/>
      <name val="맑은 고딕"/>
      <family val="2"/>
      <charset val="129"/>
      <scheme val="minor"/>
    </font>
    <font>
      <sz val="10"/>
      <name val="돋움"/>
      <family val="3"/>
      <charset val="129"/>
    </font>
    <font>
      <b/>
      <sz val="11"/>
      <name val="Arial"/>
      <family val="2"/>
    </font>
    <font>
      <sz val="11"/>
      <name val="Arial"/>
      <family val="2"/>
    </font>
    <font>
      <sz val="11"/>
      <name val="맑은 고딕"/>
      <family val="3"/>
      <charset val="129"/>
    </font>
    <font>
      <b/>
      <sz val="11"/>
      <name val="돋움"/>
      <family val="3"/>
      <charset val="129"/>
    </font>
    <font>
      <sz val="11"/>
      <name val="맑은 고딕"/>
      <family val="2"/>
      <charset val="129"/>
    </font>
    <font>
      <b/>
      <sz val="11"/>
      <name val="맑은 고딕"/>
      <family val="3"/>
      <charset val="129"/>
    </font>
    <font>
      <sz val="11"/>
      <name val="Arial Unicode MS"/>
      <family val="2"/>
      <charset val="129"/>
    </font>
    <font>
      <sz val="11"/>
      <color rgb="FF0000FF"/>
      <name val="Arial"/>
      <family val="2"/>
    </font>
    <font>
      <sz val="11"/>
      <color rgb="FF0000FF"/>
      <name val="Arial Unicode MS"/>
      <family val="2"/>
      <charset val="129"/>
    </font>
    <font>
      <sz val="11"/>
      <color rgb="FF0000FF"/>
      <name val="굴림"/>
      <family val="2"/>
      <charset val="129"/>
    </font>
    <font>
      <sz val="10"/>
      <color theme="0" tint="-0.249977111117893"/>
      <name val="Arial"/>
      <family val="2"/>
    </font>
    <font>
      <sz val="10"/>
      <name val="Arial Unicode MS"/>
      <family val="2"/>
      <charset val="129"/>
    </font>
    <font>
      <b/>
      <sz val="10"/>
      <name val="Arial Unicode MS"/>
      <family val="2"/>
      <charset val="129"/>
    </font>
    <font>
      <b/>
      <sz val="11"/>
      <color theme="0"/>
      <name val="Arial"/>
      <family val="2"/>
    </font>
    <font>
      <sz val="10"/>
      <name val="굴림"/>
      <family val="2"/>
      <charset val="129"/>
    </font>
    <font>
      <sz val="11"/>
      <name val="Arial Unicode MS"/>
      <family val="3"/>
      <charset val="129"/>
    </font>
    <font>
      <sz val="11"/>
      <color rgb="FFFF0000"/>
      <name val="Arial Unicode MS"/>
      <family val="3"/>
      <charset val="129"/>
    </font>
    <font>
      <b/>
      <sz val="10"/>
      <name val="굴림"/>
      <family val="2"/>
      <charset val="129"/>
    </font>
    <font>
      <sz val="11"/>
      <color rgb="FFFF0000"/>
      <name val="Arial"/>
      <family val="2"/>
    </font>
    <font>
      <sz val="10"/>
      <name val="맑은 고딕"/>
      <family val="3"/>
      <charset val="129"/>
    </font>
    <font>
      <sz val="10"/>
      <name val="Arial Unicode MS"/>
      <charset val="129"/>
    </font>
    <font>
      <sz val="10"/>
      <name val="굴림"/>
      <family val="3"/>
      <charset val="129"/>
    </font>
    <font>
      <b/>
      <sz val="10"/>
      <color theme="0"/>
      <name val="Arial"/>
      <family val="2"/>
    </font>
    <font>
      <b/>
      <sz val="10"/>
      <color theme="0"/>
      <name val="맑은 고딕"/>
      <family val="3"/>
      <charset val="129"/>
    </font>
    <font>
      <b/>
      <sz val="10"/>
      <color theme="0"/>
      <name val="Arial Unicode MS"/>
      <charset val="129"/>
    </font>
    <font>
      <sz val="10"/>
      <name val="바탕체"/>
      <family val="1"/>
      <charset val="129"/>
    </font>
    <font>
      <sz val="8"/>
      <name val="굴림"/>
      <family val="3"/>
      <charset val="129"/>
    </font>
    <font>
      <b/>
      <sz val="10"/>
      <name val="맑은 고딕"/>
      <family val="2"/>
      <charset val="129"/>
    </font>
    <font>
      <sz val="10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</font>
    <font>
      <sz val="10"/>
      <name val="맑은 고딕"/>
      <family val="2"/>
      <charset val="129"/>
    </font>
    <font>
      <sz val="10"/>
      <name val="Gulim"/>
      <family val="2"/>
    </font>
    <font>
      <b/>
      <sz val="10"/>
      <name val="Arial Unicode MS"/>
      <family val="3"/>
      <charset val="129"/>
    </font>
    <font>
      <sz val="12"/>
      <name val="굴림체"/>
      <family val="3"/>
      <charset val="129"/>
    </font>
    <font>
      <sz val="10"/>
      <name val="Cambria Math"/>
      <family val="3"/>
    </font>
    <font>
      <sz val="10"/>
      <name val="Segoe UI Symbol"/>
      <family val="3"/>
    </font>
    <font>
      <sz val="10"/>
      <name val="Arial"/>
      <family val="2"/>
    </font>
    <font>
      <b/>
      <sz val="10"/>
      <name val="돋움"/>
      <family val="3"/>
      <charset val="129"/>
    </font>
    <font>
      <b/>
      <sz val="11"/>
      <color rgb="FFFF0000"/>
      <name val="Arial"/>
      <family val="2"/>
    </font>
    <font>
      <b/>
      <sz val="11"/>
      <color rgb="FFFF0000"/>
      <name val="Arial Unicode MS"/>
      <family val="2"/>
      <charset val="129"/>
    </font>
    <font>
      <sz val="10"/>
      <name val="Arial Unicode MS"/>
      <family val="3"/>
      <charset val="129"/>
    </font>
    <font>
      <sz val="10"/>
      <name val="Arial"/>
      <family val="2"/>
      <charset val="129"/>
    </font>
    <font>
      <sz val="10"/>
      <name val="돋움"/>
      <family val="2"/>
      <charset val="129"/>
    </font>
    <font>
      <b/>
      <sz val="10"/>
      <color indexed="8"/>
      <name val="Arial"/>
      <family val="2"/>
    </font>
    <font>
      <b/>
      <sz val="10"/>
      <color indexed="8"/>
      <name val="돋움"/>
      <family val="3"/>
      <charset val="129"/>
    </font>
    <font>
      <sz val="10"/>
      <color theme="1"/>
      <name val="Arial"/>
      <family val="2"/>
    </font>
    <font>
      <sz val="10"/>
      <color theme="1"/>
      <name val="돋움"/>
      <family val="3"/>
      <charset val="129"/>
    </font>
    <font>
      <sz val="10"/>
      <color theme="1"/>
      <name val="맑은 고딕"/>
      <family val="2"/>
      <charset val="129"/>
    </font>
    <font>
      <sz val="10"/>
      <color theme="1"/>
      <name val="Arial Unicode MS"/>
      <family val="2"/>
      <charset val="129"/>
    </font>
    <font>
      <sz val="10"/>
      <color theme="1"/>
      <name val="돋움"/>
      <family val="2"/>
      <charset val="129"/>
    </font>
    <font>
      <b/>
      <sz val="10"/>
      <color indexed="9"/>
      <name val="Arial"/>
      <family val="2"/>
    </font>
    <font>
      <b/>
      <sz val="10"/>
      <color indexed="9"/>
      <name val="맑은 고딕"/>
      <family val="3"/>
      <charset val="129"/>
    </font>
    <font>
      <b/>
      <sz val="11"/>
      <color rgb="FF0000FF"/>
      <name val="Arial"/>
      <family val="2"/>
    </font>
    <font>
      <b/>
      <sz val="11"/>
      <color rgb="FF0000FF"/>
      <name val="Arial Unicode MS"/>
      <family val="2"/>
      <charset val="129"/>
    </font>
    <font>
      <sz val="11"/>
      <color rgb="FFFF0000"/>
      <name val="Arial Unicode MS"/>
      <family val="2"/>
      <charset val="129"/>
    </font>
    <font>
      <sz val="11"/>
      <color rgb="FFFF0000"/>
      <name val="Segoe UI Symbol"/>
      <family val="2"/>
    </font>
    <font>
      <sz val="11"/>
      <color rgb="FFFF0000"/>
      <name val="돋움"/>
      <family val="2"/>
      <charset val="129"/>
    </font>
    <font>
      <sz val="11"/>
      <name val="굴림"/>
      <family val="2"/>
      <charset val="129"/>
    </font>
    <font>
      <sz val="11"/>
      <color rgb="FFC00000"/>
      <name val="Arial"/>
      <family val="2"/>
    </font>
    <font>
      <b/>
      <sz val="11"/>
      <name val="Arial Unicode MS"/>
      <family val="2"/>
      <charset val="129"/>
    </font>
    <font>
      <b/>
      <sz val="11"/>
      <name val="Arial"/>
      <family val="2"/>
      <charset val="129"/>
    </font>
    <font>
      <b/>
      <sz val="11"/>
      <name val="맑은 고딕"/>
      <family val="2"/>
      <charset val="129"/>
    </font>
    <font>
      <sz val="11"/>
      <color rgb="FF00B050"/>
      <name val="맑은 고딕"/>
      <family val="2"/>
      <charset val="129"/>
    </font>
    <font>
      <sz val="11"/>
      <color rgb="FF00B050"/>
      <name val="Arial"/>
      <family val="2"/>
    </font>
    <font>
      <sz val="11"/>
      <color rgb="FFFF0000"/>
      <name val="맑은 고딕"/>
      <family val="2"/>
      <charset val="129"/>
    </font>
    <font>
      <sz val="11"/>
      <color rgb="FF00B050"/>
      <name val="맑은 고딕"/>
      <family val="3"/>
      <charset val="129"/>
    </font>
    <font>
      <sz val="11"/>
      <color theme="0"/>
      <name val="Arial"/>
      <family val="2"/>
    </font>
    <font>
      <sz val="10"/>
      <name val="Arial"/>
      <family val="3"/>
      <charset val="129"/>
    </font>
    <font>
      <b/>
      <sz val="11"/>
      <color theme="0"/>
      <name val="Arial"/>
      <family val="2"/>
      <charset val="129"/>
    </font>
    <font>
      <sz val="11"/>
      <name val="Arial"/>
      <family val="2"/>
      <charset val="129"/>
    </font>
    <font>
      <sz val="11"/>
      <color rgb="FF0000FF"/>
      <name val="맑은 고딕"/>
      <family val="2"/>
      <charset val="129"/>
    </font>
    <font>
      <sz val="10"/>
      <color theme="1"/>
      <name val="Arial"/>
      <family val="2"/>
      <charset val="129"/>
    </font>
    <font>
      <b/>
      <sz val="11"/>
      <color rgb="FF00B050"/>
      <name val="돋움"/>
      <family val="3"/>
      <charset val="129"/>
    </font>
    <font>
      <b/>
      <sz val="11"/>
      <color rgb="FF00B050"/>
      <name val="Arial"/>
      <family val="2"/>
      <charset val="129"/>
    </font>
    <font>
      <sz val="11"/>
      <color rgb="FFFF0000"/>
      <name val="Arial"/>
      <family val="2"/>
      <charset val="129"/>
    </font>
    <font>
      <sz val="11"/>
      <color rgb="FF00B050"/>
      <name val="돋움"/>
      <family val="3"/>
      <charset val="129"/>
    </font>
    <font>
      <sz val="11"/>
      <color rgb="FFFF0000"/>
      <name val="돋움"/>
      <family val="3"/>
      <charset val="129"/>
    </font>
    <font>
      <sz val="10"/>
      <color rgb="FFFF0000"/>
      <name val="Arial"/>
      <family val="2"/>
    </font>
    <font>
      <sz val="11"/>
      <color rgb="FFFF0000"/>
      <name val="Arial"/>
      <family val="3"/>
      <charset val="129"/>
    </font>
    <font>
      <sz val="10"/>
      <color theme="1"/>
      <name val="Arial"/>
      <family val="3"/>
      <charset val="129"/>
    </font>
    <font>
      <sz val="10"/>
      <name val="Arial"/>
      <family val="3"/>
    </font>
    <font>
      <sz val="11"/>
      <color rgb="FF0000FF"/>
      <name val="Arial"/>
      <family val="2"/>
      <charset val="129"/>
    </font>
    <font>
      <sz val="10"/>
      <color theme="3" tint="0.79998168889431442"/>
      <name val="Arial"/>
      <family val="2"/>
    </font>
    <font>
      <sz val="10"/>
      <name val="Segoe UI Symbol"/>
      <family val="1"/>
    </font>
    <font>
      <sz val="10"/>
      <name val="Segoe UI Symbol"/>
      <family val="2"/>
    </font>
    <font>
      <sz val="9"/>
      <color indexed="63"/>
      <name val="맑은 고딕"/>
      <family val="3"/>
      <charset val="129"/>
      <scheme val="minor"/>
    </font>
  </fonts>
  <fills count="2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28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176" fontId="10" fillId="0" borderId="0" applyFont="0" applyFill="0" applyBorder="0" applyAlignment="0" applyProtection="0"/>
    <xf numFmtId="0" fontId="3" fillId="0" borderId="0"/>
    <xf numFmtId="0" fontId="8" fillId="0" borderId="0">
      <alignment vertical="center"/>
    </xf>
    <xf numFmtId="0" fontId="3" fillId="0" borderId="0"/>
    <xf numFmtId="0" fontId="12" fillId="0" borderId="0"/>
    <xf numFmtId="0" fontId="3" fillId="0" borderId="0"/>
    <xf numFmtId="0" fontId="2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/>
    <xf numFmtId="0" fontId="3" fillId="0" borderId="0">
      <alignment vertical="center"/>
    </xf>
    <xf numFmtId="0" fontId="1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8" fillId="0" borderId="0">
      <alignment vertical="center"/>
    </xf>
    <xf numFmtId="0" fontId="3" fillId="0" borderId="0"/>
    <xf numFmtId="0" fontId="41" fillId="0" borderId="0"/>
    <xf numFmtId="0" fontId="8" fillId="0" borderId="0">
      <alignment vertical="center"/>
    </xf>
    <xf numFmtId="0" fontId="45" fillId="0" borderId="0">
      <alignment vertical="center"/>
    </xf>
    <xf numFmtId="0" fontId="50" fillId="0" borderId="0"/>
    <xf numFmtId="41" fontId="53" fillId="0" borderId="0" applyFont="0" applyFill="0" applyBorder="0" applyAlignment="0" applyProtection="0">
      <alignment vertical="center"/>
    </xf>
  </cellStyleXfs>
  <cellXfs count="301">
    <xf numFmtId="0" fontId="0" fillId="0" borderId="0" xfId="0">
      <alignment vertical="center"/>
    </xf>
    <xf numFmtId="0" fontId="6" fillId="0" borderId="0" xfId="1" applyFont="1"/>
    <xf numFmtId="0" fontId="3" fillId="0" borderId="0" xfId="0" applyFont="1" applyAlignment="1"/>
    <xf numFmtId="0" fontId="3" fillId="0" borderId="0" xfId="7" applyFont="1" applyAlignment="1">
      <alignment horizontal="left" vertical="center"/>
    </xf>
    <xf numFmtId="0" fontId="6" fillId="0" borderId="0" xfId="0" applyFont="1" applyAlignment="1"/>
    <xf numFmtId="0" fontId="17" fillId="3" borderId="0" xfId="14" applyFont="1" applyFill="1">
      <alignment vertical="center"/>
    </xf>
    <xf numFmtId="0" fontId="17" fillId="3" borderId="0" xfId="14" applyFont="1" applyFill="1" applyAlignment="1">
      <alignment horizontal="left" vertical="center" indent="1"/>
    </xf>
    <xf numFmtId="0" fontId="17" fillId="0" borderId="0" xfId="14" applyFont="1">
      <alignment vertical="center"/>
    </xf>
    <xf numFmtId="0" fontId="17" fillId="0" borderId="0" xfId="13" applyFont="1">
      <alignment vertical="center"/>
    </xf>
    <xf numFmtId="0" fontId="17" fillId="5" borderId="0" xfId="14" applyFont="1" applyFill="1">
      <alignment vertical="center"/>
    </xf>
    <xf numFmtId="0" fontId="17" fillId="0" borderId="0" xfId="0" applyFont="1" applyAlignment="1"/>
    <xf numFmtId="0" fontId="17" fillId="7" borderId="0" xfId="14" applyFont="1" applyFill="1">
      <alignment vertical="center"/>
    </xf>
    <xf numFmtId="0" fontId="17" fillId="5" borderId="0" xfId="12" applyFont="1" applyFill="1">
      <alignment vertical="center"/>
    </xf>
    <xf numFmtId="0" fontId="17" fillId="5" borderId="0" xfId="0" applyFont="1" applyFill="1" applyAlignment="1"/>
    <xf numFmtId="0" fontId="17" fillId="0" borderId="0" xfId="9" applyFont="1">
      <alignment vertical="center"/>
    </xf>
    <xf numFmtId="0" fontId="17" fillId="0" borderId="0" xfId="12" applyFont="1">
      <alignment vertical="center"/>
    </xf>
    <xf numFmtId="0" fontId="16" fillId="10" borderId="5" xfId="0" applyFont="1" applyFill="1" applyBorder="1" applyAlignment="1"/>
    <xf numFmtId="0" fontId="17" fillId="0" borderId="0" xfId="0" applyFont="1">
      <alignment vertical="center"/>
    </xf>
    <xf numFmtId="0" fontId="16" fillId="6" borderId="8" xfId="0" applyFont="1" applyFill="1" applyBorder="1" applyAlignment="1"/>
    <xf numFmtId="177" fontId="16" fillId="6" borderId="4" xfId="0" applyNumberFormat="1" applyFont="1" applyFill="1" applyBorder="1" applyAlignment="1">
      <alignment wrapText="1"/>
    </xf>
    <xf numFmtId="0" fontId="16" fillId="6" borderId="9" xfId="0" applyFont="1" applyFill="1" applyBorder="1" applyAlignment="1">
      <alignment wrapText="1"/>
    </xf>
    <xf numFmtId="49" fontId="16" fillId="6" borderId="8" xfId="0" applyNumberFormat="1" applyFont="1" applyFill="1" applyBorder="1" applyAlignment="1"/>
    <xf numFmtId="0" fontId="16" fillId="6" borderId="4" xfId="0" applyFont="1" applyFill="1" applyBorder="1" applyAlignment="1">
      <alignment wrapText="1"/>
    </xf>
    <xf numFmtId="49" fontId="16" fillId="6" borderId="10" xfId="0" applyNumberFormat="1" applyFont="1" applyFill="1" applyBorder="1" applyAlignment="1"/>
    <xf numFmtId="177" fontId="16" fillId="6" borderId="11" xfId="0" applyNumberFormat="1" applyFont="1" applyFill="1" applyBorder="1" applyAlignment="1">
      <alignment wrapText="1"/>
    </xf>
    <xf numFmtId="0" fontId="16" fillId="6" borderId="11" xfId="0" applyFont="1" applyFill="1" applyBorder="1" applyAlignment="1">
      <alignment wrapText="1"/>
    </xf>
    <xf numFmtId="0" fontId="16" fillId="6" borderId="12" xfId="0" applyFont="1" applyFill="1" applyBorder="1" applyAlignment="1">
      <alignment wrapText="1"/>
    </xf>
    <xf numFmtId="0" fontId="16" fillId="10" borderId="13" xfId="0" applyFont="1" applyFill="1" applyBorder="1" applyAlignment="1"/>
    <xf numFmtId="0" fontId="21" fillId="6" borderId="4" xfId="0" applyFont="1" applyFill="1" applyBorder="1" applyAlignment="1">
      <alignment wrapText="1"/>
    </xf>
    <xf numFmtId="0" fontId="23" fillId="0" borderId="0" xfId="14" applyFont="1">
      <alignment vertical="center"/>
    </xf>
    <xf numFmtId="0" fontId="23" fillId="0" borderId="0" xfId="13" applyFont="1">
      <alignment vertical="center"/>
    </xf>
    <xf numFmtId="0" fontId="17" fillId="0" borderId="0" xfId="0" quotePrefix="1" applyFont="1" applyAlignment="1"/>
    <xf numFmtId="0" fontId="17" fillId="5" borderId="0" xfId="0" quotePrefix="1" applyFont="1" applyFill="1" applyAlignment="1"/>
    <xf numFmtId="0" fontId="6" fillId="4" borderId="0" xfId="16" applyFont="1" applyFill="1" applyAlignment="1"/>
    <xf numFmtId="0" fontId="6" fillId="0" borderId="0" xfId="16" applyFont="1" applyAlignment="1"/>
    <xf numFmtId="0" fontId="6" fillId="7" borderId="4" xfId="16" applyFont="1" applyFill="1" applyBorder="1" applyAlignment="1"/>
    <xf numFmtId="0" fontId="6" fillId="7" borderId="4" xfId="16" applyFont="1" applyFill="1" applyBorder="1">
      <alignment vertical="center"/>
    </xf>
    <xf numFmtId="0" fontId="17" fillId="10" borderId="0" xfId="14" applyFont="1" applyFill="1">
      <alignment vertical="center"/>
    </xf>
    <xf numFmtId="0" fontId="17" fillId="16" borderId="0" xfId="14" applyFont="1" applyFill="1">
      <alignment vertical="center"/>
    </xf>
    <xf numFmtId="0" fontId="17" fillId="17" borderId="0" xfId="12" applyFont="1" applyFill="1">
      <alignment vertical="center"/>
    </xf>
    <xf numFmtId="0" fontId="29" fillId="15" borderId="0" xfId="14" applyFont="1" applyFill="1">
      <alignment vertical="center"/>
    </xf>
    <xf numFmtId="0" fontId="3" fillId="0" borderId="0" xfId="7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17" fillId="4" borderId="0" xfId="0" applyFont="1" applyFill="1" applyAlignment="1"/>
    <xf numFmtId="0" fontId="6" fillId="9" borderId="4" xfId="16" applyFont="1" applyFill="1" applyBorder="1" applyAlignment="1">
      <alignment horizontal="center"/>
    </xf>
    <xf numFmtId="0" fontId="6" fillId="9" borderId="4" xfId="16" applyFont="1" applyFill="1" applyBorder="1" applyAlignment="1"/>
    <xf numFmtId="0" fontId="23" fillId="0" borderId="0" xfId="0" applyFont="1" applyAlignment="1"/>
    <xf numFmtId="0" fontId="17" fillId="18" borderId="0" xfId="0" applyFont="1" applyFill="1" applyAlignment="1"/>
    <xf numFmtId="0" fontId="17" fillId="18" borderId="0" xfId="18" applyFont="1" applyFill="1"/>
    <xf numFmtId="0" fontId="17" fillId="19" borderId="0" xfId="0" applyFont="1" applyFill="1" applyAlignment="1"/>
    <xf numFmtId="0" fontId="3" fillId="0" borderId="0" xfId="0" applyFont="1">
      <alignment vertical="center"/>
    </xf>
    <xf numFmtId="0" fontId="3" fillId="11" borderId="16" xfId="0" applyFont="1" applyFill="1" applyBorder="1" applyAlignment="1"/>
    <xf numFmtId="0" fontId="16" fillId="2" borderId="5" xfId="15" applyFont="1" applyFill="1" applyBorder="1" applyAlignment="1">
      <alignment horizontal="center"/>
    </xf>
    <xf numFmtId="0" fontId="16" fillId="2" borderId="6" xfId="15" applyFont="1" applyFill="1" applyBorder="1" applyAlignment="1">
      <alignment horizontal="center" wrapText="1"/>
    </xf>
    <xf numFmtId="0" fontId="16" fillId="2" borderId="7" xfId="15" applyFont="1" applyFill="1" applyBorder="1" applyAlignment="1">
      <alignment horizontal="center" wrapText="1"/>
    </xf>
    <xf numFmtId="0" fontId="3" fillId="0" borderId="4" xfId="0" applyFont="1" applyBorder="1">
      <alignment vertical="center"/>
    </xf>
    <xf numFmtId="0" fontId="6" fillId="4" borderId="0" xfId="19" applyFont="1" applyFill="1" applyAlignment="1"/>
    <xf numFmtId="0" fontId="6" fillId="7" borderId="4" xfId="19" applyFont="1" applyFill="1" applyBorder="1" applyAlignment="1"/>
    <xf numFmtId="0" fontId="6" fillId="4" borderId="0" xfId="20" applyFont="1" applyFill="1"/>
    <xf numFmtId="0" fontId="6" fillId="0" borderId="0" xfId="20" applyFont="1"/>
    <xf numFmtId="0" fontId="6" fillId="7" borderId="4" xfId="20" applyFont="1" applyFill="1" applyBorder="1"/>
    <xf numFmtId="0" fontId="6" fillId="7" borderId="4" xfId="20" applyFont="1" applyFill="1" applyBorder="1" applyAlignment="1">
      <alignment vertical="center"/>
    </xf>
    <xf numFmtId="0" fontId="3" fillId="9" borderId="4" xfId="21" applyFont="1" applyFill="1" applyBorder="1" applyAlignment="1"/>
    <xf numFmtId="178" fontId="3" fillId="0" borderId="0" xfId="0" applyNumberFormat="1" applyFont="1">
      <alignment vertical="center"/>
    </xf>
    <xf numFmtId="2" fontId="3" fillId="0" borderId="0" xfId="0" applyNumberFormat="1" applyFont="1">
      <alignment vertical="center"/>
    </xf>
    <xf numFmtId="2" fontId="17" fillId="5" borderId="0" xfId="12" applyNumberFormat="1" applyFont="1" applyFill="1">
      <alignment vertical="center"/>
    </xf>
    <xf numFmtId="0" fontId="29" fillId="15" borderId="0" xfId="14" applyFont="1" applyFill="1" applyAlignment="1">
      <alignment horizontal="center" vertical="center"/>
    </xf>
    <xf numFmtId="0" fontId="17" fillId="10" borderId="0" xfId="14" applyFont="1" applyFill="1" applyAlignment="1">
      <alignment horizontal="center" vertical="center"/>
    </xf>
    <xf numFmtId="0" fontId="17" fillId="3" borderId="0" xfId="14" applyFont="1" applyFill="1" applyAlignment="1">
      <alignment horizontal="center" vertical="center"/>
    </xf>
    <xf numFmtId="0" fontId="17" fillId="0" borderId="0" xfId="14" applyFont="1" applyAlignment="1">
      <alignment horizontal="center" vertical="center"/>
    </xf>
    <xf numFmtId="0" fontId="17" fillId="0" borderId="0" xfId="0" applyFont="1" applyAlignment="1">
      <alignment horizontal="center"/>
    </xf>
    <xf numFmtId="0" fontId="17" fillId="16" borderId="0" xfId="14" applyFont="1" applyFill="1" applyAlignment="1">
      <alignment horizontal="center" vertical="center"/>
    </xf>
    <xf numFmtId="0" fontId="17" fillId="7" borderId="0" xfId="14" applyFont="1" applyFill="1" applyAlignment="1">
      <alignment horizontal="center" vertical="center"/>
    </xf>
    <xf numFmtId="0" fontId="17" fillId="17" borderId="0" xfId="12" applyFont="1" applyFill="1" applyAlignment="1">
      <alignment horizontal="center" vertical="center"/>
    </xf>
    <xf numFmtId="0" fontId="3" fillId="21" borderId="4" xfId="24" applyFont="1" applyFill="1" applyBorder="1" applyAlignment="1" applyProtection="1">
      <alignment horizontal="center" vertical="center"/>
      <protection hidden="1"/>
    </xf>
    <xf numFmtId="179" fontId="3" fillId="0" borderId="4" xfId="24" applyNumberFormat="1" applyFont="1" applyBorder="1" applyAlignment="1" applyProtection="1">
      <alignment horizontal="center" vertical="center"/>
      <protection hidden="1"/>
    </xf>
    <xf numFmtId="0" fontId="6" fillId="0" borderId="0" xfId="21" applyFont="1">
      <alignment vertical="center"/>
    </xf>
    <xf numFmtId="0" fontId="3" fillId="0" borderId="0" xfId="21" applyFont="1">
      <alignment vertical="center"/>
    </xf>
    <xf numFmtId="0" fontId="3" fillId="0" borderId="0" xfId="24" applyFont="1" applyAlignment="1" applyProtection="1">
      <alignment horizontal="right" vertical="center"/>
      <protection hidden="1"/>
    </xf>
    <xf numFmtId="0" fontId="6" fillId="0" borderId="4" xfId="26" applyFont="1" applyBorder="1" applyAlignment="1" applyProtection="1">
      <alignment horizontal="center" vertical="center"/>
      <protection hidden="1"/>
    </xf>
    <xf numFmtId="1" fontId="3" fillId="21" borderId="4" xfId="24" applyNumberFormat="1" applyFont="1" applyFill="1" applyBorder="1" applyAlignment="1" applyProtection="1">
      <alignment horizontal="center" vertical="center"/>
      <protection hidden="1"/>
    </xf>
    <xf numFmtId="181" fontId="3" fillId="0" borderId="4" xfId="24" applyNumberFormat="1" applyFont="1" applyBorder="1" applyAlignment="1" applyProtection="1">
      <alignment horizontal="center" vertical="center"/>
      <protection hidden="1"/>
    </xf>
    <xf numFmtId="0" fontId="29" fillId="15" borderId="0" xfId="27" applyNumberFormat="1" applyFont="1" applyFill="1">
      <alignment vertical="center"/>
    </xf>
    <xf numFmtId="0" fontId="17" fillId="10" borderId="0" xfId="27" applyNumberFormat="1" applyFont="1" applyFill="1">
      <alignment vertical="center"/>
    </xf>
    <xf numFmtId="0" fontId="17" fillId="3" borderId="0" xfId="27" applyNumberFormat="1" applyFont="1" applyFill="1">
      <alignment vertical="center"/>
    </xf>
    <xf numFmtId="0" fontId="17" fillId="5" borderId="0" xfId="27" applyNumberFormat="1" applyFont="1" applyFill="1">
      <alignment vertical="center"/>
    </xf>
    <xf numFmtId="0" fontId="17" fillId="0" borderId="0" xfId="27" applyNumberFormat="1" applyFont="1">
      <alignment vertical="center"/>
    </xf>
    <xf numFmtId="0" fontId="17" fillId="0" borderId="0" xfId="27" applyNumberFormat="1" applyFont="1" applyAlignment="1"/>
    <xf numFmtId="0" fontId="17" fillId="16" borderId="0" xfId="27" applyNumberFormat="1" applyFont="1" applyFill="1">
      <alignment vertical="center"/>
    </xf>
    <xf numFmtId="0" fontId="17" fillId="7" borderId="0" xfId="27" applyNumberFormat="1" applyFont="1" applyFill="1">
      <alignment vertical="center"/>
    </xf>
    <xf numFmtId="0" fontId="17" fillId="4" borderId="0" xfId="27" applyNumberFormat="1" applyFont="1" applyFill="1">
      <alignment vertical="center"/>
    </xf>
    <xf numFmtId="0" fontId="17" fillId="17" borderId="0" xfId="27" applyNumberFormat="1" applyFont="1" applyFill="1">
      <alignment vertical="center"/>
    </xf>
    <xf numFmtId="0" fontId="17" fillId="25" borderId="0" xfId="0" applyFont="1" applyFill="1" applyAlignment="1"/>
    <xf numFmtId="2" fontId="17" fillId="5" borderId="0" xfId="27" applyNumberFormat="1" applyFont="1" applyFill="1">
      <alignment vertical="center"/>
    </xf>
    <xf numFmtId="0" fontId="3" fillId="5" borderId="4" xfId="14" applyFont="1" applyFill="1" applyBorder="1">
      <alignment vertical="center"/>
    </xf>
    <xf numFmtId="0" fontId="3" fillId="5" borderId="4" xfId="14" applyFont="1" applyFill="1" applyBorder="1" applyAlignment="1">
      <alignment horizontal="center" vertical="center"/>
    </xf>
    <xf numFmtId="0" fontId="3" fillId="0" borderId="4" xfId="1" applyBorder="1"/>
    <xf numFmtId="182" fontId="17" fillId="18" borderId="0" xfId="0" applyNumberFormat="1" applyFont="1" applyFill="1" applyAlignment="1"/>
    <xf numFmtId="0" fontId="17" fillId="4" borderId="0" xfId="12" applyFont="1" applyFill="1">
      <alignment vertical="center"/>
    </xf>
    <xf numFmtId="0" fontId="3" fillId="5" borderId="4" xfId="17" applyFont="1" applyFill="1" applyBorder="1" applyAlignment="1">
      <alignment horizontal="center" vertical="center"/>
    </xf>
    <xf numFmtId="0" fontId="3" fillId="13" borderId="1" xfId="8" applyFill="1" applyBorder="1" applyAlignment="1" applyProtection="1">
      <alignment horizontal="center" vertical="center"/>
      <protection locked="0"/>
    </xf>
    <xf numFmtId="0" fontId="3" fillId="3" borderId="1" xfId="1" applyFill="1" applyBorder="1" applyAlignment="1">
      <alignment horizontal="center"/>
    </xf>
    <xf numFmtId="0" fontId="3" fillId="13" borderId="1" xfId="1" applyFill="1" applyBorder="1" applyAlignment="1">
      <alignment horizontal="center"/>
    </xf>
    <xf numFmtId="0" fontId="6" fillId="7" borderId="4" xfId="7" applyFont="1" applyFill="1" applyBorder="1" applyAlignment="1">
      <alignment vertical="center"/>
    </xf>
    <xf numFmtId="0" fontId="60" fillId="7" borderId="4" xfId="5" applyFont="1" applyFill="1" applyBorder="1">
      <alignment vertical="center"/>
    </xf>
    <xf numFmtId="0" fontId="3" fillId="4" borderId="4" xfId="1" applyFill="1" applyBorder="1" applyAlignment="1">
      <alignment horizontal="center" vertical="center"/>
    </xf>
    <xf numFmtId="0" fontId="62" fillId="11" borderId="16" xfId="2" applyFont="1" applyFill="1" applyBorder="1">
      <alignment vertical="center"/>
    </xf>
    <xf numFmtId="0" fontId="62" fillId="11" borderId="16" xfId="2" applyFont="1" applyFill="1" applyBorder="1" applyAlignment="1">
      <alignment horizontal="center" vertical="center"/>
    </xf>
    <xf numFmtId="0" fontId="62" fillId="12" borderId="16" xfId="2" applyFont="1" applyFill="1" applyBorder="1">
      <alignment vertical="center"/>
    </xf>
    <xf numFmtId="0" fontId="62" fillId="12" borderId="0" xfId="2" applyFont="1" applyFill="1">
      <alignment vertical="center"/>
    </xf>
    <xf numFmtId="0" fontId="62" fillId="12" borderId="0" xfId="2" applyFont="1" applyFill="1" applyAlignment="1">
      <alignment horizontal="center" vertical="center"/>
    </xf>
    <xf numFmtId="0" fontId="3" fillId="5" borderId="4" xfId="17" applyFont="1" applyFill="1" applyBorder="1">
      <alignment vertical="center"/>
    </xf>
    <xf numFmtId="0" fontId="62" fillId="12" borderId="3" xfId="2" applyFont="1" applyFill="1" applyBorder="1">
      <alignment vertical="center"/>
    </xf>
    <xf numFmtId="0" fontId="62" fillId="12" borderId="3" xfId="2" applyFont="1" applyFill="1" applyBorder="1" applyAlignment="1">
      <alignment horizontal="center" vertical="center"/>
    </xf>
    <xf numFmtId="0" fontId="17" fillId="0" borderId="0" xfId="17" applyFont="1">
      <alignment vertical="center"/>
    </xf>
    <xf numFmtId="0" fontId="38" fillId="20" borderId="4" xfId="24" applyFont="1" applyFill="1" applyBorder="1" applyAlignment="1" applyProtection="1">
      <alignment horizontal="center" vertical="center"/>
      <protection hidden="1"/>
    </xf>
    <xf numFmtId="0" fontId="69" fillId="0" borderId="0" xfId="0" applyFont="1" applyAlignment="1"/>
    <xf numFmtId="0" fontId="34" fillId="5" borderId="0" xfId="0" applyFont="1" applyFill="1" applyAlignment="1"/>
    <xf numFmtId="0" fontId="62" fillId="12" borderId="28" xfId="2" applyFont="1" applyFill="1" applyBorder="1">
      <alignment vertical="center"/>
    </xf>
    <xf numFmtId="0" fontId="62" fillId="11" borderId="3" xfId="2" applyFont="1" applyFill="1" applyBorder="1">
      <alignment vertical="center"/>
    </xf>
    <xf numFmtId="0" fontId="62" fillId="11" borderId="3" xfId="2" applyFont="1" applyFill="1" applyBorder="1" applyAlignment="1">
      <alignment horizontal="center" vertical="center"/>
    </xf>
    <xf numFmtId="0" fontId="58" fillId="13" borderId="1" xfId="8" applyFont="1" applyFill="1" applyBorder="1" applyAlignment="1" applyProtection="1">
      <alignment horizontal="center" vertical="center"/>
      <protection locked="0"/>
    </xf>
    <xf numFmtId="0" fontId="17" fillId="16" borderId="0" xfId="17" applyFont="1" applyFill="1" applyAlignment="1">
      <alignment horizontal="center" vertical="center"/>
    </xf>
    <xf numFmtId="0" fontId="17" fillId="16" borderId="0" xfId="17" applyFont="1" applyFill="1">
      <alignment vertical="center"/>
    </xf>
    <xf numFmtId="0" fontId="17" fillId="7" borderId="0" xfId="17" applyFont="1" applyFill="1" applyAlignment="1">
      <alignment horizontal="center" vertical="center"/>
    </xf>
    <xf numFmtId="0" fontId="17" fillId="7" borderId="0" xfId="17" applyFont="1" applyFill="1">
      <alignment vertical="center"/>
    </xf>
    <xf numFmtId="0" fontId="29" fillId="15" borderId="0" xfId="17" applyFont="1" applyFill="1" applyAlignment="1">
      <alignment horizontal="center" vertical="center"/>
    </xf>
    <xf numFmtId="0" fontId="29" fillId="15" borderId="0" xfId="17" applyFont="1" applyFill="1">
      <alignment vertical="center"/>
    </xf>
    <xf numFmtId="1" fontId="17" fillId="5" borderId="0" xfId="12" applyNumberFormat="1" applyFont="1" applyFill="1">
      <alignment vertical="center"/>
    </xf>
    <xf numFmtId="1" fontId="17" fillId="5" borderId="0" xfId="27" applyNumberFormat="1" applyFont="1" applyFill="1">
      <alignment vertical="center"/>
    </xf>
    <xf numFmtId="0" fontId="34" fillId="0" borderId="0" xfId="0" applyFont="1" applyAlignment="1"/>
    <xf numFmtId="0" fontId="34" fillId="17" borderId="0" xfId="12" quotePrefix="1" applyFont="1" applyFill="1">
      <alignment vertical="center"/>
    </xf>
    <xf numFmtId="0" fontId="62" fillId="22" borderId="18" xfId="0" applyFont="1" applyFill="1" applyBorder="1" applyAlignment="1">
      <alignment horizontal="center" vertical="center"/>
    </xf>
    <xf numFmtId="0" fontId="62" fillId="22" borderId="19" xfId="0" applyFont="1" applyFill="1" applyBorder="1" applyAlignment="1">
      <alignment horizontal="center" vertical="center"/>
    </xf>
    <xf numFmtId="0" fontId="62" fillId="22" borderId="20" xfId="0" applyFont="1" applyFill="1" applyBorder="1" applyAlignment="1">
      <alignment horizontal="center" vertical="center"/>
    </xf>
    <xf numFmtId="0" fontId="62" fillId="22" borderId="21" xfId="0" applyFont="1" applyFill="1" applyBorder="1" applyAlignment="1">
      <alignment horizontal="center" vertical="center"/>
    </xf>
    <xf numFmtId="0" fontId="62" fillId="22" borderId="22" xfId="0" applyFont="1" applyFill="1" applyBorder="1" applyAlignment="1">
      <alignment horizontal="center" vertical="center"/>
    </xf>
    <xf numFmtId="0" fontId="62" fillId="22" borderId="23" xfId="0" applyFont="1" applyFill="1" applyBorder="1" applyAlignment="1">
      <alignment horizontal="center" vertical="center"/>
    </xf>
    <xf numFmtId="0" fontId="62" fillId="23" borderId="18" xfId="0" applyFont="1" applyFill="1" applyBorder="1" applyAlignment="1">
      <alignment horizontal="center" vertical="center"/>
    </xf>
    <xf numFmtId="180" fontId="62" fillId="0" borderId="19" xfId="0" applyNumberFormat="1" applyFont="1" applyBorder="1" applyAlignment="1">
      <alignment horizontal="center" vertical="center"/>
    </xf>
    <xf numFmtId="181" fontId="62" fillId="0" borderId="20" xfId="0" applyNumberFormat="1" applyFont="1" applyBorder="1" applyAlignment="1">
      <alignment horizontal="center" vertical="center"/>
    </xf>
    <xf numFmtId="0" fontId="62" fillId="23" borderId="18" xfId="25" applyFont="1" applyFill="1" applyBorder="1" applyAlignment="1">
      <alignment horizontal="center" vertical="center"/>
    </xf>
    <xf numFmtId="180" fontId="62" fillId="0" borderId="19" xfId="25" applyNumberFormat="1" applyFont="1" applyBorder="1" applyAlignment="1">
      <alignment horizontal="center" vertical="center"/>
    </xf>
    <xf numFmtId="181" fontId="62" fillId="0" borderId="20" xfId="25" applyNumberFormat="1" applyFont="1" applyBorder="1" applyAlignment="1">
      <alignment horizontal="center" vertical="center"/>
    </xf>
    <xf numFmtId="0" fontId="62" fillId="23" borderId="24" xfId="0" applyFont="1" applyFill="1" applyBorder="1" applyAlignment="1">
      <alignment horizontal="center" vertical="center"/>
    </xf>
    <xf numFmtId="180" fontId="62" fillId="0" borderId="25" xfId="0" applyNumberFormat="1" applyFont="1" applyBorder="1" applyAlignment="1">
      <alignment horizontal="center" vertical="center"/>
    </xf>
    <xf numFmtId="181" fontId="62" fillId="0" borderId="26" xfId="0" applyNumberFormat="1" applyFont="1" applyBorder="1" applyAlignment="1">
      <alignment horizontal="center" vertical="center"/>
    </xf>
    <xf numFmtId="0" fontId="62" fillId="23" borderId="24" xfId="25" applyFont="1" applyFill="1" applyBorder="1" applyAlignment="1">
      <alignment horizontal="center" vertical="center"/>
    </xf>
    <xf numFmtId="180" fontId="62" fillId="0" borderId="25" xfId="25" applyNumberFormat="1" applyFont="1" applyBorder="1" applyAlignment="1">
      <alignment horizontal="center" vertical="center"/>
    </xf>
    <xf numFmtId="181" fontId="62" fillId="0" borderId="26" xfId="25" applyNumberFormat="1" applyFont="1" applyBorder="1" applyAlignment="1">
      <alignment horizontal="center" vertical="center"/>
    </xf>
    <xf numFmtId="0" fontId="62" fillId="23" borderId="21" xfId="0" applyFont="1" applyFill="1" applyBorder="1" applyAlignment="1">
      <alignment horizontal="center" vertical="center"/>
    </xf>
    <xf numFmtId="180" fontId="62" fillId="0" borderId="22" xfId="0" applyNumberFormat="1" applyFont="1" applyBorder="1" applyAlignment="1">
      <alignment horizontal="center" vertical="center"/>
    </xf>
    <xf numFmtId="181" fontId="62" fillId="0" borderId="23" xfId="0" applyNumberFormat="1" applyFont="1" applyBorder="1" applyAlignment="1">
      <alignment horizontal="center" vertical="center"/>
    </xf>
    <xf numFmtId="0" fontId="62" fillId="23" borderId="21" xfId="25" applyFont="1" applyFill="1" applyBorder="1" applyAlignment="1">
      <alignment horizontal="center" vertical="center"/>
    </xf>
    <xf numFmtId="180" fontId="62" fillId="0" borderId="22" xfId="25" applyNumberFormat="1" applyFont="1" applyBorder="1" applyAlignment="1">
      <alignment horizontal="center" vertical="center"/>
    </xf>
    <xf numFmtId="181" fontId="62" fillId="0" borderId="23" xfId="25" applyNumberFormat="1" applyFont="1" applyBorder="1" applyAlignment="1">
      <alignment horizontal="center" vertical="center"/>
    </xf>
    <xf numFmtId="0" fontId="62" fillId="4" borderId="24" xfId="0" applyFont="1" applyFill="1" applyBorder="1" applyAlignment="1">
      <alignment horizontal="center" vertical="center"/>
    </xf>
    <xf numFmtId="180" fontId="62" fillId="4" borderId="25" xfId="0" applyNumberFormat="1" applyFont="1" applyFill="1" applyBorder="1" applyAlignment="1">
      <alignment horizontal="center" vertical="center"/>
    </xf>
    <xf numFmtId="181" fontId="62" fillId="4" borderId="26" xfId="0" applyNumberFormat="1" applyFont="1" applyFill="1" applyBorder="1" applyAlignment="1">
      <alignment horizontal="center" vertical="center"/>
    </xf>
    <xf numFmtId="0" fontId="62" fillId="4" borderId="24" xfId="25" applyFont="1" applyFill="1" applyBorder="1" applyAlignment="1">
      <alignment horizontal="center" vertical="center"/>
    </xf>
    <xf numFmtId="180" fontId="62" fillId="4" borderId="25" xfId="25" applyNumberFormat="1" applyFont="1" applyFill="1" applyBorder="1" applyAlignment="1">
      <alignment horizontal="center" vertical="center"/>
    </xf>
    <xf numFmtId="181" fontId="62" fillId="4" borderId="26" xfId="25" applyNumberFormat="1" applyFont="1" applyFill="1" applyBorder="1" applyAlignment="1">
      <alignment horizontal="center" vertical="center"/>
    </xf>
    <xf numFmtId="182" fontId="3" fillId="24" borderId="18" xfId="0" applyNumberFormat="1" applyFont="1" applyFill="1" applyBorder="1" applyAlignment="1">
      <alignment horizontal="center" vertical="center"/>
    </xf>
    <xf numFmtId="178" fontId="3" fillId="0" borderId="19" xfId="0" applyNumberFormat="1" applyFont="1" applyBorder="1" applyAlignment="1">
      <alignment horizontal="center"/>
    </xf>
    <xf numFmtId="178" fontId="3" fillId="0" borderId="20" xfId="0" applyNumberFormat="1" applyFont="1" applyBorder="1" applyAlignment="1">
      <alignment horizontal="center" vertical="center"/>
    </xf>
    <xf numFmtId="182" fontId="3" fillId="24" borderId="24" xfId="0" applyNumberFormat="1" applyFont="1" applyFill="1" applyBorder="1" applyAlignment="1">
      <alignment horizontal="center" vertical="center"/>
    </xf>
    <xf numFmtId="178" fontId="3" fillId="0" borderId="25" xfId="0" applyNumberFormat="1" applyFont="1" applyBorder="1" applyAlignment="1">
      <alignment horizontal="center"/>
    </xf>
    <xf numFmtId="178" fontId="3" fillId="0" borderId="26" xfId="0" applyNumberFormat="1" applyFont="1" applyBorder="1" applyAlignment="1">
      <alignment horizontal="center" vertical="center"/>
    </xf>
    <xf numFmtId="182" fontId="3" fillId="24" borderId="21" xfId="0" applyNumberFormat="1" applyFont="1" applyFill="1" applyBorder="1" applyAlignment="1">
      <alignment horizontal="center" vertical="center"/>
    </xf>
    <xf numFmtId="178" fontId="3" fillId="0" borderId="22" xfId="0" applyNumberFormat="1" applyFont="1" applyBorder="1" applyAlignment="1">
      <alignment horizontal="center"/>
    </xf>
    <xf numFmtId="178" fontId="3" fillId="0" borderId="23" xfId="0" applyNumberFormat="1" applyFont="1" applyBorder="1" applyAlignment="1">
      <alignment horizontal="center" vertical="center"/>
    </xf>
    <xf numFmtId="0" fontId="3" fillId="0" borderId="0" xfId="16" applyAlignment="1"/>
    <xf numFmtId="0" fontId="3" fillId="0" borderId="4" xfId="16" applyBorder="1" applyAlignment="1"/>
    <xf numFmtId="0" fontId="3" fillId="0" borderId="4" xfId="16" applyBorder="1" applyAlignment="1">
      <alignment horizontal="left"/>
    </xf>
    <xf numFmtId="0" fontId="3" fillId="0" borderId="0" xfId="1"/>
    <xf numFmtId="0" fontId="3" fillId="9" borderId="4" xfId="16" applyFill="1" applyBorder="1" applyAlignment="1"/>
    <xf numFmtId="0" fontId="3" fillId="0" borderId="0" xfId="1" applyAlignment="1">
      <alignment horizontal="left" vertical="center"/>
    </xf>
    <xf numFmtId="0" fontId="3" fillId="0" borderId="4" xfId="20" applyBorder="1"/>
    <xf numFmtId="0" fontId="3" fillId="0" borderId="4" xfId="20" applyBorder="1" applyAlignment="1">
      <alignment horizontal="left"/>
    </xf>
    <xf numFmtId="0" fontId="3" fillId="0" borderId="0" xfId="22"/>
    <xf numFmtId="0" fontId="3" fillId="8" borderId="4" xfId="1" applyFill="1" applyBorder="1"/>
    <xf numFmtId="0" fontId="3" fillId="9" borderId="4" xfId="1" applyFill="1" applyBorder="1" applyAlignment="1">
      <alignment horizontal="left" vertical="center"/>
    </xf>
    <xf numFmtId="0" fontId="3" fillId="7" borderId="4" xfId="1" applyFill="1" applyBorder="1"/>
    <xf numFmtId="0" fontId="3" fillId="0" borderId="0" xfId="16">
      <alignment vertical="center"/>
    </xf>
    <xf numFmtId="0" fontId="3" fillId="0" borderId="0" xfId="19" applyAlignment="1"/>
    <xf numFmtId="0" fontId="3" fillId="0" borderId="4" xfId="19" applyBorder="1" applyAlignment="1"/>
    <xf numFmtId="0" fontId="3" fillId="0" borderId="0" xfId="1" applyAlignment="1">
      <alignment vertical="center"/>
    </xf>
    <xf numFmtId="2" fontId="3" fillId="0" borderId="4" xfId="16" applyNumberFormat="1" applyBorder="1" applyAlignment="1">
      <alignment horizontal="center"/>
    </xf>
    <xf numFmtId="2" fontId="3" fillId="9" borderId="4" xfId="16" applyNumberFormat="1" applyFill="1" applyBorder="1" applyAlignment="1">
      <alignment horizontal="center"/>
    </xf>
    <xf numFmtId="2" fontId="3" fillId="0" borderId="0" xfId="16" applyNumberFormat="1" applyAlignment="1">
      <alignment horizontal="center"/>
    </xf>
    <xf numFmtId="0" fontId="3" fillId="4" borderId="4" xfId="16" applyFill="1" applyBorder="1" applyAlignment="1"/>
    <xf numFmtId="0" fontId="3" fillId="4" borderId="0" xfId="16" applyFill="1" applyAlignment="1"/>
    <xf numFmtId="2" fontId="3" fillId="0" borderId="4" xfId="16" applyNumberFormat="1" applyBorder="1" applyAlignment="1">
      <alignment horizontal="left"/>
    </xf>
    <xf numFmtId="2" fontId="3" fillId="9" borderId="4" xfId="16" applyNumberFormat="1" applyFill="1" applyBorder="1" applyAlignment="1">
      <alignment horizontal="left"/>
    </xf>
    <xf numFmtId="0" fontId="75" fillId="0" borderId="0" xfId="21" applyFont="1" applyAlignment="1">
      <alignment vertical="center" wrapText="1"/>
    </xf>
    <xf numFmtId="0" fontId="75" fillId="0" borderId="0" xfId="21" applyFont="1">
      <alignment vertical="center"/>
    </xf>
    <xf numFmtId="0" fontId="75" fillId="0" borderId="0" xfId="21" applyFont="1" applyAlignment="1">
      <alignment horizontal="center" vertical="center"/>
    </xf>
    <xf numFmtId="0" fontId="34" fillId="4" borderId="0" xfId="14" applyFont="1" applyFill="1">
      <alignment vertical="center"/>
    </xf>
    <xf numFmtId="0" fontId="77" fillId="6" borderId="9" xfId="0" applyFont="1" applyFill="1" applyBorder="1" applyAlignment="1">
      <alignment wrapText="1"/>
    </xf>
    <xf numFmtId="0" fontId="80" fillId="17" borderId="0" xfId="12" applyFont="1" applyFill="1">
      <alignment vertical="center"/>
    </xf>
    <xf numFmtId="0" fontId="47" fillId="13" borderId="1" xfId="8" applyFont="1" applyFill="1" applyBorder="1" applyAlignment="1" applyProtection="1">
      <alignment horizontal="center" vertical="center"/>
      <protection locked="0"/>
    </xf>
    <xf numFmtId="2" fontId="17" fillId="0" borderId="0" xfId="0" applyNumberFormat="1" applyFont="1" applyAlignment="1"/>
    <xf numFmtId="0" fontId="83" fillId="28" borderId="0" xfId="14" applyFont="1" applyFill="1" applyAlignment="1">
      <alignment horizontal="center" vertical="center"/>
    </xf>
    <xf numFmtId="0" fontId="17" fillId="28" borderId="0" xfId="14" applyFont="1" applyFill="1">
      <alignment vertical="center"/>
    </xf>
    <xf numFmtId="0" fontId="17" fillId="28" borderId="0" xfId="27" applyNumberFormat="1" applyFont="1" applyFill="1">
      <alignment vertical="center"/>
    </xf>
    <xf numFmtId="0" fontId="84" fillId="13" borderId="1" xfId="8" applyFont="1" applyFill="1" applyBorder="1" applyAlignment="1" applyProtection="1">
      <alignment horizontal="center" vertical="center"/>
      <protection locked="0"/>
    </xf>
    <xf numFmtId="0" fontId="85" fillId="15" borderId="0" xfId="14" applyFont="1" applyFill="1">
      <alignment vertical="center"/>
    </xf>
    <xf numFmtId="0" fontId="80" fillId="7" borderId="0" xfId="12" applyFont="1" applyFill="1">
      <alignment vertical="center"/>
    </xf>
    <xf numFmtId="182" fontId="17" fillId="5" borderId="0" xfId="12" applyNumberFormat="1" applyFont="1" applyFill="1">
      <alignment vertical="center"/>
    </xf>
    <xf numFmtId="0" fontId="86" fillId="4" borderId="0" xfId="12" applyFont="1" applyFill="1">
      <alignment vertical="center"/>
    </xf>
    <xf numFmtId="0" fontId="3" fillId="0" borderId="4" xfId="0" applyFont="1" applyBorder="1" applyAlignment="1">
      <alignment vertical="center" wrapText="1"/>
    </xf>
    <xf numFmtId="0" fontId="86" fillId="5" borderId="0" xfId="27" applyNumberFormat="1" applyFont="1" applyFill="1">
      <alignment vertical="center"/>
    </xf>
    <xf numFmtId="0" fontId="3" fillId="0" borderId="0" xfId="6" applyAlignment="1">
      <alignment vertical="top"/>
    </xf>
    <xf numFmtId="0" fontId="3" fillId="0" borderId="0" xfId="6" applyAlignment="1">
      <alignment horizontal="center" vertical="top"/>
    </xf>
    <xf numFmtId="0" fontId="3" fillId="0" borderId="0" xfId="8" applyAlignment="1">
      <alignment vertical="center"/>
    </xf>
    <xf numFmtId="0" fontId="3" fillId="0" borderId="0" xfId="8" applyAlignment="1" applyProtection="1">
      <alignment horizontal="left" indent="2"/>
      <protection locked="0"/>
    </xf>
    <xf numFmtId="0" fontId="3" fillId="0" borderId="0" xfId="8" applyProtection="1">
      <protection locked="0"/>
    </xf>
    <xf numFmtId="0" fontId="3" fillId="0" borderId="0" xfId="4" applyAlignment="1">
      <alignment vertical="top"/>
    </xf>
    <xf numFmtId="0" fontId="3" fillId="0" borderId="0" xfId="4" applyAlignment="1">
      <alignment vertical="top" wrapText="1"/>
    </xf>
    <xf numFmtId="0" fontId="3" fillId="0" borderId="0" xfId="4" applyAlignment="1">
      <alignment horizontal="center" vertical="top" wrapText="1"/>
    </xf>
    <xf numFmtId="0" fontId="3" fillId="0" borderId="4" xfId="1" applyBorder="1" applyAlignment="1">
      <alignment vertical="center"/>
    </xf>
    <xf numFmtId="0" fontId="3" fillId="14" borderId="4" xfId="1" applyFill="1" applyBorder="1" applyAlignment="1">
      <alignment horizontal="center"/>
    </xf>
    <xf numFmtId="0" fontId="3" fillId="14" borderId="1" xfId="8" applyFill="1" applyBorder="1" applyAlignment="1" applyProtection="1">
      <alignment horizontal="center" vertical="center"/>
      <protection locked="0"/>
    </xf>
    <xf numFmtId="182" fontId="3" fillId="13" borderId="1" xfId="8" applyNumberFormat="1" applyFill="1" applyBorder="1" applyAlignment="1" applyProtection="1">
      <alignment horizontal="center" vertical="center"/>
      <protection locked="0"/>
    </xf>
    <xf numFmtId="1" fontId="3" fillId="13" borderId="1" xfId="8" applyNumberFormat="1" applyFill="1" applyBorder="1" applyAlignment="1" applyProtection="1">
      <alignment horizontal="center" vertical="center"/>
      <protection locked="0"/>
    </xf>
    <xf numFmtId="2" fontId="3" fillId="13" borderId="1" xfId="8" applyNumberFormat="1" applyFill="1" applyBorder="1" applyAlignment="1" applyProtection="1">
      <alignment horizontal="center" vertical="center"/>
      <protection locked="0"/>
    </xf>
    <xf numFmtId="0" fontId="3" fillId="27" borderId="1" xfId="1" applyFill="1" applyBorder="1" applyAlignment="1">
      <alignment horizontal="center"/>
    </xf>
    <xf numFmtId="0" fontId="88" fillId="12" borderId="0" xfId="2" applyFont="1" applyFill="1">
      <alignment vertical="center"/>
    </xf>
    <xf numFmtId="0" fontId="58" fillId="3" borderId="1" xfId="1" applyFont="1" applyFill="1" applyBorder="1" applyAlignment="1">
      <alignment horizontal="center"/>
    </xf>
    <xf numFmtId="0" fontId="64" fillId="12" borderId="0" xfId="2" applyFont="1" applyFill="1">
      <alignment vertical="center"/>
    </xf>
    <xf numFmtId="0" fontId="81" fillId="0" borderId="0" xfId="0" applyFont="1" applyAlignment="1"/>
    <xf numFmtId="0" fontId="86" fillId="0" borderId="0" xfId="0" applyFont="1" applyAlignment="1"/>
    <xf numFmtId="0" fontId="34" fillId="16" borderId="0" xfId="14" applyFont="1" applyFill="1">
      <alignment vertical="center"/>
    </xf>
    <xf numFmtId="0" fontId="89" fillId="15" borderId="0" xfId="14" applyFont="1" applyFill="1">
      <alignment vertical="center"/>
    </xf>
    <xf numFmtId="0" fontId="90" fillId="15" borderId="0" xfId="14" applyFont="1" applyFill="1">
      <alignment vertical="center"/>
    </xf>
    <xf numFmtId="0" fontId="91" fillId="0" borderId="0" xfId="0" applyFont="1" applyAlignment="1"/>
    <xf numFmtId="0" fontId="92" fillId="7" borderId="0" xfId="14" applyFont="1" applyFill="1">
      <alignment vertical="center"/>
    </xf>
    <xf numFmtId="0" fontId="80" fillId="7" borderId="0" xfId="14" applyFont="1" applyFill="1">
      <alignment vertical="center"/>
    </xf>
    <xf numFmtId="0" fontId="87" fillId="0" borderId="0" xfId="0" applyFont="1" applyAlignment="1"/>
    <xf numFmtId="0" fontId="47" fillId="0" borderId="4" xfId="16" applyFont="1" applyBorder="1" applyAlignment="1"/>
    <xf numFmtId="0" fontId="79" fillId="7" borderId="0" xfId="14" applyFont="1" applyFill="1">
      <alignment vertical="center"/>
    </xf>
    <xf numFmtId="0" fontId="20" fillId="0" borderId="0" xfId="0" applyFont="1" applyAlignment="1"/>
    <xf numFmtId="0" fontId="79" fillId="17" borderId="0" xfId="12" applyFont="1" applyFill="1">
      <alignment vertical="center"/>
    </xf>
    <xf numFmtId="182" fontId="3" fillId="27" borderId="1" xfId="8" applyNumberFormat="1" applyFill="1" applyBorder="1" applyAlignment="1" applyProtection="1">
      <alignment horizontal="center" vertical="center"/>
      <protection locked="0"/>
    </xf>
    <xf numFmtId="0" fontId="81" fillId="16" borderId="0" xfId="17" applyFont="1" applyFill="1">
      <alignment vertical="center"/>
    </xf>
    <xf numFmtId="0" fontId="95" fillId="0" borderId="0" xfId="0" applyFont="1" applyAlignment="1"/>
    <xf numFmtId="0" fontId="34" fillId="17" borderId="0" xfId="12" applyFont="1" applyFill="1">
      <alignment vertical="center"/>
    </xf>
    <xf numFmtId="183" fontId="17" fillId="18" borderId="0" xfId="0" applyNumberFormat="1" applyFont="1" applyFill="1" applyAlignment="1"/>
    <xf numFmtId="0" fontId="58" fillId="5" borderId="4" xfId="17" applyFont="1" applyFill="1" applyBorder="1">
      <alignment vertical="center"/>
    </xf>
    <xf numFmtId="184" fontId="17" fillId="18" borderId="0" xfId="0" applyNumberFormat="1" applyFont="1" applyFill="1" applyAlignment="1"/>
    <xf numFmtId="0" fontId="96" fillId="11" borderId="16" xfId="2" applyFont="1" applyFill="1" applyBorder="1">
      <alignment vertical="center"/>
    </xf>
    <xf numFmtId="0" fontId="84" fillId="13" borderId="1" xfId="1" applyFont="1" applyFill="1" applyBorder="1" applyAlignment="1">
      <alignment horizontal="center"/>
    </xf>
    <xf numFmtId="0" fontId="98" fillId="0" borderId="0" xfId="0" applyFont="1" applyAlignment="1"/>
    <xf numFmtId="0" fontId="47" fillId="13" borderId="1" xfId="1" applyFont="1" applyFill="1" applyBorder="1" applyAlignment="1">
      <alignment horizontal="center"/>
    </xf>
    <xf numFmtId="2" fontId="97" fillId="13" borderId="1" xfId="8" applyNumberFormat="1" applyFont="1" applyFill="1" applyBorder="1" applyAlignment="1" applyProtection="1">
      <alignment horizontal="center" vertical="center"/>
      <protection locked="0"/>
    </xf>
    <xf numFmtId="0" fontId="99" fillId="11" borderId="16" xfId="0" applyFont="1" applyFill="1" applyBorder="1" applyAlignment="1"/>
    <xf numFmtId="0" fontId="3" fillId="9" borderId="4" xfId="19" applyFill="1" applyBorder="1" applyAlignment="1"/>
    <xf numFmtId="0" fontId="3" fillId="9" borderId="4" xfId="19" applyFill="1" applyBorder="1">
      <alignment vertical="center"/>
    </xf>
    <xf numFmtId="0" fontId="3" fillId="0" borderId="0" xfId="16" applyAlignment="1">
      <alignment horizontal="right"/>
    </xf>
    <xf numFmtId="0" fontId="3" fillId="0" borderId="4" xfId="16" applyBorder="1" applyAlignment="1">
      <alignment horizontal="left" vertical="center"/>
    </xf>
    <xf numFmtId="0" fontId="94" fillId="0" borderId="0" xfId="16" applyFont="1" applyAlignment="1"/>
    <xf numFmtId="0" fontId="3" fillId="0" borderId="4" xfId="16" applyBorder="1" applyAlignment="1">
      <alignment horizontal="center"/>
    </xf>
    <xf numFmtId="0" fontId="47" fillId="0" borderId="0" xfId="16" applyFont="1" applyAlignment="1"/>
    <xf numFmtId="0" fontId="58" fillId="0" borderId="0" xfId="16" applyFont="1" applyAlignment="1"/>
    <xf numFmtId="0" fontId="84" fillId="0" borderId="4" xfId="16" applyFont="1" applyBorder="1" applyAlignment="1"/>
    <xf numFmtId="2" fontId="3" fillId="4" borderId="4" xfId="16" applyNumberFormat="1" applyFill="1" applyBorder="1" applyAlignment="1">
      <alignment horizontal="left"/>
    </xf>
    <xf numFmtId="0" fontId="102" fillId="0" borderId="0" xfId="21" applyFont="1" applyAlignment="1">
      <alignment horizontal="left" vertical="center"/>
    </xf>
    <xf numFmtId="0" fontId="47" fillId="4" borderId="0" xfId="16" applyFont="1" applyFill="1" applyAlignment="1"/>
    <xf numFmtId="0" fontId="3" fillId="0" borderId="4" xfId="16" applyBorder="1">
      <alignment vertical="center"/>
    </xf>
    <xf numFmtId="0" fontId="3" fillId="9" borderId="4" xfId="16" applyFill="1" applyBorder="1">
      <alignment vertical="center"/>
    </xf>
    <xf numFmtId="0" fontId="58" fillId="0" borderId="4" xfId="16" applyFont="1" applyBorder="1">
      <alignment vertical="center"/>
    </xf>
    <xf numFmtId="0" fontId="97" fillId="0" borderId="4" xfId="16" applyFont="1" applyBorder="1" applyAlignment="1"/>
    <xf numFmtId="0" fontId="20" fillId="0" borderId="6" xfId="0" applyFont="1" applyBorder="1" applyAlignment="1">
      <alignment horizontal="left" wrapText="1"/>
    </xf>
    <xf numFmtId="0" fontId="17" fillId="0" borderId="6" xfId="0" applyFont="1" applyBorder="1" applyAlignment="1">
      <alignment horizontal="left" wrapText="1"/>
    </xf>
    <xf numFmtId="0" fontId="17" fillId="0" borderId="7" xfId="0" applyFont="1" applyBorder="1" applyAlignment="1">
      <alignment horizontal="left" wrapText="1"/>
    </xf>
    <xf numFmtId="0" fontId="18" fillId="0" borderId="14" xfId="0" applyFont="1" applyBorder="1" applyAlignment="1">
      <alignment horizontal="left" wrapText="1"/>
    </xf>
    <xf numFmtId="0" fontId="17" fillId="0" borderId="14" xfId="0" applyFont="1" applyBorder="1" applyAlignment="1">
      <alignment horizontal="left" wrapText="1"/>
    </xf>
    <xf numFmtId="0" fontId="17" fillId="0" borderId="15" xfId="0" applyFont="1" applyBorder="1" applyAlignment="1">
      <alignment horizontal="left" wrapText="1"/>
    </xf>
    <xf numFmtId="0" fontId="3" fillId="0" borderId="4" xfId="7" applyFont="1" applyBorder="1" applyAlignment="1">
      <alignment horizontal="left" vertical="center" indent="1"/>
    </xf>
    <xf numFmtId="0" fontId="6" fillId="7" borderId="1" xfId="7" applyFont="1" applyFill="1" applyBorder="1" applyAlignment="1">
      <alignment horizontal="center" vertical="center"/>
    </xf>
    <xf numFmtId="0" fontId="6" fillId="7" borderId="3" xfId="7" applyFont="1" applyFill="1" applyBorder="1" applyAlignment="1">
      <alignment horizontal="center" vertical="center"/>
    </xf>
    <xf numFmtId="0" fontId="6" fillId="7" borderId="2" xfId="7" applyFont="1" applyFill="1" applyBorder="1" applyAlignment="1">
      <alignment horizontal="center" vertical="center"/>
    </xf>
    <xf numFmtId="0" fontId="3" fillId="26" borderId="1" xfId="16" applyFill="1" applyBorder="1" applyAlignment="1"/>
    <xf numFmtId="0" fontId="3" fillId="26" borderId="3" xfId="16" applyFill="1" applyBorder="1" applyAlignment="1"/>
    <xf numFmtId="0" fontId="3" fillId="26" borderId="2" xfId="16" applyFill="1" applyBorder="1" applyAlignment="1"/>
    <xf numFmtId="0" fontId="6" fillId="0" borderId="4" xfId="21" applyFont="1" applyBorder="1" applyAlignment="1">
      <alignment horizontal="center" vertical="center"/>
    </xf>
    <xf numFmtId="178" fontId="67" fillId="20" borderId="14" xfId="23" applyNumberFormat="1" applyFont="1" applyFill="1" applyBorder="1" applyAlignment="1" applyProtection="1">
      <alignment horizontal="center" vertical="center" wrapText="1"/>
      <protection hidden="1"/>
    </xf>
    <xf numFmtId="178" fontId="67" fillId="20" borderId="17" xfId="23" applyNumberFormat="1" applyFont="1" applyFill="1" applyBorder="1" applyAlignment="1" applyProtection="1">
      <alignment horizontal="center" vertical="center" wrapText="1"/>
      <protection hidden="1"/>
    </xf>
    <xf numFmtId="0" fontId="67" fillId="20" borderId="14" xfId="23" applyFont="1" applyFill="1" applyBorder="1" applyAlignment="1" applyProtection="1">
      <alignment horizontal="center" vertical="center" wrapText="1"/>
      <protection hidden="1"/>
    </xf>
    <xf numFmtId="0" fontId="67" fillId="20" borderId="17" xfId="23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8" borderId="0" xfId="16" applyFill="1" applyAlignment="1"/>
    <xf numFmtId="0" fontId="17" fillId="8" borderId="0" xfId="0" applyFont="1" applyFill="1">
      <alignment vertical="center"/>
    </xf>
    <xf numFmtId="0" fontId="26" fillId="8" borderId="0" xfId="0" applyFont="1" applyFill="1" applyAlignment="1"/>
    <xf numFmtId="0" fontId="3" fillId="8" borderId="0" xfId="0" applyFont="1" applyFill="1" applyAlignment="1"/>
    <xf numFmtId="0" fontId="17" fillId="8" borderId="4" xfId="14" applyFont="1" applyFill="1" applyBorder="1" applyAlignment="1">
      <alignment horizontal="center" vertical="center" wrapText="1"/>
    </xf>
    <xf numFmtId="0" fontId="17" fillId="8" borderId="4" xfId="27" applyNumberFormat="1" applyFont="1" applyFill="1" applyBorder="1" applyAlignment="1">
      <alignment horizontal="center" vertical="center" wrapText="1"/>
    </xf>
    <xf numFmtId="0" fontId="17" fillId="8" borderId="0" xfId="14" applyFont="1" applyFill="1" applyAlignment="1">
      <alignment horizontal="center" vertical="center" wrapText="1"/>
    </xf>
    <xf numFmtId="0" fontId="3" fillId="8" borderId="0" xfId="0" applyFont="1" applyFill="1">
      <alignment vertical="center"/>
    </xf>
    <xf numFmtId="0" fontId="38" fillId="8" borderId="4" xfId="0" applyFont="1" applyFill="1" applyBorder="1" applyAlignment="1">
      <alignment horizontal="center" vertical="center"/>
    </xf>
  </cellXfs>
  <cellStyles count="28">
    <cellStyle name="_x0011_" xfId="3"/>
    <cellStyle name="Normal 3" xfId="14"/>
    <cellStyle name="Normal 3 10" xfId="13"/>
    <cellStyle name="Normal 3 10 12" xfId="9"/>
    <cellStyle name="Normal 3 10 12 2" xfId="17"/>
    <cellStyle name="Normal 3 22" xfId="11"/>
    <cellStyle name="Normal 3 24" xfId="12"/>
    <cellStyle name="Normal 3 3" xfId="2"/>
    <cellStyle name="Standard_BMS_nnn_project" xfId="15"/>
    <cellStyle name="Standard_Risk Analysis" xfId="6"/>
    <cellStyle name="Standard_Risk Analysis 2" xfId="4"/>
    <cellStyle name="쉼표 [0]" xfId="27" builtinId="6"/>
    <cellStyle name="표준" xfId="0" builtinId="0"/>
    <cellStyle name="표준 10 2 2" xfId="25"/>
    <cellStyle name="표준 10 4 2" xfId="10"/>
    <cellStyle name="표준 13" xfId="1"/>
    <cellStyle name="표준 13 2 2" xfId="22"/>
    <cellStyle name="표준 15 2" xfId="20"/>
    <cellStyle name="표준 15 3" xfId="19"/>
    <cellStyle name="표준 2" xfId="21"/>
    <cellStyle name="표준 3" xfId="16"/>
    <cellStyle name="표준 3 3" xfId="8"/>
    <cellStyle name="표준 6" xfId="18"/>
    <cellStyle name="표준_20050319 HD Control Curve 연산식" xfId="24"/>
    <cellStyle name="표준_20050524 SM ATC 온도 제어 사양" xfId="5"/>
    <cellStyle name="표준_20091130_공조제어사양_Master_V1" xfId="7"/>
    <cellStyle name="표준_F9905A" xfId="26"/>
    <cellStyle name="표준_Sheet1_HP_PILOT사양_1" xfId="23"/>
  </cellStyles>
  <dxfs count="99"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</dxfs>
  <tableStyles count="0" defaultTableStyle="TableStyleMedium9" defaultPivotStyle="PivotStyleLight16"/>
  <colors>
    <mruColors>
      <color rgb="FF0000FF"/>
      <color rgb="FFCC00FF"/>
      <color rgb="FFCCFFFF"/>
      <color rgb="FFFFFF99"/>
      <color rgb="FFFFCC66"/>
      <color rgb="FFFFCC9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306293</xdr:colOff>
      <xdr:row>32</xdr:row>
      <xdr:rowOff>14941</xdr:rowOff>
    </xdr:from>
    <xdr:to>
      <xdr:col>16</xdr:col>
      <xdr:colOff>1105647</xdr:colOff>
      <xdr:row>44</xdr:row>
      <xdr:rowOff>140035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EA43491-B942-4801-979A-48C497F659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38673" y="5539441"/>
          <a:ext cx="5104654" cy="216725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Sure\ref\&#47588;&#53356;&#47196;&#52280;&#44256;\sample6_Test%20Case\test2%20-%20&#48373;&#49324;&#48376;\Depth.2_EV_&#45236;&#49688;_EWP%20&#54801;&#51312;&#51228;&#50612;_v0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ry"/>
      <sheetName val="Test Setup"/>
      <sheetName val="Test Case"/>
      <sheetName val="Tables"/>
      <sheetName val="Sensor"/>
      <sheetName val="용어"/>
    </sheetNames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on, YoSeph" id="{A80260D3-0CB4-4DFA-B6E5-23659900720C}" userId="S-1-5-21-1489812773-568112772-3835669362-243333" providerId="AD"/>
</personList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H201" dT="2025-02-28T07:32:00.74" personId="{A80260D3-0CB4-4DFA-B6E5-23659900720C}" id="{B01B9A61-075A-4D54-874F-76176B17F271}">
    <text>여기에 감쇄율 % 값 입력</text>
  </threadedComment>
  <threadedComment ref="AG471" dT="2025-03-14T06:30:15.52" personId="{A80260D3-0CB4-4DFA-B6E5-23659900720C}" id="{4ABBDACC-B655-43FC-827A-0FA01510CAE2}">
    <text>ADS MAX Blower 전압 사양에 따름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outlinePr summaryBelow="0" summaryRight="0"/>
  </sheetPr>
  <dimension ref="B1:E23"/>
  <sheetViews>
    <sheetView workbookViewId="0">
      <selection activeCell="D10" sqref="D10"/>
    </sheetView>
  </sheetViews>
  <sheetFormatPr defaultColWidth="11.42578125" defaultRowHeight="14.25"/>
  <cols>
    <col min="1" max="1" width="3" style="17" customWidth="1"/>
    <col min="2" max="2" width="12.7109375" style="17" customWidth="1"/>
    <col min="3" max="3" width="31.42578125" style="17" customWidth="1"/>
    <col min="4" max="4" width="18.7109375" style="17" customWidth="1"/>
    <col min="5" max="5" width="86.140625" style="17" customWidth="1"/>
    <col min="6" max="6" width="12.42578125" style="17" customWidth="1"/>
    <col min="7" max="16384" width="11.42578125" style="17"/>
  </cols>
  <sheetData>
    <row r="1" spans="2:5" s="293" customFormat="1" ht="15" thickBot="1"/>
    <row r="2" spans="2:5" ht="15.75">
      <c r="B2" s="16" t="s">
        <v>119</v>
      </c>
      <c r="C2" s="272" t="s">
        <v>535</v>
      </c>
      <c r="D2" s="273"/>
      <c r="E2" s="274"/>
    </row>
    <row r="3" spans="2:5" ht="15" customHeight="1" thickBot="1">
      <c r="B3" s="27" t="s">
        <v>121</v>
      </c>
      <c r="C3" s="275" t="s">
        <v>1076</v>
      </c>
      <c r="D3" s="276"/>
      <c r="E3" s="277"/>
    </row>
    <row r="4" spans="2:5" ht="15">
      <c r="B4" s="52" t="s">
        <v>0</v>
      </c>
      <c r="C4" s="53" t="s">
        <v>1</v>
      </c>
      <c r="D4" s="53" t="s">
        <v>122</v>
      </c>
      <c r="E4" s="54" t="s">
        <v>118</v>
      </c>
    </row>
    <row r="5" spans="2:5" ht="16.5">
      <c r="B5" s="18">
        <v>0.1</v>
      </c>
      <c r="C5" s="19" t="s">
        <v>1453</v>
      </c>
      <c r="D5" s="28" t="s">
        <v>123</v>
      </c>
      <c r="E5" s="20" t="s">
        <v>120</v>
      </c>
    </row>
    <row r="6" spans="2:5" ht="45.75">
      <c r="B6" s="18">
        <v>0.2</v>
      </c>
      <c r="C6" s="19">
        <v>45635</v>
      </c>
      <c r="D6" s="28" t="s">
        <v>123</v>
      </c>
      <c r="E6" s="198" t="s">
        <v>1494</v>
      </c>
    </row>
    <row r="7" spans="2:5" ht="33">
      <c r="B7" s="18">
        <v>0.3</v>
      </c>
      <c r="C7" s="19">
        <v>45730</v>
      </c>
      <c r="D7" s="28" t="s">
        <v>123</v>
      </c>
      <c r="E7" s="198" t="s">
        <v>1497</v>
      </c>
    </row>
    <row r="8" spans="2:5" ht="16.5">
      <c r="B8" s="18">
        <v>0.4</v>
      </c>
      <c r="C8" s="19">
        <v>45737</v>
      </c>
      <c r="D8" s="28" t="s">
        <v>123</v>
      </c>
      <c r="E8" s="20" t="s">
        <v>1852</v>
      </c>
    </row>
    <row r="9" spans="2:5" ht="16.5">
      <c r="B9" s="18">
        <v>0.5</v>
      </c>
      <c r="C9" s="19">
        <v>45751</v>
      </c>
      <c r="D9" s="28" t="s">
        <v>123</v>
      </c>
      <c r="E9" s="20" t="s">
        <v>1867</v>
      </c>
    </row>
    <row r="10" spans="2:5" ht="15">
      <c r="B10" s="21"/>
      <c r="C10" s="19"/>
      <c r="D10" s="22"/>
      <c r="E10" s="20"/>
    </row>
    <row r="11" spans="2:5" ht="15">
      <c r="B11" s="21"/>
      <c r="C11" s="19"/>
      <c r="D11" s="22"/>
      <c r="E11" s="20"/>
    </row>
    <row r="12" spans="2:5" ht="15">
      <c r="B12" s="21"/>
      <c r="C12" s="19"/>
      <c r="D12" s="22"/>
      <c r="E12" s="20"/>
    </row>
    <row r="13" spans="2:5" ht="15">
      <c r="B13" s="21"/>
      <c r="C13" s="19"/>
      <c r="D13" s="22"/>
      <c r="E13" s="20"/>
    </row>
    <row r="14" spans="2:5" ht="15">
      <c r="B14" s="21"/>
      <c r="C14" s="19"/>
      <c r="D14" s="22"/>
      <c r="E14" s="20"/>
    </row>
    <row r="15" spans="2:5" ht="15">
      <c r="B15" s="21"/>
      <c r="C15" s="19"/>
      <c r="D15" s="22"/>
      <c r="E15" s="20"/>
    </row>
    <row r="16" spans="2:5" ht="15">
      <c r="B16" s="21"/>
      <c r="C16" s="19"/>
      <c r="D16" s="22"/>
      <c r="E16" s="20"/>
    </row>
    <row r="17" spans="2:5" ht="15">
      <c r="B17" s="21"/>
      <c r="C17" s="19"/>
      <c r="D17" s="22"/>
      <c r="E17" s="20"/>
    </row>
    <row r="18" spans="2:5" ht="15">
      <c r="B18" s="21"/>
      <c r="C18" s="19"/>
      <c r="D18" s="22"/>
      <c r="E18" s="20"/>
    </row>
    <row r="19" spans="2:5" ht="15">
      <c r="B19" s="21"/>
      <c r="C19" s="19"/>
      <c r="D19" s="22"/>
      <c r="E19" s="20"/>
    </row>
    <row r="20" spans="2:5" ht="15">
      <c r="B20" s="21"/>
      <c r="C20" s="19"/>
      <c r="D20" s="22"/>
      <c r="E20" s="20"/>
    </row>
    <row r="21" spans="2:5" ht="15">
      <c r="B21" s="21"/>
      <c r="C21" s="19"/>
      <c r="D21" s="22"/>
      <c r="E21" s="20"/>
    </row>
    <row r="22" spans="2:5" ht="15">
      <c r="B22" s="21"/>
      <c r="C22" s="19"/>
      <c r="D22" s="22"/>
      <c r="E22" s="20"/>
    </row>
    <row r="23" spans="2:5" ht="15.75" thickBot="1">
      <c r="B23" s="23"/>
      <c r="C23" s="24"/>
      <c r="D23" s="25"/>
      <c r="E23" s="26"/>
    </row>
  </sheetData>
  <mergeCells count="2">
    <mergeCell ref="C2:E2"/>
    <mergeCell ref="C3:E3"/>
  </mergeCells>
  <phoneticPr fontId="5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>
    <oddFooter>&amp;L&amp;D&amp;CHistory&amp;R&amp;P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  <pageSetUpPr fitToPage="1"/>
  </sheetPr>
  <dimension ref="A1:BQ473"/>
  <sheetViews>
    <sheetView zoomScale="85" zoomScaleNormal="85" workbookViewId="0">
      <pane ySplit="7" topLeftCell="A8" activePane="bottomLeft" state="frozen"/>
      <selection pane="bottomLeft" activeCell="E18" sqref="E18"/>
    </sheetView>
  </sheetViews>
  <sheetFormatPr defaultColWidth="9.28515625" defaultRowHeight="12.75"/>
  <cols>
    <col min="1" max="2" width="2.7109375" style="2" customWidth="1"/>
    <col min="3" max="3" width="7.5703125" style="2" bestFit="1" customWidth="1"/>
    <col min="4" max="4" width="12.28515625" style="2" customWidth="1"/>
    <col min="5" max="8" width="9.28515625" style="2"/>
    <col min="9" max="9" width="5.7109375" style="2" bestFit="1" customWidth="1"/>
    <col min="10" max="10" width="11.7109375" style="2" customWidth="1"/>
    <col min="11" max="19" width="7" style="2" customWidth="1"/>
    <col min="20" max="20" width="29.5703125" style="2" customWidth="1"/>
    <col min="21" max="21" width="5.7109375" style="42" customWidth="1"/>
    <col min="22" max="22" width="7" style="42" customWidth="1"/>
    <col min="23" max="24" width="9.5703125" style="2" customWidth="1"/>
    <col min="25" max="25" width="10.28515625" style="2" customWidth="1"/>
    <col min="26" max="26" width="10.42578125" style="2" customWidth="1"/>
    <col min="27" max="27" width="11.28515625" style="2" hidden="1" customWidth="1"/>
    <col min="28" max="28" width="11.5703125" style="2" customWidth="1"/>
    <col min="29" max="29" width="9.28515625" style="2" hidden="1" customWidth="1"/>
    <col min="30" max="30" width="10" style="2" hidden="1" customWidth="1"/>
    <col min="31" max="31" width="10" style="2" customWidth="1"/>
    <col min="32" max="33" width="9.28515625" style="2" customWidth="1"/>
    <col min="34" max="34" width="11.5703125" style="2" customWidth="1"/>
    <col min="35" max="35" width="13.28515625" style="2" bestFit="1" customWidth="1"/>
    <col min="36" max="36" width="9.28515625" style="2" customWidth="1"/>
    <col min="37" max="37" width="10.28515625" style="2" customWidth="1"/>
    <col min="38" max="38" width="9.28515625" style="2" customWidth="1"/>
    <col min="39" max="39" width="10.7109375" style="2" customWidth="1"/>
    <col min="40" max="40" width="10.5703125" style="2" customWidth="1"/>
    <col min="41" max="41" width="10.7109375" style="2" customWidth="1"/>
    <col min="42" max="53" width="10.5703125" style="2" customWidth="1"/>
    <col min="54" max="56" width="10.5703125" style="2" hidden="1" customWidth="1"/>
    <col min="57" max="69" width="10.5703125" style="2" customWidth="1"/>
    <col min="70" max="70" width="10.28515625" style="2" customWidth="1"/>
    <col min="71" max="71" width="19.7109375" style="2" customWidth="1"/>
    <col min="72" max="75" width="9.28515625" style="2"/>
    <col min="76" max="76" width="13.7109375" style="2" customWidth="1"/>
    <col min="77" max="77" width="14.7109375" style="2" customWidth="1"/>
    <col min="78" max="78" width="13.7109375" style="2" customWidth="1"/>
    <col min="79" max="16384" width="9.28515625" style="2"/>
  </cols>
  <sheetData>
    <row r="1" spans="1:69" s="295" customFormat="1">
      <c r="A1" s="294"/>
      <c r="B1" s="294"/>
      <c r="C1" s="294"/>
      <c r="D1" s="294"/>
      <c r="E1" s="294"/>
      <c r="F1" s="294"/>
      <c r="G1" s="294"/>
      <c r="H1" s="294"/>
      <c r="I1" s="294"/>
      <c r="J1" s="294">
        <v>1</v>
      </c>
      <c r="K1" s="294">
        <v>2</v>
      </c>
      <c r="L1" s="294">
        <v>3</v>
      </c>
      <c r="M1" s="294">
        <v>4</v>
      </c>
      <c r="N1" s="294">
        <v>5</v>
      </c>
      <c r="O1" s="294">
        <v>6</v>
      </c>
      <c r="P1" s="294">
        <v>7</v>
      </c>
      <c r="Q1" s="294">
        <v>8</v>
      </c>
      <c r="R1" s="294">
        <v>9</v>
      </c>
      <c r="S1" s="294">
        <v>10</v>
      </c>
      <c r="T1" s="294">
        <v>11</v>
      </c>
      <c r="U1" s="294">
        <v>12</v>
      </c>
      <c r="V1" s="294">
        <v>13</v>
      </c>
      <c r="W1" s="294">
        <v>14</v>
      </c>
      <c r="X1" s="294">
        <v>15</v>
      </c>
      <c r="Y1" s="294">
        <v>16</v>
      </c>
      <c r="Z1" s="294">
        <v>17</v>
      </c>
      <c r="AA1" s="294">
        <v>18</v>
      </c>
      <c r="AB1" s="294">
        <v>19</v>
      </c>
      <c r="AC1" s="294">
        <v>20</v>
      </c>
      <c r="AD1" s="294">
        <v>21</v>
      </c>
      <c r="AE1" s="294">
        <v>22</v>
      </c>
      <c r="AF1" s="294">
        <v>23</v>
      </c>
      <c r="AG1" s="294">
        <v>24</v>
      </c>
      <c r="AH1" s="294">
        <v>25</v>
      </c>
      <c r="AI1" s="294">
        <v>26</v>
      </c>
      <c r="AJ1" s="294">
        <v>27</v>
      </c>
      <c r="AK1" s="294">
        <v>28</v>
      </c>
      <c r="AL1" s="294">
        <v>29</v>
      </c>
      <c r="AM1" s="294">
        <v>30</v>
      </c>
      <c r="AN1" s="294">
        <v>31</v>
      </c>
      <c r="AO1" s="294">
        <v>32</v>
      </c>
      <c r="AP1" s="294">
        <v>33</v>
      </c>
      <c r="AQ1" s="294">
        <v>34</v>
      </c>
      <c r="AR1" s="294">
        <v>35</v>
      </c>
      <c r="AS1" s="294">
        <v>36</v>
      </c>
      <c r="AT1" s="294">
        <v>37</v>
      </c>
      <c r="AU1" s="294">
        <v>38</v>
      </c>
      <c r="AV1" s="294">
        <v>39</v>
      </c>
      <c r="AW1" s="294">
        <v>40</v>
      </c>
      <c r="AX1" s="294">
        <v>41</v>
      </c>
      <c r="AY1" s="294">
        <v>42</v>
      </c>
      <c r="AZ1" s="294">
        <v>43</v>
      </c>
      <c r="BA1" s="294">
        <v>44</v>
      </c>
      <c r="BB1" s="294">
        <v>45</v>
      </c>
      <c r="BC1" s="294">
        <v>46</v>
      </c>
      <c r="BD1" s="294">
        <v>47</v>
      </c>
      <c r="BE1" s="294">
        <v>48</v>
      </c>
      <c r="BF1" s="294">
        <v>49</v>
      </c>
      <c r="BG1" s="294">
        <v>50</v>
      </c>
      <c r="BH1" s="294">
        <v>51</v>
      </c>
      <c r="BI1" s="294">
        <v>52</v>
      </c>
      <c r="BJ1" s="294">
        <v>53</v>
      </c>
      <c r="BK1" s="294">
        <v>54</v>
      </c>
      <c r="BL1" s="294">
        <v>55</v>
      </c>
      <c r="BM1" s="294">
        <v>56</v>
      </c>
      <c r="BN1" s="294">
        <v>57</v>
      </c>
      <c r="BO1" s="294">
        <v>58</v>
      </c>
      <c r="BP1" s="294">
        <v>59</v>
      </c>
      <c r="BQ1" s="294">
        <v>60</v>
      </c>
    </row>
    <row r="2" spans="1:69" ht="16.5" customHeight="1">
      <c r="D2" s="279" t="s">
        <v>86</v>
      </c>
      <c r="E2" s="280"/>
      <c r="F2" s="280"/>
      <c r="G2" s="281"/>
      <c r="I2" s="212" t="s">
        <v>152</v>
      </c>
      <c r="J2" s="50" t="s">
        <v>154</v>
      </c>
      <c r="N2" s="212"/>
      <c r="O2" s="212"/>
      <c r="P2" s="212"/>
      <c r="Q2" s="212"/>
      <c r="R2" s="212"/>
      <c r="S2" s="212"/>
      <c r="T2" s="212"/>
      <c r="U2" s="41"/>
      <c r="V2" s="213"/>
      <c r="W2" s="3"/>
      <c r="X2" s="3"/>
      <c r="AD2" s="4"/>
      <c r="AE2" s="4"/>
    </row>
    <row r="3" spans="1:69" ht="16.5" customHeight="1">
      <c r="D3" s="103" t="s">
        <v>84</v>
      </c>
      <c r="E3" s="278" t="s">
        <v>269</v>
      </c>
      <c r="F3" s="278"/>
      <c r="G3" s="278"/>
      <c r="I3" s="212" t="s">
        <v>157</v>
      </c>
      <c r="J3" s="50" t="s">
        <v>124</v>
      </c>
      <c r="N3" s="212"/>
      <c r="O3" s="212"/>
      <c r="P3" s="212"/>
      <c r="Q3" s="212"/>
      <c r="R3" s="212"/>
      <c r="S3" s="212"/>
      <c r="T3" s="212"/>
      <c r="U3" s="41"/>
      <c r="V3" s="213"/>
      <c r="W3" s="3"/>
      <c r="X3" s="3"/>
      <c r="AD3" s="4"/>
      <c r="AE3" s="4"/>
    </row>
    <row r="4" spans="1:69" ht="16.5" customHeight="1">
      <c r="D4" s="104" t="s">
        <v>85</v>
      </c>
      <c r="E4" s="278" t="s">
        <v>213</v>
      </c>
      <c r="F4" s="278"/>
      <c r="G4" s="278"/>
      <c r="I4" s="212" t="s">
        <v>127</v>
      </c>
      <c r="J4" s="214" t="s">
        <v>125</v>
      </c>
      <c r="N4" s="212"/>
      <c r="O4" s="212"/>
      <c r="P4" s="212"/>
      <c r="Q4" s="212"/>
      <c r="R4" s="212"/>
      <c r="S4" s="212"/>
      <c r="T4" s="212"/>
      <c r="U4" s="41"/>
      <c r="V4" s="213"/>
      <c r="W4" s="3"/>
      <c r="X4" s="3"/>
      <c r="AD4" s="4"/>
      <c r="AE4" s="4"/>
      <c r="AX4" s="2" t="s">
        <v>413</v>
      </c>
    </row>
    <row r="5" spans="1:69" ht="16.5" customHeight="1">
      <c r="D5" s="104" t="s">
        <v>775</v>
      </c>
      <c r="E5" s="278" t="s">
        <v>270</v>
      </c>
      <c r="F5" s="278"/>
      <c r="G5" s="278"/>
      <c r="I5" s="212" t="s">
        <v>128</v>
      </c>
      <c r="J5" s="50" t="s">
        <v>126</v>
      </c>
      <c r="N5" s="212"/>
      <c r="O5" s="212"/>
      <c r="P5" s="212"/>
      <c r="Q5" s="212"/>
      <c r="R5" s="212"/>
      <c r="S5" s="212"/>
      <c r="T5" s="212"/>
      <c r="U5" s="41"/>
      <c r="V5" s="213"/>
      <c r="W5" s="3"/>
      <c r="X5" s="3"/>
      <c r="AD5" s="4"/>
      <c r="AE5" s="4"/>
    </row>
    <row r="6" spans="1:69" ht="16.5" customHeight="1">
      <c r="I6" s="215"/>
      <c r="J6" s="216"/>
      <c r="K6" s="217"/>
      <c r="L6" s="218"/>
      <c r="M6" s="218"/>
      <c r="N6" s="218"/>
      <c r="O6" s="218"/>
      <c r="P6" s="218"/>
      <c r="Q6" s="218"/>
      <c r="R6" s="218"/>
      <c r="S6" s="218"/>
      <c r="T6" s="218"/>
      <c r="U6" s="219"/>
      <c r="V6" s="219"/>
      <c r="AD6" s="4"/>
      <c r="AE6" s="4"/>
    </row>
    <row r="7" spans="1:69">
      <c r="K7" s="105" t="s">
        <v>534</v>
      </c>
      <c r="L7" s="105" t="s">
        <v>6</v>
      </c>
      <c r="M7" s="105" t="s">
        <v>40</v>
      </c>
      <c r="N7" s="105" t="e">
        <f>IF(EngColTemp_ECT="O","EngColTemp","Duct")</f>
        <v>#NAME?</v>
      </c>
      <c r="O7" s="105" t="s">
        <v>386</v>
      </c>
      <c r="P7" s="105" t="s">
        <v>533</v>
      </c>
      <c r="Q7" s="105" t="s">
        <v>868</v>
      </c>
      <c r="R7" s="105"/>
      <c r="S7" s="105"/>
      <c r="T7" s="105" t="s">
        <v>87</v>
      </c>
      <c r="U7" s="105" t="s">
        <v>171</v>
      </c>
      <c r="V7" s="105" t="s">
        <v>206</v>
      </c>
      <c r="W7" s="105" t="s">
        <v>41</v>
      </c>
      <c r="X7" s="105" t="s">
        <v>96</v>
      </c>
      <c r="Y7" s="105" t="s">
        <v>232</v>
      </c>
      <c r="Z7" s="105" t="s">
        <v>233</v>
      </c>
      <c r="AA7" s="105" t="s">
        <v>234</v>
      </c>
      <c r="AB7" s="105" t="s">
        <v>231</v>
      </c>
      <c r="AC7" s="105"/>
      <c r="AD7" s="105"/>
      <c r="AE7" s="105" t="s">
        <v>408</v>
      </c>
      <c r="AF7" s="105" t="s">
        <v>202</v>
      </c>
      <c r="AG7" s="105" t="s">
        <v>204</v>
      </c>
      <c r="AH7" s="105" t="e">
        <f>TempDispUnit</f>
        <v>#NAME?</v>
      </c>
      <c r="AI7" s="105" t="e">
        <f>IF(FLAG_Country&lt;&gt;"USA","DrTempDispC","DrTempDispF")</f>
        <v>#NAME?</v>
      </c>
      <c r="AJ7" s="105" t="e">
        <f>IF(FLAG_Country&lt;&gt;"USA","PsTempDispC","PsTempDispF")</f>
        <v>#NAME?</v>
      </c>
      <c r="AK7" s="105" t="e">
        <f>IF(FLAG_Country&lt;&gt;"USA","DrTempDispF","DrTempDispC")</f>
        <v>#NAME?</v>
      </c>
      <c r="AL7" s="105" t="e">
        <f>IF(FLAG_Country&lt;&gt;"USA","PsTempDispF","PsTempDispC")</f>
        <v>#NAME?</v>
      </c>
      <c r="AM7" s="105" t="s">
        <v>216</v>
      </c>
      <c r="AN7" s="105" t="s">
        <v>42</v>
      </c>
      <c r="AO7" s="105" t="s">
        <v>43</v>
      </c>
      <c r="AP7" s="105" t="s">
        <v>44</v>
      </c>
      <c r="AQ7" s="105" t="s">
        <v>203</v>
      </c>
      <c r="AR7" s="105" t="s">
        <v>45</v>
      </c>
      <c r="AS7" s="105" t="s">
        <v>298</v>
      </c>
      <c r="AT7" s="105" t="s">
        <v>297</v>
      </c>
      <c r="AU7" s="105" t="s">
        <v>356</v>
      </c>
      <c r="AV7" s="105" t="s">
        <v>46</v>
      </c>
      <c r="AW7" s="105" t="s">
        <v>47</v>
      </c>
      <c r="AX7" s="105" t="s">
        <v>357</v>
      </c>
      <c r="AY7" s="105" t="s">
        <v>367</v>
      </c>
      <c r="AZ7" s="105" t="s">
        <v>373</v>
      </c>
      <c r="BA7" s="105" t="e">
        <f>WshFldUSMSta</f>
        <v>#NAME?</v>
      </c>
      <c r="BB7" s="105"/>
      <c r="BC7" s="105" t="s">
        <v>750</v>
      </c>
      <c r="BD7" s="105" t="s">
        <v>751</v>
      </c>
      <c r="BE7" s="105" t="e">
        <f>CO2_Warning</f>
        <v>#NAME?</v>
      </c>
      <c r="BF7" s="105" t="e">
        <f>CO2_OnOffSta</f>
        <v>#NAME?</v>
      </c>
      <c r="BG7" s="105" t="e">
        <f>IsgStopReq</f>
        <v>#NAME?</v>
      </c>
      <c r="BH7" s="105" t="e">
        <f>EngStartReq</f>
        <v>#NAME?</v>
      </c>
      <c r="BI7" s="105" t="e" cm="1">
        <f t="array" ref="BI7">AUTOStep</f>
        <v>#NAME?</v>
      </c>
      <c r="BJ7" s="105" t="e" cm="1">
        <f t="array" ref="BJ7">MltAutBlrTxt</f>
        <v>#NAME?</v>
      </c>
      <c r="BK7" s="105" t="e">
        <f>PTC_RELAY_Sta</f>
        <v>#NAME?</v>
      </c>
      <c r="BL7" s="105" t="e">
        <f>WhlHeat_Whl_Sta</f>
        <v>#NAME?</v>
      </c>
      <c r="BM7" s="105" t="e">
        <f>WhlHeat_Heat_Sta</f>
        <v>#NAME?</v>
      </c>
      <c r="BN7" s="105" t="e">
        <f>WhlHeat_Whl_Step</f>
        <v>#NAME?</v>
      </c>
      <c r="BO7" s="105" t="e">
        <f>WhlHeat_LH_Step</f>
        <v>#NAME?</v>
      </c>
      <c r="BP7" s="105" t="e">
        <f>WhlHeat_RH_Step</f>
        <v>#NAME?</v>
      </c>
      <c r="BQ7" s="105"/>
    </row>
    <row r="8" spans="1:69">
      <c r="C8" s="4"/>
      <c r="D8" s="4"/>
      <c r="E8" s="4"/>
      <c r="F8" s="4"/>
      <c r="I8" s="255">
        <f>COUNTIF(I10:I14,"&lt;&gt;TS")</f>
        <v>4</v>
      </c>
      <c r="J8" s="106" t="s">
        <v>1517</v>
      </c>
      <c r="K8" s="106" t="s">
        <v>795</v>
      </c>
      <c r="L8" s="106"/>
      <c r="M8" s="106"/>
      <c r="N8" s="106"/>
      <c r="O8" s="106"/>
      <c r="P8" s="106"/>
      <c r="Q8" s="106"/>
      <c r="R8" s="106"/>
      <c r="S8" s="106"/>
      <c r="T8" s="106"/>
      <c r="U8" s="107"/>
      <c r="V8" s="107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</row>
    <row r="9" spans="1:69">
      <c r="C9" s="4"/>
      <c r="D9" s="4"/>
      <c r="E9" s="4"/>
      <c r="F9" s="4"/>
      <c r="I9" s="96" t="s">
        <v>344</v>
      </c>
      <c r="J9" s="96" t="s">
        <v>343</v>
      </c>
      <c r="K9" s="100">
        <v>28</v>
      </c>
      <c r="L9" s="100">
        <v>20</v>
      </c>
      <c r="M9" s="100">
        <v>13</v>
      </c>
      <c r="N9" s="100">
        <v>80.25</v>
      </c>
      <c r="O9" s="100">
        <v>0</v>
      </c>
      <c r="P9" s="100">
        <v>50</v>
      </c>
      <c r="Q9" s="100">
        <v>400</v>
      </c>
      <c r="R9" s="101"/>
      <c r="S9" s="101"/>
      <c r="T9" s="94"/>
      <c r="U9" s="95"/>
      <c r="V9" s="95"/>
      <c r="W9" s="101"/>
      <c r="X9" s="101"/>
      <c r="Y9" s="101"/>
      <c r="Z9" s="101"/>
      <c r="AA9" s="101"/>
      <c r="AB9" s="101"/>
      <c r="AC9" s="101"/>
      <c r="AD9" s="101"/>
      <c r="AE9" s="101"/>
      <c r="AF9" s="101"/>
      <c r="AG9" s="101"/>
      <c r="AH9" s="101"/>
      <c r="AI9" s="101"/>
      <c r="AJ9" s="101"/>
      <c r="AK9" s="101"/>
      <c r="AL9" s="101"/>
      <c r="AM9" s="101"/>
      <c r="AN9" s="101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</row>
    <row r="10" spans="1:69">
      <c r="C10" s="4"/>
      <c r="D10" s="4"/>
      <c r="E10" s="4"/>
      <c r="F10" s="4"/>
      <c r="I10" s="108" t="s">
        <v>7</v>
      </c>
      <c r="J10" s="108" t="s">
        <v>1518</v>
      </c>
      <c r="K10" s="109" t="s">
        <v>796</v>
      </c>
      <c r="L10" s="109"/>
      <c r="M10" s="109"/>
      <c r="N10" s="109"/>
      <c r="O10" s="109"/>
      <c r="P10" s="109"/>
      <c r="Q10" s="109"/>
      <c r="R10" s="109"/>
      <c r="S10" s="109"/>
      <c r="T10" s="109"/>
      <c r="U10" s="110"/>
      <c r="V10" s="110"/>
      <c r="W10" s="109"/>
      <c r="X10" s="109"/>
      <c r="Y10" s="109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09"/>
      <c r="AL10" s="109"/>
      <c r="AM10" s="109"/>
      <c r="AN10" s="109"/>
      <c r="AO10" s="109"/>
      <c r="AP10" s="109"/>
      <c r="AQ10" s="109"/>
      <c r="AR10" s="109"/>
      <c r="AS10" s="109"/>
      <c r="AT10" s="109"/>
      <c r="AU10" s="109"/>
      <c r="AV10" s="109"/>
      <c r="AW10" s="109"/>
      <c r="AX10" s="109"/>
      <c r="AY10" s="109"/>
      <c r="AZ10" s="109"/>
      <c r="BA10" s="109"/>
      <c r="BB10" s="109"/>
      <c r="BC10" s="109"/>
      <c r="BD10" s="109"/>
      <c r="BE10" s="109"/>
      <c r="BF10" s="109"/>
      <c r="BG10" s="109"/>
      <c r="BH10" s="109"/>
      <c r="BI10" s="109"/>
      <c r="BJ10" s="109"/>
      <c r="BK10" s="109"/>
      <c r="BL10" s="109"/>
      <c r="BM10" s="109"/>
      <c r="BN10" s="109"/>
      <c r="BO10" s="109"/>
      <c r="BP10" s="109"/>
      <c r="BQ10" s="109"/>
    </row>
    <row r="11" spans="1:69" ht="13.5">
      <c r="C11" s="4"/>
      <c r="D11" s="4"/>
      <c r="E11" s="4"/>
      <c r="F11" s="4"/>
      <c r="I11" s="96" t="s">
        <v>48</v>
      </c>
      <c r="J11" s="96" t="s">
        <v>1519</v>
      </c>
      <c r="K11" s="100">
        <v>10</v>
      </c>
      <c r="L11" s="100">
        <v>5</v>
      </c>
      <c r="M11" s="100">
        <v>13</v>
      </c>
      <c r="N11" s="101"/>
      <c r="O11" s="101"/>
      <c r="P11" s="101"/>
      <c r="Q11" s="101"/>
      <c r="R11" s="101"/>
      <c r="S11" s="101"/>
      <c r="T11" s="94" t="s">
        <v>209</v>
      </c>
      <c r="U11" s="100" t="s">
        <v>1594</v>
      </c>
      <c r="V11" s="95">
        <v>2</v>
      </c>
      <c r="W11" s="100" t="s">
        <v>49</v>
      </c>
      <c r="X11" s="100" t="s">
        <v>49</v>
      </c>
      <c r="Y11" s="100" t="s">
        <v>235</v>
      </c>
      <c r="Z11" s="101"/>
      <c r="AA11" s="101"/>
      <c r="AB11" s="101"/>
      <c r="AC11" s="101"/>
      <c r="AD11" s="101"/>
      <c r="AE11" s="101"/>
      <c r="AF11" s="100" t="s">
        <v>250</v>
      </c>
      <c r="AG11" s="101"/>
      <c r="AH11" s="101"/>
      <c r="AI11" s="100" t="e">
        <f>const_Tset_default_1</f>
        <v>#NAME?</v>
      </c>
      <c r="AJ11" s="100" t="e">
        <f>const_Tset_default_1</f>
        <v>#NAME?</v>
      </c>
      <c r="AK11" s="101"/>
      <c r="AL11" s="101"/>
      <c r="AM11" s="101"/>
      <c r="AN11" s="100" t="s">
        <v>89</v>
      </c>
      <c r="AO11" s="101"/>
      <c r="AP11" s="101"/>
      <c r="AQ11" s="100" t="s">
        <v>404</v>
      </c>
      <c r="AR11" s="101"/>
      <c r="AS11" s="101"/>
      <c r="AT11" s="101"/>
      <c r="AU11" s="101"/>
      <c r="AV11" s="101"/>
      <c r="AW11" s="101"/>
      <c r="AX11" s="101"/>
      <c r="AY11" s="101"/>
      <c r="AZ11" s="101"/>
      <c r="BA11" s="101"/>
      <c r="BB11" s="101"/>
      <c r="BC11" s="101"/>
      <c r="BD11" s="101"/>
      <c r="BE11" s="101"/>
      <c r="BF11" s="101"/>
      <c r="BG11" s="101"/>
      <c r="BH11" s="101"/>
      <c r="BI11" s="101"/>
      <c r="BJ11" s="101"/>
      <c r="BK11" s="101"/>
      <c r="BL11" s="101"/>
      <c r="BM11" s="101"/>
      <c r="BN11" s="101"/>
      <c r="BO11" s="101"/>
      <c r="BP11" s="101"/>
      <c r="BQ11" s="101"/>
    </row>
    <row r="12" spans="1:69" ht="13.5">
      <c r="C12" s="4"/>
      <c r="I12" s="220" t="s">
        <v>155</v>
      </c>
      <c r="J12" s="220" t="s">
        <v>1520</v>
      </c>
      <c r="K12" s="221">
        <f t="shared" ref="K12:M12" si="0">K11</f>
        <v>10</v>
      </c>
      <c r="L12" s="221">
        <f t="shared" si="0"/>
        <v>5</v>
      </c>
      <c r="M12" s="221">
        <f t="shared" si="0"/>
        <v>13</v>
      </c>
      <c r="N12" s="101"/>
      <c r="O12" s="101"/>
      <c r="P12" s="101"/>
      <c r="Q12" s="101"/>
      <c r="R12" s="101"/>
      <c r="S12" s="101"/>
      <c r="T12" s="94" t="s">
        <v>209</v>
      </c>
      <c r="U12" s="100" t="s">
        <v>1633</v>
      </c>
      <c r="V12" s="95">
        <v>2</v>
      </c>
      <c r="W12" s="100" t="s">
        <v>89</v>
      </c>
      <c r="X12" s="100" t="s">
        <v>89</v>
      </c>
      <c r="Y12" s="100" t="s">
        <v>237</v>
      </c>
      <c r="Z12" s="101"/>
      <c r="AA12" s="101"/>
      <c r="AB12" s="101"/>
      <c r="AC12" s="101"/>
      <c r="AD12" s="101"/>
      <c r="AE12" s="101"/>
      <c r="AF12" s="100">
        <v>1</v>
      </c>
      <c r="AG12" s="101"/>
      <c r="AH12" s="101"/>
      <c r="AI12" s="100" t="e">
        <f t="shared" ref="AI12" si="1">const_Tset_default_1-const_Tset_resolution_1*1</f>
        <v>#NAME?</v>
      </c>
      <c r="AJ12" s="100" t="e">
        <f t="shared" ref="AJ12" si="2">const_Tset_default_1+const_Tset_resolution_1*1</f>
        <v>#NAME?</v>
      </c>
      <c r="AK12" s="101"/>
      <c r="AL12" s="101"/>
      <c r="AM12" s="101"/>
      <c r="AN12" s="100" t="s">
        <v>49</v>
      </c>
      <c r="AO12" s="101"/>
      <c r="AP12" s="101"/>
      <c r="AQ12" s="100" t="s">
        <v>51</v>
      </c>
      <c r="AR12" s="101"/>
      <c r="AS12" s="101"/>
      <c r="AT12" s="101"/>
      <c r="AU12" s="101"/>
      <c r="AV12" s="101"/>
      <c r="AW12" s="101"/>
      <c r="AX12" s="101"/>
      <c r="AY12" s="101"/>
      <c r="AZ12" s="101"/>
      <c r="BA12" s="101"/>
      <c r="BB12" s="101"/>
      <c r="BC12" s="101"/>
      <c r="BD12" s="101"/>
      <c r="BE12" s="101"/>
      <c r="BF12" s="101"/>
      <c r="BG12" s="101"/>
      <c r="BH12" s="101"/>
      <c r="BI12" s="101"/>
      <c r="BJ12" s="101"/>
      <c r="BK12" s="101"/>
      <c r="BL12" s="101"/>
      <c r="BM12" s="101"/>
      <c r="BN12" s="101"/>
      <c r="BO12" s="101"/>
      <c r="BP12" s="101"/>
      <c r="BQ12" s="101"/>
    </row>
    <row r="13" spans="1:69">
      <c r="C13" s="4"/>
      <c r="I13" s="220" t="s">
        <v>155</v>
      </c>
      <c r="J13" s="220" t="s">
        <v>1521</v>
      </c>
      <c r="K13" s="221">
        <f t="shared" ref="K13:M13" si="3">K12</f>
        <v>10</v>
      </c>
      <c r="L13" s="221">
        <f t="shared" si="3"/>
        <v>5</v>
      </c>
      <c r="M13" s="221">
        <f t="shared" si="3"/>
        <v>13</v>
      </c>
      <c r="N13" s="101"/>
      <c r="O13" s="101"/>
      <c r="P13" s="101"/>
      <c r="Q13" s="101"/>
      <c r="R13" s="101"/>
      <c r="S13" s="101"/>
      <c r="T13" s="94" t="s">
        <v>205</v>
      </c>
      <c r="U13" s="95" t="s">
        <v>420</v>
      </c>
      <c r="V13" s="95">
        <v>2</v>
      </c>
      <c r="W13" s="100" t="s">
        <v>89</v>
      </c>
      <c r="X13" s="100" t="s">
        <v>89</v>
      </c>
      <c r="Y13" s="100" t="e">
        <f>IF(SystemOff_ModeDisp_On_Off="O",AB13,"Off")</f>
        <v>#NAME?</v>
      </c>
      <c r="Z13" s="101"/>
      <c r="AA13" s="101"/>
      <c r="AB13" s="101"/>
      <c r="AC13" s="101"/>
      <c r="AD13" s="101"/>
      <c r="AE13" s="101"/>
      <c r="AF13" s="100" t="s">
        <v>89</v>
      </c>
      <c r="AG13" s="101"/>
      <c r="AH13" s="101"/>
      <c r="AI13" s="100" t="e">
        <f>const_Tset_off_1</f>
        <v>#NAME?</v>
      </c>
      <c r="AJ13" s="100" t="e">
        <f>const_Tset_off_1</f>
        <v>#NAME?</v>
      </c>
      <c r="AK13" s="101"/>
      <c r="AL13" s="101"/>
      <c r="AM13" s="101"/>
      <c r="AN13" s="100" t="s">
        <v>1493</v>
      </c>
      <c r="AO13" s="101"/>
      <c r="AP13" s="101"/>
      <c r="AQ13" s="100" t="s">
        <v>404</v>
      </c>
      <c r="AR13" s="101"/>
      <c r="AS13" s="101"/>
      <c r="AT13" s="101"/>
      <c r="AU13" s="101"/>
      <c r="AV13" s="101"/>
      <c r="AW13" s="101"/>
      <c r="AX13" s="101"/>
      <c r="AY13" s="101"/>
      <c r="AZ13" s="101"/>
      <c r="BA13" s="101"/>
      <c r="BB13" s="101"/>
      <c r="BC13" s="101"/>
      <c r="BD13" s="101"/>
      <c r="BE13" s="101"/>
      <c r="BF13" s="101"/>
      <c r="BG13" s="101"/>
      <c r="BH13" s="101"/>
      <c r="BI13" s="101"/>
      <c r="BJ13" s="101"/>
      <c r="BK13" s="101"/>
      <c r="BL13" s="101"/>
      <c r="BM13" s="101"/>
      <c r="BN13" s="101"/>
      <c r="BO13" s="101"/>
      <c r="BP13" s="101"/>
      <c r="BQ13" s="101"/>
    </row>
    <row r="14" spans="1:69">
      <c r="I14" s="220" t="s">
        <v>155</v>
      </c>
      <c r="J14" s="220" t="s">
        <v>1522</v>
      </c>
      <c r="K14" s="221">
        <f t="shared" ref="K14:M14" si="4">K13</f>
        <v>10</v>
      </c>
      <c r="L14" s="221">
        <f t="shared" si="4"/>
        <v>5</v>
      </c>
      <c r="M14" s="221">
        <f t="shared" si="4"/>
        <v>13</v>
      </c>
      <c r="N14" s="101"/>
      <c r="O14" s="101"/>
      <c r="P14" s="101"/>
      <c r="Q14" s="101"/>
      <c r="R14" s="101"/>
      <c r="S14" s="101"/>
      <c r="T14" s="94" t="s">
        <v>378</v>
      </c>
      <c r="U14" s="95">
        <v>1</v>
      </c>
      <c r="V14" s="95">
        <v>2</v>
      </c>
      <c r="W14" s="100" t="s">
        <v>49</v>
      </c>
      <c r="X14" s="100" t="s">
        <v>49</v>
      </c>
      <c r="Y14" s="100" t="s">
        <v>235</v>
      </c>
      <c r="Z14" s="101"/>
      <c r="AA14" s="101"/>
      <c r="AB14" s="101"/>
      <c r="AC14" s="101"/>
      <c r="AD14" s="101"/>
      <c r="AE14" s="101"/>
      <c r="AF14" s="100" t="s">
        <v>250</v>
      </c>
      <c r="AG14" s="101"/>
      <c r="AH14" s="101"/>
      <c r="AI14" s="100" t="e">
        <f>const_Tset_default_1</f>
        <v>#NAME?</v>
      </c>
      <c r="AJ14" s="100" t="e">
        <f>const_Tset_default_1</f>
        <v>#NAME?</v>
      </c>
      <c r="AK14" s="101"/>
      <c r="AL14" s="101"/>
      <c r="AM14" s="101"/>
      <c r="AN14" s="100" t="str">
        <f t="shared" ref="AN14" si="5">AN13</f>
        <v>Off</v>
      </c>
      <c r="AO14" s="101"/>
      <c r="AP14" s="101"/>
      <c r="AQ14" s="100" t="s">
        <v>404</v>
      </c>
      <c r="AR14" s="101"/>
      <c r="AS14" s="101"/>
      <c r="AT14" s="101"/>
      <c r="AU14" s="101"/>
      <c r="AV14" s="101"/>
      <c r="AW14" s="101"/>
      <c r="AX14" s="101"/>
      <c r="AY14" s="101"/>
      <c r="AZ14" s="101"/>
      <c r="BA14" s="101"/>
      <c r="BB14" s="101"/>
      <c r="BC14" s="101"/>
      <c r="BD14" s="101"/>
      <c r="BE14" s="101"/>
      <c r="BF14" s="101"/>
      <c r="BG14" s="101"/>
      <c r="BH14" s="101"/>
      <c r="BI14" s="101"/>
      <c r="BJ14" s="101"/>
      <c r="BK14" s="101"/>
      <c r="BL14" s="101"/>
      <c r="BM14" s="101"/>
      <c r="BN14" s="101"/>
      <c r="BO14" s="101"/>
      <c r="BP14" s="101"/>
      <c r="BQ14" s="101"/>
    </row>
    <row r="15" spans="1:69">
      <c r="I15" s="255">
        <f>COUNTIF(I16:I22,"&lt;&gt;TS")</f>
        <v>6</v>
      </c>
      <c r="J15" s="106" t="s">
        <v>1524</v>
      </c>
      <c r="K15" s="106" t="s">
        <v>1516</v>
      </c>
      <c r="L15" s="106"/>
      <c r="M15" s="106"/>
      <c r="N15" s="106"/>
      <c r="O15" s="106"/>
      <c r="P15" s="106"/>
      <c r="Q15" s="106"/>
      <c r="R15" s="106"/>
      <c r="S15" s="106"/>
      <c r="T15" s="106"/>
      <c r="U15" s="107"/>
      <c r="V15" s="107"/>
      <c r="W15" s="106"/>
      <c r="X15" s="106"/>
      <c r="Y15" s="106"/>
      <c r="Z15" s="106"/>
      <c r="AA15" s="106"/>
      <c r="AB15" s="106"/>
      <c r="AC15" s="106"/>
      <c r="AD15" s="106"/>
      <c r="AE15" s="106"/>
      <c r="AF15" s="106"/>
      <c r="AG15" s="106"/>
      <c r="AH15" s="106"/>
      <c r="AI15" s="106"/>
      <c r="AJ15" s="106"/>
      <c r="AK15" s="106"/>
      <c r="AL15" s="106"/>
      <c r="AM15" s="106"/>
      <c r="AN15" s="106"/>
      <c r="AO15" s="106"/>
      <c r="AP15" s="106"/>
      <c r="AQ15" s="106"/>
      <c r="AR15" s="106"/>
      <c r="AS15" s="106"/>
      <c r="AT15" s="106"/>
      <c r="AU15" s="106"/>
      <c r="AV15" s="106"/>
      <c r="AW15" s="106"/>
      <c r="AX15" s="106"/>
      <c r="AY15" s="106"/>
      <c r="AZ15" s="106"/>
      <c r="BA15" s="106"/>
      <c r="BB15" s="106"/>
      <c r="BC15" s="106"/>
      <c r="BD15" s="106"/>
      <c r="BE15" s="106"/>
      <c r="BF15" s="106"/>
      <c r="BG15" s="106"/>
      <c r="BH15" s="106"/>
      <c r="BI15" s="106"/>
      <c r="BJ15" s="106"/>
      <c r="BK15" s="106"/>
      <c r="BL15" s="106"/>
      <c r="BM15" s="106"/>
      <c r="BN15" s="106"/>
      <c r="BO15" s="106"/>
      <c r="BP15" s="106"/>
      <c r="BQ15" s="106"/>
    </row>
    <row r="16" spans="1:69">
      <c r="I16" s="108" t="s">
        <v>7</v>
      </c>
      <c r="J16" s="108" t="s">
        <v>1526</v>
      </c>
      <c r="K16" s="109" t="s">
        <v>797</v>
      </c>
      <c r="L16" s="109"/>
      <c r="M16" s="109"/>
      <c r="N16" s="109"/>
      <c r="O16" s="109"/>
      <c r="P16" s="109"/>
      <c r="Q16" s="109"/>
      <c r="R16" s="109"/>
      <c r="S16" s="109"/>
      <c r="T16" s="109"/>
      <c r="U16" s="110"/>
      <c r="V16" s="110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09"/>
      <c r="AJ16" s="109"/>
      <c r="AK16" s="109"/>
      <c r="AL16" s="109"/>
      <c r="AM16" s="109"/>
      <c r="AN16" s="109"/>
      <c r="AO16" s="109"/>
      <c r="AP16" s="109"/>
      <c r="AQ16" s="109"/>
      <c r="AR16" s="109"/>
      <c r="AS16" s="109"/>
      <c r="AT16" s="109"/>
      <c r="AU16" s="109"/>
      <c r="AV16" s="109"/>
      <c r="AW16" s="109"/>
      <c r="AX16" s="109"/>
      <c r="AY16" s="109"/>
      <c r="AZ16" s="109"/>
      <c r="BA16" s="109"/>
      <c r="BB16" s="109"/>
      <c r="BC16" s="109"/>
      <c r="BD16" s="109"/>
      <c r="BE16" s="109"/>
      <c r="BF16" s="109"/>
      <c r="BG16" s="109"/>
      <c r="BH16" s="109"/>
      <c r="BI16" s="109"/>
      <c r="BJ16" s="109"/>
      <c r="BK16" s="109"/>
      <c r="BL16" s="109"/>
      <c r="BM16" s="109"/>
      <c r="BN16" s="109"/>
      <c r="BO16" s="109"/>
      <c r="BP16" s="109"/>
      <c r="BQ16" s="109"/>
    </row>
    <row r="17" spans="5:69" ht="13.5">
      <c r="E17" s="2">
        <v>2.5</v>
      </c>
      <c r="I17" s="220" t="s">
        <v>48</v>
      </c>
      <c r="J17" s="96" t="s">
        <v>1527</v>
      </c>
      <c r="K17" s="221">
        <f>K14</f>
        <v>10</v>
      </c>
      <c r="L17" s="221">
        <f t="shared" ref="L17:M17" si="6">L14</f>
        <v>5</v>
      </c>
      <c r="M17" s="221">
        <f t="shared" si="6"/>
        <v>13</v>
      </c>
      <c r="N17" s="101"/>
      <c r="O17" s="101"/>
      <c r="P17" s="101"/>
      <c r="Q17" s="101"/>
      <c r="R17" s="101"/>
      <c r="S17" s="101"/>
      <c r="T17" s="94" t="s">
        <v>209</v>
      </c>
      <c r="U17" s="100" t="s">
        <v>1637</v>
      </c>
      <c r="V17" s="99">
        <v>10</v>
      </c>
      <c r="W17" s="100" t="s">
        <v>89</v>
      </c>
      <c r="X17" s="100" t="s">
        <v>89</v>
      </c>
      <c r="Y17" s="100" t="s">
        <v>237</v>
      </c>
      <c r="Z17" s="101"/>
      <c r="AA17" s="101"/>
      <c r="AB17" s="101"/>
      <c r="AC17" s="101"/>
      <c r="AD17" s="101"/>
      <c r="AE17" s="101"/>
      <c r="AF17" s="100">
        <v>8</v>
      </c>
      <c r="AG17" s="101"/>
      <c r="AH17" s="101"/>
      <c r="AI17" s="100" t="e">
        <f>const_Tset_default_1+const_Tset_resolution_1*2</f>
        <v>#NAME?</v>
      </c>
      <c r="AJ17" s="100" t="e">
        <f t="shared" ref="AJ17:AJ21" si="7">const_Tset_default_1+const_Tset_resolution_1*1</f>
        <v>#NAME?</v>
      </c>
      <c r="AK17" s="101"/>
      <c r="AL17" s="101"/>
      <c r="AM17" s="101"/>
      <c r="AN17" s="100" t="s">
        <v>49</v>
      </c>
      <c r="AO17" s="101"/>
      <c r="AP17" s="101"/>
      <c r="AQ17" s="100" t="s">
        <v>51</v>
      </c>
      <c r="AR17" s="101"/>
      <c r="AS17" s="101"/>
      <c r="AT17" s="101"/>
      <c r="AU17" s="101"/>
      <c r="AV17" s="101"/>
      <c r="AW17" s="101"/>
      <c r="AX17" s="101"/>
      <c r="AY17" s="101"/>
      <c r="AZ17" s="101"/>
      <c r="BA17" s="101"/>
      <c r="BB17" s="101"/>
      <c r="BC17" s="101"/>
      <c r="BD17" s="101"/>
      <c r="BE17" s="101"/>
      <c r="BF17" s="101"/>
      <c r="BG17" s="101"/>
      <c r="BH17" s="101"/>
      <c r="BI17" s="101"/>
      <c r="BJ17" s="101"/>
      <c r="BK17" s="101"/>
      <c r="BL17" s="101"/>
      <c r="BM17" s="101"/>
      <c r="BN17" s="101"/>
      <c r="BO17" s="101"/>
      <c r="BP17" s="101"/>
      <c r="BQ17" s="101"/>
    </row>
    <row r="18" spans="5:69">
      <c r="I18" s="220" t="s">
        <v>155</v>
      </c>
      <c r="J18" s="220" t="s">
        <v>1528</v>
      </c>
      <c r="K18" s="221">
        <f t="shared" ref="K18:M18" si="8">K17</f>
        <v>10</v>
      </c>
      <c r="L18" s="221">
        <f t="shared" si="8"/>
        <v>5</v>
      </c>
      <c r="M18" s="221">
        <f t="shared" si="8"/>
        <v>13</v>
      </c>
      <c r="N18" s="101"/>
      <c r="O18" s="101"/>
      <c r="P18" s="101"/>
      <c r="Q18" s="101"/>
      <c r="R18" s="101"/>
      <c r="S18" s="101"/>
      <c r="T18" s="94" t="s">
        <v>207</v>
      </c>
      <c r="U18" s="99" t="s">
        <v>420</v>
      </c>
      <c r="V18" s="99">
        <v>2</v>
      </c>
      <c r="W18" s="100" t="s">
        <v>89</v>
      </c>
      <c r="X18" s="100" t="s">
        <v>89</v>
      </c>
      <c r="Y18" s="100" t="e">
        <f>IF(SystemOff_ModeDisp_On_Off="O",AB18,"Off")</f>
        <v>#NAME?</v>
      </c>
      <c r="Z18" s="101"/>
      <c r="AA18" s="101"/>
      <c r="AB18" s="101"/>
      <c r="AC18" s="101"/>
      <c r="AD18" s="101"/>
      <c r="AE18" s="101"/>
      <c r="AF18" s="100" t="s">
        <v>89</v>
      </c>
      <c r="AG18" s="101"/>
      <c r="AH18" s="101"/>
      <c r="AI18" s="100" t="e">
        <f>const_Tset_off_1</f>
        <v>#NAME?</v>
      </c>
      <c r="AJ18" s="100" t="e">
        <f>const_Tset_off_1</f>
        <v>#NAME?</v>
      </c>
      <c r="AK18" s="101"/>
      <c r="AL18" s="101"/>
      <c r="AM18" s="101"/>
      <c r="AN18" s="100" t="s">
        <v>89</v>
      </c>
      <c r="AO18" s="101"/>
      <c r="AP18" s="101"/>
      <c r="AQ18" s="100" t="s">
        <v>404</v>
      </c>
      <c r="AR18" s="101"/>
      <c r="AS18" s="101"/>
      <c r="AT18" s="101"/>
      <c r="AU18" s="101"/>
      <c r="AV18" s="101"/>
      <c r="AW18" s="101"/>
      <c r="AX18" s="101"/>
      <c r="AY18" s="101"/>
      <c r="AZ18" s="101"/>
      <c r="BA18" s="101"/>
      <c r="BB18" s="101"/>
      <c r="BC18" s="101"/>
      <c r="BD18" s="101"/>
      <c r="BE18" s="101"/>
      <c r="BF18" s="101"/>
      <c r="BG18" s="101"/>
      <c r="BH18" s="101"/>
      <c r="BI18" s="101"/>
      <c r="BJ18" s="101"/>
      <c r="BK18" s="101"/>
      <c r="BL18" s="101"/>
      <c r="BM18" s="101"/>
      <c r="BN18" s="101"/>
      <c r="BO18" s="101"/>
      <c r="BP18" s="101"/>
      <c r="BQ18" s="101"/>
    </row>
    <row r="19" spans="5:69">
      <c r="I19" s="220" t="s">
        <v>155</v>
      </c>
      <c r="J19" s="220" t="s">
        <v>1529</v>
      </c>
      <c r="K19" s="221">
        <f t="shared" ref="K19:M19" si="9">K18</f>
        <v>10</v>
      </c>
      <c r="L19" s="221">
        <f t="shared" si="9"/>
        <v>5</v>
      </c>
      <c r="M19" s="221">
        <f t="shared" si="9"/>
        <v>13</v>
      </c>
      <c r="N19" s="101"/>
      <c r="O19" s="101"/>
      <c r="P19" s="101"/>
      <c r="Q19" s="101"/>
      <c r="R19" s="101"/>
      <c r="S19" s="101"/>
      <c r="T19" s="94" t="s">
        <v>378</v>
      </c>
      <c r="U19" s="95">
        <v>1</v>
      </c>
      <c r="V19" s="95">
        <v>10</v>
      </c>
      <c r="W19" s="100" t="s">
        <v>49</v>
      </c>
      <c r="X19" s="100" t="s">
        <v>49</v>
      </c>
      <c r="Y19" s="100" t="s">
        <v>235</v>
      </c>
      <c r="Z19" s="101"/>
      <c r="AA19" s="101"/>
      <c r="AB19" s="101"/>
      <c r="AC19" s="101"/>
      <c r="AD19" s="101"/>
      <c r="AE19" s="101"/>
      <c r="AF19" s="100" t="s">
        <v>250</v>
      </c>
      <c r="AG19" s="101"/>
      <c r="AH19" s="101"/>
      <c r="AI19" s="100" t="e">
        <f>const_Tset_default_1</f>
        <v>#NAME?</v>
      </c>
      <c r="AJ19" s="100" t="e">
        <f>const_Tset_default_1</f>
        <v>#NAME?</v>
      </c>
      <c r="AK19" s="101"/>
      <c r="AL19" s="101"/>
      <c r="AM19" s="101"/>
      <c r="AN19" s="100" t="str">
        <f t="shared" ref="AN19" si="10">AN18</f>
        <v>Off</v>
      </c>
      <c r="AO19" s="101"/>
      <c r="AP19" s="101"/>
      <c r="AQ19" s="100" t="s">
        <v>404</v>
      </c>
      <c r="AR19" s="101"/>
      <c r="AS19" s="101"/>
      <c r="AT19" s="101"/>
      <c r="AU19" s="101"/>
      <c r="AV19" s="101"/>
      <c r="AW19" s="101"/>
      <c r="AX19" s="101"/>
      <c r="AY19" s="101"/>
      <c r="AZ19" s="101"/>
      <c r="BA19" s="101"/>
      <c r="BB19" s="101"/>
      <c r="BC19" s="101"/>
      <c r="BD19" s="101"/>
      <c r="BE19" s="101"/>
      <c r="BF19" s="101"/>
      <c r="BG19" s="101"/>
      <c r="BH19" s="101"/>
      <c r="BI19" s="101"/>
      <c r="BJ19" s="101"/>
      <c r="BK19" s="101"/>
      <c r="BL19" s="101"/>
      <c r="BM19" s="101"/>
      <c r="BN19" s="101"/>
      <c r="BO19" s="101"/>
      <c r="BP19" s="101"/>
      <c r="BQ19" s="101"/>
    </row>
    <row r="20" spans="5:69" ht="13.5">
      <c r="I20" s="220" t="s">
        <v>155</v>
      </c>
      <c r="J20" s="220" t="s">
        <v>1530</v>
      </c>
      <c r="K20" s="221">
        <f t="shared" ref="K20:M20" si="11">K19</f>
        <v>10</v>
      </c>
      <c r="L20" s="221">
        <f t="shared" si="11"/>
        <v>5</v>
      </c>
      <c r="M20" s="221">
        <f t="shared" si="11"/>
        <v>13</v>
      </c>
      <c r="N20" s="101"/>
      <c r="O20" s="101"/>
      <c r="P20" s="101"/>
      <c r="Q20" s="101"/>
      <c r="R20" s="101"/>
      <c r="S20" s="101"/>
      <c r="T20" s="94" t="s">
        <v>209</v>
      </c>
      <c r="U20" s="100" t="s">
        <v>1637</v>
      </c>
      <c r="V20" s="95">
        <v>2</v>
      </c>
      <c r="W20" s="100" t="s">
        <v>89</v>
      </c>
      <c r="X20" s="100" t="s">
        <v>89</v>
      </c>
      <c r="Y20" s="100" t="s">
        <v>237</v>
      </c>
      <c r="Z20" s="101"/>
      <c r="AA20" s="101"/>
      <c r="AB20" s="101"/>
      <c r="AC20" s="101"/>
      <c r="AD20" s="101"/>
      <c r="AE20" s="101"/>
      <c r="AF20" s="100">
        <v>8</v>
      </c>
      <c r="AG20" s="101"/>
      <c r="AH20" s="101"/>
      <c r="AI20" s="100" t="e">
        <f>const_Tset_default_1+const_Tset_resolution_1*2</f>
        <v>#NAME?</v>
      </c>
      <c r="AJ20" s="100" t="e">
        <f t="shared" si="7"/>
        <v>#NAME?</v>
      </c>
      <c r="AK20" s="101"/>
      <c r="AL20" s="101"/>
      <c r="AM20" s="101"/>
      <c r="AN20" s="100" t="s">
        <v>49</v>
      </c>
      <c r="AO20" s="101"/>
      <c r="AP20" s="101"/>
      <c r="AQ20" s="100" t="s">
        <v>51</v>
      </c>
      <c r="AR20" s="101"/>
      <c r="AS20" s="101"/>
      <c r="AT20" s="101"/>
      <c r="AU20" s="101"/>
      <c r="AV20" s="101"/>
      <c r="AW20" s="101"/>
      <c r="AX20" s="101"/>
      <c r="AY20" s="101"/>
      <c r="AZ20" s="101"/>
      <c r="BA20" s="101"/>
      <c r="BB20" s="101"/>
      <c r="BC20" s="101"/>
      <c r="BD20" s="101"/>
      <c r="BE20" s="101"/>
      <c r="BF20" s="101"/>
      <c r="BG20" s="101"/>
      <c r="BH20" s="101"/>
      <c r="BI20" s="101"/>
      <c r="BJ20" s="101"/>
      <c r="BK20" s="101"/>
      <c r="BL20" s="101"/>
      <c r="BM20" s="101"/>
      <c r="BN20" s="101"/>
      <c r="BO20" s="101"/>
      <c r="BP20" s="101"/>
      <c r="BQ20" s="101"/>
    </row>
    <row r="21" spans="5:69">
      <c r="I21" s="220" t="s">
        <v>155</v>
      </c>
      <c r="J21" s="220" t="s">
        <v>1531</v>
      </c>
      <c r="K21" s="221">
        <f t="shared" ref="K21:M21" si="12">K20</f>
        <v>10</v>
      </c>
      <c r="L21" s="221">
        <f t="shared" si="12"/>
        <v>5</v>
      </c>
      <c r="M21" s="221">
        <f t="shared" si="12"/>
        <v>13</v>
      </c>
      <c r="N21" s="101"/>
      <c r="O21" s="101"/>
      <c r="P21" s="101"/>
      <c r="Q21" s="101"/>
      <c r="R21" s="101"/>
      <c r="S21" s="101"/>
      <c r="T21" s="111" t="e">
        <f>AutoCutMode</f>
        <v>#NAME?</v>
      </c>
      <c r="U21" s="100">
        <v>2</v>
      </c>
      <c r="V21" s="95">
        <v>10</v>
      </c>
      <c r="W21" s="100" t="s">
        <v>89</v>
      </c>
      <c r="X21" s="100" t="s">
        <v>89</v>
      </c>
      <c r="Y21" s="100" t="s">
        <v>237</v>
      </c>
      <c r="Z21" s="101"/>
      <c r="AA21" s="101"/>
      <c r="AB21" s="101"/>
      <c r="AC21" s="101"/>
      <c r="AD21" s="101"/>
      <c r="AE21" s="101"/>
      <c r="AF21" s="100">
        <v>8</v>
      </c>
      <c r="AG21" s="101"/>
      <c r="AH21" s="101"/>
      <c r="AI21" s="100" t="e">
        <f>const_Tset_default_1+const_Tset_resolution_1*2</f>
        <v>#NAME?</v>
      </c>
      <c r="AJ21" s="100" t="e">
        <f t="shared" si="7"/>
        <v>#NAME?</v>
      </c>
      <c r="AK21" s="101"/>
      <c r="AL21" s="101"/>
      <c r="AM21" s="101"/>
      <c r="AN21" s="100" t="s">
        <v>49</v>
      </c>
      <c r="AO21" s="101"/>
      <c r="AP21" s="101"/>
      <c r="AQ21" s="100" t="s">
        <v>51</v>
      </c>
      <c r="AR21" s="101"/>
      <c r="AS21" s="101"/>
      <c r="AT21" s="101"/>
      <c r="AU21" s="101"/>
      <c r="AV21" s="101"/>
      <c r="AW21" s="101"/>
      <c r="AX21" s="101"/>
      <c r="AY21" s="101"/>
      <c r="AZ21" s="101"/>
      <c r="BA21" s="101"/>
      <c r="BB21" s="101"/>
      <c r="BC21" s="101"/>
      <c r="BD21" s="101"/>
      <c r="BE21" s="101"/>
      <c r="BF21" s="101"/>
      <c r="BG21" s="101"/>
      <c r="BH21" s="101"/>
      <c r="BI21" s="101"/>
      <c r="BJ21" s="101"/>
      <c r="BK21" s="101"/>
      <c r="BL21" s="101"/>
      <c r="BM21" s="101"/>
      <c r="BN21" s="101"/>
      <c r="BO21" s="101"/>
      <c r="BP21" s="101"/>
      <c r="BQ21" s="101"/>
    </row>
    <row r="22" spans="5:69">
      <c r="I22" s="220" t="s">
        <v>155</v>
      </c>
      <c r="J22" s="220" t="s">
        <v>1582</v>
      </c>
      <c r="K22" s="221">
        <f t="shared" ref="K22:M22" si="13">K21</f>
        <v>10</v>
      </c>
      <c r="L22" s="221">
        <f t="shared" si="13"/>
        <v>5</v>
      </c>
      <c r="M22" s="221">
        <f t="shared" si="13"/>
        <v>13</v>
      </c>
      <c r="N22" s="101"/>
      <c r="O22" s="101"/>
      <c r="P22" s="101"/>
      <c r="Q22" s="101"/>
      <c r="R22" s="101"/>
      <c r="S22" s="101"/>
      <c r="T22" s="94" t="s">
        <v>209</v>
      </c>
      <c r="U22" s="100" t="e">
        <f>IF(FLAG_Country&lt;&gt;"USA","설정 온도 22 degC, AUTO ON (SYNC ON) + OFF 선택 상태 설정","설정 온도 72 degF, AUTO ON (SYNC ON) + OFF 선택 상태 설정")</f>
        <v>#NAME?</v>
      </c>
      <c r="V22" s="95">
        <v>10</v>
      </c>
      <c r="W22" s="100" t="s">
        <v>49</v>
      </c>
      <c r="X22" s="100" t="s">
        <v>49</v>
      </c>
      <c r="Y22" s="100" t="e">
        <f>IF(SystemOff_ModeDisp_On_Off="O",AB22,"Off")</f>
        <v>#NAME?</v>
      </c>
      <c r="Z22" s="101"/>
      <c r="AA22" s="101"/>
      <c r="AB22" s="101"/>
      <c r="AC22" s="101"/>
      <c r="AD22" s="101"/>
      <c r="AE22" s="101"/>
      <c r="AF22" s="101"/>
      <c r="AG22" s="101"/>
      <c r="AH22" s="101"/>
      <c r="AI22" s="100" t="e">
        <f>const_Tset_off_1</f>
        <v>#NAME?</v>
      </c>
      <c r="AJ22" s="100" t="e">
        <f>const_Tset_off_1</f>
        <v>#NAME?</v>
      </c>
      <c r="AK22" s="101"/>
      <c r="AL22" s="101"/>
      <c r="AM22" s="101"/>
      <c r="AN22" s="101"/>
      <c r="AO22" s="101"/>
      <c r="AP22" s="101"/>
      <c r="AQ22" s="101"/>
      <c r="AR22" s="101"/>
      <c r="AS22" s="101"/>
      <c r="AT22" s="101"/>
      <c r="AU22" s="101"/>
      <c r="AV22" s="101"/>
      <c r="AW22" s="101"/>
      <c r="AX22" s="101"/>
      <c r="AY22" s="101"/>
      <c r="AZ22" s="101"/>
      <c r="BA22" s="101"/>
      <c r="BB22" s="101"/>
      <c r="BC22" s="101"/>
      <c r="BD22" s="101"/>
      <c r="BE22" s="101"/>
      <c r="BF22" s="101"/>
      <c r="BG22" s="101"/>
      <c r="BH22" s="101"/>
      <c r="BI22" s="101"/>
      <c r="BJ22" s="101"/>
      <c r="BK22" s="101"/>
      <c r="BL22" s="101"/>
      <c r="BM22" s="101"/>
      <c r="BN22" s="101"/>
      <c r="BO22" s="101"/>
      <c r="BP22" s="101"/>
      <c r="BQ22" s="101"/>
    </row>
    <row r="23" spans="5:69">
      <c r="I23" s="255">
        <f>COUNTIF(I24:I27,"&lt;&gt;TS")</f>
        <v>3</v>
      </c>
      <c r="J23" s="106" t="s">
        <v>1532</v>
      </c>
      <c r="K23" s="106" t="s">
        <v>776</v>
      </c>
      <c r="L23" s="106"/>
      <c r="M23" s="106"/>
      <c r="N23" s="106"/>
      <c r="O23" s="106"/>
      <c r="P23" s="106"/>
      <c r="Q23" s="106"/>
      <c r="R23" s="106"/>
      <c r="S23" s="106"/>
      <c r="T23" s="106"/>
      <c r="U23" s="107"/>
      <c r="V23" s="107"/>
      <c r="W23" s="106"/>
      <c r="X23" s="106"/>
      <c r="Y23" s="106"/>
      <c r="Z23" s="106"/>
      <c r="AA23" s="106"/>
      <c r="AB23" s="106"/>
      <c r="AC23" s="106"/>
      <c r="AD23" s="106"/>
      <c r="AE23" s="106"/>
      <c r="AF23" s="106"/>
      <c r="AG23" s="106"/>
      <c r="AH23" s="106"/>
      <c r="AI23" s="106"/>
      <c r="AJ23" s="106"/>
      <c r="AK23" s="106"/>
      <c r="AL23" s="106"/>
      <c r="AM23" s="106"/>
      <c r="AN23" s="106"/>
      <c r="AO23" s="106"/>
      <c r="AP23" s="106"/>
      <c r="AQ23" s="106"/>
      <c r="AR23" s="106"/>
      <c r="AS23" s="106"/>
      <c r="AT23" s="106"/>
      <c r="AU23" s="106"/>
      <c r="AV23" s="106"/>
      <c r="AW23" s="106"/>
      <c r="AX23" s="106"/>
      <c r="AY23" s="106"/>
      <c r="AZ23" s="106"/>
      <c r="BA23" s="106"/>
      <c r="BB23" s="106"/>
      <c r="BC23" s="106"/>
      <c r="BD23" s="106"/>
      <c r="BE23" s="106"/>
      <c r="BF23" s="106"/>
      <c r="BG23" s="106"/>
      <c r="BH23" s="106"/>
      <c r="BI23" s="106"/>
      <c r="BJ23" s="106"/>
      <c r="BK23" s="106"/>
      <c r="BL23" s="106"/>
      <c r="BM23" s="106"/>
      <c r="BN23" s="106"/>
      <c r="BO23" s="106"/>
      <c r="BP23" s="106"/>
      <c r="BQ23" s="106"/>
    </row>
    <row r="24" spans="5:69" ht="13.5">
      <c r="I24" s="108" t="s">
        <v>7</v>
      </c>
      <c r="J24" s="108" t="s">
        <v>1534</v>
      </c>
      <c r="K24" s="109" t="s">
        <v>777</v>
      </c>
      <c r="L24" s="109"/>
      <c r="M24" s="109"/>
      <c r="N24" s="109"/>
      <c r="O24" s="109"/>
      <c r="P24" s="109"/>
      <c r="Q24" s="109"/>
      <c r="R24" s="109"/>
      <c r="S24" s="109"/>
      <c r="T24" s="109"/>
      <c r="U24" s="110"/>
      <c r="V24" s="110"/>
      <c r="W24" s="109"/>
      <c r="X24" s="109"/>
      <c r="Y24" s="109"/>
      <c r="Z24" s="109"/>
      <c r="AA24" s="109"/>
      <c r="AB24" s="109"/>
      <c r="AC24" s="109"/>
      <c r="AD24" s="109"/>
      <c r="AE24" s="109"/>
      <c r="AF24" s="109"/>
      <c r="AG24" s="109"/>
      <c r="AH24" s="109"/>
      <c r="AI24" s="109"/>
      <c r="AJ24" s="109"/>
      <c r="AK24" s="109"/>
      <c r="AL24" s="109"/>
      <c r="AM24" s="109"/>
      <c r="AN24" s="109"/>
      <c r="AO24" s="109"/>
      <c r="AP24" s="109"/>
      <c r="AQ24" s="109"/>
      <c r="AR24" s="109"/>
      <c r="AS24" s="109"/>
      <c r="AT24" s="109"/>
      <c r="AU24" s="109"/>
      <c r="AV24" s="109"/>
      <c r="AW24" s="109"/>
      <c r="AX24" s="109"/>
      <c r="AY24" s="109"/>
      <c r="AZ24" s="109"/>
      <c r="BA24" s="109"/>
      <c r="BB24" s="109"/>
      <c r="BC24" s="109"/>
      <c r="BD24" s="109"/>
      <c r="BE24" s="109"/>
      <c r="BF24" s="109"/>
      <c r="BG24" s="109"/>
      <c r="BH24" s="109"/>
      <c r="BI24" s="109"/>
      <c r="BJ24" s="109"/>
      <c r="BK24" s="109"/>
      <c r="BL24" s="109"/>
      <c r="BM24" s="109"/>
      <c r="BN24" s="109"/>
      <c r="BO24" s="109"/>
      <c r="BP24" s="109"/>
      <c r="BQ24" s="109"/>
    </row>
    <row r="25" spans="5:69">
      <c r="I25" s="96" t="s">
        <v>48</v>
      </c>
      <c r="J25" s="96" t="s">
        <v>1535</v>
      </c>
      <c r="K25" s="100">
        <v>28</v>
      </c>
      <c r="L25" s="100">
        <v>20</v>
      </c>
      <c r="M25" s="100">
        <v>13</v>
      </c>
      <c r="N25" s="101"/>
      <c r="O25" s="101"/>
      <c r="P25" s="101"/>
      <c r="Q25" s="101"/>
      <c r="R25" s="101"/>
      <c r="S25" s="101"/>
      <c r="T25" s="111" t="s">
        <v>205</v>
      </c>
      <c r="U25" s="99" t="s">
        <v>420</v>
      </c>
      <c r="V25" s="99">
        <v>10</v>
      </c>
      <c r="W25" s="101"/>
      <c r="X25" s="101"/>
      <c r="Y25" s="101"/>
      <c r="Z25" s="101"/>
      <c r="AA25" s="101"/>
      <c r="AB25" s="101"/>
      <c r="AC25" s="101"/>
      <c r="AD25" s="101"/>
      <c r="AE25" s="101"/>
      <c r="AF25" s="101"/>
      <c r="AG25" s="101"/>
      <c r="AH25" s="101"/>
      <c r="AI25" s="102" t="e">
        <f>const_Tset_default_1</f>
        <v>#NAME?</v>
      </c>
      <c r="AJ25" s="102" t="e">
        <f>const_Tset_default_1</f>
        <v>#NAME?</v>
      </c>
      <c r="AK25" s="101"/>
      <c r="AL25" s="101"/>
      <c r="AM25" s="101"/>
      <c r="AN25" s="101"/>
      <c r="AO25" s="101"/>
      <c r="AP25" s="101"/>
      <c r="AQ25" s="101"/>
      <c r="AR25" s="101"/>
      <c r="AS25" s="101"/>
      <c r="AT25" s="101"/>
      <c r="AU25" s="101"/>
      <c r="AV25" s="102" t="s">
        <v>769</v>
      </c>
      <c r="AW25" s="100" t="s">
        <v>769</v>
      </c>
      <c r="AX25" s="101"/>
      <c r="AY25" s="101"/>
      <c r="AZ25" s="101"/>
      <c r="BA25" s="101"/>
      <c r="BB25" s="101"/>
      <c r="BC25" s="102" t="s">
        <v>769</v>
      </c>
      <c r="BD25" s="102" t="s">
        <v>769</v>
      </c>
      <c r="BE25" s="101"/>
      <c r="BF25" s="101"/>
      <c r="BG25" s="101"/>
      <c r="BH25" s="101"/>
      <c r="BI25" s="101"/>
      <c r="BJ25" s="101"/>
      <c r="BK25" s="101"/>
      <c r="BL25" s="101"/>
      <c r="BM25" s="101"/>
      <c r="BN25" s="101"/>
      <c r="BO25" s="101"/>
      <c r="BP25" s="101"/>
      <c r="BQ25" s="101"/>
    </row>
    <row r="26" spans="5:69" ht="13.5">
      <c r="I26" s="220" t="s">
        <v>155</v>
      </c>
      <c r="J26" s="220" t="s">
        <v>1537</v>
      </c>
      <c r="K26" s="221">
        <f>K25</f>
        <v>28</v>
      </c>
      <c r="L26" s="221">
        <f t="shared" ref="L26:M26" si="14">L25</f>
        <v>20</v>
      </c>
      <c r="M26" s="221">
        <f t="shared" si="14"/>
        <v>13</v>
      </c>
      <c r="N26" s="101"/>
      <c r="O26" s="101"/>
      <c r="P26" s="101"/>
      <c r="Q26" s="101"/>
      <c r="R26" s="101"/>
      <c r="S26" s="101"/>
      <c r="T26" s="94" t="s">
        <v>209</v>
      </c>
      <c r="U26" s="100" t="s">
        <v>1588</v>
      </c>
      <c r="V26" s="99">
        <v>2</v>
      </c>
      <c r="W26" s="101"/>
      <c r="X26" s="101"/>
      <c r="Y26" s="101"/>
      <c r="Z26" s="101"/>
      <c r="AA26" s="101"/>
      <c r="AB26" s="101"/>
      <c r="AC26" s="101"/>
      <c r="AD26" s="101"/>
      <c r="AE26" s="101"/>
      <c r="AF26" s="101"/>
      <c r="AG26" s="101"/>
      <c r="AH26" s="101"/>
      <c r="AI26" s="102" t="e">
        <f>const_Tset_min_1</f>
        <v>#NAME?</v>
      </c>
      <c r="AJ26" s="102" t="e">
        <f>const_Tset_min_1</f>
        <v>#NAME?</v>
      </c>
      <c r="AK26" s="101"/>
      <c r="AL26" s="101"/>
      <c r="AM26" s="101"/>
      <c r="AN26" s="101"/>
      <c r="AO26" s="101"/>
      <c r="AP26" s="101"/>
      <c r="AQ26" s="101"/>
      <c r="AR26" s="101"/>
      <c r="AS26" s="101"/>
      <c r="AT26" s="101"/>
      <c r="AU26" s="101"/>
      <c r="AV26" s="102">
        <v>0.3</v>
      </c>
      <c r="AW26" s="100">
        <v>0.3</v>
      </c>
      <c r="AX26" s="101"/>
      <c r="AY26" s="101"/>
      <c r="AZ26" s="101"/>
      <c r="BA26" s="101"/>
      <c r="BB26" s="101"/>
      <c r="BC26" s="102" t="e" cm="1">
        <f t="array" ref="BC26">VINTERPOLATION(AV26,Tbl_RrTempFB_Volt_Floor,2)</f>
        <v>#VALUE!</v>
      </c>
      <c r="BD26" s="102" t="e" cm="1">
        <f t="array" ref="BD26">VINTERPOLATION(AV26,Tbl_RrTempFB_Volt_Floor,3)</f>
        <v>#VALUE!</v>
      </c>
      <c r="BE26" s="101"/>
      <c r="BF26" s="101"/>
      <c r="BG26" s="101"/>
      <c r="BH26" s="101"/>
      <c r="BI26" s="101"/>
      <c r="BJ26" s="101"/>
      <c r="BK26" s="101"/>
      <c r="BL26" s="101"/>
      <c r="BM26" s="101"/>
      <c r="BN26" s="101"/>
      <c r="BO26" s="101"/>
      <c r="BP26" s="101"/>
      <c r="BQ26" s="101"/>
    </row>
    <row r="27" spans="5:69" ht="13.5">
      <c r="I27" s="220" t="s">
        <v>155</v>
      </c>
      <c r="J27" s="220" t="s">
        <v>1539</v>
      </c>
      <c r="K27" s="221">
        <f>K26</f>
        <v>28</v>
      </c>
      <c r="L27" s="221">
        <f t="shared" ref="L27" si="15">L26</f>
        <v>20</v>
      </c>
      <c r="M27" s="221">
        <f t="shared" ref="M27" si="16">M26</f>
        <v>13</v>
      </c>
      <c r="N27" s="101"/>
      <c r="O27" s="101"/>
      <c r="P27" s="101"/>
      <c r="Q27" s="101"/>
      <c r="R27" s="101"/>
      <c r="S27" s="101"/>
      <c r="T27" s="94" t="s">
        <v>209</v>
      </c>
      <c r="U27" s="100" t="s">
        <v>1589</v>
      </c>
      <c r="V27" s="99">
        <v>2</v>
      </c>
      <c r="W27" s="101"/>
      <c r="X27" s="101"/>
      <c r="Y27" s="101"/>
      <c r="Z27" s="101"/>
      <c r="AA27" s="101"/>
      <c r="AB27" s="101"/>
      <c r="AC27" s="101"/>
      <c r="AD27" s="101"/>
      <c r="AE27" s="101"/>
      <c r="AF27" s="101"/>
      <c r="AG27" s="101"/>
      <c r="AH27" s="101"/>
      <c r="AI27" s="102" t="e">
        <f>const_Tset_max_1</f>
        <v>#NAME?</v>
      </c>
      <c r="AJ27" s="102" t="e">
        <f>const_Tset_max_1</f>
        <v>#NAME?</v>
      </c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02">
        <v>4.7</v>
      </c>
      <c r="AW27" s="100">
        <v>4.7</v>
      </c>
      <c r="AX27" s="101"/>
      <c r="AY27" s="101"/>
      <c r="AZ27" s="101"/>
      <c r="BA27" s="101"/>
      <c r="BB27" s="101"/>
      <c r="BC27" s="102" t="e" cm="1">
        <f t="array" ref="BC27">VINTERPOLATION(AV27,Tbl_RrTempFB_Volt_Floor,2)</f>
        <v>#VALUE!</v>
      </c>
      <c r="BD27" s="102" t="e" cm="1">
        <f t="array" ref="BD27">VINTERPOLATION(AV27,Tbl_RrTempFB_Volt_Floor,3)</f>
        <v>#VALUE!</v>
      </c>
      <c r="BE27" s="101"/>
      <c r="BF27" s="101"/>
      <c r="BG27" s="101"/>
      <c r="BH27" s="101"/>
      <c r="BI27" s="101"/>
      <c r="BJ27" s="101"/>
      <c r="BK27" s="101"/>
      <c r="BL27" s="101"/>
      <c r="BM27" s="101"/>
      <c r="BN27" s="101"/>
      <c r="BO27" s="101"/>
      <c r="BP27" s="101"/>
      <c r="BQ27" s="101"/>
    </row>
    <row r="28" spans="5:69" ht="13.5">
      <c r="I28" s="255">
        <f>COUNTIF(I29:I44,"&lt;&gt;TS")</f>
        <v>14</v>
      </c>
      <c r="J28" s="106" t="s">
        <v>1540</v>
      </c>
      <c r="K28" s="106" t="s">
        <v>1814</v>
      </c>
      <c r="L28" s="106"/>
      <c r="M28" s="106"/>
      <c r="N28" s="106"/>
      <c r="O28" s="106"/>
      <c r="P28" s="106"/>
      <c r="Q28" s="106"/>
      <c r="R28" s="106"/>
      <c r="S28" s="106"/>
      <c r="T28" s="106"/>
      <c r="U28" s="107"/>
      <c r="V28" s="107"/>
      <c r="W28" s="106"/>
      <c r="X28" s="106"/>
      <c r="Y28" s="106"/>
      <c r="Z28" s="106"/>
      <c r="AA28" s="106"/>
      <c r="AB28" s="106"/>
      <c r="AC28" s="106"/>
      <c r="AD28" s="106"/>
      <c r="AE28" s="106"/>
      <c r="AF28" s="106"/>
      <c r="AG28" s="106"/>
      <c r="AH28" s="106"/>
      <c r="AI28" s="106"/>
      <c r="AJ28" s="106"/>
      <c r="AK28" s="106"/>
      <c r="AL28" s="106"/>
      <c r="AM28" s="106"/>
      <c r="AN28" s="106"/>
      <c r="AO28" s="106"/>
      <c r="AP28" s="106"/>
      <c r="AQ28" s="106"/>
      <c r="AR28" s="106"/>
      <c r="AS28" s="106"/>
      <c r="AT28" s="106"/>
      <c r="AU28" s="106"/>
      <c r="AV28" s="106"/>
      <c r="AW28" s="106"/>
      <c r="AX28" s="106"/>
      <c r="AY28" s="106"/>
      <c r="AZ28" s="106"/>
      <c r="BA28" s="106"/>
      <c r="BB28" s="106"/>
      <c r="BC28" s="106"/>
      <c r="BD28" s="106"/>
      <c r="BE28" s="106"/>
      <c r="BF28" s="106"/>
      <c r="BG28" s="106"/>
      <c r="BH28" s="106"/>
      <c r="BI28" s="106"/>
      <c r="BJ28" s="106"/>
      <c r="BK28" s="106"/>
      <c r="BL28" s="106"/>
      <c r="BM28" s="106"/>
      <c r="BN28" s="106"/>
      <c r="BO28" s="106"/>
      <c r="BP28" s="106"/>
      <c r="BQ28" s="106"/>
    </row>
    <row r="29" spans="5:69" ht="13.5">
      <c r="I29" s="108" t="s">
        <v>7</v>
      </c>
      <c r="J29" s="108" t="s">
        <v>1785</v>
      </c>
      <c r="K29" s="109" t="s">
        <v>1795</v>
      </c>
      <c r="L29" s="109"/>
      <c r="M29" s="109"/>
      <c r="N29" s="109"/>
      <c r="O29" s="109"/>
      <c r="P29" s="109"/>
      <c r="Q29" s="109"/>
      <c r="R29" s="109"/>
      <c r="S29" s="109"/>
      <c r="T29" s="109"/>
      <c r="U29" s="110"/>
      <c r="V29" s="110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  <c r="AZ29" s="109"/>
      <c r="BA29" s="109"/>
      <c r="BB29" s="109"/>
      <c r="BC29" s="109"/>
      <c r="BD29" s="109"/>
      <c r="BE29" s="109"/>
      <c r="BF29" s="109"/>
      <c r="BG29" s="109"/>
      <c r="BH29" s="109"/>
      <c r="BI29" s="109"/>
      <c r="BJ29" s="109"/>
      <c r="BK29" s="109"/>
      <c r="BL29" s="109"/>
      <c r="BM29" s="109"/>
      <c r="BN29" s="109"/>
      <c r="BO29" s="109"/>
      <c r="BP29" s="109"/>
      <c r="BQ29" s="109"/>
    </row>
    <row r="30" spans="5:69">
      <c r="I30" s="220" t="s">
        <v>48</v>
      </c>
      <c r="J30" s="96" t="s">
        <v>1793</v>
      </c>
      <c r="K30" s="221">
        <f>K27</f>
        <v>28</v>
      </c>
      <c r="L30" s="221">
        <f t="shared" ref="L30:M30" si="17">L27</f>
        <v>20</v>
      </c>
      <c r="M30" s="221">
        <f t="shared" si="17"/>
        <v>13</v>
      </c>
      <c r="N30" s="101"/>
      <c r="O30" s="101"/>
      <c r="P30" s="101"/>
      <c r="Q30" s="101"/>
      <c r="R30" s="101"/>
      <c r="S30" s="101"/>
      <c r="T30" s="94" t="s">
        <v>209</v>
      </c>
      <c r="U30" s="100" t="e">
        <f>IF(FLAG_Country&lt;&gt;"USA","설정 온도 22 degC, AUTO ON (SYNC ON) + Blower=1단 수동 설정","설정 온도 72 degF, AUTO ON (SYNC ON) + Blower=1단 수동 설정")</f>
        <v>#NAME?</v>
      </c>
      <c r="V30" s="99">
        <v>10</v>
      </c>
      <c r="W30" s="101"/>
      <c r="X30" s="101"/>
      <c r="Y30" s="100" t="s">
        <v>235</v>
      </c>
      <c r="Z30" s="101"/>
      <c r="AA30" s="101"/>
      <c r="AB30" s="101"/>
      <c r="AC30" s="101"/>
      <c r="AD30" s="101"/>
      <c r="AE30" s="101"/>
      <c r="AF30" s="102">
        <v>1</v>
      </c>
      <c r="AG30" s="102">
        <v>1</v>
      </c>
      <c r="AH30" s="101"/>
      <c r="AI30" s="101"/>
      <c r="AJ30" s="101"/>
      <c r="AK30" s="101"/>
      <c r="AL30" s="101"/>
      <c r="AM30" s="101"/>
      <c r="AN30" s="100" t="s">
        <v>89</v>
      </c>
      <c r="AO30" s="101"/>
      <c r="AP30" s="101"/>
      <c r="AQ30" s="101"/>
      <c r="AR30" s="101"/>
      <c r="AS30" s="101"/>
      <c r="AT30" s="101"/>
      <c r="AU30" s="101"/>
      <c r="AV30" s="101"/>
      <c r="AW30" s="101"/>
      <c r="AX30" s="101"/>
      <c r="AY30" s="101"/>
      <c r="AZ30" s="101"/>
      <c r="BA30" s="101"/>
      <c r="BB30" s="101"/>
      <c r="BC30" s="101"/>
      <c r="BD30" s="101"/>
      <c r="BE30" s="101"/>
      <c r="BF30" s="101"/>
      <c r="BG30" s="101"/>
      <c r="BH30" s="101"/>
      <c r="BI30" s="101"/>
      <c r="BJ30" s="101"/>
      <c r="BK30" s="101"/>
      <c r="BL30" s="101"/>
      <c r="BM30" s="101"/>
      <c r="BN30" s="101"/>
      <c r="BO30" s="101"/>
      <c r="BP30" s="101"/>
      <c r="BQ30" s="101"/>
    </row>
    <row r="31" spans="5:69">
      <c r="I31" s="220" t="s">
        <v>155</v>
      </c>
      <c r="J31" s="220" t="s">
        <v>1786</v>
      </c>
      <c r="K31" s="221">
        <f t="shared" ref="K31:M31" si="18">K30</f>
        <v>28</v>
      </c>
      <c r="L31" s="221">
        <f t="shared" si="18"/>
        <v>20</v>
      </c>
      <c r="M31" s="221">
        <f t="shared" si="18"/>
        <v>13</v>
      </c>
      <c r="N31" s="101"/>
      <c r="O31" s="101"/>
      <c r="P31" s="101"/>
      <c r="Q31" s="101"/>
      <c r="R31" s="101"/>
      <c r="S31" s="101"/>
      <c r="T31" s="111" t="s">
        <v>247</v>
      </c>
      <c r="U31" s="99">
        <v>1</v>
      </c>
      <c r="V31" s="99">
        <v>2</v>
      </c>
      <c r="W31" s="101"/>
      <c r="X31" s="101"/>
      <c r="Y31" s="100" t="s">
        <v>235</v>
      </c>
      <c r="Z31" s="101"/>
      <c r="AA31" s="101"/>
      <c r="AB31" s="101"/>
      <c r="AC31" s="101"/>
      <c r="AD31" s="101"/>
      <c r="AE31" s="101"/>
      <c r="AF31" s="102">
        <v>1</v>
      </c>
      <c r="AG31" s="102">
        <v>1</v>
      </c>
      <c r="AH31" s="101"/>
      <c r="AI31" s="101"/>
      <c r="AJ31" s="101"/>
      <c r="AK31" s="101"/>
      <c r="AL31" s="101"/>
      <c r="AM31" s="101"/>
      <c r="AN31" s="100" t="s">
        <v>49</v>
      </c>
      <c r="AO31" s="101"/>
      <c r="AP31" s="101"/>
      <c r="AQ31" s="101"/>
      <c r="AR31" s="101"/>
      <c r="AS31" s="101"/>
      <c r="AT31" s="101"/>
      <c r="AU31" s="101"/>
      <c r="AV31" s="101"/>
      <c r="AW31" s="101"/>
      <c r="AX31" s="101"/>
      <c r="AY31" s="101"/>
      <c r="AZ31" s="101"/>
      <c r="BA31" s="101"/>
      <c r="BB31" s="101"/>
      <c r="BC31" s="101"/>
      <c r="BD31" s="101"/>
      <c r="BE31" s="101"/>
      <c r="BF31" s="101"/>
      <c r="BG31" s="101"/>
      <c r="BH31" s="101"/>
      <c r="BI31" s="101"/>
      <c r="BJ31" s="101"/>
      <c r="BK31" s="101"/>
      <c r="BL31" s="101"/>
      <c r="BM31" s="101"/>
      <c r="BN31" s="101"/>
      <c r="BO31" s="101"/>
      <c r="BP31" s="101"/>
      <c r="BQ31" s="101"/>
    </row>
    <row r="32" spans="5:69">
      <c r="I32" s="220" t="s">
        <v>155</v>
      </c>
      <c r="J32" s="220" t="s">
        <v>1787</v>
      </c>
      <c r="K32" s="221">
        <f t="shared" ref="K32:M32" si="19">K31</f>
        <v>28</v>
      </c>
      <c r="L32" s="221">
        <f t="shared" si="19"/>
        <v>20</v>
      </c>
      <c r="M32" s="221">
        <f t="shared" si="19"/>
        <v>13</v>
      </c>
      <c r="N32" s="101"/>
      <c r="O32" s="101"/>
      <c r="P32" s="101"/>
      <c r="Q32" s="101"/>
      <c r="R32" s="101"/>
      <c r="S32" s="101"/>
      <c r="T32" s="111" t="s">
        <v>243</v>
      </c>
      <c r="U32" s="99">
        <v>2</v>
      </c>
      <c r="V32" s="99">
        <v>2</v>
      </c>
      <c r="W32" s="101"/>
      <c r="X32" s="101"/>
      <c r="Y32" s="100" t="s">
        <v>237</v>
      </c>
      <c r="Z32" s="101"/>
      <c r="AA32" s="101"/>
      <c r="AB32" s="101"/>
      <c r="AC32" s="101"/>
      <c r="AD32" s="101"/>
      <c r="AE32" s="101"/>
      <c r="AF32" s="102">
        <v>1</v>
      </c>
      <c r="AG32" s="102">
        <v>1</v>
      </c>
      <c r="AH32" s="101"/>
      <c r="AI32" s="101"/>
      <c r="AJ32" s="101"/>
      <c r="AK32" s="101"/>
      <c r="AL32" s="101"/>
      <c r="AM32" s="101"/>
      <c r="AN32" s="100" t="s">
        <v>49</v>
      </c>
      <c r="AO32" s="101"/>
      <c r="AP32" s="101"/>
      <c r="AQ32" s="101"/>
      <c r="AR32" s="101"/>
      <c r="AS32" s="101"/>
      <c r="AT32" s="101"/>
      <c r="AU32" s="101"/>
      <c r="AV32" s="101"/>
      <c r="AW32" s="101"/>
      <c r="AX32" s="101"/>
      <c r="AY32" s="101"/>
      <c r="AZ32" s="101"/>
      <c r="BA32" s="101"/>
      <c r="BB32" s="101"/>
      <c r="BC32" s="101"/>
      <c r="BD32" s="101"/>
      <c r="BE32" s="101"/>
      <c r="BF32" s="101"/>
      <c r="BG32" s="101"/>
      <c r="BH32" s="101"/>
      <c r="BI32" s="101"/>
      <c r="BJ32" s="101"/>
      <c r="BK32" s="101"/>
      <c r="BL32" s="101"/>
      <c r="BM32" s="101"/>
      <c r="BN32" s="101"/>
      <c r="BO32" s="101"/>
      <c r="BP32" s="101"/>
      <c r="BQ32" s="101"/>
    </row>
    <row r="33" spans="9:69">
      <c r="I33" s="220" t="s">
        <v>155</v>
      </c>
      <c r="J33" s="220" t="s">
        <v>1788</v>
      </c>
      <c r="K33" s="221">
        <f t="shared" ref="K33:M33" si="20">K32</f>
        <v>28</v>
      </c>
      <c r="L33" s="221">
        <f t="shared" si="20"/>
        <v>20</v>
      </c>
      <c r="M33" s="221">
        <f t="shared" si="20"/>
        <v>13</v>
      </c>
      <c r="N33" s="101"/>
      <c r="O33" s="101"/>
      <c r="P33" s="101"/>
      <c r="Q33" s="101"/>
      <c r="R33" s="101"/>
      <c r="S33" s="101"/>
      <c r="T33" s="111" t="s">
        <v>247</v>
      </c>
      <c r="U33" s="99">
        <v>1</v>
      </c>
      <c r="V33" s="99">
        <v>2</v>
      </c>
      <c r="W33" s="101"/>
      <c r="X33" s="101"/>
      <c r="Y33" s="100" t="s">
        <v>237</v>
      </c>
      <c r="Z33" s="101"/>
      <c r="AA33" s="101"/>
      <c r="AB33" s="101"/>
      <c r="AC33" s="101"/>
      <c r="AD33" s="101"/>
      <c r="AE33" s="101"/>
      <c r="AF33" s="102">
        <v>1</v>
      </c>
      <c r="AG33" s="102">
        <v>1</v>
      </c>
      <c r="AH33" s="101"/>
      <c r="AI33" s="101"/>
      <c r="AJ33" s="101"/>
      <c r="AK33" s="101"/>
      <c r="AL33" s="101"/>
      <c r="AM33" s="101"/>
      <c r="AN33" s="100" t="s">
        <v>89</v>
      </c>
      <c r="AO33" s="101"/>
      <c r="AP33" s="101"/>
      <c r="AQ33" s="101"/>
      <c r="AR33" s="101"/>
      <c r="AS33" s="101"/>
      <c r="AT33" s="101"/>
      <c r="AU33" s="101"/>
      <c r="AV33" s="101"/>
      <c r="AW33" s="101"/>
      <c r="AX33" s="101"/>
      <c r="AY33" s="101"/>
      <c r="AZ33" s="101"/>
      <c r="BA33" s="101"/>
      <c r="BB33" s="101"/>
      <c r="BC33" s="101"/>
      <c r="BD33" s="101"/>
      <c r="BE33" s="101"/>
      <c r="BF33" s="101"/>
      <c r="BG33" s="101"/>
      <c r="BH33" s="101"/>
      <c r="BI33" s="101"/>
      <c r="BJ33" s="101"/>
      <c r="BK33" s="101"/>
      <c r="BL33" s="101"/>
      <c r="BM33" s="101"/>
      <c r="BN33" s="101"/>
      <c r="BO33" s="101"/>
      <c r="BP33" s="101"/>
      <c r="BQ33" s="101"/>
    </row>
    <row r="34" spans="9:69">
      <c r="I34" s="220" t="s">
        <v>155</v>
      </c>
      <c r="J34" s="220" t="s">
        <v>1789</v>
      </c>
      <c r="K34" s="221">
        <f t="shared" ref="K34:M34" si="21">K33</f>
        <v>28</v>
      </c>
      <c r="L34" s="221">
        <f t="shared" si="21"/>
        <v>20</v>
      </c>
      <c r="M34" s="221">
        <f t="shared" si="21"/>
        <v>13</v>
      </c>
      <c r="N34" s="101"/>
      <c r="O34" s="101"/>
      <c r="P34" s="101"/>
      <c r="Q34" s="101"/>
      <c r="R34" s="101"/>
      <c r="S34" s="101"/>
      <c r="T34" s="111" t="s">
        <v>244</v>
      </c>
      <c r="U34" s="99">
        <v>1</v>
      </c>
      <c r="V34" s="99">
        <v>2</v>
      </c>
      <c r="W34" s="101"/>
      <c r="X34" s="101"/>
      <c r="Y34" s="101"/>
      <c r="Z34" s="101"/>
      <c r="AA34" s="101"/>
      <c r="AB34" s="101"/>
      <c r="AC34" s="101"/>
      <c r="AD34" s="101"/>
      <c r="AE34" s="101"/>
      <c r="AF34" s="102">
        <v>2</v>
      </c>
      <c r="AG34" s="102">
        <v>2</v>
      </c>
      <c r="AH34" s="101"/>
      <c r="AI34" s="101"/>
      <c r="AJ34" s="101"/>
      <c r="AK34" s="101"/>
      <c r="AL34" s="101"/>
      <c r="AM34" s="101"/>
      <c r="AN34" s="101"/>
      <c r="AO34" s="101"/>
      <c r="AP34" s="101"/>
      <c r="AQ34" s="101"/>
      <c r="AR34" s="101"/>
      <c r="AS34" s="101"/>
      <c r="AT34" s="101"/>
      <c r="AU34" s="101"/>
      <c r="AV34" s="101"/>
      <c r="AW34" s="101"/>
      <c r="AX34" s="101"/>
      <c r="AY34" s="101"/>
      <c r="AZ34" s="101"/>
      <c r="BA34" s="101"/>
      <c r="BB34" s="101"/>
      <c r="BC34" s="101"/>
      <c r="BD34" s="101"/>
      <c r="BE34" s="101"/>
      <c r="BF34" s="101"/>
      <c r="BG34" s="101"/>
      <c r="BH34" s="101"/>
      <c r="BI34" s="101"/>
      <c r="BJ34" s="101"/>
      <c r="BK34" s="101"/>
      <c r="BL34" s="101"/>
      <c r="BM34" s="101"/>
      <c r="BN34" s="101"/>
      <c r="BO34" s="101"/>
      <c r="BP34" s="101"/>
      <c r="BQ34" s="101"/>
    </row>
    <row r="35" spans="9:69">
      <c r="I35" s="220" t="s">
        <v>155</v>
      </c>
      <c r="J35" s="220" t="s">
        <v>1790</v>
      </c>
      <c r="K35" s="221">
        <f t="shared" ref="K35:M35" si="22">K34</f>
        <v>28</v>
      </c>
      <c r="L35" s="221">
        <f t="shared" si="22"/>
        <v>20</v>
      </c>
      <c r="M35" s="221">
        <f t="shared" si="22"/>
        <v>13</v>
      </c>
      <c r="N35" s="101"/>
      <c r="O35" s="101"/>
      <c r="P35" s="101"/>
      <c r="Q35" s="101"/>
      <c r="R35" s="101"/>
      <c r="S35" s="101"/>
      <c r="T35" s="111" t="s">
        <v>244</v>
      </c>
      <c r="U35" s="99">
        <v>1</v>
      </c>
      <c r="V35" s="99">
        <v>2</v>
      </c>
      <c r="W35" s="101"/>
      <c r="X35" s="101"/>
      <c r="Y35" s="101"/>
      <c r="Z35" s="101"/>
      <c r="AA35" s="101"/>
      <c r="AB35" s="101"/>
      <c r="AC35" s="101"/>
      <c r="AD35" s="101"/>
      <c r="AE35" s="101"/>
      <c r="AF35" s="102">
        <v>3</v>
      </c>
      <c r="AG35" s="102">
        <v>3</v>
      </c>
      <c r="AH35" s="101"/>
      <c r="AI35" s="101"/>
      <c r="AJ35" s="101"/>
      <c r="AK35" s="101"/>
      <c r="AL35" s="101"/>
      <c r="AM35" s="101"/>
      <c r="AN35" s="101"/>
      <c r="AO35" s="101"/>
      <c r="AP35" s="101"/>
      <c r="AQ35" s="101"/>
      <c r="AR35" s="101"/>
      <c r="AS35" s="101"/>
      <c r="AT35" s="101"/>
      <c r="AU35" s="101"/>
      <c r="AV35" s="101"/>
      <c r="AW35" s="101"/>
      <c r="AX35" s="101"/>
      <c r="AY35" s="101"/>
      <c r="AZ35" s="101"/>
      <c r="BA35" s="101"/>
      <c r="BB35" s="101"/>
      <c r="BC35" s="101"/>
      <c r="BD35" s="101"/>
      <c r="BE35" s="101"/>
      <c r="BF35" s="101"/>
      <c r="BG35" s="101"/>
      <c r="BH35" s="101"/>
      <c r="BI35" s="101"/>
      <c r="BJ35" s="101"/>
      <c r="BK35" s="101"/>
      <c r="BL35" s="101"/>
      <c r="BM35" s="101"/>
      <c r="BN35" s="101"/>
      <c r="BO35" s="101"/>
      <c r="BP35" s="101"/>
      <c r="BQ35" s="101"/>
    </row>
    <row r="36" spans="9:69">
      <c r="I36" s="220" t="s">
        <v>155</v>
      </c>
      <c r="J36" s="220" t="s">
        <v>1791</v>
      </c>
      <c r="K36" s="221">
        <f t="shared" ref="K36:M36" si="23">K35</f>
        <v>28</v>
      </c>
      <c r="L36" s="221">
        <f t="shared" si="23"/>
        <v>20</v>
      </c>
      <c r="M36" s="221">
        <f t="shared" si="23"/>
        <v>13</v>
      </c>
      <c r="N36" s="101"/>
      <c r="O36" s="101"/>
      <c r="P36" s="101"/>
      <c r="Q36" s="101"/>
      <c r="R36" s="101"/>
      <c r="S36" s="101"/>
      <c r="T36" s="111" t="s">
        <v>244</v>
      </c>
      <c r="U36" s="99">
        <v>1</v>
      </c>
      <c r="V36" s="99">
        <v>2</v>
      </c>
      <c r="W36" s="101"/>
      <c r="X36" s="101"/>
      <c r="Y36" s="101"/>
      <c r="Z36" s="101"/>
      <c r="AA36" s="101"/>
      <c r="AB36" s="101"/>
      <c r="AC36" s="101"/>
      <c r="AD36" s="101"/>
      <c r="AE36" s="101"/>
      <c r="AF36" s="102">
        <v>4</v>
      </c>
      <c r="AG36" s="102">
        <v>4</v>
      </c>
      <c r="AH36" s="101"/>
      <c r="AI36" s="101"/>
      <c r="AJ36" s="101"/>
      <c r="AK36" s="101"/>
      <c r="AL36" s="101"/>
      <c r="AM36" s="101"/>
      <c r="AN36" s="101"/>
      <c r="AO36" s="101"/>
      <c r="AP36" s="101"/>
      <c r="AQ36" s="101"/>
      <c r="AR36" s="101"/>
      <c r="AS36" s="101"/>
      <c r="AT36" s="101"/>
      <c r="AU36" s="101"/>
      <c r="AV36" s="101"/>
      <c r="AW36" s="101"/>
      <c r="AX36" s="101"/>
      <c r="AY36" s="101"/>
      <c r="AZ36" s="101"/>
      <c r="BA36" s="101"/>
      <c r="BB36" s="101"/>
      <c r="BC36" s="101"/>
      <c r="BD36" s="101"/>
      <c r="BE36" s="101"/>
      <c r="BF36" s="101"/>
      <c r="BG36" s="101"/>
      <c r="BH36" s="101"/>
      <c r="BI36" s="101"/>
      <c r="BJ36" s="101"/>
      <c r="BK36" s="101"/>
      <c r="BL36" s="101"/>
      <c r="BM36" s="101"/>
      <c r="BN36" s="101"/>
      <c r="BO36" s="101"/>
      <c r="BP36" s="101"/>
      <c r="BQ36" s="101"/>
    </row>
    <row r="37" spans="9:69">
      <c r="I37" s="220" t="s">
        <v>155</v>
      </c>
      <c r="J37" s="220" t="s">
        <v>1792</v>
      </c>
      <c r="K37" s="221">
        <f t="shared" ref="K37:M37" si="24">K36</f>
        <v>28</v>
      </c>
      <c r="L37" s="221">
        <f t="shared" si="24"/>
        <v>20</v>
      </c>
      <c r="M37" s="221">
        <f t="shared" si="24"/>
        <v>13</v>
      </c>
      <c r="N37" s="101"/>
      <c r="O37" s="101"/>
      <c r="P37" s="101"/>
      <c r="Q37" s="101"/>
      <c r="R37" s="101"/>
      <c r="S37" s="101"/>
      <c r="T37" s="111" t="s">
        <v>244</v>
      </c>
      <c r="U37" s="99">
        <v>1</v>
      </c>
      <c r="V37" s="99">
        <v>2</v>
      </c>
      <c r="W37" s="101"/>
      <c r="X37" s="101"/>
      <c r="Y37" s="101"/>
      <c r="Z37" s="101"/>
      <c r="AA37" s="101"/>
      <c r="AB37" s="101"/>
      <c r="AC37" s="101"/>
      <c r="AD37" s="101"/>
      <c r="AE37" s="101"/>
      <c r="AF37" s="102">
        <v>5</v>
      </c>
      <c r="AG37" s="102">
        <v>5</v>
      </c>
      <c r="AH37" s="101"/>
      <c r="AI37" s="101"/>
      <c r="AJ37" s="101"/>
      <c r="AK37" s="101"/>
      <c r="AL37" s="101"/>
      <c r="AM37" s="101"/>
      <c r="AN37" s="101"/>
      <c r="AO37" s="101"/>
      <c r="AP37" s="101"/>
      <c r="AQ37" s="101"/>
      <c r="AR37" s="101"/>
      <c r="AS37" s="101"/>
      <c r="AT37" s="101"/>
      <c r="AU37" s="101"/>
      <c r="AV37" s="101"/>
      <c r="AW37" s="101"/>
      <c r="AX37" s="101"/>
      <c r="AY37" s="101"/>
      <c r="AZ37" s="101"/>
      <c r="BA37" s="101"/>
      <c r="BB37" s="101"/>
      <c r="BC37" s="101"/>
      <c r="BD37" s="101"/>
      <c r="BE37" s="101"/>
      <c r="BF37" s="101"/>
      <c r="BG37" s="101"/>
      <c r="BH37" s="101"/>
      <c r="BI37" s="101"/>
      <c r="BJ37" s="101"/>
      <c r="BK37" s="101"/>
      <c r="BL37" s="101"/>
      <c r="BM37" s="101"/>
      <c r="BN37" s="101"/>
      <c r="BO37" s="101"/>
      <c r="BP37" s="101"/>
      <c r="BQ37" s="101"/>
    </row>
    <row r="38" spans="9:69">
      <c r="I38" s="220" t="s">
        <v>155</v>
      </c>
      <c r="J38" s="220" t="s">
        <v>1804</v>
      </c>
      <c r="K38" s="221">
        <f t="shared" ref="K38:M38" si="25">K37</f>
        <v>28</v>
      </c>
      <c r="L38" s="221">
        <f t="shared" si="25"/>
        <v>20</v>
      </c>
      <c r="M38" s="221">
        <f t="shared" si="25"/>
        <v>13</v>
      </c>
      <c r="N38" s="101"/>
      <c r="O38" s="101"/>
      <c r="P38" s="101"/>
      <c r="Q38" s="101"/>
      <c r="R38" s="101"/>
      <c r="S38" s="101"/>
      <c r="T38" s="111" t="s">
        <v>244</v>
      </c>
      <c r="U38" s="99">
        <v>1</v>
      </c>
      <c r="V38" s="99">
        <v>2</v>
      </c>
      <c r="W38" s="101"/>
      <c r="X38" s="101"/>
      <c r="Y38" s="101"/>
      <c r="Z38" s="101"/>
      <c r="AA38" s="101"/>
      <c r="AB38" s="101"/>
      <c r="AC38" s="101"/>
      <c r="AD38" s="101"/>
      <c r="AE38" s="101"/>
      <c r="AF38" s="102">
        <v>6</v>
      </c>
      <c r="AG38" s="102">
        <v>6</v>
      </c>
      <c r="AH38" s="101"/>
      <c r="AI38" s="101"/>
      <c r="AJ38" s="101"/>
      <c r="AK38" s="101"/>
      <c r="AL38" s="101"/>
      <c r="AM38" s="101"/>
      <c r="AN38" s="101"/>
      <c r="AO38" s="101"/>
      <c r="AP38" s="101"/>
      <c r="AQ38" s="101"/>
      <c r="AR38" s="101"/>
      <c r="AS38" s="101"/>
      <c r="AT38" s="101"/>
      <c r="AU38" s="101"/>
      <c r="AV38" s="101"/>
      <c r="AW38" s="101"/>
      <c r="AX38" s="101"/>
      <c r="AY38" s="101"/>
      <c r="AZ38" s="101"/>
      <c r="BA38" s="101"/>
      <c r="BB38" s="101"/>
      <c r="BC38" s="101"/>
      <c r="BD38" s="101"/>
      <c r="BE38" s="101"/>
      <c r="BF38" s="101"/>
      <c r="BG38" s="101"/>
      <c r="BH38" s="101"/>
      <c r="BI38" s="101"/>
      <c r="BJ38" s="101"/>
      <c r="BK38" s="101"/>
      <c r="BL38" s="101"/>
      <c r="BM38" s="101"/>
      <c r="BN38" s="101"/>
      <c r="BO38" s="101"/>
      <c r="BP38" s="101"/>
      <c r="BQ38" s="101"/>
    </row>
    <row r="39" spans="9:69">
      <c r="I39" s="220" t="s">
        <v>155</v>
      </c>
      <c r="J39" s="220" t="s">
        <v>1805</v>
      </c>
      <c r="K39" s="221">
        <f t="shared" ref="K39:M39" si="26">K38</f>
        <v>28</v>
      </c>
      <c r="L39" s="221">
        <f t="shared" si="26"/>
        <v>20</v>
      </c>
      <c r="M39" s="221">
        <f t="shared" si="26"/>
        <v>13</v>
      </c>
      <c r="N39" s="101"/>
      <c r="O39" s="101"/>
      <c r="P39" s="101"/>
      <c r="Q39" s="101"/>
      <c r="R39" s="101"/>
      <c r="S39" s="101"/>
      <c r="T39" s="111" t="s">
        <v>244</v>
      </c>
      <c r="U39" s="99">
        <v>1</v>
      </c>
      <c r="V39" s="99">
        <v>2</v>
      </c>
      <c r="W39" s="101"/>
      <c r="X39" s="101"/>
      <c r="Y39" s="101"/>
      <c r="Z39" s="101"/>
      <c r="AA39" s="101"/>
      <c r="AB39" s="101"/>
      <c r="AC39" s="101"/>
      <c r="AD39" s="101"/>
      <c r="AE39" s="101"/>
      <c r="AF39" s="102">
        <v>7</v>
      </c>
      <c r="AG39" s="102">
        <v>7</v>
      </c>
      <c r="AH39" s="101"/>
      <c r="AI39" s="101"/>
      <c r="AJ39" s="101"/>
      <c r="AK39" s="101"/>
      <c r="AL39" s="101"/>
      <c r="AM39" s="101"/>
      <c r="AN39" s="101"/>
      <c r="AO39" s="101"/>
      <c r="AP39" s="101"/>
      <c r="AQ39" s="101"/>
      <c r="AR39" s="101"/>
      <c r="AS39" s="101"/>
      <c r="AT39" s="101"/>
      <c r="AU39" s="101"/>
      <c r="AV39" s="101"/>
      <c r="AW39" s="101"/>
      <c r="AX39" s="101"/>
      <c r="AY39" s="101"/>
      <c r="AZ39" s="101"/>
      <c r="BA39" s="101"/>
      <c r="BB39" s="101"/>
      <c r="BC39" s="101"/>
      <c r="BD39" s="101"/>
      <c r="BE39" s="101"/>
      <c r="BF39" s="101"/>
      <c r="BG39" s="101"/>
      <c r="BH39" s="101"/>
      <c r="BI39" s="101"/>
      <c r="BJ39" s="101"/>
      <c r="BK39" s="101"/>
      <c r="BL39" s="101"/>
      <c r="BM39" s="101"/>
      <c r="BN39" s="101"/>
      <c r="BO39" s="101"/>
      <c r="BP39" s="101"/>
      <c r="BQ39" s="101"/>
    </row>
    <row r="40" spans="9:69">
      <c r="I40" s="220" t="s">
        <v>155</v>
      </c>
      <c r="J40" s="220" t="s">
        <v>1806</v>
      </c>
      <c r="K40" s="221">
        <f t="shared" ref="K40:M40" si="27">K39</f>
        <v>28</v>
      </c>
      <c r="L40" s="221">
        <f t="shared" si="27"/>
        <v>20</v>
      </c>
      <c r="M40" s="221">
        <f t="shared" si="27"/>
        <v>13</v>
      </c>
      <c r="N40" s="101"/>
      <c r="O40" s="101"/>
      <c r="P40" s="101"/>
      <c r="Q40" s="101"/>
      <c r="R40" s="101"/>
      <c r="S40" s="101"/>
      <c r="T40" s="111" t="s">
        <v>244</v>
      </c>
      <c r="U40" s="99">
        <v>1</v>
      </c>
      <c r="V40" s="99">
        <v>2</v>
      </c>
      <c r="W40" s="101"/>
      <c r="X40" s="101"/>
      <c r="Y40" s="101"/>
      <c r="Z40" s="101"/>
      <c r="AA40" s="101"/>
      <c r="AB40" s="101"/>
      <c r="AC40" s="101"/>
      <c r="AD40" s="101"/>
      <c r="AE40" s="101"/>
      <c r="AF40" s="102">
        <v>8</v>
      </c>
      <c r="AG40" s="102">
        <v>8</v>
      </c>
      <c r="AH40" s="101"/>
      <c r="AI40" s="101"/>
      <c r="AJ40" s="101"/>
      <c r="AK40" s="101"/>
      <c r="AL40" s="101"/>
      <c r="AM40" s="101"/>
      <c r="AN40" s="101"/>
      <c r="AO40" s="101"/>
      <c r="AP40" s="101"/>
      <c r="AQ40" s="101"/>
      <c r="AR40" s="101"/>
      <c r="AS40" s="101"/>
      <c r="AT40" s="101"/>
      <c r="AU40" s="101"/>
      <c r="AV40" s="101"/>
      <c r="AW40" s="101"/>
      <c r="AX40" s="101"/>
      <c r="AY40" s="101"/>
      <c r="AZ40" s="101"/>
      <c r="BA40" s="101"/>
      <c r="BB40" s="101"/>
      <c r="BC40" s="101"/>
      <c r="BD40" s="101"/>
      <c r="BE40" s="101"/>
      <c r="BF40" s="101"/>
      <c r="BG40" s="101"/>
      <c r="BH40" s="101"/>
      <c r="BI40" s="101"/>
      <c r="BJ40" s="101"/>
      <c r="BK40" s="101"/>
      <c r="BL40" s="101"/>
      <c r="BM40" s="101"/>
      <c r="BN40" s="101"/>
      <c r="BO40" s="101"/>
      <c r="BP40" s="101"/>
      <c r="BQ40" s="101"/>
    </row>
    <row r="41" spans="9:69" ht="13.5">
      <c r="I41" s="108" t="s">
        <v>7</v>
      </c>
      <c r="J41" s="108" t="s">
        <v>1796</v>
      </c>
      <c r="K41" s="109" t="s">
        <v>1858</v>
      </c>
      <c r="L41" s="109"/>
      <c r="M41" s="109"/>
      <c r="N41" s="109"/>
      <c r="O41" s="109"/>
      <c r="P41" s="109"/>
      <c r="Q41" s="109"/>
      <c r="R41" s="109"/>
      <c r="S41" s="109"/>
      <c r="T41" s="109"/>
      <c r="U41" s="110"/>
      <c r="V41" s="110"/>
      <c r="W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  <c r="AK41" s="109"/>
      <c r="AL41" s="109"/>
      <c r="AM41" s="109"/>
      <c r="AN41" s="109"/>
      <c r="AO41" s="109"/>
      <c r="AP41" s="109"/>
      <c r="AQ41" s="109"/>
      <c r="AR41" s="109"/>
      <c r="AS41" s="109"/>
      <c r="AT41" s="109"/>
      <c r="AU41" s="109"/>
      <c r="AV41" s="109"/>
      <c r="AW41" s="109"/>
      <c r="AX41" s="109"/>
      <c r="AY41" s="109"/>
      <c r="AZ41" s="109"/>
      <c r="BA41" s="109"/>
      <c r="BB41" s="109"/>
      <c r="BC41" s="109"/>
      <c r="BD41" s="109"/>
      <c r="BE41" s="109"/>
      <c r="BF41" s="109"/>
      <c r="BG41" s="109"/>
      <c r="BH41" s="109"/>
      <c r="BI41" s="109"/>
      <c r="BJ41" s="109"/>
      <c r="BK41" s="109"/>
      <c r="BL41" s="109"/>
      <c r="BM41" s="109"/>
      <c r="BN41" s="109"/>
      <c r="BO41" s="109"/>
      <c r="BP41" s="109"/>
      <c r="BQ41" s="109"/>
    </row>
    <row r="42" spans="9:69" ht="13.5">
      <c r="I42" s="220" t="s">
        <v>48</v>
      </c>
      <c r="J42" s="96" t="s">
        <v>1797</v>
      </c>
      <c r="K42" s="221">
        <f>K39</f>
        <v>28</v>
      </c>
      <c r="L42" s="221">
        <f t="shared" ref="L42:M42" si="28">L39</f>
        <v>20</v>
      </c>
      <c r="M42" s="221">
        <f t="shared" si="28"/>
        <v>13</v>
      </c>
      <c r="N42" s="101"/>
      <c r="O42" s="101"/>
      <c r="P42" s="101"/>
      <c r="Q42" s="101"/>
      <c r="R42" s="101"/>
      <c r="S42" s="101"/>
      <c r="T42" s="94" t="s">
        <v>209</v>
      </c>
      <c r="U42" s="100" t="e">
        <f>IF(FLAG_Country&lt;&gt;"USA","설정 온도 22 degC, AUTO 1단 ON (SYNC ON) 선택 상태 설정","설정 온도 72 degF, AUTO 1단 ON (SYNC ON) 선택 상태 설정")</f>
        <v>#NAME?</v>
      </c>
      <c r="V42" s="99">
        <v>10</v>
      </c>
      <c r="W42" s="100" t="s">
        <v>49</v>
      </c>
      <c r="X42" s="101"/>
      <c r="Y42" s="101"/>
      <c r="Z42" s="101"/>
      <c r="AA42" s="101"/>
      <c r="AB42" s="101"/>
      <c r="AC42" s="101"/>
      <c r="AD42" s="101"/>
      <c r="AE42" s="101"/>
      <c r="AF42" s="102">
        <v>1</v>
      </c>
      <c r="AG42" s="102" t="s">
        <v>1801</v>
      </c>
      <c r="AH42" s="101"/>
      <c r="AI42" s="101"/>
      <c r="AJ42" s="101"/>
      <c r="AK42" s="101"/>
      <c r="AL42" s="101"/>
      <c r="AM42" s="101"/>
      <c r="AN42" s="101"/>
      <c r="AO42" s="101"/>
      <c r="AP42" s="101"/>
      <c r="AQ42" s="101"/>
      <c r="AR42" s="101"/>
      <c r="AS42" s="101"/>
      <c r="AT42" s="101"/>
      <c r="AU42" s="101"/>
      <c r="AV42" s="101"/>
      <c r="AW42" s="101"/>
      <c r="AX42" s="101"/>
      <c r="AY42" s="101"/>
      <c r="AZ42" s="101"/>
      <c r="BA42" s="101"/>
      <c r="BB42" s="101"/>
      <c r="BC42" s="101"/>
      <c r="BD42" s="101"/>
      <c r="BE42" s="101"/>
      <c r="BF42" s="101"/>
      <c r="BG42" s="101"/>
      <c r="BH42" s="101"/>
      <c r="BI42" s="101"/>
      <c r="BJ42" s="101"/>
      <c r="BK42" s="101"/>
      <c r="BL42" s="101"/>
      <c r="BM42" s="101"/>
      <c r="BN42" s="101"/>
      <c r="BO42" s="101"/>
      <c r="BP42" s="101"/>
      <c r="BQ42" s="101"/>
    </row>
    <row r="43" spans="9:69" ht="13.5">
      <c r="I43" s="220" t="s">
        <v>155</v>
      </c>
      <c r="J43" s="220" t="s">
        <v>1798</v>
      </c>
      <c r="K43" s="221">
        <f t="shared" ref="K43:M43" si="29">K42</f>
        <v>28</v>
      </c>
      <c r="L43" s="221">
        <f t="shared" si="29"/>
        <v>20</v>
      </c>
      <c r="M43" s="221">
        <f t="shared" si="29"/>
        <v>13</v>
      </c>
      <c r="N43" s="101"/>
      <c r="O43" s="101"/>
      <c r="P43" s="101"/>
      <c r="Q43" s="101"/>
      <c r="R43" s="101"/>
      <c r="S43" s="101"/>
      <c r="T43" s="248" t="s">
        <v>209</v>
      </c>
      <c r="U43" s="251" t="s">
        <v>1860</v>
      </c>
      <c r="V43" s="99">
        <v>2</v>
      </c>
      <c r="W43" s="101"/>
      <c r="X43" s="101"/>
      <c r="Y43" s="101"/>
      <c r="Z43" s="101"/>
      <c r="AA43" s="101"/>
      <c r="AB43" s="101"/>
      <c r="AC43" s="101"/>
      <c r="AD43" s="101"/>
      <c r="AE43" s="101"/>
      <c r="AF43" s="101"/>
      <c r="AG43" s="101"/>
      <c r="AH43" s="101"/>
      <c r="AI43" s="101"/>
      <c r="AJ43" s="101"/>
      <c r="AK43" s="101"/>
      <c r="AL43" s="101"/>
      <c r="AM43" s="101"/>
      <c r="AN43" s="101"/>
      <c r="AO43" s="101"/>
      <c r="AP43" s="101"/>
      <c r="AQ43" s="101"/>
      <c r="AR43" s="101"/>
      <c r="AS43" s="101"/>
      <c r="AT43" s="101"/>
      <c r="AU43" s="101"/>
      <c r="AV43" s="101"/>
      <c r="AW43" s="101"/>
      <c r="AX43" s="101"/>
      <c r="AY43" s="101"/>
      <c r="AZ43" s="101"/>
      <c r="BA43" s="101"/>
      <c r="BB43" s="101"/>
      <c r="BC43" s="101"/>
      <c r="BD43" s="101"/>
      <c r="BE43" s="101"/>
      <c r="BF43" s="101"/>
      <c r="BG43" s="101"/>
      <c r="BH43" s="101"/>
      <c r="BI43" s="101"/>
      <c r="BJ43" s="101"/>
      <c r="BK43" s="101"/>
      <c r="BL43" s="101"/>
      <c r="BM43" s="101"/>
      <c r="BN43" s="101"/>
      <c r="BO43" s="101"/>
      <c r="BP43" s="101"/>
      <c r="BQ43" s="101"/>
    </row>
    <row r="44" spans="9:69" ht="13.5">
      <c r="I44" s="220" t="s">
        <v>155</v>
      </c>
      <c r="J44" s="220" t="s">
        <v>1799</v>
      </c>
      <c r="K44" s="221">
        <f t="shared" ref="K44:M44" si="30">K43</f>
        <v>28</v>
      </c>
      <c r="L44" s="221">
        <f t="shared" si="30"/>
        <v>20</v>
      </c>
      <c r="M44" s="221">
        <f t="shared" si="30"/>
        <v>13</v>
      </c>
      <c r="N44" s="101"/>
      <c r="O44" s="101"/>
      <c r="P44" s="101"/>
      <c r="Q44" s="101"/>
      <c r="R44" s="101"/>
      <c r="S44" s="101"/>
      <c r="T44" s="248" t="s">
        <v>209</v>
      </c>
      <c r="U44" s="251" t="s">
        <v>1859</v>
      </c>
      <c r="V44" s="99">
        <v>2</v>
      </c>
      <c r="W44" s="101"/>
      <c r="X44" s="101"/>
      <c r="Y44" s="101"/>
      <c r="Z44" s="101"/>
      <c r="AA44" s="101"/>
      <c r="AB44" s="101"/>
      <c r="AC44" s="101"/>
      <c r="AD44" s="101"/>
      <c r="AE44" s="101"/>
      <c r="AF44" s="101"/>
      <c r="AG44" s="101"/>
      <c r="AH44" s="101"/>
      <c r="AI44" s="101"/>
      <c r="AJ44" s="101"/>
      <c r="AK44" s="101"/>
      <c r="AL44" s="101"/>
      <c r="AM44" s="101"/>
      <c r="AN44" s="101"/>
      <c r="AO44" s="101"/>
      <c r="AP44" s="101"/>
      <c r="AQ44" s="101"/>
      <c r="AR44" s="101"/>
      <c r="AS44" s="101"/>
      <c r="AT44" s="101"/>
      <c r="AU44" s="101"/>
      <c r="AV44" s="101"/>
      <c r="AW44" s="101"/>
      <c r="AX44" s="101"/>
      <c r="AY44" s="101"/>
      <c r="AZ44" s="101"/>
      <c r="BA44" s="101"/>
      <c r="BB44" s="101"/>
      <c r="BC44" s="101"/>
      <c r="BD44" s="101"/>
      <c r="BE44" s="101"/>
      <c r="BF44" s="101"/>
      <c r="BG44" s="101"/>
      <c r="BH44" s="101"/>
      <c r="BI44" s="101"/>
      <c r="BJ44" s="101"/>
      <c r="BK44" s="101"/>
      <c r="BL44" s="101"/>
      <c r="BM44" s="101"/>
      <c r="BN44" s="101"/>
      <c r="BO44" s="101"/>
      <c r="BP44" s="101"/>
      <c r="BQ44" s="101"/>
    </row>
    <row r="45" spans="9:69">
      <c r="I45" s="255">
        <f>COUNTIF(I46:I49,"&lt;&gt;TS")</f>
        <v>3</v>
      </c>
      <c r="J45" s="106" t="s">
        <v>1541</v>
      </c>
      <c r="K45" s="250" t="s">
        <v>1815</v>
      </c>
      <c r="L45" s="106"/>
      <c r="M45" s="106"/>
      <c r="N45" s="106"/>
      <c r="O45" s="106"/>
      <c r="P45" s="106"/>
      <c r="Q45" s="106"/>
      <c r="R45" s="106"/>
      <c r="S45" s="106"/>
      <c r="T45" s="106"/>
      <c r="U45" s="107"/>
      <c r="V45" s="107"/>
      <c r="W45" s="106"/>
      <c r="X45" s="106"/>
      <c r="Y45" s="106"/>
      <c r="Z45" s="106"/>
      <c r="AA45" s="106"/>
      <c r="AB45" s="106"/>
      <c r="AC45" s="106"/>
      <c r="AD45" s="106"/>
      <c r="AE45" s="106"/>
      <c r="AF45" s="106"/>
      <c r="AG45" s="106"/>
      <c r="AH45" s="106"/>
      <c r="AI45" s="106"/>
      <c r="AJ45" s="106"/>
      <c r="AK45" s="106"/>
      <c r="AL45" s="106"/>
      <c r="AM45" s="106"/>
      <c r="AN45" s="106"/>
      <c r="AO45" s="106"/>
      <c r="AP45" s="106"/>
      <c r="AQ45" s="106"/>
      <c r="AR45" s="106"/>
      <c r="AS45" s="106"/>
      <c r="AT45" s="106"/>
      <c r="AU45" s="106"/>
      <c r="AV45" s="106"/>
      <c r="AW45" s="106"/>
      <c r="AX45" s="106"/>
      <c r="AY45" s="106"/>
      <c r="AZ45" s="106"/>
      <c r="BA45" s="106"/>
      <c r="BB45" s="106"/>
      <c r="BC45" s="106"/>
      <c r="BD45" s="106"/>
      <c r="BE45" s="106"/>
      <c r="BF45" s="106"/>
      <c r="BG45" s="106"/>
      <c r="BH45" s="106"/>
      <c r="BI45" s="106"/>
      <c r="BJ45" s="106"/>
      <c r="BK45" s="106"/>
      <c r="BL45" s="106"/>
      <c r="BM45" s="106"/>
      <c r="BN45" s="106"/>
      <c r="BO45" s="106"/>
      <c r="BP45" s="106"/>
      <c r="BQ45" s="106"/>
    </row>
    <row r="46" spans="9:69" ht="13.5">
      <c r="I46" s="108" t="s">
        <v>7</v>
      </c>
      <c r="J46" s="108" t="s">
        <v>1810</v>
      </c>
      <c r="K46" s="227" t="s">
        <v>1816</v>
      </c>
      <c r="L46" s="109"/>
      <c r="M46" s="109"/>
      <c r="N46" s="109"/>
      <c r="O46" s="109"/>
      <c r="P46" s="109"/>
      <c r="Q46" s="109"/>
      <c r="R46" s="109"/>
      <c r="S46" s="109"/>
      <c r="T46" s="109"/>
      <c r="U46" s="110"/>
      <c r="V46" s="110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  <c r="AZ46" s="109"/>
      <c r="BA46" s="109"/>
      <c r="BB46" s="109"/>
      <c r="BC46" s="109"/>
      <c r="BD46" s="109"/>
      <c r="BE46" s="109"/>
      <c r="BF46" s="109"/>
      <c r="BG46" s="109"/>
      <c r="BH46" s="109"/>
      <c r="BI46" s="109"/>
      <c r="BJ46" s="109"/>
      <c r="BK46" s="109"/>
      <c r="BL46" s="109"/>
      <c r="BM46" s="109"/>
      <c r="BN46" s="109"/>
      <c r="BO46" s="109"/>
      <c r="BP46" s="109"/>
      <c r="BQ46" s="109"/>
    </row>
    <row r="47" spans="9:69">
      <c r="I47" s="220" t="s">
        <v>48</v>
      </c>
      <c r="J47" s="96" t="s">
        <v>1811</v>
      </c>
      <c r="K47" s="221">
        <f>K44</f>
        <v>28</v>
      </c>
      <c r="L47" s="221">
        <f t="shared" ref="L47:M47" si="31">L44</f>
        <v>20</v>
      </c>
      <c r="M47" s="221">
        <f t="shared" si="31"/>
        <v>13</v>
      </c>
      <c r="N47" s="101"/>
      <c r="O47" s="101"/>
      <c r="P47" s="101"/>
      <c r="Q47" s="101"/>
      <c r="R47" s="101"/>
      <c r="S47" s="101"/>
      <c r="T47" s="94" t="s">
        <v>209</v>
      </c>
      <c r="U47" s="100" t="e">
        <f>IF(FLAG_Country&lt;&gt;"USA","설정 온도 22 degC, AUTO ON (SYNC ON) 선택 상태, Blower=8단 수동 설정","설정 온도 72 degF, AUTO ON (SYNC ON) 선택 상태, Blower=8단 수동 설정")</f>
        <v>#NAME?</v>
      </c>
      <c r="V47" s="99">
        <v>10</v>
      </c>
      <c r="W47" s="101"/>
      <c r="X47" s="101"/>
      <c r="Y47" s="101"/>
      <c r="Z47" s="101"/>
      <c r="AA47" s="101"/>
      <c r="AB47" s="101"/>
      <c r="AC47" s="101"/>
      <c r="AD47" s="101"/>
      <c r="AE47" s="101"/>
      <c r="AF47" s="102">
        <v>8</v>
      </c>
      <c r="AG47" s="102">
        <v>8</v>
      </c>
      <c r="AH47" s="101"/>
      <c r="AI47" s="101"/>
      <c r="AJ47" s="101"/>
      <c r="AK47" s="101"/>
      <c r="AL47" s="101"/>
      <c r="AM47" s="101"/>
      <c r="AN47" s="101"/>
      <c r="AO47" s="101"/>
      <c r="AP47" s="101"/>
      <c r="AQ47" s="101"/>
      <c r="AR47" s="101"/>
      <c r="AS47" s="101"/>
      <c r="AT47" s="101"/>
      <c r="AU47" s="101"/>
      <c r="AV47" s="101"/>
      <c r="AW47" s="101"/>
      <c r="AX47" s="101"/>
      <c r="AY47" s="101"/>
      <c r="AZ47" s="101"/>
      <c r="BA47" s="101"/>
      <c r="BB47" s="101"/>
      <c r="BC47" s="101"/>
      <c r="BD47" s="101"/>
      <c r="BE47" s="101"/>
      <c r="BF47" s="101"/>
      <c r="BG47" s="101"/>
      <c r="BH47" s="101"/>
      <c r="BI47" s="101"/>
      <c r="BJ47" s="101"/>
      <c r="BK47" s="101"/>
      <c r="BL47" s="101"/>
      <c r="BM47" s="101"/>
      <c r="BN47" s="101"/>
      <c r="BO47" s="101"/>
      <c r="BP47" s="101"/>
      <c r="BQ47" s="101"/>
    </row>
    <row r="48" spans="9:69">
      <c r="I48" s="220" t="s">
        <v>155</v>
      </c>
      <c r="J48" s="220" t="s">
        <v>1812</v>
      </c>
      <c r="K48" s="221">
        <f t="shared" ref="K48:M48" si="32">K47</f>
        <v>28</v>
      </c>
      <c r="L48" s="221">
        <f t="shared" si="32"/>
        <v>20</v>
      </c>
      <c r="M48" s="221">
        <f t="shared" si="32"/>
        <v>13</v>
      </c>
      <c r="N48" s="101"/>
      <c r="O48" s="101"/>
      <c r="P48" s="101"/>
      <c r="Q48" s="101"/>
      <c r="R48" s="101"/>
      <c r="S48" s="101"/>
      <c r="T48" s="94" t="s">
        <v>214</v>
      </c>
      <c r="U48" s="99">
        <v>1</v>
      </c>
      <c r="V48" s="99">
        <v>2</v>
      </c>
      <c r="W48" s="101"/>
      <c r="X48" s="101"/>
      <c r="Y48" s="101"/>
      <c r="Z48" s="101"/>
      <c r="AA48" s="101"/>
      <c r="AB48" s="101"/>
      <c r="AC48" s="101"/>
      <c r="AD48" s="101"/>
      <c r="AE48" s="101"/>
      <c r="AF48" s="102" t="s">
        <v>89</v>
      </c>
      <c r="AG48" s="102" t="s">
        <v>89</v>
      </c>
      <c r="AH48" s="101"/>
      <c r="AI48" s="101"/>
      <c r="AJ48" s="101"/>
      <c r="AK48" s="101"/>
      <c r="AL48" s="101"/>
      <c r="AM48" s="101"/>
      <c r="AN48" s="101"/>
      <c r="AO48" s="101"/>
      <c r="AP48" s="101"/>
      <c r="AQ48" s="101"/>
      <c r="AR48" s="101"/>
      <c r="AS48" s="101"/>
      <c r="AT48" s="101"/>
      <c r="AU48" s="101"/>
      <c r="AV48" s="101"/>
      <c r="AW48" s="101"/>
      <c r="AX48" s="101"/>
      <c r="AY48" s="101"/>
      <c r="AZ48" s="101"/>
      <c r="BA48" s="101"/>
      <c r="BB48" s="101"/>
      <c r="BC48" s="101"/>
      <c r="BD48" s="101"/>
      <c r="BE48" s="101"/>
      <c r="BF48" s="101"/>
      <c r="BG48" s="101"/>
      <c r="BH48" s="101"/>
      <c r="BI48" s="101"/>
      <c r="BJ48" s="101"/>
      <c r="BK48" s="101"/>
      <c r="BL48" s="101"/>
      <c r="BM48" s="101"/>
      <c r="BN48" s="101"/>
      <c r="BO48" s="101"/>
      <c r="BP48" s="101"/>
      <c r="BQ48" s="101"/>
    </row>
    <row r="49" spans="9:69" ht="13.5">
      <c r="I49" s="220" t="s">
        <v>155</v>
      </c>
      <c r="J49" s="220" t="s">
        <v>1813</v>
      </c>
      <c r="K49" s="221">
        <f t="shared" ref="K49:M49" si="33">K48</f>
        <v>28</v>
      </c>
      <c r="L49" s="221">
        <f t="shared" si="33"/>
        <v>20</v>
      </c>
      <c r="M49" s="221">
        <f t="shared" si="33"/>
        <v>13</v>
      </c>
      <c r="N49" s="101"/>
      <c r="O49" s="101"/>
      <c r="P49" s="101"/>
      <c r="Q49" s="101"/>
      <c r="R49" s="101"/>
      <c r="S49" s="101"/>
      <c r="T49" s="94" t="s">
        <v>378</v>
      </c>
      <c r="U49" s="99">
        <v>1</v>
      </c>
      <c r="V49" s="102" t="s">
        <v>1818</v>
      </c>
      <c r="W49" s="101"/>
      <c r="X49" s="101"/>
      <c r="Y49" s="101"/>
      <c r="Z49" s="101"/>
      <c r="AA49" s="101"/>
      <c r="AB49" s="101"/>
      <c r="AC49" s="101"/>
      <c r="AD49" s="101"/>
      <c r="AE49" s="101"/>
      <c r="AF49" s="102">
        <v>8</v>
      </c>
      <c r="AG49" s="102">
        <v>8</v>
      </c>
      <c r="AH49" s="101"/>
      <c r="AI49" s="101"/>
      <c r="AJ49" s="101"/>
      <c r="AK49" s="101"/>
      <c r="AL49" s="101"/>
      <c r="AM49" s="101"/>
      <c r="AN49" s="101"/>
      <c r="AO49" s="101"/>
      <c r="AP49" s="101"/>
      <c r="AQ49" s="101"/>
      <c r="AR49" s="101"/>
      <c r="AS49" s="101"/>
      <c r="AT49" s="101"/>
      <c r="AU49" s="101"/>
      <c r="AV49" s="101"/>
      <c r="AW49" s="101"/>
      <c r="AX49" s="101"/>
      <c r="AY49" s="101"/>
      <c r="AZ49" s="101"/>
      <c r="BA49" s="101"/>
      <c r="BB49" s="101"/>
      <c r="BC49" s="101"/>
      <c r="BD49" s="101"/>
      <c r="BE49" s="101"/>
      <c r="BF49" s="101"/>
      <c r="BG49" s="101"/>
      <c r="BH49" s="101"/>
      <c r="BI49" s="101"/>
      <c r="BJ49" s="101"/>
      <c r="BK49" s="101"/>
      <c r="BL49" s="101"/>
      <c r="BM49" s="101"/>
      <c r="BN49" s="101"/>
      <c r="BO49" s="101"/>
      <c r="BP49" s="101"/>
      <c r="BQ49" s="101"/>
    </row>
    <row r="50" spans="9:69">
      <c r="I50" s="255">
        <f>COUNTIF(I51:I55,"&lt;&gt;TS")</f>
        <v>4</v>
      </c>
      <c r="J50" s="106" t="s">
        <v>375</v>
      </c>
      <c r="K50" s="106" t="s">
        <v>778</v>
      </c>
      <c r="L50" s="106"/>
      <c r="M50" s="106"/>
      <c r="N50" s="106"/>
      <c r="O50" s="106"/>
      <c r="P50" s="106"/>
      <c r="Q50" s="106"/>
      <c r="R50" s="106"/>
      <c r="S50" s="106"/>
      <c r="T50" s="106"/>
      <c r="U50" s="107"/>
      <c r="V50" s="107"/>
      <c r="W50" s="106"/>
      <c r="X50" s="106"/>
      <c r="Y50" s="106"/>
      <c r="Z50" s="106"/>
      <c r="AA50" s="106"/>
      <c r="AB50" s="106"/>
      <c r="AC50" s="106"/>
      <c r="AD50" s="106"/>
      <c r="AE50" s="106"/>
      <c r="AF50" s="106"/>
      <c r="AG50" s="106"/>
      <c r="AH50" s="106"/>
      <c r="AI50" s="106"/>
      <c r="AJ50" s="106"/>
      <c r="AK50" s="106"/>
      <c r="AL50" s="106"/>
      <c r="AM50" s="106"/>
      <c r="AN50" s="106"/>
      <c r="AO50" s="106"/>
      <c r="AP50" s="106"/>
      <c r="AQ50" s="106"/>
      <c r="AR50" s="106"/>
      <c r="AS50" s="106"/>
      <c r="AT50" s="106"/>
      <c r="AU50" s="106"/>
      <c r="AV50" s="106"/>
      <c r="AW50" s="106"/>
      <c r="AX50" s="106"/>
      <c r="AY50" s="106"/>
      <c r="AZ50" s="106"/>
      <c r="BA50" s="106"/>
      <c r="BB50" s="106"/>
      <c r="BC50" s="106"/>
      <c r="BD50" s="106"/>
      <c r="BE50" s="106"/>
      <c r="BF50" s="106"/>
      <c r="BG50" s="106"/>
      <c r="BH50" s="106"/>
      <c r="BI50" s="106"/>
      <c r="BJ50" s="106"/>
      <c r="BK50" s="106"/>
      <c r="BL50" s="106"/>
      <c r="BM50" s="106"/>
      <c r="BN50" s="106"/>
      <c r="BO50" s="106"/>
      <c r="BP50" s="106"/>
      <c r="BQ50" s="106"/>
    </row>
    <row r="51" spans="9:69">
      <c r="I51" s="108" t="s">
        <v>7</v>
      </c>
      <c r="J51" s="108" t="s">
        <v>368</v>
      </c>
      <c r="K51" s="109" t="s">
        <v>1495</v>
      </c>
      <c r="L51" s="109"/>
      <c r="M51" s="109"/>
      <c r="N51" s="109"/>
      <c r="O51" s="109"/>
      <c r="P51" s="109"/>
      <c r="Q51" s="109"/>
      <c r="R51" s="109"/>
      <c r="S51" s="109"/>
      <c r="T51" s="109"/>
      <c r="U51" s="110"/>
      <c r="V51" s="110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  <c r="AZ51" s="109"/>
      <c r="BA51" s="109"/>
      <c r="BB51" s="109"/>
      <c r="BC51" s="109"/>
      <c r="BD51" s="109"/>
      <c r="BE51" s="109"/>
      <c r="BF51" s="109"/>
      <c r="BG51" s="109"/>
      <c r="BH51" s="109"/>
      <c r="BI51" s="109"/>
      <c r="BJ51" s="109"/>
      <c r="BK51" s="109"/>
      <c r="BL51" s="109"/>
      <c r="BM51" s="109"/>
      <c r="BN51" s="109"/>
      <c r="BO51" s="109"/>
      <c r="BP51" s="109"/>
      <c r="BQ51" s="109"/>
    </row>
    <row r="52" spans="9:69" ht="13.5">
      <c r="I52" s="96" t="s">
        <v>48</v>
      </c>
      <c r="J52" s="96" t="s">
        <v>369</v>
      </c>
      <c r="K52" s="221">
        <f>K49</f>
        <v>28</v>
      </c>
      <c r="L52" s="221">
        <f t="shared" ref="L52:M52" si="34">L49</f>
        <v>20</v>
      </c>
      <c r="M52" s="221">
        <f t="shared" si="34"/>
        <v>13</v>
      </c>
      <c r="N52" s="101"/>
      <c r="O52" s="101"/>
      <c r="P52" s="101"/>
      <c r="Q52" s="101"/>
      <c r="R52" s="101"/>
      <c r="S52" s="101"/>
      <c r="T52" s="94" t="s">
        <v>209</v>
      </c>
      <c r="U52" s="100" t="e">
        <f>IF(FLAG_Country&lt;&gt;"USA","설정 온도 22 degC, AUTO ON (SYNC ON) 설정","설정 온도 72 degF, AUTO ON (SYNC ON) 설정")</f>
        <v>#NAME?</v>
      </c>
      <c r="V52" s="95">
        <v>10</v>
      </c>
      <c r="W52" s="101"/>
      <c r="X52" s="101"/>
      <c r="Y52" s="101"/>
      <c r="Z52" s="101"/>
      <c r="AA52" s="101"/>
      <c r="AB52" s="101"/>
      <c r="AC52" s="101"/>
      <c r="AD52" s="101"/>
      <c r="AE52" s="101"/>
      <c r="AF52" s="100" t="e" cm="1">
        <f t="array" ref="AF52">ROUNDDOWN(VINTERPOLATION(AG52,Tbl_BlowerUp_Display,2),0)</f>
        <v>#VALUE!</v>
      </c>
      <c r="AG52" s="223" t="e">
        <f>MAX(VINTERPOLATION(K4_Min,Tbl_K4MinBlowerLimit_V,2),AutoBlowerLow_3)</f>
        <v>#VALUE!</v>
      </c>
      <c r="AH52" s="101"/>
      <c r="AI52" s="101"/>
      <c r="AJ52" s="101"/>
      <c r="AK52" s="101"/>
      <c r="AL52" s="101"/>
      <c r="AM52" s="101"/>
      <c r="AN52" s="101"/>
      <c r="AO52" s="101"/>
      <c r="AP52" s="101"/>
      <c r="AQ52" s="101"/>
      <c r="AR52" s="101"/>
      <c r="AS52" s="101"/>
      <c r="AT52" s="101"/>
      <c r="AU52" s="101"/>
      <c r="AV52" s="100" t="s">
        <v>405</v>
      </c>
      <c r="AW52" s="100" t="s">
        <v>405</v>
      </c>
      <c r="AX52" s="101"/>
      <c r="AY52" s="101"/>
      <c r="AZ52" s="101"/>
      <c r="BA52" s="101"/>
      <c r="BB52" s="101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01"/>
      <c r="BN52" s="101"/>
      <c r="BO52" s="101"/>
      <c r="BP52" s="101"/>
      <c r="BQ52" s="101"/>
    </row>
    <row r="53" spans="9:69">
      <c r="I53" s="220" t="s">
        <v>155</v>
      </c>
      <c r="J53" s="220" t="s">
        <v>370</v>
      </c>
      <c r="K53" s="221">
        <f t="shared" ref="K53:M53" si="35">K52</f>
        <v>28</v>
      </c>
      <c r="L53" s="221">
        <f t="shared" si="35"/>
        <v>20</v>
      </c>
      <c r="M53" s="221">
        <f t="shared" si="35"/>
        <v>13</v>
      </c>
      <c r="N53" s="101"/>
      <c r="O53" s="101"/>
      <c r="P53" s="101"/>
      <c r="Q53" s="101"/>
      <c r="R53" s="101"/>
      <c r="S53" s="101"/>
      <c r="T53" s="94" t="e">
        <f>Photo_L_V</f>
        <v>#NAME?</v>
      </c>
      <c r="U53" s="100">
        <v>5</v>
      </c>
      <c r="V53" s="100">
        <f>4*28</f>
        <v>112</v>
      </c>
      <c r="W53" s="101"/>
      <c r="X53" s="101"/>
      <c r="Y53" s="101"/>
      <c r="Z53" s="101"/>
      <c r="AA53" s="101"/>
      <c r="AB53" s="101"/>
      <c r="AC53" s="101"/>
      <c r="AD53" s="101"/>
      <c r="AE53" s="101"/>
      <c r="AF53" s="100"/>
      <c r="AG53" s="223"/>
      <c r="AH53" s="101"/>
      <c r="AI53" s="101"/>
      <c r="AJ53" s="101"/>
      <c r="AK53" s="101"/>
      <c r="AL53" s="101"/>
      <c r="AM53" s="101"/>
      <c r="AN53" s="101"/>
      <c r="AO53" s="101"/>
      <c r="AP53" s="101"/>
      <c r="AQ53" s="101"/>
      <c r="AR53" s="101"/>
      <c r="AS53" s="101"/>
      <c r="AT53" s="101"/>
      <c r="AU53" s="101"/>
      <c r="AV53" s="100" t="e">
        <f>IF(LHD_RHD="O","Dr측 Temp Act만 변경","이전 상태 유지")</f>
        <v>#NAME?</v>
      </c>
      <c r="AW53" s="100" t="e">
        <f>IF(LHD_RHD="O","이전 상태 유지","Ps측 Temp Act만 변경")</f>
        <v>#NAME?</v>
      </c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</row>
    <row r="54" spans="9:69">
      <c r="I54" s="220" t="s">
        <v>155</v>
      </c>
      <c r="J54" s="220" t="s">
        <v>371</v>
      </c>
      <c r="K54" s="221">
        <f t="shared" ref="K54:M55" si="36">K52</f>
        <v>28</v>
      </c>
      <c r="L54" s="221">
        <f t="shared" si="36"/>
        <v>20</v>
      </c>
      <c r="M54" s="221">
        <f t="shared" si="36"/>
        <v>13</v>
      </c>
      <c r="N54" s="101"/>
      <c r="O54" s="101"/>
      <c r="P54" s="101"/>
      <c r="Q54" s="101"/>
      <c r="R54" s="101"/>
      <c r="S54" s="101"/>
      <c r="T54" s="94" t="e">
        <f>Photo_R_V</f>
        <v>#NAME?</v>
      </c>
      <c r="U54" s="100">
        <v>5</v>
      </c>
      <c r="V54" s="100">
        <f>4*28</f>
        <v>112</v>
      </c>
      <c r="W54" s="101"/>
      <c r="X54" s="101"/>
      <c r="Y54" s="101"/>
      <c r="Z54" s="101"/>
      <c r="AA54" s="101"/>
      <c r="AB54" s="101"/>
      <c r="AC54" s="101"/>
      <c r="AD54" s="101"/>
      <c r="AE54" s="101"/>
      <c r="AF54" s="100" t="e" cm="1">
        <f t="array" ref="AF54">ROUNDDOWN(VINTERPOLATION(AG54,Tbl_BlowerUp_Display,2),0)</f>
        <v>#VALUE!</v>
      </c>
      <c r="AG54" s="223" t="e">
        <f>MAX(VINTERPOLATION(K4_Max,Tbl_K4MinBlowerLimit_V,2),AutoBlowerLow_3)</f>
        <v>#VALUE!</v>
      </c>
      <c r="AH54" s="101"/>
      <c r="AI54" s="101"/>
      <c r="AJ54" s="101"/>
      <c r="AK54" s="101"/>
      <c r="AL54" s="101"/>
      <c r="AM54" s="101"/>
      <c r="AN54" s="101"/>
      <c r="AO54" s="101"/>
      <c r="AP54" s="101"/>
      <c r="AQ54" s="101"/>
      <c r="AR54" s="101"/>
      <c r="AS54" s="101"/>
      <c r="AT54" s="101"/>
      <c r="AU54" s="101"/>
      <c r="AV54" s="100" t="e">
        <f>IF(LHD_RHD="O","이전 상태 유지","Dr측 Temp Act만 변경")</f>
        <v>#NAME?</v>
      </c>
      <c r="AW54" s="100" t="e">
        <f>IF(LHD_RHD="O","Ps측 Temp Act만 변경","이전 상태 유지")</f>
        <v>#NAME?</v>
      </c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</row>
    <row r="55" spans="9:69" ht="13.5">
      <c r="I55" s="220" t="s">
        <v>155</v>
      </c>
      <c r="J55" s="220" t="s">
        <v>1542</v>
      </c>
      <c r="K55" s="221">
        <f t="shared" si="36"/>
        <v>28</v>
      </c>
      <c r="L55" s="221">
        <f t="shared" si="36"/>
        <v>20</v>
      </c>
      <c r="M55" s="221">
        <f t="shared" si="36"/>
        <v>13</v>
      </c>
      <c r="N55" s="101"/>
      <c r="O55" s="101"/>
      <c r="P55" s="101"/>
      <c r="Q55" s="101"/>
      <c r="R55" s="101"/>
      <c r="S55" s="101"/>
      <c r="T55" s="94" t="s">
        <v>209</v>
      </c>
      <c r="U55" s="100" t="s">
        <v>1490</v>
      </c>
      <c r="V55" s="100">
        <f>8*28</f>
        <v>224</v>
      </c>
      <c r="W55" s="101"/>
      <c r="X55" s="101"/>
      <c r="Y55" s="101"/>
      <c r="Z55" s="101"/>
      <c r="AA55" s="101"/>
      <c r="AB55" s="101"/>
      <c r="AC55" s="101"/>
      <c r="AD55" s="101"/>
      <c r="AE55" s="101"/>
      <c r="AF55" s="100" t="e" cm="1">
        <f t="array" ref="AF55">ROUNDDOWN(VINTERPOLATION(AG55,Tbl_BlowerUp_Display,2),0)</f>
        <v>#VALUE!</v>
      </c>
      <c r="AG55" s="223" t="e">
        <f>MAX(VINTERPOLATION(K4_Min,Tbl_K4MinBlowerLimit_V,2),AutoBlowerLow_3)</f>
        <v>#VALUE!</v>
      </c>
      <c r="AH55" s="101"/>
      <c r="AI55" s="101"/>
      <c r="AJ55" s="101"/>
      <c r="AK55" s="101"/>
      <c r="AL55" s="101"/>
      <c r="AM55" s="101"/>
      <c r="AN55" s="101"/>
      <c r="AO55" s="101"/>
      <c r="AP55" s="101"/>
      <c r="AQ55" s="101"/>
      <c r="AR55" s="101"/>
      <c r="AS55" s="101"/>
      <c r="AT55" s="101"/>
      <c r="AU55" s="101"/>
      <c r="AV55" s="100" t="s">
        <v>405</v>
      </c>
      <c r="AW55" s="100" t="s">
        <v>405</v>
      </c>
      <c r="AX55" s="101"/>
      <c r="AY55" s="101"/>
      <c r="AZ55" s="101"/>
      <c r="BA55" s="101"/>
      <c r="BB55" s="101"/>
      <c r="BC55" s="101"/>
      <c r="BD55" s="101"/>
      <c r="BE55" s="101"/>
      <c r="BF55" s="101"/>
      <c r="BG55" s="101"/>
      <c r="BH55" s="101"/>
      <c r="BI55" s="101"/>
      <c r="BJ55" s="101"/>
      <c r="BK55" s="101"/>
      <c r="BL55" s="101"/>
      <c r="BM55" s="101"/>
      <c r="BN55" s="101"/>
      <c r="BO55" s="101"/>
      <c r="BP55" s="101"/>
      <c r="BQ55" s="101"/>
    </row>
    <row r="56" spans="9:69">
      <c r="I56" s="255">
        <f>COUNTIF(I57:I62,"&lt;&gt;TS")</f>
        <v>5</v>
      </c>
      <c r="J56" s="106" t="s">
        <v>1543</v>
      </c>
      <c r="K56" s="106" t="s">
        <v>1823</v>
      </c>
      <c r="L56" s="106"/>
      <c r="M56" s="106"/>
      <c r="N56" s="106"/>
      <c r="O56" s="106"/>
      <c r="P56" s="106"/>
      <c r="Q56" s="106"/>
      <c r="R56" s="106"/>
      <c r="S56" s="106"/>
      <c r="T56" s="106"/>
      <c r="U56" s="107"/>
      <c r="V56" s="107"/>
      <c r="W56" s="106"/>
      <c r="X56" s="106"/>
      <c r="Y56" s="106"/>
      <c r="Z56" s="106"/>
      <c r="AA56" s="106"/>
      <c r="AB56" s="106"/>
      <c r="AC56" s="106"/>
      <c r="AD56" s="106"/>
      <c r="AE56" s="106"/>
      <c r="AF56" s="106"/>
      <c r="AG56" s="106"/>
      <c r="AH56" s="106"/>
      <c r="AI56" s="106"/>
      <c r="AJ56" s="106"/>
      <c r="AK56" s="106"/>
      <c r="AL56" s="106"/>
      <c r="AM56" s="106"/>
      <c r="AN56" s="106"/>
      <c r="AO56" s="106"/>
      <c r="AP56" s="106"/>
      <c r="AQ56" s="106"/>
      <c r="AR56" s="106"/>
      <c r="AS56" s="106"/>
      <c r="AT56" s="106"/>
      <c r="AU56" s="106"/>
      <c r="AV56" s="106"/>
      <c r="AW56" s="106"/>
      <c r="AX56" s="106"/>
      <c r="AY56" s="106"/>
      <c r="AZ56" s="106"/>
      <c r="BA56" s="106"/>
      <c r="BB56" s="106"/>
      <c r="BC56" s="106"/>
      <c r="BD56" s="106"/>
      <c r="BE56" s="106"/>
      <c r="BF56" s="106"/>
      <c r="BG56" s="106"/>
      <c r="BH56" s="106"/>
      <c r="BI56" s="106"/>
      <c r="BJ56" s="106"/>
      <c r="BK56" s="106"/>
      <c r="BL56" s="106"/>
      <c r="BM56" s="106"/>
      <c r="BN56" s="106"/>
      <c r="BO56" s="106"/>
      <c r="BP56" s="106"/>
      <c r="BQ56" s="106"/>
    </row>
    <row r="57" spans="9:69" ht="13.5">
      <c r="I57" s="108" t="s">
        <v>7</v>
      </c>
      <c r="J57" s="108" t="s">
        <v>1819</v>
      </c>
      <c r="K57" s="109" t="s">
        <v>1824</v>
      </c>
      <c r="L57" s="109"/>
      <c r="M57" s="109"/>
      <c r="N57" s="109"/>
      <c r="O57" s="109"/>
      <c r="P57" s="109"/>
      <c r="Q57" s="109"/>
      <c r="R57" s="109"/>
      <c r="S57" s="109"/>
      <c r="T57" s="109"/>
      <c r="U57" s="110"/>
      <c r="V57" s="110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09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  <c r="AZ57" s="109"/>
      <c r="BA57" s="109"/>
      <c r="BB57" s="109"/>
      <c r="BC57" s="109"/>
      <c r="BD57" s="109"/>
      <c r="BE57" s="109"/>
      <c r="BF57" s="109"/>
      <c r="BG57" s="109"/>
      <c r="BH57" s="109"/>
      <c r="BI57" s="109"/>
      <c r="BJ57" s="109"/>
      <c r="BK57" s="109"/>
      <c r="BL57" s="109"/>
      <c r="BM57" s="109"/>
      <c r="BN57" s="109"/>
      <c r="BO57" s="109"/>
      <c r="BP57" s="109"/>
      <c r="BQ57" s="109"/>
    </row>
    <row r="58" spans="9:69">
      <c r="I58" s="96" t="s">
        <v>48</v>
      </c>
      <c r="J58" s="96" t="s">
        <v>1820</v>
      </c>
      <c r="K58" s="100">
        <v>10</v>
      </c>
      <c r="L58" s="100">
        <v>5</v>
      </c>
      <c r="M58" s="100">
        <v>13</v>
      </c>
      <c r="N58" s="101"/>
      <c r="O58" s="101"/>
      <c r="P58" s="101"/>
      <c r="Q58" s="101"/>
      <c r="R58" s="101"/>
      <c r="S58" s="101"/>
      <c r="T58" s="94" t="s">
        <v>209</v>
      </c>
      <c r="U58" s="100" t="e">
        <f>IF(FLAG_Country&lt;&gt;"USA","설정 온도 22 degC, AUTO ON (SYNC ON) 설정","설정 온도 72 degF, AUTO ON (SYNC ON) 설정")</f>
        <v>#NAME?</v>
      </c>
      <c r="V58" s="95">
        <v>10</v>
      </c>
      <c r="W58" s="101"/>
      <c r="X58" s="101"/>
      <c r="Y58" s="100" t="s">
        <v>235</v>
      </c>
      <c r="Z58" s="101"/>
      <c r="AA58" s="101"/>
      <c r="AB58" s="100" t="s">
        <v>235</v>
      </c>
      <c r="AC58" s="101"/>
      <c r="AD58" s="101"/>
      <c r="AE58" s="100" t="s">
        <v>235</v>
      </c>
      <c r="AF58" s="101"/>
      <c r="AG58" s="101"/>
      <c r="AH58" s="101"/>
      <c r="AI58" s="101"/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</row>
    <row r="59" spans="9:69">
      <c r="I59" s="220" t="s">
        <v>155</v>
      </c>
      <c r="J59" s="220" t="s">
        <v>1821</v>
      </c>
      <c r="K59" s="221">
        <f t="shared" ref="K59:M59" si="37">K58</f>
        <v>10</v>
      </c>
      <c r="L59" s="221">
        <f t="shared" si="37"/>
        <v>5</v>
      </c>
      <c r="M59" s="221">
        <f t="shared" si="37"/>
        <v>13</v>
      </c>
      <c r="N59" s="101"/>
      <c r="O59" s="101"/>
      <c r="P59" s="101"/>
      <c r="Q59" s="101"/>
      <c r="R59" s="101"/>
      <c r="S59" s="101"/>
      <c r="T59" s="94" t="s">
        <v>251</v>
      </c>
      <c r="U59" s="95">
        <v>1</v>
      </c>
      <c r="V59" s="95">
        <v>5</v>
      </c>
      <c r="W59" s="101"/>
      <c r="X59" s="101"/>
      <c r="Y59" s="100" t="s">
        <v>407</v>
      </c>
      <c r="Z59" s="101"/>
      <c r="AA59" s="101"/>
      <c r="AB59" s="100" t="s">
        <v>407</v>
      </c>
      <c r="AC59" s="101"/>
      <c r="AD59" s="101"/>
      <c r="AE59" s="100" t="s">
        <v>407</v>
      </c>
      <c r="AF59" s="101"/>
      <c r="AG59" s="101"/>
      <c r="AH59" s="101"/>
      <c r="AI59" s="101"/>
      <c r="AJ59" s="101"/>
      <c r="AK59" s="101"/>
      <c r="AL59" s="101"/>
      <c r="AM59" s="101"/>
      <c r="AN59" s="101"/>
      <c r="AO59" s="101"/>
      <c r="AP59" s="101"/>
      <c r="AQ59" s="101"/>
      <c r="AR59" s="101"/>
      <c r="AS59" s="101"/>
      <c r="AT59" s="101"/>
      <c r="AU59" s="101"/>
      <c r="AV59" s="101"/>
      <c r="AW59" s="101"/>
      <c r="AX59" s="101"/>
      <c r="AY59" s="101"/>
      <c r="AZ59" s="101"/>
      <c r="BA59" s="101"/>
      <c r="BB59" s="101"/>
      <c r="BC59" s="101"/>
      <c r="BD59" s="101"/>
      <c r="BE59" s="101"/>
      <c r="BF59" s="101"/>
      <c r="BG59" s="101"/>
      <c r="BH59" s="101"/>
      <c r="BI59" s="101"/>
      <c r="BJ59" s="101"/>
      <c r="BK59" s="101"/>
      <c r="BL59" s="101"/>
      <c r="BM59" s="101"/>
      <c r="BN59" s="101"/>
      <c r="BO59" s="101"/>
      <c r="BP59" s="101"/>
      <c r="BQ59" s="101"/>
    </row>
    <row r="60" spans="9:69">
      <c r="I60" s="220" t="s">
        <v>155</v>
      </c>
      <c r="J60" s="220" t="s">
        <v>1822</v>
      </c>
      <c r="K60" s="221">
        <f t="shared" ref="K60:M60" si="38">K59</f>
        <v>10</v>
      </c>
      <c r="L60" s="221">
        <f t="shared" si="38"/>
        <v>5</v>
      </c>
      <c r="M60" s="221">
        <f t="shared" si="38"/>
        <v>13</v>
      </c>
      <c r="N60" s="101"/>
      <c r="O60" s="101"/>
      <c r="P60" s="101"/>
      <c r="Q60" s="101"/>
      <c r="R60" s="101"/>
      <c r="S60" s="101"/>
      <c r="T60" s="94" t="s">
        <v>251</v>
      </c>
      <c r="U60" s="95">
        <v>1</v>
      </c>
      <c r="V60" s="95">
        <v>5</v>
      </c>
      <c r="W60" s="101"/>
      <c r="X60" s="101"/>
      <c r="Y60" s="100" t="s">
        <v>237</v>
      </c>
      <c r="Z60" s="101"/>
      <c r="AA60" s="101"/>
      <c r="AB60" s="100" t="s">
        <v>237</v>
      </c>
      <c r="AC60" s="101"/>
      <c r="AD60" s="101"/>
      <c r="AE60" s="100" t="s">
        <v>237</v>
      </c>
      <c r="AF60" s="101"/>
      <c r="AG60" s="101"/>
      <c r="AH60" s="101"/>
      <c r="AI60" s="101"/>
      <c r="AJ60" s="101"/>
      <c r="AK60" s="101"/>
      <c r="AL60" s="101"/>
      <c r="AM60" s="101"/>
      <c r="AN60" s="101"/>
      <c r="AO60" s="101"/>
      <c r="AP60" s="101"/>
      <c r="AQ60" s="101"/>
      <c r="AR60" s="101"/>
      <c r="AS60" s="101"/>
      <c r="AT60" s="101"/>
      <c r="AU60" s="101"/>
      <c r="AV60" s="101"/>
      <c r="AW60" s="101"/>
      <c r="AX60" s="101"/>
      <c r="AY60" s="101"/>
      <c r="AZ60" s="101"/>
      <c r="BA60" s="101"/>
      <c r="BB60" s="101"/>
      <c r="BC60" s="101"/>
      <c r="BD60" s="101"/>
      <c r="BE60" s="101"/>
      <c r="BF60" s="101"/>
      <c r="BG60" s="101"/>
      <c r="BH60" s="101"/>
      <c r="BI60" s="101"/>
      <c r="BJ60" s="101"/>
      <c r="BK60" s="101"/>
      <c r="BL60" s="101"/>
      <c r="BM60" s="101"/>
      <c r="BN60" s="101"/>
      <c r="BO60" s="101"/>
      <c r="BP60" s="101"/>
      <c r="BQ60" s="101"/>
    </row>
    <row r="61" spans="9:69">
      <c r="I61" s="220" t="s">
        <v>155</v>
      </c>
      <c r="J61" s="220" t="s">
        <v>1825</v>
      </c>
      <c r="K61" s="221">
        <f t="shared" ref="K61:M61" si="39">K60</f>
        <v>10</v>
      </c>
      <c r="L61" s="221">
        <f t="shared" si="39"/>
        <v>5</v>
      </c>
      <c r="M61" s="221">
        <f t="shared" si="39"/>
        <v>13</v>
      </c>
      <c r="N61" s="101"/>
      <c r="O61" s="101"/>
      <c r="P61" s="101"/>
      <c r="Q61" s="101"/>
      <c r="R61" s="101"/>
      <c r="S61" s="101"/>
      <c r="T61" s="94" t="s">
        <v>251</v>
      </c>
      <c r="U61" s="95">
        <v>1</v>
      </c>
      <c r="V61" s="95">
        <v>5</v>
      </c>
      <c r="W61" s="101"/>
      <c r="X61" s="101"/>
      <c r="Y61" s="100" t="s">
        <v>1748</v>
      </c>
      <c r="Z61" s="101"/>
      <c r="AA61" s="101"/>
      <c r="AB61" s="100" t="s">
        <v>1748</v>
      </c>
      <c r="AC61" s="101"/>
      <c r="AD61" s="101"/>
      <c r="AE61" s="100" t="s">
        <v>1748</v>
      </c>
      <c r="AF61" s="101"/>
      <c r="AG61" s="101"/>
      <c r="AH61" s="101"/>
      <c r="AI61" s="101"/>
      <c r="AJ61" s="101"/>
      <c r="AK61" s="101"/>
      <c r="AL61" s="101"/>
      <c r="AM61" s="101"/>
      <c r="AN61" s="101"/>
      <c r="AO61" s="101"/>
      <c r="AP61" s="101"/>
      <c r="AQ61" s="101"/>
      <c r="AR61" s="101"/>
      <c r="AS61" s="101"/>
      <c r="AT61" s="101"/>
      <c r="AU61" s="101"/>
      <c r="AV61" s="101"/>
      <c r="AW61" s="101"/>
      <c r="AX61" s="101"/>
      <c r="AY61" s="101"/>
      <c r="AZ61" s="101"/>
      <c r="BA61" s="101"/>
      <c r="BB61" s="101"/>
      <c r="BC61" s="101"/>
      <c r="BD61" s="101"/>
      <c r="BE61" s="101"/>
      <c r="BF61" s="101"/>
      <c r="BG61" s="101"/>
      <c r="BH61" s="101"/>
      <c r="BI61" s="101"/>
      <c r="BJ61" s="101"/>
      <c r="BK61" s="101"/>
      <c r="BL61" s="101"/>
      <c r="BM61" s="101"/>
      <c r="BN61" s="101"/>
      <c r="BO61" s="101"/>
      <c r="BP61" s="101"/>
      <c r="BQ61" s="101"/>
    </row>
    <row r="62" spans="9:69" ht="13.5">
      <c r="I62" s="220" t="s">
        <v>155</v>
      </c>
      <c r="J62" s="220" t="s">
        <v>1826</v>
      </c>
      <c r="K62" s="221">
        <f t="shared" ref="K62:M62" si="40">K61</f>
        <v>10</v>
      </c>
      <c r="L62" s="221">
        <f t="shared" si="40"/>
        <v>5</v>
      </c>
      <c r="M62" s="221">
        <f t="shared" si="40"/>
        <v>13</v>
      </c>
      <c r="N62" s="101"/>
      <c r="O62" s="101"/>
      <c r="P62" s="101"/>
      <c r="Q62" s="101"/>
      <c r="R62" s="101"/>
      <c r="S62" s="101"/>
      <c r="T62" s="94" t="s">
        <v>272</v>
      </c>
      <c r="U62" s="95">
        <v>1</v>
      </c>
      <c r="V62" s="95">
        <v>5</v>
      </c>
      <c r="W62" s="101"/>
      <c r="X62" s="101"/>
      <c r="Y62" s="200" t="s">
        <v>492</v>
      </c>
      <c r="Z62" s="101"/>
      <c r="AA62" s="101"/>
      <c r="AB62" s="200" t="s">
        <v>492</v>
      </c>
      <c r="AC62" s="101"/>
      <c r="AD62" s="101"/>
      <c r="AE62" s="200" t="s">
        <v>492</v>
      </c>
      <c r="AF62" s="101"/>
      <c r="AG62" s="101"/>
      <c r="AH62" s="101"/>
      <c r="AI62" s="101"/>
      <c r="AJ62" s="101"/>
      <c r="AK62" s="101"/>
      <c r="AL62" s="101"/>
      <c r="AM62" s="101"/>
      <c r="AN62" s="101"/>
      <c r="AO62" s="101"/>
      <c r="AP62" s="101"/>
      <c r="AQ62" s="101"/>
      <c r="AR62" s="101"/>
      <c r="AS62" s="101"/>
      <c r="AT62" s="101"/>
      <c r="AU62" s="101"/>
      <c r="AV62" s="101"/>
      <c r="AW62" s="101"/>
      <c r="AX62" s="101"/>
      <c r="AY62" s="101"/>
      <c r="AZ62" s="101"/>
      <c r="BA62" s="101"/>
      <c r="BB62" s="101"/>
      <c r="BC62" s="101"/>
      <c r="BD62" s="101"/>
      <c r="BE62" s="101"/>
      <c r="BF62" s="101"/>
      <c r="BG62" s="101"/>
      <c r="BH62" s="101"/>
      <c r="BI62" s="101"/>
      <c r="BJ62" s="101"/>
      <c r="BK62" s="101"/>
      <c r="BL62" s="101"/>
      <c r="BM62" s="101"/>
      <c r="BN62" s="101"/>
      <c r="BO62" s="101"/>
      <c r="BP62" s="101"/>
      <c r="BQ62" s="101"/>
    </row>
    <row r="63" spans="9:69" ht="13.5">
      <c r="I63" s="255">
        <f>COUNTIF(I64:I70,"&lt;&gt;TS")</f>
        <v>5</v>
      </c>
      <c r="J63" s="106" t="s">
        <v>421</v>
      </c>
      <c r="K63" s="106" t="s">
        <v>1498</v>
      </c>
      <c r="L63" s="106"/>
      <c r="M63" s="106"/>
      <c r="N63" s="106"/>
      <c r="O63" s="106"/>
      <c r="P63" s="106"/>
      <c r="Q63" s="106"/>
      <c r="R63" s="106"/>
      <c r="S63" s="106"/>
      <c r="T63" s="106"/>
      <c r="U63" s="107"/>
      <c r="V63" s="107"/>
      <c r="W63" s="106"/>
      <c r="X63" s="106"/>
      <c r="Y63" s="106"/>
      <c r="Z63" s="106"/>
      <c r="AA63" s="106"/>
      <c r="AB63" s="106"/>
      <c r="AC63" s="106"/>
      <c r="AD63" s="106"/>
      <c r="AE63" s="106"/>
      <c r="AF63" s="106"/>
      <c r="AG63" s="106"/>
      <c r="AH63" s="106"/>
      <c r="AI63" s="106"/>
      <c r="AJ63" s="106"/>
      <c r="AK63" s="106"/>
      <c r="AL63" s="106"/>
      <c r="AM63" s="106"/>
      <c r="AN63" s="106"/>
      <c r="AO63" s="106"/>
      <c r="AP63" s="106"/>
      <c r="AQ63" s="106"/>
      <c r="AR63" s="106"/>
      <c r="AS63" s="106"/>
      <c r="AT63" s="106"/>
      <c r="AU63" s="106"/>
      <c r="AV63" s="106"/>
      <c r="AW63" s="106"/>
      <c r="AX63" s="106"/>
      <c r="AY63" s="106"/>
      <c r="AZ63" s="106"/>
      <c r="BA63" s="106"/>
      <c r="BB63" s="106"/>
      <c r="BC63" s="106"/>
      <c r="BD63" s="106"/>
      <c r="BE63" s="106"/>
      <c r="BF63" s="106"/>
      <c r="BG63" s="106"/>
      <c r="BH63" s="106"/>
      <c r="BI63" s="106"/>
      <c r="BJ63" s="106"/>
      <c r="BK63" s="106"/>
      <c r="BL63" s="106"/>
      <c r="BM63" s="106"/>
      <c r="BN63" s="106"/>
      <c r="BO63" s="106"/>
      <c r="BP63" s="106"/>
      <c r="BQ63" s="106"/>
    </row>
    <row r="64" spans="9:69">
      <c r="I64" s="108" t="s">
        <v>7</v>
      </c>
      <c r="J64" s="108" t="s">
        <v>1544</v>
      </c>
      <c r="K64" s="109" t="s">
        <v>779</v>
      </c>
      <c r="L64" s="109"/>
      <c r="M64" s="109"/>
      <c r="N64" s="109"/>
      <c r="O64" s="109"/>
      <c r="P64" s="109"/>
      <c r="Q64" s="109"/>
      <c r="R64" s="109"/>
      <c r="S64" s="109"/>
      <c r="T64" s="109"/>
      <c r="U64" s="110"/>
      <c r="V64" s="110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  <c r="AK64" s="109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  <c r="AZ64" s="109"/>
      <c r="BA64" s="109"/>
      <c r="BB64" s="109"/>
      <c r="BC64" s="109"/>
      <c r="BD64" s="109"/>
      <c r="BE64" s="109"/>
      <c r="BF64" s="109"/>
      <c r="BG64" s="109"/>
      <c r="BH64" s="109"/>
      <c r="BI64" s="109"/>
      <c r="BJ64" s="109"/>
      <c r="BK64" s="109"/>
      <c r="BL64" s="109"/>
      <c r="BM64" s="109"/>
      <c r="BN64" s="109"/>
      <c r="BO64" s="109"/>
      <c r="BP64" s="109"/>
      <c r="BQ64" s="109"/>
    </row>
    <row r="65" spans="9:69" ht="13.5">
      <c r="I65" s="96" t="s">
        <v>48</v>
      </c>
      <c r="J65" s="96" t="s">
        <v>1545</v>
      </c>
      <c r="K65" s="221">
        <f>K60</f>
        <v>10</v>
      </c>
      <c r="L65" s="221">
        <f>L60</f>
        <v>5</v>
      </c>
      <c r="M65" s="221">
        <f>M60</f>
        <v>13</v>
      </c>
      <c r="N65" s="101"/>
      <c r="O65" s="101"/>
      <c r="P65" s="101"/>
      <c r="Q65" s="101"/>
      <c r="R65" s="101"/>
      <c r="S65" s="101"/>
      <c r="T65" s="94" t="s">
        <v>209</v>
      </c>
      <c r="U65" s="100" t="s">
        <v>1638</v>
      </c>
      <c r="V65" s="95">
        <v>10</v>
      </c>
      <c r="W65" s="100" t="s">
        <v>49</v>
      </c>
      <c r="X65" s="101"/>
      <c r="Y65" s="100" t="s">
        <v>235</v>
      </c>
      <c r="Z65" s="101"/>
      <c r="AA65" s="101"/>
      <c r="AB65" s="100" t="s">
        <v>235</v>
      </c>
      <c r="AC65" s="101"/>
      <c r="AD65" s="101"/>
      <c r="AE65" s="100" t="s">
        <v>235</v>
      </c>
      <c r="AF65" s="101"/>
      <c r="AG65" s="101"/>
      <c r="AH65" s="101"/>
      <c r="AI65" s="101"/>
      <c r="AJ65" s="101"/>
      <c r="AK65" s="101"/>
      <c r="AL65" s="101"/>
      <c r="AM65" s="101"/>
      <c r="AN65" s="100" t="s">
        <v>89</v>
      </c>
      <c r="AO65" s="101"/>
      <c r="AP65" s="100" t="s">
        <v>89</v>
      </c>
      <c r="AQ65" s="100" t="s">
        <v>51</v>
      </c>
      <c r="AR65" s="100" t="s">
        <v>51</v>
      </c>
      <c r="AS65" s="101"/>
      <c r="AT65" s="101"/>
      <c r="AU65" s="101"/>
      <c r="AV65" s="101"/>
      <c r="AW65" s="101"/>
      <c r="AX65" s="101"/>
      <c r="AY65" s="101"/>
      <c r="AZ65" s="101"/>
      <c r="BA65" s="101"/>
      <c r="BB65" s="101"/>
      <c r="BC65" s="101"/>
      <c r="BD65" s="101"/>
      <c r="BE65" s="101"/>
      <c r="BF65" s="101"/>
      <c r="BG65" s="101"/>
      <c r="BH65" s="101"/>
      <c r="BI65" s="101"/>
      <c r="BJ65" s="101"/>
      <c r="BK65" s="101"/>
      <c r="BL65" s="101"/>
      <c r="BM65" s="101"/>
      <c r="BN65" s="101"/>
      <c r="BO65" s="101"/>
      <c r="BP65" s="101"/>
      <c r="BQ65" s="101"/>
    </row>
    <row r="66" spans="9:69">
      <c r="I66" s="220" t="s">
        <v>155</v>
      </c>
      <c r="J66" s="220" t="s">
        <v>1546</v>
      </c>
      <c r="K66" s="221">
        <f t="shared" ref="K66:M67" si="41">K65</f>
        <v>10</v>
      </c>
      <c r="L66" s="221">
        <f t="shared" si="41"/>
        <v>5</v>
      </c>
      <c r="M66" s="221">
        <f t="shared" si="41"/>
        <v>13</v>
      </c>
      <c r="N66" s="101"/>
      <c r="O66" s="101"/>
      <c r="P66" s="101"/>
      <c r="Q66" s="101"/>
      <c r="R66" s="101"/>
      <c r="S66" s="101"/>
      <c r="T66" s="94" t="s">
        <v>251</v>
      </c>
      <c r="U66" s="95">
        <v>1</v>
      </c>
      <c r="V66" s="95">
        <v>2</v>
      </c>
      <c r="W66" s="100" t="s">
        <v>89</v>
      </c>
      <c r="X66" s="101"/>
      <c r="Y66" s="100" t="s">
        <v>407</v>
      </c>
      <c r="Z66" s="101"/>
      <c r="AA66" s="101"/>
      <c r="AB66" s="100" t="s">
        <v>407</v>
      </c>
      <c r="AC66" s="101"/>
      <c r="AD66" s="101"/>
      <c r="AE66" s="100" t="s">
        <v>407</v>
      </c>
      <c r="AF66" s="101"/>
      <c r="AG66" s="101"/>
      <c r="AH66" s="101"/>
      <c r="AI66" s="101"/>
      <c r="AJ66" s="101"/>
      <c r="AK66" s="101"/>
      <c r="AL66" s="101"/>
      <c r="AM66" s="101"/>
      <c r="AN66" s="100" t="s">
        <v>49</v>
      </c>
      <c r="AO66" s="101"/>
      <c r="AP66" s="100" t="s">
        <v>49</v>
      </c>
      <c r="AQ66" s="100" t="s">
        <v>50</v>
      </c>
      <c r="AR66" s="100" t="s">
        <v>50</v>
      </c>
      <c r="AS66" s="101"/>
      <c r="AT66" s="101"/>
      <c r="AU66" s="101"/>
      <c r="AV66" s="101"/>
      <c r="AW66" s="101"/>
      <c r="AX66" s="101"/>
      <c r="AY66" s="101"/>
      <c r="AZ66" s="101"/>
      <c r="BA66" s="101"/>
      <c r="BB66" s="101"/>
      <c r="BC66" s="101"/>
      <c r="BD66" s="101"/>
      <c r="BE66" s="101"/>
      <c r="BF66" s="101"/>
      <c r="BG66" s="101"/>
      <c r="BH66" s="101"/>
      <c r="BI66" s="101"/>
      <c r="BJ66" s="101"/>
      <c r="BK66" s="101"/>
      <c r="BL66" s="101"/>
      <c r="BM66" s="101"/>
      <c r="BN66" s="101"/>
      <c r="BO66" s="101"/>
      <c r="BP66" s="101"/>
      <c r="BQ66" s="101"/>
    </row>
    <row r="67" spans="9:69">
      <c r="I67" s="220" t="s">
        <v>155</v>
      </c>
      <c r="J67" s="220" t="s">
        <v>1547</v>
      </c>
      <c r="K67" s="221">
        <f t="shared" si="41"/>
        <v>10</v>
      </c>
      <c r="L67" s="221">
        <f t="shared" si="41"/>
        <v>5</v>
      </c>
      <c r="M67" s="221">
        <f t="shared" si="41"/>
        <v>13</v>
      </c>
      <c r="N67" s="101"/>
      <c r="O67" s="101"/>
      <c r="P67" s="101"/>
      <c r="Q67" s="101"/>
      <c r="R67" s="101"/>
      <c r="S67" s="101"/>
      <c r="T67" s="94" t="s">
        <v>251</v>
      </c>
      <c r="U67" s="95">
        <v>1</v>
      </c>
      <c r="V67" s="95">
        <v>2</v>
      </c>
      <c r="W67" s="100" t="s">
        <v>89</v>
      </c>
      <c r="X67" s="101"/>
      <c r="Y67" s="100" t="s">
        <v>237</v>
      </c>
      <c r="Z67" s="101"/>
      <c r="AA67" s="101"/>
      <c r="AB67" s="100" t="s">
        <v>237</v>
      </c>
      <c r="AC67" s="101"/>
      <c r="AD67" s="101"/>
      <c r="AE67" s="100" t="s">
        <v>237</v>
      </c>
      <c r="AF67" s="101"/>
      <c r="AG67" s="101"/>
      <c r="AH67" s="101"/>
      <c r="AI67" s="101"/>
      <c r="AJ67" s="101"/>
      <c r="AK67" s="101"/>
      <c r="AL67" s="101"/>
      <c r="AM67" s="101"/>
      <c r="AN67" s="100" t="s">
        <v>89</v>
      </c>
      <c r="AO67" s="101"/>
      <c r="AP67" s="100" t="s">
        <v>89</v>
      </c>
      <c r="AQ67" s="100" t="s">
        <v>51</v>
      </c>
      <c r="AR67" s="100" t="s">
        <v>51</v>
      </c>
      <c r="AS67" s="101"/>
      <c r="AT67" s="101"/>
      <c r="AU67" s="101"/>
      <c r="AV67" s="101"/>
      <c r="AW67" s="101"/>
      <c r="AX67" s="101"/>
      <c r="AY67" s="101"/>
      <c r="AZ67" s="101"/>
      <c r="BA67" s="101"/>
      <c r="BB67" s="101"/>
      <c r="BC67" s="101"/>
      <c r="BD67" s="101"/>
      <c r="BE67" s="101"/>
      <c r="BF67" s="101"/>
      <c r="BG67" s="101"/>
      <c r="BH67" s="101"/>
      <c r="BI67" s="101"/>
      <c r="BJ67" s="101"/>
      <c r="BK67" s="101"/>
      <c r="BL67" s="101"/>
      <c r="BM67" s="101"/>
      <c r="BN67" s="101"/>
      <c r="BO67" s="101"/>
      <c r="BP67" s="101"/>
      <c r="BQ67" s="101"/>
    </row>
    <row r="68" spans="9:69" ht="13.5">
      <c r="I68" s="112" t="s">
        <v>7</v>
      </c>
      <c r="J68" s="112" t="s">
        <v>1548</v>
      </c>
      <c r="K68" s="109" t="s">
        <v>1639</v>
      </c>
      <c r="L68" s="109"/>
      <c r="M68" s="109"/>
      <c r="N68" s="109"/>
      <c r="O68" s="109"/>
      <c r="P68" s="109"/>
      <c r="Q68" s="109"/>
      <c r="R68" s="109"/>
      <c r="S68" s="109"/>
      <c r="T68" s="109"/>
      <c r="U68" s="110"/>
      <c r="V68" s="110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  <c r="AI68" s="109"/>
      <c r="AJ68" s="109"/>
      <c r="AK68" s="109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  <c r="AZ68" s="109"/>
      <c r="BA68" s="109"/>
      <c r="BB68" s="109"/>
      <c r="BC68" s="109"/>
      <c r="BD68" s="109"/>
      <c r="BE68" s="109"/>
      <c r="BF68" s="109"/>
      <c r="BG68" s="109"/>
      <c r="BH68" s="109"/>
      <c r="BI68" s="109"/>
      <c r="BJ68" s="109"/>
      <c r="BK68" s="109"/>
      <c r="BL68" s="109"/>
      <c r="BM68" s="109"/>
      <c r="BN68" s="109"/>
      <c r="BO68" s="109"/>
      <c r="BP68" s="109"/>
      <c r="BQ68" s="109"/>
    </row>
    <row r="69" spans="9:69">
      <c r="I69" s="220" t="s">
        <v>155</v>
      </c>
      <c r="J69" s="220" t="s">
        <v>1549</v>
      </c>
      <c r="K69" s="221">
        <f>K67</f>
        <v>10</v>
      </c>
      <c r="L69" s="221">
        <f t="shared" ref="L69:M69" si="42">L67</f>
        <v>5</v>
      </c>
      <c r="M69" s="221">
        <f t="shared" si="42"/>
        <v>13</v>
      </c>
      <c r="N69" s="101"/>
      <c r="O69" s="101"/>
      <c r="P69" s="101"/>
      <c r="Q69" s="101"/>
      <c r="R69" s="101"/>
      <c r="S69" s="101"/>
      <c r="T69" s="94" t="s">
        <v>272</v>
      </c>
      <c r="U69" s="95">
        <v>1</v>
      </c>
      <c r="V69" s="95">
        <v>2</v>
      </c>
      <c r="W69" s="100" t="s">
        <v>89</v>
      </c>
      <c r="X69" s="101"/>
      <c r="Y69" s="100" t="s">
        <v>18</v>
      </c>
      <c r="Z69" s="101"/>
      <c r="AA69" s="101"/>
      <c r="AB69" s="100" t="s">
        <v>18</v>
      </c>
      <c r="AC69" s="101"/>
      <c r="AD69" s="101"/>
      <c r="AE69" s="100" t="s">
        <v>18</v>
      </c>
      <c r="AF69" s="101"/>
      <c r="AG69" s="101"/>
      <c r="AH69" s="101"/>
      <c r="AI69" s="101"/>
      <c r="AJ69" s="101"/>
      <c r="AK69" s="101"/>
      <c r="AL69" s="101"/>
      <c r="AM69" s="101"/>
      <c r="AN69" s="100" t="s">
        <v>406</v>
      </c>
      <c r="AO69" s="101"/>
      <c r="AP69" s="100" t="s">
        <v>406</v>
      </c>
      <c r="AQ69" s="100" t="s">
        <v>404</v>
      </c>
      <c r="AR69" s="100" t="s">
        <v>404</v>
      </c>
      <c r="AS69" s="100" t="s">
        <v>406</v>
      </c>
      <c r="AT69" s="101"/>
      <c r="AU69" s="101"/>
      <c r="AV69" s="101"/>
      <c r="AW69" s="101"/>
      <c r="AX69" s="101"/>
      <c r="AY69" s="101"/>
      <c r="AZ69" s="101"/>
      <c r="BA69" s="101"/>
      <c r="BB69" s="101"/>
      <c r="BC69" s="101"/>
      <c r="BD69" s="101"/>
      <c r="BE69" s="101"/>
      <c r="BF69" s="101"/>
      <c r="BG69" s="101"/>
      <c r="BH69" s="101"/>
      <c r="BI69" s="101"/>
      <c r="BJ69" s="101"/>
      <c r="BK69" s="101"/>
      <c r="BL69" s="101"/>
      <c r="BM69" s="101"/>
      <c r="BN69" s="101"/>
      <c r="BO69" s="101"/>
      <c r="BP69" s="101"/>
      <c r="BQ69" s="101"/>
    </row>
    <row r="70" spans="9:69">
      <c r="I70" s="220" t="s">
        <v>155</v>
      </c>
      <c r="J70" s="220" t="s">
        <v>1550</v>
      </c>
      <c r="K70" s="221">
        <f t="shared" ref="K70:M70" si="43">K69</f>
        <v>10</v>
      </c>
      <c r="L70" s="221">
        <f t="shared" si="43"/>
        <v>5</v>
      </c>
      <c r="M70" s="221">
        <f t="shared" si="43"/>
        <v>13</v>
      </c>
      <c r="N70" s="101"/>
      <c r="O70" s="101"/>
      <c r="P70" s="101"/>
      <c r="Q70" s="101"/>
      <c r="R70" s="101"/>
      <c r="S70" s="101"/>
      <c r="T70" s="94" t="s">
        <v>272</v>
      </c>
      <c r="U70" s="95">
        <v>1</v>
      </c>
      <c r="V70" s="95">
        <v>2</v>
      </c>
      <c r="W70" s="100" t="s">
        <v>89</v>
      </c>
      <c r="X70" s="101"/>
      <c r="Y70" s="100" t="s">
        <v>237</v>
      </c>
      <c r="Z70" s="101"/>
      <c r="AA70" s="101"/>
      <c r="AB70" s="100" t="s">
        <v>237</v>
      </c>
      <c r="AC70" s="101"/>
      <c r="AD70" s="101"/>
      <c r="AE70" s="100" t="s">
        <v>237</v>
      </c>
      <c r="AF70" s="101"/>
      <c r="AG70" s="101"/>
      <c r="AH70" s="101"/>
      <c r="AI70" s="101"/>
      <c r="AJ70" s="101"/>
      <c r="AK70" s="101"/>
      <c r="AL70" s="101"/>
      <c r="AM70" s="101"/>
      <c r="AN70" s="100" t="s">
        <v>89</v>
      </c>
      <c r="AO70" s="101"/>
      <c r="AP70" s="100" t="s">
        <v>89</v>
      </c>
      <c r="AQ70" s="100" t="s">
        <v>51</v>
      </c>
      <c r="AR70" s="100" t="s">
        <v>51</v>
      </c>
      <c r="AS70" s="100" t="s">
        <v>112</v>
      </c>
      <c r="AT70" s="101"/>
      <c r="AU70" s="101"/>
      <c r="AV70" s="101"/>
      <c r="AW70" s="101"/>
      <c r="AX70" s="101"/>
      <c r="AY70" s="101"/>
      <c r="AZ70" s="101"/>
      <c r="BA70" s="101"/>
      <c r="BB70" s="101"/>
      <c r="BC70" s="101"/>
      <c r="BD70" s="101"/>
      <c r="BE70" s="101"/>
      <c r="BF70" s="101"/>
      <c r="BG70" s="101"/>
      <c r="BH70" s="101"/>
      <c r="BI70" s="101"/>
      <c r="BJ70" s="101"/>
      <c r="BK70" s="101"/>
      <c r="BL70" s="101"/>
      <c r="BM70" s="101"/>
      <c r="BN70" s="101"/>
      <c r="BO70" s="101"/>
      <c r="BP70" s="101"/>
      <c r="BQ70" s="101"/>
    </row>
    <row r="71" spans="9:69">
      <c r="I71" s="255">
        <f>COUNTIF(I72:I87,"&lt;&gt;TS")</f>
        <v>14</v>
      </c>
      <c r="J71" s="106" t="s">
        <v>1561</v>
      </c>
      <c r="K71" s="106" t="s">
        <v>781</v>
      </c>
      <c r="L71" s="106"/>
      <c r="M71" s="106"/>
      <c r="N71" s="106"/>
      <c r="O71" s="106"/>
      <c r="P71" s="106"/>
      <c r="Q71" s="106"/>
      <c r="R71" s="106"/>
      <c r="S71" s="106"/>
      <c r="T71" s="106"/>
      <c r="U71" s="107"/>
      <c r="V71" s="107"/>
      <c r="W71" s="106"/>
      <c r="X71" s="106"/>
      <c r="Y71" s="106"/>
      <c r="Z71" s="106"/>
      <c r="AA71" s="106"/>
      <c r="AB71" s="106"/>
      <c r="AC71" s="106"/>
      <c r="AD71" s="106"/>
      <c r="AE71" s="106"/>
      <c r="AF71" s="106"/>
      <c r="AG71" s="106"/>
      <c r="AH71" s="106"/>
      <c r="AI71" s="106"/>
      <c r="AJ71" s="106"/>
      <c r="AK71" s="106"/>
      <c r="AL71" s="106"/>
      <c r="AM71" s="106"/>
      <c r="AN71" s="106"/>
      <c r="AO71" s="106"/>
      <c r="AP71" s="106"/>
      <c r="AQ71" s="106"/>
      <c r="AR71" s="106"/>
      <c r="AS71" s="106"/>
      <c r="AT71" s="106"/>
      <c r="AU71" s="106"/>
      <c r="AV71" s="106"/>
      <c r="AW71" s="106"/>
      <c r="AX71" s="106"/>
      <c r="AY71" s="106"/>
      <c r="AZ71" s="106"/>
      <c r="BA71" s="106"/>
      <c r="BB71" s="106"/>
      <c r="BC71" s="106"/>
      <c r="BD71" s="106"/>
      <c r="BE71" s="106"/>
      <c r="BF71" s="106"/>
      <c r="BG71" s="106"/>
      <c r="BH71" s="106"/>
      <c r="BI71" s="106"/>
      <c r="BJ71" s="106"/>
      <c r="BK71" s="106"/>
      <c r="BL71" s="106"/>
      <c r="BM71" s="106"/>
      <c r="BN71" s="106"/>
      <c r="BO71" s="106"/>
      <c r="BP71" s="106"/>
      <c r="BQ71" s="106"/>
    </row>
    <row r="72" spans="9:69">
      <c r="I72" s="108" t="s">
        <v>7</v>
      </c>
      <c r="J72" s="108" t="s">
        <v>1551</v>
      </c>
      <c r="K72" s="109" t="s">
        <v>782</v>
      </c>
      <c r="L72" s="109"/>
      <c r="M72" s="109"/>
      <c r="N72" s="109"/>
      <c r="O72" s="109"/>
      <c r="P72" s="109"/>
      <c r="Q72" s="109"/>
      <c r="R72" s="109"/>
      <c r="S72" s="109"/>
      <c r="T72" s="109"/>
      <c r="U72" s="110"/>
      <c r="V72" s="110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  <c r="AI72" s="109"/>
      <c r="AJ72" s="109"/>
      <c r="AK72" s="109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  <c r="AZ72" s="109"/>
      <c r="BA72" s="109"/>
      <c r="BB72" s="109"/>
      <c r="BC72" s="109"/>
      <c r="BD72" s="109"/>
      <c r="BE72" s="109"/>
      <c r="BF72" s="109"/>
      <c r="BG72" s="109"/>
      <c r="BH72" s="109"/>
      <c r="BI72" s="109"/>
      <c r="BJ72" s="109"/>
      <c r="BK72" s="109"/>
      <c r="BL72" s="109"/>
      <c r="BM72" s="109"/>
      <c r="BN72" s="109"/>
      <c r="BO72" s="109"/>
      <c r="BP72" s="109"/>
      <c r="BQ72" s="109"/>
    </row>
    <row r="73" spans="9:69">
      <c r="I73" s="96" t="s">
        <v>48</v>
      </c>
      <c r="J73" s="96" t="s">
        <v>1563</v>
      </c>
      <c r="K73" s="221">
        <f>K70</f>
        <v>10</v>
      </c>
      <c r="L73" s="221">
        <f t="shared" ref="L73:M73" si="44">L70</f>
        <v>5</v>
      </c>
      <c r="M73" s="221">
        <f t="shared" si="44"/>
        <v>13</v>
      </c>
      <c r="N73" s="101"/>
      <c r="O73" s="101"/>
      <c r="P73" s="101"/>
      <c r="Q73" s="101"/>
      <c r="R73" s="101"/>
      <c r="S73" s="101"/>
      <c r="T73" s="94" t="s">
        <v>214</v>
      </c>
      <c r="U73" s="95">
        <v>1</v>
      </c>
      <c r="V73" s="95">
        <v>2</v>
      </c>
      <c r="W73" s="100" t="s">
        <v>89</v>
      </c>
      <c r="X73" s="101"/>
      <c r="Y73" s="100" t="e">
        <f>IF(SystemOff_ModeDisp_On_Off="O",AB73,"Off")</f>
        <v>#NAME?</v>
      </c>
      <c r="Z73" s="101"/>
      <c r="AA73" s="101"/>
      <c r="AB73" s="100" t="s">
        <v>237</v>
      </c>
      <c r="AC73" s="101"/>
      <c r="AD73" s="101"/>
      <c r="AE73" s="100" t="s">
        <v>237</v>
      </c>
      <c r="AF73" s="101"/>
      <c r="AG73" s="101"/>
      <c r="AH73" s="101"/>
      <c r="AI73" s="101"/>
      <c r="AJ73" s="101"/>
      <c r="AK73" s="101"/>
      <c r="AL73" s="101"/>
      <c r="AM73" s="101"/>
      <c r="AN73" s="100" t="s">
        <v>89</v>
      </c>
      <c r="AO73" s="101"/>
      <c r="AP73" s="100" t="s">
        <v>89</v>
      </c>
      <c r="AQ73" s="100" t="s">
        <v>51</v>
      </c>
      <c r="AR73" s="100" t="s">
        <v>51</v>
      </c>
      <c r="AS73" s="101"/>
      <c r="AT73" s="101"/>
      <c r="AU73" s="101"/>
      <c r="AV73" s="101"/>
      <c r="AW73" s="101"/>
      <c r="AX73" s="101"/>
      <c r="AY73" s="101"/>
      <c r="AZ73" s="101"/>
      <c r="BA73" s="101"/>
      <c r="BB73" s="101"/>
      <c r="BC73" s="101"/>
      <c r="BD73" s="101"/>
      <c r="BE73" s="101"/>
      <c r="BF73" s="101"/>
      <c r="BG73" s="101"/>
      <c r="BH73" s="101"/>
      <c r="BI73" s="101"/>
      <c r="BJ73" s="101"/>
      <c r="BK73" s="101"/>
      <c r="BL73" s="101"/>
      <c r="BM73" s="101"/>
      <c r="BN73" s="101"/>
      <c r="BO73" s="101"/>
      <c r="BP73" s="101"/>
      <c r="BQ73" s="101"/>
    </row>
    <row r="74" spans="9:69">
      <c r="I74" s="220" t="s">
        <v>155</v>
      </c>
      <c r="J74" s="220" t="s">
        <v>1597</v>
      </c>
      <c r="K74" s="221">
        <f>K73</f>
        <v>10</v>
      </c>
      <c r="L74" s="221">
        <f t="shared" ref="L74:M74" si="45">L73</f>
        <v>5</v>
      </c>
      <c r="M74" s="221">
        <f t="shared" si="45"/>
        <v>13</v>
      </c>
      <c r="N74" s="101"/>
      <c r="O74" s="101"/>
      <c r="P74" s="101"/>
      <c r="Q74" s="101"/>
      <c r="R74" s="101"/>
      <c r="S74" s="101"/>
      <c r="T74" s="94" t="s">
        <v>378</v>
      </c>
      <c r="U74" s="95">
        <v>1</v>
      </c>
      <c r="V74" s="95">
        <v>2</v>
      </c>
      <c r="W74" s="100" t="s">
        <v>89</v>
      </c>
      <c r="X74" s="101"/>
      <c r="Y74" s="100" t="s">
        <v>237</v>
      </c>
      <c r="Z74" s="101"/>
      <c r="AA74" s="101"/>
      <c r="AB74" s="100" t="s">
        <v>237</v>
      </c>
      <c r="AC74" s="101"/>
      <c r="AD74" s="101"/>
      <c r="AE74" s="100" t="s">
        <v>237</v>
      </c>
      <c r="AF74" s="101"/>
      <c r="AG74" s="101"/>
      <c r="AH74" s="101"/>
      <c r="AI74" s="101"/>
      <c r="AJ74" s="101"/>
      <c r="AK74" s="101"/>
      <c r="AL74" s="101"/>
      <c r="AM74" s="101"/>
      <c r="AN74" s="100" t="s">
        <v>89</v>
      </c>
      <c r="AO74" s="101"/>
      <c r="AP74" s="100" t="s">
        <v>89</v>
      </c>
      <c r="AQ74" s="100" t="s">
        <v>51</v>
      </c>
      <c r="AR74" s="100" t="s">
        <v>51</v>
      </c>
      <c r="AS74" s="101"/>
      <c r="AT74" s="101"/>
      <c r="AU74" s="101"/>
      <c r="AV74" s="101"/>
      <c r="AW74" s="101"/>
      <c r="AX74" s="101"/>
      <c r="AY74" s="101"/>
      <c r="AZ74" s="101"/>
      <c r="BA74" s="101"/>
      <c r="BB74" s="101"/>
      <c r="BC74" s="101"/>
      <c r="BD74" s="101"/>
      <c r="BE74" s="101"/>
      <c r="BF74" s="101"/>
      <c r="BG74" s="101"/>
      <c r="BH74" s="101"/>
      <c r="BI74" s="101"/>
      <c r="BJ74" s="101"/>
      <c r="BK74" s="101"/>
      <c r="BL74" s="101"/>
      <c r="BM74" s="101"/>
      <c r="BN74" s="101"/>
      <c r="BO74" s="101"/>
      <c r="BP74" s="101"/>
      <c r="BQ74" s="101"/>
    </row>
    <row r="75" spans="9:69">
      <c r="I75" s="220" t="s">
        <v>155</v>
      </c>
      <c r="J75" s="220" t="s">
        <v>1598</v>
      </c>
      <c r="K75" s="221">
        <f t="shared" ref="K75:M75" si="46">K74</f>
        <v>10</v>
      </c>
      <c r="L75" s="221">
        <f t="shared" si="46"/>
        <v>5</v>
      </c>
      <c r="M75" s="221">
        <f t="shared" si="46"/>
        <v>13</v>
      </c>
      <c r="N75" s="101"/>
      <c r="O75" s="101"/>
      <c r="P75" s="101"/>
      <c r="Q75" s="101"/>
      <c r="R75" s="101"/>
      <c r="S75" s="101"/>
      <c r="T75" s="94" t="s">
        <v>207</v>
      </c>
      <c r="U75" s="95" t="s">
        <v>420</v>
      </c>
      <c r="V75" s="95">
        <v>10</v>
      </c>
      <c r="W75" s="100" t="s">
        <v>89</v>
      </c>
      <c r="X75" s="101"/>
      <c r="Y75" s="100" t="s">
        <v>237</v>
      </c>
      <c r="Z75" s="101"/>
      <c r="AA75" s="101"/>
      <c r="AB75" s="100" t="s">
        <v>237</v>
      </c>
      <c r="AC75" s="101"/>
      <c r="AD75" s="101"/>
      <c r="AE75" s="100" t="s">
        <v>237</v>
      </c>
      <c r="AF75" s="101"/>
      <c r="AG75" s="101"/>
      <c r="AH75" s="101"/>
      <c r="AI75" s="101"/>
      <c r="AJ75" s="101"/>
      <c r="AK75" s="101"/>
      <c r="AL75" s="101"/>
      <c r="AM75" s="101"/>
      <c r="AN75" s="100" t="s">
        <v>89</v>
      </c>
      <c r="AO75" s="101"/>
      <c r="AP75" s="100" t="s">
        <v>89</v>
      </c>
      <c r="AQ75" s="100" t="s">
        <v>51</v>
      </c>
      <c r="AR75" s="100" t="s">
        <v>51</v>
      </c>
      <c r="AS75" s="101"/>
      <c r="AT75" s="101"/>
      <c r="AU75" s="101"/>
      <c r="AV75" s="101"/>
      <c r="AW75" s="101"/>
      <c r="AX75" s="101"/>
      <c r="AY75" s="101"/>
      <c r="AZ75" s="101"/>
      <c r="BA75" s="101"/>
      <c r="BB75" s="101"/>
      <c r="BC75" s="101"/>
      <c r="BD75" s="101"/>
      <c r="BE75" s="101"/>
      <c r="BF75" s="101"/>
      <c r="BG75" s="101"/>
      <c r="BH75" s="101"/>
      <c r="BI75" s="101"/>
      <c r="BJ75" s="101"/>
      <c r="BK75" s="101"/>
      <c r="BL75" s="101"/>
      <c r="BM75" s="101"/>
      <c r="BN75" s="101"/>
      <c r="BO75" s="101"/>
      <c r="BP75" s="101"/>
      <c r="BQ75" s="101"/>
    </row>
    <row r="76" spans="9:69">
      <c r="I76" s="108" t="s">
        <v>7</v>
      </c>
      <c r="J76" s="108" t="s">
        <v>1552</v>
      </c>
      <c r="K76" s="109" t="s">
        <v>783</v>
      </c>
      <c r="L76" s="109"/>
      <c r="M76" s="109"/>
      <c r="N76" s="109"/>
      <c r="O76" s="109"/>
      <c r="P76" s="109"/>
      <c r="Q76" s="109"/>
      <c r="R76" s="109"/>
      <c r="S76" s="109"/>
      <c r="T76" s="109"/>
      <c r="U76" s="110"/>
      <c r="V76" s="110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  <c r="AZ76" s="109"/>
      <c r="BA76" s="109"/>
      <c r="BB76" s="109"/>
      <c r="BC76" s="109"/>
      <c r="BD76" s="109"/>
      <c r="BE76" s="109"/>
      <c r="BF76" s="109"/>
      <c r="BG76" s="109"/>
      <c r="BH76" s="109"/>
      <c r="BI76" s="109"/>
      <c r="BJ76" s="109"/>
      <c r="BK76" s="109"/>
      <c r="BL76" s="109"/>
      <c r="BM76" s="109"/>
      <c r="BN76" s="109"/>
      <c r="BO76" s="109"/>
      <c r="BP76" s="109"/>
      <c r="BQ76" s="109"/>
    </row>
    <row r="77" spans="9:69">
      <c r="I77" s="220" t="s">
        <v>155</v>
      </c>
      <c r="J77" s="220" t="s">
        <v>1553</v>
      </c>
      <c r="K77" s="221">
        <f>K75</f>
        <v>10</v>
      </c>
      <c r="L77" s="221">
        <f t="shared" ref="L77:M77" si="47">L75</f>
        <v>5</v>
      </c>
      <c r="M77" s="221">
        <f t="shared" si="47"/>
        <v>13</v>
      </c>
      <c r="N77" s="101"/>
      <c r="O77" s="101"/>
      <c r="P77" s="101"/>
      <c r="Q77" s="101"/>
      <c r="R77" s="101"/>
      <c r="S77" s="101"/>
      <c r="T77" s="94" t="s">
        <v>251</v>
      </c>
      <c r="U77" s="95">
        <v>1</v>
      </c>
      <c r="V77" s="95">
        <v>2</v>
      </c>
      <c r="W77" s="100" t="s">
        <v>89</v>
      </c>
      <c r="X77" s="101"/>
      <c r="Y77" s="100" t="s">
        <v>407</v>
      </c>
      <c r="Z77" s="101"/>
      <c r="AA77" s="101"/>
      <c r="AB77" s="100" t="s">
        <v>407</v>
      </c>
      <c r="AC77" s="101"/>
      <c r="AD77" s="101"/>
      <c r="AE77" s="100" t="s">
        <v>407</v>
      </c>
      <c r="AF77" s="101"/>
      <c r="AG77" s="101"/>
      <c r="AH77" s="101"/>
      <c r="AI77" s="101"/>
      <c r="AJ77" s="101"/>
      <c r="AK77" s="101"/>
      <c r="AL77" s="101"/>
      <c r="AM77" s="101"/>
      <c r="AN77" s="100" t="s">
        <v>49</v>
      </c>
      <c r="AO77" s="101"/>
      <c r="AP77" s="100" t="s">
        <v>49</v>
      </c>
      <c r="AQ77" s="100" t="s">
        <v>50</v>
      </c>
      <c r="AR77" s="100" t="s">
        <v>50</v>
      </c>
      <c r="AS77" s="101"/>
      <c r="AT77" s="101"/>
      <c r="AU77" s="101"/>
      <c r="AV77" s="101"/>
      <c r="AW77" s="101"/>
      <c r="AX77" s="101"/>
      <c r="AY77" s="101"/>
      <c r="AZ77" s="101"/>
      <c r="BA77" s="101"/>
      <c r="BB77" s="101"/>
      <c r="BC77" s="101"/>
      <c r="BD77" s="101"/>
      <c r="BE77" s="101"/>
      <c r="BF77" s="101"/>
      <c r="BG77" s="101"/>
      <c r="BH77" s="101"/>
      <c r="BI77" s="101"/>
      <c r="BJ77" s="101"/>
      <c r="BK77" s="101"/>
      <c r="BL77" s="101"/>
      <c r="BM77" s="101"/>
      <c r="BN77" s="101"/>
      <c r="BO77" s="101"/>
      <c r="BP77" s="101"/>
      <c r="BQ77" s="101"/>
    </row>
    <row r="78" spans="9:69" ht="13.5">
      <c r="I78" s="220" t="s">
        <v>155</v>
      </c>
      <c r="J78" s="220" t="s">
        <v>1554</v>
      </c>
      <c r="K78" s="221">
        <f t="shared" ref="K78:K86" si="48">K77</f>
        <v>10</v>
      </c>
      <c r="L78" s="221">
        <f t="shared" ref="L78:L86" si="49">L77</f>
        <v>5</v>
      </c>
      <c r="M78" s="221">
        <f t="shared" ref="M78:M86" si="50">M77</f>
        <v>13</v>
      </c>
      <c r="N78" s="101"/>
      <c r="O78" s="101"/>
      <c r="P78" s="101"/>
      <c r="Q78" s="101"/>
      <c r="R78" s="101"/>
      <c r="S78" s="101"/>
      <c r="T78" s="94" t="s">
        <v>209</v>
      </c>
      <c r="U78" s="100" t="s">
        <v>1640</v>
      </c>
      <c r="V78" s="95">
        <v>2</v>
      </c>
      <c r="W78" s="100" t="s">
        <v>89</v>
      </c>
      <c r="X78" s="101"/>
      <c r="Y78" s="100" t="e">
        <f>IF(SystemOff_ModeDisp_On_Off="O",AB78,"Off")</f>
        <v>#NAME?</v>
      </c>
      <c r="Z78" s="101"/>
      <c r="AA78" s="101"/>
      <c r="AB78" s="100" t="s">
        <v>407</v>
      </c>
      <c r="AC78" s="101"/>
      <c r="AD78" s="101"/>
      <c r="AE78" s="100" t="s">
        <v>407</v>
      </c>
      <c r="AF78" s="101"/>
      <c r="AG78" s="101"/>
      <c r="AH78" s="101"/>
      <c r="AI78" s="101"/>
      <c r="AJ78" s="101"/>
      <c r="AK78" s="101"/>
      <c r="AL78" s="101"/>
      <c r="AM78" s="101"/>
      <c r="AN78" s="100" t="s">
        <v>89</v>
      </c>
      <c r="AO78" s="101"/>
      <c r="AP78" s="100" t="s">
        <v>89</v>
      </c>
      <c r="AQ78" s="100" t="s">
        <v>51</v>
      </c>
      <c r="AR78" s="100" t="s">
        <v>51</v>
      </c>
      <c r="AS78" s="101"/>
      <c r="AT78" s="101"/>
      <c r="AU78" s="101"/>
      <c r="AV78" s="101"/>
      <c r="AW78" s="101"/>
      <c r="AX78" s="101"/>
      <c r="AY78" s="101"/>
      <c r="AZ78" s="101"/>
      <c r="BA78" s="101"/>
      <c r="BB78" s="101"/>
      <c r="BC78" s="101"/>
      <c r="BD78" s="101"/>
      <c r="BE78" s="101"/>
      <c r="BF78" s="101"/>
      <c r="BG78" s="101"/>
      <c r="BH78" s="101"/>
      <c r="BI78" s="101"/>
      <c r="BJ78" s="101"/>
      <c r="BK78" s="101"/>
      <c r="BL78" s="101"/>
      <c r="BM78" s="101"/>
      <c r="BN78" s="101"/>
      <c r="BO78" s="101"/>
      <c r="BP78" s="101"/>
      <c r="BQ78" s="101"/>
    </row>
    <row r="79" spans="9:69">
      <c r="I79" s="220" t="s">
        <v>155</v>
      </c>
      <c r="J79" s="220" t="s">
        <v>1555</v>
      </c>
      <c r="K79" s="221">
        <f t="shared" si="48"/>
        <v>10</v>
      </c>
      <c r="L79" s="221">
        <f t="shared" si="49"/>
        <v>5</v>
      </c>
      <c r="M79" s="221">
        <f t="shared" si="50"/>
        <v>13</v>
      </c>
      <c r="N79" s="101"/>
      <c r="O79" s="101"/>
      <c r="P79" s="101"/>
      <c r="Q79" s="101"/>
      <c r="R79" s="101"/>
      <c r="S79" s="101"/>
      <c r="T79" s="94" t="s">
        <v>378</v>
      </c>
      <c r="U79" s="95">
        <v>1</v>
      </c>
      <c r="V79" s="95">
        <v>2</v>
      </c>
      <c r="W79" s="100" t="s">
        <v>89</v>
      </c>
      <c r="X79" s="101"/>
      <c r="Y79" s="100" t="s">
        <v>407</v>
      </c>
      <c r="Z79" s="101"/>
      <c r="AA79" s="101"/>
      <c r="AB79" s="100" t="s">
        <v>407</v>
      </c>
      <c r="AC79" s="101"/>
      <c r="AD79" s="101"/>
      <c r="AE79" s="100" t="s">
        <v>407</v>
      </c>
      <c r="AF79" s="101"/>
      <c r="AG79" s="101"/>
      <c r="AH79" s="101"/>
      <c r="AI79" s="101"/>
      <c r="AJ79" s="101"/>
      <c r="AK79" s="101"/>
      <c r="AL79" s="101"/>
      <c r="AM79" s="101"/>
      <c r="AN79" s="100" t="s">
        <v>89</v>
      </c>
      <c r="AO79" s="101"/>
      <c r="AP79" s="100" t="s">
        <v>89</v>
      </c>
      <c r="AQ79" s="100" t="s">
        <v>404</v>
      </c>
      <c r="AR79" s="100" t="s">
        <v>404</v>
      </c>
      <c r="AS79" s="101"/>
      <c r="AT79" s="101"/>
      <c r="AU79" s="101"/>
      <c r="AV79" s="101"/>
      <c r="AW79" s="101"/>
      <c r="AX79" s="101"/>
      <c r="AY79" s="101"/>
      <c r="AZ79" s="101"/>
      <c r="BA79" s="101"/>
      <c r="BB79" s="101"/>
      <c r="BC79" s="101"/>
      <c r="BD79" s="101"/>
      <c r="BE79" s="101"/>
      <c r="BF79" s="101"/>
      <c r="BG79" s="101"/>
      <c r="BH79" s="101"/>
      <c r="BI79" s="101"/>
      <c r="BJ79" s="101"/>
      <c r="BK79" s="101"/>
      <c r="BL79" s="101"/>
      <c r="BM79" s="101"/>
      <c r="BN79" s="101"/>
      <c r="BO79" s="101"/>
      <c r="BP79" s="101"/>
      <c r="BQ79" s="101"/>
    </row>
    <row r="80" spans="9:69">
      <c r="I80" s="220" t="s">
        <v>155</v>
      </c>
      <c r="J80" s="220" t="s">
        <v>1600</v>
      </c>
      <c r="K80" s="221">
        <f t="shared" si="48"/>
        <v>10</v>
      </c>
      <c r="L80" s="221">
        <f t="shared" si="49"/>
        <v>5</v>
      </c>
      <c r="M80" s="221">
        <f t="shared" si="50"/>
        <v>13</v>
      </c>
      <c r="N80" s="101"/>
      <c r="O80" s="101"/>
      <c r="P80" s="101"/>
      <c r="Q80" s="101"/>
      <c r="R80" s="101"/>
      <c r="S80" s="101"/>
      <c r="T80" s="94" t="s">
        <v>271</v>
      </c>
      <c r="U80" s="95">
        <v>1</v>
      </c>
      <c r="V80" s="95">
        <v>2</v>
      </c>
      <c r="W80" s="100" t="s">
        <v>89</v>
      </c>
      <c r="X80" s="101"/>
      <c r="Y80" s="100" t="s">
        <v>407</v>
      </c>
      <c r="Z80" s="101"/>
      <c r="AA80" s="101"/>
      <c r="AB80" s="100" t="s">
        <v>407</v>
      </c>
      <c r="AC80" s="101"/>
      <c r="AD80" s="101"/>
      <c r="AE80" s="100" t="s">
        <v>407</v>
      </c>
      <c r="AF80" s="101"/>
      <c r="AG80" s="101"/>
      <c r="AH80" s="101"/>
      <c r="AI80" s="101"/>
      <c r="AJ80" s="101"/>
      <c r="AK80" s="101"/>
      <c r="AL80" s="101"/>
      <c r="AM80" s="101"/>
      <c r="AN80" s="100" t="s">
        <v>89</v>
      </c>
      <c r="AO80" s="101"/>
      <c r="AP80" s="100" t="s">
        <v>89</v>
      </c>
      <c r="AQ80" s="100" t="s">
        <v>51</v>
      </c>
      <c r="AR80" s="100" t="s">
        <v>51</v>
      </c>
      <c r="AS80" s="101"/>
      <c r="AT80" s="101"/>
      <c r="AU80" s="101"/>
      <c r="AV80" s="101"/>
      <c r="AW80" s="101"/>
      <c r="AX80" s="101"/>
      <c r="AY80" s="101"/>
      <c r="AZ80" s="101"/>
      <c r="BA80" s="101"/>
      <c r="BB80" s="101"/>
      <c r="BC80" s="101"/>
      <c r="BD80" s="101"/>
      <c r="BE80" s="101"/>
      <c r="BF80" s="101"/>
      <c r="BG80" s="101"/>
      <c r="BH80" s="101"/>
      <c r="BI80" s="101"/>
      <c r="BJ80" s="101"/>
      <c r="BK80" s="101"/>
      <c r="BL80" s="101"/>
      <c r="BM80" s="101"/>
      <c r="BN80" s="101"/>
      <c r="BO80" s="101"/>
      <c r="BP80" s="101"/>
      <c r="BQ80" s="101"/>
    </row>
    <row r="81" spans="9:69">
      <c r="I81" s="220" t="s">
        <v>155</v>
      </c>
      <c r="J81" s="220" t="s">
        <v>1601</v>
      </c>
      <c r="K81" s="221">
        <f t="shared" si="48"/>
        <v>10</v>
      </c>
      <c r="L81" s="221">
        <f t="shared" si="49"/>
        <v>5</v>
      </c>
      <c r="M81" s="221">
        <f t="shared" si="50"/>
        <v>13</v>
      </c>
      <c r="N81" s="101"/>
      <c r="O81" s="101"/>
      <c r="P81" s="101"/>
      <c r="Q81" s="101"/>
      <c r="R81" s="101"/>
      <c r="S81" s="101"/>
      <c r="T81" s="94" t="s">
        <v>207</v>
      </c>
      <c r="U81" s="95" t="s">
        <v>420</v>
      </c>
      <c r="V81" s="95">
        <v>10</v>
      </c>
      <c r="W81" s="100" t="s">
        <v>89</v>
      </c>
      <c r="X81" s="101"/>
      <c r="Y81" s="100" t="s">
        <v>407</v>
      </c>
      <c r="Z81" s="101"/>
      <c r="AA81" s="101"/>
      <c r="AB81" s="100" t="s">
        <v>407</v>
      </c>
      <c r="AC81" s="101"/>
      <c r="AD81" s="101"/>
      <c r="AE81" s="100" t="s">
        <v>407</v>
      </c>
      <c r="AF81" s="101"/>
      <c r="AG81" s="101"/>
      <c r="AH81" s="101"/>
      <c r="AI81" s="101"/>
      <c r="AJ81" s="101"/>
      <c r="AK81" s="101"/>
      <c r="AL81" s="101"/>
      <c r="AM81" s="101"/>
      <c r="AN81" s="100" t="s">
        <v>49</v>
      </c>
      <c r="AO81" s="101"/>
      <c r="AP81" s="100" t="s">
        <v>49</v>
      </c>
      <c r="AQ81" s="100" t="s">
        <v>50</v>
      </c>
      <c r="AR81" s="100" t="s">
        <v>50</v>
      </c>
      <c r="AS81" s="101"/>
      <c r="AT81" s="101"/>
      <c r="AU81" s="101"/>
      <c r="AV81" s="101"/>
      <c r="AW81" s="101"/>
      <c r="AX81" s="101"/>
      <c r="AY81" s="101"/>
      <c r="AZ81" s="101"/>
      <c r="BA81" s="101"/>
      <c r="BB81" s="101"/>
      <c r="BC81" s="101"/>
      <c r="BD81" s="101"/>
      <c r="BE81" s="101"/>
      <c r="BF81" s="101"/>
      <c r="BG81" s="101"/>
      <c r="BH81" s="101"/>
      <c r="BI81" s="101"/>
      <c r="BJ81" s="101"/>
      <c r="BK81" s="101"/>
      <c r="BL81" s="101"/>
      <c r="BM81" s="101"/>
      <c r="BN81" s="101"/>
      <c r="BO81" s="101"/>
      <c r="BP81" s="101"/>
      <c r="BQ81" s="101"/>
    </row>
    <row r="82" spans="9:69">
      <c r="I82" s="220" t="s">
        <v>155</v>
      </c>
      <c r="J82" s="220" t="s">
        <v>1556</v>
      </c>
      <c r="K82" s="221">
        <f t="shared" si="48"/>
        <v>10</v>
      </c>
      <c r="L82" s="221">
        <f t="shared" si="49"/>
        <v>5</v>
      </c>
      <c r="M82" s="221">
        <f t="shared" si="50"/>
        <v>13</v>
      </c>
      <c r="N82" s="101"/>
      <c r="O82" s="101"/>
      <c r="P82" s="101"/>
      <c r="Q82" s="101"/>
      <c r="R82" s="101"/>
      <c r="S82" s="101"/>
      <c r="T82" s="94" t="s">
        <v>272</v>
      </c>
      <c r="U82" s="95">
        <v>1</v>
      </c>
      <c r="V82" s="95">
        <v>2</v>
      </c>
      <c r="W82" s="100" t="s">
        <v>89</v>
      </c>
      <c r="X82" s="101"/>
      <c r="Y82" s="100" t="s">
        <v>18</v>
      </c>
      <c r="Z82" s="101"/>
      <c r="AA82" s="101"/>
      <c r="AB82" s="100" t="s">
        <v>18</v>
      </c>
      <c r="AC82" s="101"/>
      <c r="AD82" s="101"/>
      <c r="AE82" s="100" t="s">
        <v>18</v>
      </c>
      <c r="AF82" s="100">
        <v>3</v>
      </c>
      <c r="AG82" s="100" t="s">
        <v>322</v>
      </c>
      <c r="AH82" s="101"/>
      <c r="AI82" s="101"/>
      <c r="AJ82" s="101"/>
      <c r="AK82" s="101"/>
      <c r="AL82" s="101"/>
      <c r="AM82" s="101"/>
      <c r="AN82" s="100" t="s">
        <v>49</v>
      </c>
      <c r="AO82" s="101"/>
      <c r="AP82" s="100" t="s">
        <v>49</v>
      </c>
      <c r="AQ82" s="100" t="s">
        <v>50</v>
      </c>
      <c r="AR82" s="100" t="s">
        <v>50</v>
      </c>
      <c r="AS82" s="100" t="s">
        <v>49</v>
      </c>
      <c r="AT82" s="101"/>
      <c r="AU82" s="101"/>
      <c r="AV82" s="101"/>
      <c r="AW82" s="101"/>
      <c r="AX82" s="101"/>
      <c r="AY82" s="101"/>
      <c r="AZ82" s="101"/>
      <c r="BA82" s="101"/>
      <c r="BB82" s="101"/>
      <c r="BC82" s="101"/>
      <c r="BD82" s="101"/>
      <c r="BE82" s="101"/>
      <c r="BF82" s="101"/>
      <c r="BG82" s="101"/>
      <c r="BH82" s="101"/>
      <c r="BI82" s="101"/>
      <c r="BJ82" s="101"/>
      <c r="BK82" s="101"/>
      <c r="BL82" s="101"/>
      <c r="BM82" s="101"/>
      <c r="BN82" s="101"/>
      <c r="BO82" s="101"/>
      <c r="BP82" s="101"/>
      <c r="BQ82" s="101"/>
    </row>
    <row r="83" spans="9:69" ht="13.5">
      <c r="I83" s="220" t="s">
        <v>155</v>
      </c>
      <c r="J83" s="220" t="s">
        <v>1557</v>
      </c>
      <c r="K83" s="221">
        <f t="shared" si="48"/>
        <v>10</v>
      </c>
      <c r="L83" s="221">
        <f t="shared" si="49"/>
        <v>5</v>
      </c>
      <c r="M83" s="221">
        <f t="shared" si="50"/>
        <v>13</v>
      </c>
      <c r="N83" s="101"/>
      <c r="O83" s="101"/>
      <c r="P83" s="101"/>
      <c r="Q83" s="101"/>
      <c r="R83" s="101"/>
      <c r="S83" s="101"/>
      <c r="T83" s="94" t="s">
        <v>209</v>
      </c>
      <c r="U83" s="100" t="s">
        <v>1640</v>
      </c>
      <c r="V83" s="95">
        <v>2</v>
      </c>
      <c r="W83" s="100" t="s">
        <v>89</v>
      </c>
      <c r="X83" s="101"/>
      <c r="Y83" s="100" t="e">
        <f>IF(SystemOff_ModeDisp_On_Off="O",AB83,"Off")</f>
        <v>#NAME?</v>
      </c>
      <c r="Z83" s="101"/>
      <c r="AA83" s="101"/>
      <c r="AB83" s="100" t="s">
        <v>18</v>
      </c>
      <c r="AC83" s="101"/>
      <c r="AD83" s="101"/>
      <c r="AE83" s="100" t="s">
        <v>18</v>
      </c>
      <c r="AF83" s="100" t="s">
        <v>89</v>
      </c>
      <c r="AG83" s="100" t="s">
        <v>89</v>
      </c>
      <c r="AH83" s="101"/>
      <c r="AI83" s="101"/>
      <c r="AJ83" s="101"/>
      <c r="AK83" s="101"/>
      <c r="AL83" s="101"/>
      <c r="AM83" s="101"/>
      <c r="AN83" s="100" t="s">
        <v>89</v>
      </c>
      <c r="AO83" s="101"/>
      <c r="AP83" s="100" t="s">
        <v>89</v>
      </c>
      <c r="AQ83" s="100" t="s">
        <v>51</v>
      </c>
      <c r="AR83" s="100" t="s">
        <v>51</v>
      </c>
      <c r="AS83" s="100" t="s">
        <v>89</v>
      </c>
      <c r="AT83" s="101"/>
      <c r="AU83" s="101"/>
      <c r="AV83" s="101"/>
      <c r="AW83" s="101"/>
      <c r="AX83" s="101"/>
      <c r="AY83" s="101"/>
      <c r="AZ83" s="101"/>
      <c r="BA83" s="101"/>
      <c r="BB83" s="101"/>
      <c r="BC83" s="101"/>
      <c r="BD83" s="101"/>
      <c r="BE83" s="101"/>
      <c r="BF83" s="101"/>
      <c r="BG83" s="101"/>
      <c r="BH83" s="101"/>
      <c r="BI83" s="101"/>
      <c r="BJ83" s="101"/>
      <c r="BK83" s="101"/>
      <c r="BL83" s="101"/>
      <c r="BM83" s="101"/>
      <c r="BN83" s="101"/>
      <c r="BO83" s="101"/>
      <c r="BP83" s="101"/>
      <c r="BQ83" s="101"/>
    </row>
    <row r="84" spans="9:69">
      <c r="I84" s="220" t="s">
        <v>155</v>
      </c>
      <c r="J84" s="220" t="s">
        <v>1558</v>
      </c>
      <c r="K84" s="221">
        <f t="shared" si="48"/>
        <v>10</v>
      </c>
      <c r="L84" s="221">
        <f t="shared" si="49"/>
        <v>5</v>
      </c>
      <c r="M84" s="221">
        <f t="shared" si="50"/>
        <v>13</v>
      </c>
      <c r="N84" s="101"/>
      <c r="O84" s="101"/>
      <c r="P84" s="101"/>
      <c r="Q84" s="101"/>
      <c r="R84" s="101"/>
      <c r="S84" s="101"/>
      <c r="T84" s="94" t="s">
        <v>378</v>
      </c>
      <c r="U84" s="95">
        <v>1</v>
      </c>
      <c r="V84" s="95">
        <v>2</v>
      </c>
      <c r="W84" s="100" t="s">
        <v>89</v>
      </c>
      <c r="X84" s="101"/>
      <c r="Y84" s="100" t="s">
        <v>18</v>
      </c>
      <c r="Z84" s="101"/>
      <c r="AA84" s="101"/>
      <c r="AB84" s="100" t="s">
        <v>18</v>
      </c>
      <c r="AC84" s="101"/>
      <c r="AD84" s="101"/>
      <c r="AE84" s="100" t="s">
        <v>18</v>
      </c>
      <c r="AF84" s="100">
        <v>1</v>
      </c>
      <c r="AG84" s="100">
        <v>1</v>
      </c>
      <c r="AH84" s="101"/>
      <c r="AI84" s="101"/>
      <c r="AJ84" s="101"/>
      <c r="AK84" s="101"/>
      <c r="AL84" s="101"/>
      <c r="AM84" s="101"/>
      <c r="AN84" s="100" t="s">
        <v>89</v>
      </c>
      <c r="AO84" s="101"/>
      <c r="AP84" s="100" t="s">
        <v>89</v>
      </c>
      <c r="AQ84" s="100" t="s">
        <v>50</v>
      </c>
      <c r="AR84" s="100" t="s">
        <v>50</v>
      </c>
      <c r="AS84" s="100" t="s">
        <v>49</v>
      </c>
      <c r="AT84" s="101"/>
      <c r="AU84" s="101"/>
      <c r="AV84" s="101"/>
      <c r="AW84" s="101"/>
      <c r="AX84" s="101"/>
      <c r="AY84" s="101"/>
      <c r="AZ84" s="101"/>
      <c r="BA84" s="101"/>
      <c r="BB84" s="101"/>
      <c r="BC84" s="101"/>
      <c r="BD84" s="101"/>
      <c r="BE84" s="101"/>
      <c r="BF84" s="101"/>
      <c r="BG84" s="101"/>
      <c r="BH84" s="101"/>
      <c r="BI84" s="101"/>
      <c r="BJ84" s="101"/>
      <c r="BK84" s="101"/>
      <c r="BL84" s="101"/>
      <c r="BM84" s="101"/>
      <c r="BN84" s="101"/>
      <c r="BO84" s="101"/>
      <c r="BP84" s="101"/>
      <c r="BQ84" s="101"/>
    </row>
    <row r="85" spans="9:69">
      <c r="I85" s="220" t="s">
        <v>155</v>
      </c>
      <c r="J85" s="220" t="s">
        <v>1602</v>
      </c>
      <c r="K85" s="221">
        <f t="shared" si="48"/>
        <v>10</v>
      </c>
      <c r="L85" s="221">
        <f t="shared" si="49"/>
        <v>5</v>
      </c>
      <c r="M85" s="221">
        <f t="shared" si="50"/>
        <v>13</v>
      </c>
      <c r="N85" s="101"/>
      <c r="O85" s="101"/>
      <c r="P85" s="101"/>
      <c r="Q85" s="101"/>
      <c r="R85" s="101"/>
      <c r="S85" s="101"/>
      <c r="T85" s="94" t="s">
        <v>271</v>
      </c>
      <c r="U85" s="95">
        <v>1</v>
      </c>
      <c r="V85" s="95">
        <v>2</v>
      </c>
      <c r="W85" s="100" t="s">
        <v>89</v>
      </c>
      <c r="X85" s="101"/>
      <c r="Y85" s="100" t="s">
        <v>18</v>
      </c>
      <c r="Z85" s="101"/>
      <c r="AA85" s="101"/>
      <c r="AB85" s="100" t="s">
        <v>18</v>
      </c>
      <c r="AC85" s="101"/>
      <c r="AD85" s="101"/>
      <c r="AE85" s="100" t="s">
        <v>18</v>
      </c>
      <c r="AF85" s="100">
        <v>1</v>
      </c>
      <c r="AG85" s="100">
        <v>1</v>
      </c>
      <c r="AH85" s="101"/>
      <c r="AI85" s="101"/>
      <c r="AJ85" s="101"/>
      <c r="AK85" s="101"/>
      <c r="AL85" s="101"/>
      <c r="AM85" s="101"/>
      <c r="AN85" s="100" t="s">
        <v>89</v>
      </c>
      <c r="AO85" s="101"/>
      <c r="AP85" s="100" t="s">
        <v>89</v>
      </c>
      <c r="AQ85" s="100" t="s">
        <v>51</v>
      </c>
      <c r="AR85" s="100" t="s">
        <v>51</v>
      </c>
      <c r="AS85" s="100" t="s">
        <v>49</v>
      </c>
      <c r="AT85" s="101"/>
      <c r="AU85" s="101"/>
      <c r="AV85" s="101"/>
      <c r="AW85" s="101"/>
      <c r="AX85" s="101"/>
      <c r="AY85" s="101"/>
      <c r="AZ85" s="101"/>
      <c r="BA85" s="101"/>
      <c r="BB85" s="101"/>
      <c r="BC85" s="101"/>
      <c r="BD85" s="101"/>
      <c r="BE85" s="101"/>
      <c r="BF85" s="101"/>
      <c r="BG85" s="101"/>
      <c r="BH85" s="101"/>
      <c r="BI85" s="101"/>
      <c r="BJ85" s="101"/>
      <c r="BK85" s="101"/>
      <c r="BL85" s="101"/>
      <c r="BM85" s="101"/>
      <c r="BN85" s="101"/>
      <c r="BO85" s="101"/>
      <c r="BP85" s="101"/>
      <c r="BQ85" s="101"/>
    </row>
    <row r="86" spans="9:69">
      <c r="I86" s="220" t="s">
        <v>155</v>
      </c>
      <c r="J86" s="220" t="s">
        <v>1559</v>
      </c>
      <c r="K86" s="221">
        <f t="shared" si="48"/>
        <v>10</v>
      </c>
      <c r="L86" s="221">
        <f t="shared" si="49"/>
        <v>5</v>
      </c>
      <c r="M86" s="221">
        <f t="shared" si="50"/>
        <v>13</v>
      </c>
      <c r="N86" s="101"/>
      <c r="O86" s="101"/>
      <c r="P86" s="101"/>
      <c r="Q86" s="101"/>
      <c r="R86" s="101"/>
      <c r="S86" s="101"/>
      <c r="T86" s="94" t="s">
        <v>207</v>
      </c>
      <c r="U86" s="95" t="s">
        <v>420</v>
      </c>
      <c r="V86" s="95">
        <v>10</v>
      </c>
      <c r="W86" s="100" t="s">
        <v>89</v>
      </c>
      <c r="X86" s="101"/>
      <c r="Y86" s="100" t="s">
        <v>18</v>
      </c>
      <c r="Z86" s="101"/>
      <c r="AA86" s="101"/>
      <c r="AB86" s="100" t="s">
        <v>18</v>
      </c>
      <c r="AC86" s="101"/>
      <c r="AD86" s="101"/>
      <c r="AE86" s="100" t="s">
        <v>18</v>
      </c>
      <c r="AF86" s="100">
        <v>3</v>
      </c>
      <c r="AG86" s="100" t="s">
        <v>322</v>
      </c>
      <c r="AH86" s="101"/>
      <c r="AI86" s="101"/>
      <c r="AJ86" s="101"/>
      <c r="AK86" s="101"/>
      <c r="AL86" s="101"/>
      <c r="AM86" s="101"/>
      <c r="AN86" s="100" t="s">
        <v>49</v>
      </c>
      <c r="AO86" s="101"/>
      <c r="AP86" s="100" t="s">
        <v>49</v>
      </c>
      <c r="AQ86" s="100" t="s">
        <v>50</v>
      </c>
      <c r="AR86" s="100" t="s">
        <v>50</v>
      </c>
      <c r="AS86" s="100" t="s">
        <v>49</v>
      </c>
      <c r="AT86" s="101"/>
      <c r="AU86" s="101"/>
      <c r="AV86" s="101"/>
      <c r="AW86" s="101"/>
      <c r="AX86" s="101"/>
      <c r="AY86" s="101"/>
      <c r="AZ86" s="101"/>
      <c r="BA86" s="101"/>
      <c r="BB86" s="101"/>
      <c r="BC86" s="101"/>
      <c r="BD86" s="101"/>
      <c r="BE86" s="101"/>
      <c r="BF86" s="101"/>
      <c r="BG86" s="101"/>
      <c r="BH86" s="101"/>
      <c r="BI86" s="101"/>
      <c r="BJ86" s="101"/>
      <c r="BK86" s="101"/>
      <c r="BL86" s="101"/>
      <c r="BM86" s="101"/>
      <c r="BN86" s="101"/>
      <c r="BO86" s="101"/>
      <c r="BP86" s="101"/>
      <c r="BQ86" s="101"/>
    </row>
    <row r="87" spans="9:69">
      <c r="I87" s="220" t="s">
        <v>155</v>
      </c>
      <c r="J87" s="220" t="s">
        <v>1560</v>
      </c>
      <c r="K87" s="222">
        <v>10</v>
      </c>
      <c r="L87" s="222">
        <v>5</v>
      </c>
      <c r="M87" s="222">
        <v>10</v>
      </c>
      <c r="N87" s="101"/>
      <c r="O87" s="101"/>
      <c r="P87" s="101"/>
      <c r="Q87" s="101"/>
      <c r="R87" s="101"/>
      <c r="S87" s="101"/>
      <c r="T87" s="94" t="s">
        <v>209</v>
      </c>
      <c r="U87" s="100" t="e">
        <f>IF(FLAG_Country&lt;&gt;"USA","설정 온도 22 degC, AUTO ON (SYNC ON) + OFF 선택 상태 설정","설정 온도 72 degF, AUTO ON (SYNC ON) + OFF 선택 상태 설정")</f>
        <v>#NAME?</v>
      </c>
      <c r="V87" s="95">
        <v>10</v>
      </c>
      <c r="W87" s="100" t="s">
        <v>49</v>
      </c>
      <c r="X87" s="100" t="s">
        <v>49</v>
      </c>
      <c r="Y87" s="100" t="e">
        <f>IF(SystemOff_ModeDisp_On_Off="O","Floor","Off")</f>
        <v>#NAME?</v>
      </c>
      <c r="Z87" s="101"/>
      <c r="AA87" s="101"/>
      <c r="AB87" s="101"/>
      <c r="AC87" s="101"/>
      <c r="AD87" s="101"/>
      <c r="AE87" s="101"/>
      <c r="AF87" s="101"/>
      <c r="AG87" s="101"/>
      <c r="AH87" s="101"/>
      <c r="AI87" s="100" t="e">
        <f>const_Tset_off_1</f>
        <v>#NAME?</v>
      </c>
      <c r="AJ87" s="100" t="e">
        <f>const_Tset_off_1</f>
        <v>#NAME?</v>
      </c>
      <c r="AK87" s="101"/>
      <c r="AL87" s="101"/>
      <c r="AM87" s="101"/>
      <c r="AN87" s="101"/>
      <c r="AO87" s="101"/>
      <c r="AP87" s="101"/>
      <c r="AQ87" s="101"/>
      <c r="AR87" s="101"/>
      <c r="AS87" s="101"/>
      <c r="AT87" s="101"/>
      <c r="AU87" s="101"/>
      <c r="AV87" s="101"/>
      <c r="AW87" s="101"/>
      <c r="AX87" s="101"/>
      <c r="AY87" s="101"/>
      <c r="AZ87" s="101"/>
      <c r="BA87" s="101"/>
      <c r="BB87" s="101"/>
      <c r="BC87" s="101"/>
      <c r="BD87" s="101"/>
      <c r="BE87" s="101"/>
      <c r="BF87" s="101"/>
      <c r="BG87" s="101"/>
      <c r="BH87" s="101"/>
      <c r="BI87" s="101"/>
      <c r="BJ87" s="101"/>
      <c r="BK87" s="101"/>
      <c r="BL87" s="101"/>
      <c r="BM87" s="101"/>
      <c r="BN87" s="101"/>
      <c r="BO87" s="101"/>
      <c r="BP87" s="101"/>
      <c r="BQ87" s="101"/>
    </row>
    <row r="88" spans="9:69">
      <c r="I88" s="255">
        <f>COUNTIF(I89:I92,"&lt;&gt;TS")</f>
        <v>3</v>
      </c>
      <c r="J88" s="106" t="s">
        <v>1564</v>
      </c>
      <c r="K88" s="106" t="s">
        <v>1844</v>
      </c>
      <c r="L88" s="106"/>
      <c r="M88" s="106"/>
      <c r="N88" s="106"/>
      <c r="O88" s="106"/>
      <c r="P88" s="106"/>
      <c r="Q88" s="106"/>
      <c r="R88" s="106"/>
      <c r="S88" s="106"/>
      <c r="T88" s="106"/>
      <c r="U88" s="107"/>
      <c r="V88" s="107"/>
      <c r="W88" s="106"/>
      <c r="X88" s="106"/>
      <c r="Y88" s="106"/>
      <c r="Z88" s="106"/>
      <c r="AA88" s="106"/>
      <c r="AB88" s="106"/>
      <c r="AC88" s="106"/>
      <c r="AD88" s="106"/>
      <c r="AE88" s="106"/>
      <c r="AF88" s="106"/>
      <c r="AG88" s="106"/>
      <c r="AH88" s="106"/>
      <c r="AI88" s="106"/>
      <c r="AJ88" s="106"/>
      <c r="AK88" s="106"/>
      <c r="AL88" s="106"/>
      <c r="AM88" s="106"/>
      <c r="AN88" s="106"/>
      <c r="AO88" s="106"/>
      <c r="AP88" s="106"/>
      <c r="AQ88" s="106"/>
      <c r="AR88" s="106"/>
      <c r="AS88" s="106"/>
      <c r="AT88" s="106"/>
      <c r="AU88" s="106"/>
      <c r="AV88" s="106"/>
      <c r="AW88" s="106"/>
      <c r="AX88" s="106"/>
      <c r="AY88" s="106"/>
      <c r="AZ88" s="106"/>
      <c r="BA88" s="106"/>
      <c r="BB88" s="106"/>
      <c r="BC88" s="106"/>
      <c r="BD88" s="106"/>
      <c r="BE88" s="106"/>
      <c r="BF88" s="106"/>
      <c r="BG88" s="106"/>
      <c r="BH88" s="106"/>
      <c r="BI88" s="106"/>
      <c r="BJ88" s="106"/>
      <c r="BK88" s="106"/>
      <c r="BL88" s="106"/>
      <c r="BM88" s="106"/>
      <c r="BN88" s="106"/>
      <c r="BO88" s="106"/>
      <c r="BP88" s="106"/>
      <c r="BQ88" s="106"/>
    </row>
    <row r="89" spans="9:69" ht="13.5">
      <c r="I89" s="108" t="s">
        <v>7</v>
      </c>
      <c r="J89" s="108" t="s">
        <v>1829</v>
      </c>
      <c r="K89" s="109" t="s">
        <v>1836</v>
      </c>
      <c r="L89" s="109"/>
      <c r="M89" s="109"/>
      <c r="N89" s="109"/>
      <c r="O89" s="109"/>
      <c r="P89" s="109"/>
      <c r="Q89" s="109"/>
      <c r="R89" s="109"/>
      <c r="S89" s="109"/>
      <c r="T89" s="109"/>
      <c r="U89" s="110"/>
      <c r="V89" s="110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  <c r="AH89" s="109"/>
      <c r="AI89" s="109"/>
      <c r="AJ89" s="109"/>
      <c r="AK89" s="109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 s="109"/>
      <c r="AW89" s="109"/>
      <c r="AX89" s="109"/>
      <c r="AY89" s="109"/>
      <c r="AZ89" s="109"/>
      <c r="BA89" s="109"/>
      <c r="BB89" s="109"/>
      <c r="BC89" s="109"/>
      <c r="BD89" s="109"/>
      <c r="BE89" s="109"/>
      <c r="BF89" s="109"/>
      <c r="BG89" s="109"/>
      <c r="BH89" s="109"/>
      <c r="BI89" s="109"/>
      <c r="BJ89" s="109"/>
      <c r="BK89" s="109"/>
      <c r="BL89" s="109"/>
      <c r="BM89" s="109"/>
      <c r="BN89" s="109"/>
      <c r="BO89" s="109"/>
      <c r="BP89" s="109"/>
      <c r="BQ89" s="109"/>
    </row>
    <row r="90" spans="9:69" ht="13.5">
      <c r="I90" s="96" t="s">
        <v>48</v>
      </c>
      <c r="J90" s="96" t="s">
        <v>1830</v>
      </c>
      <c r="K90" s="221">
        <f>K87</f>
        <v>10</v>
      </c>
      <c r="L90" s="221">
        <f t="shared" ref="L90:M90" si="51">L87</f>
        <v>5</v>
      </c>
      <c r="M90" s="221">
        <f t="shared" si="51"/>
        <v>10</v>
      </c>
      <c r="N90" s="101"/>
      <c r="O90" s="101"/>
      <c r="P90" s="101"/>
      <c r="Q90" s="101"/>
      <c r="R90" s="101"/>
      <c r="S90" s="101"/>
      <c r="T90" s="94" t="s">
        <v>209</v>
      </c>
      <c r="U90" s="100" t="e">
        <f>IF(FLAG_Country&lt;&gt;"USA","설정 온도 22 degC, AUTO ON (SYNC ON) 설정","설정 온도 72 degF, AUTO ON (SYNC ON) 설정")</f>
        <v>#NAME?</v>
      </c>
      <c r="V90" s="95">
        <v>10</v>
      </c>
      <c r="W90" s="101"/>
      <c r="X90" s="101"/>
      <c r="Y90" s="101"/>
      <c r="Z90" s="101"/>
      <c r="AA90" s="101"/>
      <c r="AB90" s="101"/>
      <c r="AC90" s="101"/>
      <c r="AD90" s="101"/>
      <c r="AE90" s="101"/>
      <c r="AF90" s="101"/>
      <c r="AG90" s="101"/>
      <c r="AH90" s="101"/>
      <c r="AI90" s="101"/>
      <c r="AJ90" s="101"/>
      <c r="AK90" s="101"/>
      <c r="AL90" s="101"/>
      <c r="AM90" s="101"/>
      <c r="AN90" s="101"/>
      <c r="AO90" s="101"/>
      <c r="AP90" s="101"/>
      <c r="AQ90" s="100" t="s">
        <v>50</v>
      </c>
      <c r="AR90" s="100" t="s">
        <v>1845</v>
      </c>
      <c r="AS90" s="101"/>
      <c r="AT90" s="101"/>
      <c r="AU90" s="101"/>
      <c r="AV90" s="101"/>
      <c r="AW90" s="101"/>
      <c r="AX90" s="101"/>
      <c r="AY90" s="101"/>
      <c r="AZ90" s="101"/>
      <c r="BA90" s="101"/>
      <c r="BB90" s="101"/>
      <c r="BC90" s="101"/>
      <c r="BD90" s="101"/>
      <c r="BE90" s="101"/>
      <c r="BF90" s="101"/>
      <c r="BG90" s="101"/>
      <c r="BH90" s="101"/>
      <c r="BI90" s="101"/>
      <c r="BJ90" s="101"/>
      <c r="BK90" s="101"/>
      <c r="BL90" s="101"/>
      <c r="BM90" s="101"/>
      <c r="BN90" s="101"/>
      <c r="BO90" s="101"/>
      <c r="BP90" s="101"/>
      <c r="BQ90" s="101"/>
    </row>
    <row r="91" spans="9:69">
      <c r="I91" s="220" t="s">
        <v>155</v>
      </c>
      <c r="J91" s="220" t="s">
        <v>1831</v>
      </c>
      <c r="K91" s="221">
        <f t="shared" ref="K91:M92" si="52">K90</f>
        <v>10</v>
      </c>
      <c r="L91" s="221">
        <f t="shared" si="52"/>
        <v>5</v>
      </c>
      <c r="M91" s="221">
        <f t="shared" si="52"/>
        <v>10</v>
      </c>
      <c r="N91" s="101"/>
      <c r="O91" s="101"/>
      <c r="P91" s="101"/>
      <c r="Q91" s="101"/>
      <c r="R91" s="101"/>
      <c r="S91" s="101"/>
      <c r="T91" s="94" t="s">
        <v>271</v>
      </c>
      <c r="U91" s="95">
        <v>1</v>
      </c>
      <c r="V91" s="95">
        <v>5</v>
      </c>
      <c r="W91" s="101"/>
      <c r="X91" s="101"/>
      <c r="Y91" s="101"/>
      <c r="Z91" s="101"/>
      <c r="AA91" s="101"/>
      <c r="AB91" s="101"/>
      <c r="AC91" s="101"/>
      <c r="AD91" s="101"/>
      <c r="AE91" s="101"/>
      <c r="AF91" s="101"/>
      <c r="AG91" s="101"/>
      <c r="AH91" s="101"/>
      <c r="AI91" s="101"/>
      <c r="AJ91" s="101"/>
      <c r="AK91" s="101"/>
      <c r="AL91" s="101"/>
      <c r="AM91" s="101"/>
      <c r="AN91" s="101"/>
      <c r="AO91" s="101"/>
      <c r="AP91" s="101"/>
      <c r="AQ91" s="100" t="s">
        <v>51</v>
      </c>
      <c r="AR91" s="100" t="s">
        <v>51</v>
      </c>
      <c r="AS91" s="101"/>
      <c r="AT91" s="101"/>
      <c r="AU91" s="101"/>
      <c r="AV91" s="101"/>
      <c r="AW91" s="101"/>
      <c r="AX91" s="101"/>
      <c r="AY91" s="101"/>
      <c r="AZ91" s="101"/>
      <c r="BA91" s="101"/>
      <c r="BB91" s="101"/>
      <c r="BC91" s="101"/>
      <c r="BD91" s="101"/>
      <c r="BE91" s="101"/>
      <c r="BF91" s="101"/>
      <c r="BG91" s="101"/>
      <c r="BH91" s="101"/>
      <c r="BI91" s="101"/>
      <c r="BJ91" s="101"/>
      <c r="BK91" s="101"/>
      <c r="BL91" s="101"/>
      <c r="BM91" s="101"/>
      <c r="BN91" s="101"/>
      <c r="BO91" s="101"/>
      <c r="BP91" s="101"/>
      <c r="BQ91" s="101"/>
    </row>
    <row r="92" spans="9:69" ht="13.5">
      <c r="I92" s="220" t="s">
        <v>155</v>
      </c>
      <c r="J92" s="220" t="s">
        <v>1839</v>
      </c>
      <c r="K92" s="221">
        <f t="shared" si="52"/>
        <v>10</v>
      </c>
      <c r="L92" s="221">
        <f t="shared" si="52"/>
        <v>5</v>
      </c>
      <c r="M92" s="221">
        <f t="shared" si="52"/>
        <v>10</v>
      </c>
      <c r="N92" s="101"/>
      <c r="O92" s="101"/>
      <c r="P92" s="101"/>
      <c r="Q92" s="101"/>
      <c r="R92" s="101"/>
      <c r="S92" s="101"/>
      <c r="T92" s="94" t="s">
        <v>271</v>
      </c>
      <c r="U92" s="95">
        <v>1</v>
      </c>
      <c r="V92" s="95">
        <v>5</v>
      </c>
      <c r="W92" s="101"/>
      <c r="X92" s="101"/>
      <c r="Y92" s="101"/>
      <c r="Z92" s="101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101"/>
      <c r="AQ92" s="100" t="s">
        <v>404</v>
      </c>
      <c r="AR92" s="121" t="s">
        <v>1863</v>
      </c>
      <c r="AS92" s="101"/>
      <c r="AT92" s="101"/>
      <c r="AU92" s="101"/>
      <c r="AV92" s="101"/>
      <c r="AW92" s="101"/>
      <c r="AX92" s="101"/>
      <c r="AY92" s="101"/>
      <c r="AZ92" s="101"/>
      <c r="BA92" s="101"/>
      <c r="BB92" s="101"/>
      <c r="BC92" s="101"/>
      <c r="BD92" s="101"/>
      <c r="BE92" s="101"/>
      <c r="BF92" s="101"/>
      <c r="BG92" s="101"/>
      <c r="BH92" s="101"/>
      <c r="BI92" s="101"/>
      <c r="BJ92" s="101"/>
      <c r="BK92" s="101"/>
      <c r="BL92" s="101"/>
      <c r="BM92" s="101"/>
      <c r="BN92" s="101"/>
      <c r="BO92" s="101"/>
      <c r="BP92" s="101"/>
      <c r="BQ92" s="101"/>
    </row>
    <row r="93" spans="9:69">
      <c r="I93" s="255">
        <f>COUNTIF(I94:I100,"&lt;&gt;TS")</f>
        <v>6</v>
      </c>
      <c r="J93" s="106" t="s">
        <v>1565</v>
      </c>
      <c r="K93" s="106" t="s">
        <v>1838</v>
      </c>
      <c r="L93" s="106"/>
      <c r="M93" s="106"/>
      <c r="N93" s="106"/>
      <c r="O93" s="106"/>
      <c r="P93" s="106"/>
      <c r="Q93" s="106"/>
      <c r="R93" s="106"/>
      <c r="S93" s="106"/>
      <c r="T93" s="106"/>
      <c r="U93" s="107"/>
      <c r="V93" s="107"/>
      <c r="W93" s="106"/>
      <c r="X93" s="106"/>
      <c r="Y93" s="106"/>
      <c r="Z93" s="106"/>
      <c r="AA93" s="106"/>
      <c r="AB93" s="106"/>
      <c r="AC93" s="106"/>
      <c r="AD93" s="106"/>
      <c r="AE93" s="106"/>
      <c r="AF93" s="106"/>
      <c r="AG93" s="106"/>
      <c r="AH93" s="106"/>
      <c r="AI93" s="106"/>
      <c r="AJ93" s="106"/>
      <c r="AK93" s="106"/>
      <c r="AL93" s="106"/>
      <c r="AM93" s="106"/>
      <c r="AN93" s="106"/>
      <c r="AO93" s="106"/>
      <c r="AP93" s="106"/>
      <c r="AQ93" s="106"/>
      <c r="AR93" s="106"/>
      <c r="AS93" s="106"/>
      <c r="AT93" s="106"/>
      <c r="AU93" s="106"/>
      <c r="AV93" s="106"/>
      <c r="AW93" s="106"/>
      <c r="AX93" s="106"/>
      <c r="AY93" s="106"/>
      <c r="AZ93" s="106"/>
      <c r="BA93" s="106"/>
      <c r="BB93" s="106"/>
      <c r="BC93" s="106"/>
      <c r="BD93" s="106"/>
      <c r="BE93" s="106"/>
      <c r="BF93" s="106"/>
      <c r="BG93" s="106"/>
      <c r="BH93" s="106"/>
      <c r="BI93" s="106"/>
      <c r="BJ93" s="106"/>
      <c r="BK93" s="106"/>
      <c r="BL93" s="106"/>
      <c r="BM93" s="106"/>
      <c r="BN93" s="106"/>
      <c r="BO93" s="106"/>
      <c r="BP93" s="106"/>
      <c r="BQ93" s="106"/>
    </row>
    <row r="94" spans="9:69" ht="13.5">
      <c r="I94" s="108" t="s">
        <v>7</v>
      </c>
      <c r="J94" s="108" t="s">
        <v>1833</v>
      </c>
      <c r="K94" s="109" t="s">
        <v>1837</v>
      </c>
      <c r="L94" s="109"/>
      <c r="M94" s="109"/>
      <c r="N94" s="109"/>
      <c r="O94" s="109"/>
      <c r="P94" s="109"/>
      <c r="Q94" s="109"/>
      <c r="R94" s="109"/>
      <c r="S94" s="109"/>
      <c r="T94" s="109"/>
      <c r="U94" s="110"/>
      <c r="V94" s="110"/>
      <c r="W94" s="109"/>
      <c r="X94" s="109"/>
      <c r="Y94" s="109"/>
      <c r="Z94" s="109"/>
      <c r="AA94" s="109"/>
      <c r="AB94" s="109"/>
      <c r="AC94" s="109"/>
      <c r="AD94" s="109"/>
      <c r="AE94" s="109"/>
      <c r="AF94" s="109"/>
      <c r="AG94" s="109"/>
      <c r="AH94" s="109"/>
      <c r="AI94" s="109"/>
      <c r="AJ94" s="109"/>
      <c r="AK94" s="109"/>
      <c r="AL94" s="109"/>
      <c r="AM94" s="109"/>
      <c r="AN94" s="109"/>
      <c r="AO94" s="109"/>
      <c r="AP94" s="109"/>
      <c r="AQ94" s="109"/>
      <c r="AR94" s="109"/>
      <c r="AS94" s="109"/>
      <c r="AT94" s="109"/>
      <c r="AU94" s="109"/>
      <c r="AV94" s="109"/>
      <c r="AW94" s="109"/>
      <c r="AX94" s="109"/>
      <c r="AY94" s="109"/>
      <c r="AZ94" s="109"/>
      <c r="BA94" s="109"/>
      <c r="BB94" s="109"/>
      <c r="BC94" s="109"/>
      <c r="BD94" s="109"/>
      <c r="BE94" s="109"/>
      <c r="BF94" s="109"/>
      <c r="BG94" s="109"/>
      <c r="BH94" s="109"/>
      <c r="BI94" s="109"/>
      <c r="BJ94" s="109"/>
      <c r="BK94" s="109"/>
      <c r="BL94" s="109"/>
      <c r="BM94" s="109"/>
      <c r="BN94" s="109"/>
      <c r="BO94" s="109"/>
      <c r="BP94" s="109"/>
      <c r="BQ94" s="109"/>
    </row>
    <row r="95" spans="9:69">
      <c r="I95" s="96" t="s">
        <v>48</v>
      </c>
      <c r="J95" s="96" t="s">
        <v>1834</v>
      </c>
      <c r="K95" s="221">
        <f>K91</f>
        <v>10</v>
      </c>
      <c r="L95" s="221">
        <f t="shared" ref="L95:M95" si="53">L91</f>
        <v>5</v>
      </c>
      <c r="M95" s="221">
        <f t="shared" si="53"/>
        <v>10</v>
      </c>
      <c r="N95" s="101"/>
      <c r="O95" s="101"/>
      <c r="P95" s="101"/>
      <c r="Q95" s="101"/>
      <c r="R95" s="101"/>
      <c r="S95" s="101"/>
      <c r="T95" s="94" t="s">
        <v>209</v>
      </c>
      <c r="U95" s="100" t="e">
        <f>IF(FLAG_Country&lt;&gt;"USA","설정 온도 22 degC, AUTO ON (SYNC ON) 설정","설정 온도 72 degF, AUTO ON (SYNC ON) 설정")</f>
        <v>#NAME?</v>
      </c>
      <c r="V95" s="95">
        <v>10</v>
      </c>
      <c r="W95" s="101"/>
      <c r="X95" s="101"/>
      <c r="Y95" s="101"/>
      <c r="Z95" s="101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2" t="s">
        <v>89</v>
      </c>
      <c r="AO95" s="102" t="s">
        <v>89</v>
      </c>
      <c r="AP95" s="102" t="s">
        <v>89</v>
      </c>
      <c r="AQ95" s="101"/>
      <c r="AR95" s="101"/>
      <c r="AS95" s="101"/>
      <c r="AT95" s="101"/>
      <c r="AU95" s="101"/>
      <c r="AV95" s="101"/>
      <c r="AW95" s="101"/>
      <c r="AX95" s="101"/>
      <c r="AY95" s="101"/>
      <c r="AZ95" s="101"/>
      <c r="BA95" s="101"/>
      <c r="BB95" s="101"/>
      <c r="BC95" s="101"/>
      <c r="BD95" s="101"/>
      <c r="BE95" s="101"/>
      <c r="BF95" s="101"/>
      <c r="BG95" s="101"/>
      <c r="BH95" s="101"/>
      <c r="BI95" s="101"/>
      <c r="BJ95" s="101"/>
      <c r="BK95" s="101"/>
      <c r="BL95" s="101"/>
      <c r="BM95" s="101"/>
      <c r="BN95" s="101"/>
      <c r="BO95" s="101"/>
      <c r="BP95" s="101"/>
      <c r="BQ95" s="101"/>
    </row>
    <row r="96" spans="9:69">
      <c r="I96" s="220" t="s">
        <v>155</v>
      </c>
      <c r="J96" s="220" t="s">
        <v>1835</v>
      </c>
      <c r="K96" s="221">
        <f t="shared" ref="K96:M97" si="54">K95</f>
        <v>10</v>
      </c>
      <c r="L96" s="221">
        <f t="shared" si="54"/>
        <v>5</v>
      </c>
      <c r="M96" s="221">
        <f t="shared" si="54"/>
        <v>10</v>
      </c>
      <c r="N96" s="101"/>
      <c r="O96" s="101"/>
      <c r="P96" s="101"/>
      <c r="Q96" s="101"/>
      <c r="R96" s="101"/>
      <c r="S96" s="101"/>
      <c r="T96" s="94" t="s">
        <v>1846</v>
      </c>
      <c r="U96" s="95">
        <v>1</v>
      </c>
      <c r="V96" s="95">
        <v>5</v>
      </c>
      <c r="W96" s="101"/>
      <c r="X96" s="101"/>
      <c r="Y96" s="101"/>
      <c r="Z96" s="101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2" t="s">
        <v>49</v>
      </c>
      <c r="AO96" s="102" t="s">
        <v>49</v>
      </c>
      <c r="AP96" s="102" t="s">
        <v>49</v>
      </c>
      <c r="AQ96" s="101"/>
      <c r="AR96" s="101"/>
      <c r="AS96" s="101"/>
      <c r="AT96" s="101"/>
      <c r="AU96" s="101"/>
      <c r="AV96" s="101"/>
      <c r="AW96" s="101"/>
      <c r="AX96" s="101"/>
      <c r="AY96" s="101"/>
      <c r="AZ96" s="101"/>
      <c r="BA96" s="101"/>
      <c r="BB96" s="101"/>
      <c r="BC96" s="101"/>
      <c r="BD96" s="101"/>
      <c r="BE96" s="101"/>
      <c r="BF96" s="101"/>
      <c r="BG96" s="101"/>
      <c r="BH96" s="101"/>
      <c r="BI96" s="101"/>
      <c r="BJ96" s="101"/>
      <c r="BK96" s="101"/>
      <c r="BL96" s="101"/>
      <c r="BM96" s="101"/>
      <c r="BN96" s="101"/>
      <c r="BO96" s="101"/>
      <c r="BP96" s="101"/>
      <c r="BQ96" s="101"/>
    </row>
    <row r="97" spans="9:69">
      <c r="I97" s="220" t="s">
        <v>155</v>
      </c>
      <c r="J97" s="220" t="s">
        <v>1841</v>
      </c>
      <c r="K97" s="221">
        <f t="shared" si="54"/>
        <v>10</v>
      </c>
      <c r="L97" s="221">
        <f t="shared" si="54"/>
        <v>5</v>
      </c>
      <c r="M97" s="221">
        <f t="shared" si="54"/>
        <v>10</v>
      </c>
      <c r="N97" s="101"/>
      <c r="O97" s="101"/>
      <c r="P97" s="101"/>
      <c r="Q97" s="101"/>
      <c r="R97" s="101"/>
      <c r="S97" s="101"/>
      <c r="T97" s="94" t="s">
        <v>1847</v>
      </c>
      <c r="U97" s="95">
        <v>1</v>
      </c>
      <c r="V97" s="95">
        <v>5</v>
      </c>
      <c r="W97" s="101"/>
      <c r="X97" s="101"/>
      <c r="Y97" s="101"/>
      <c r="Z97" s="101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2" t="s">
        <v>89</v>
      </c>
      <c r="AO97" s="102" t="s">
        <v>89</v>
      </c>
      <c r="AP97" s="102" t="s">
        <v>89</v>
      </c>
      <c r="AQ97" s="101"/>
      <c r="AR97" s="101"/>
      <c r="AS97" s="101"/>
      <c r="AT97" s="101"/>
      <c r="AU97" s="101"/>
      <c r="AV97" s="101"/>
      <c r="AW97" s="101"/>
      <c r="AX97" s="101"/>
      <c r="AY97" s="101"/>
      <c r="AZ97" s="101"/>
      <c r="BA97" s="101"/>
      <c r="BB97" s="101"/>
      <c r="BC97" s="101"/>
      <c r="BD97" s="101"/>
      <c r="BE97" s="101"/>
      <c r="BF97" s="101"/>
      <c r="BG97" s="101"/>
      <c r="BH97" s="101"/>
      <c r="BI97" s="101"/>
      <c r="BJ97" s="101"/>
      <c r="BK97" s="101"/>
      <c r="BL97" s="101"/>
      <c r="BM97" s="101"/>
      <c r="BN97" s="101"/>
      <c r="BO97" s="101"/>
      <c r="BP97" s="101"/>
      <c r="BQ97" s="101"/>
    </row>
    <row r="98" spans="9:69" ht="13.5">
      <c r="I98" s="220" t="s">
        <v>155</v>
      </c>
      <c r="J98" s="220" t="s">
        <v>1842</v>
      </c>
      <c r="K98" s="100">
        <v>60</v>
      </c>
      <c r="L98" s="221">
        <f t="shared" ref="L98:M98" si="55">L97</f>
        <v>5</v>
      </c>
      <c r="M98" s="221">
        <f t="shared" si="55"/>
        <v>10</v>
      </c>
      <c r="N98" s="101"/>
      <c r="O98" s="101"/>
      <c r="P98" s="101"/>
      <c r="Q98" s="101"/>
      <c r="R98" s="101"/>
      <c r="S98" s="101"/>
      <c r="T98" s="111" t="e">
        <f>Incar_IN</f>
        <v>#NAME?</v>
      </c>
      <c r="U98" s="102">
        <f>K98</f>
        <v>60</v>
      </c>
      <c r="V98" s="102" t="s">
        <v>1865</v>
      </c>
      <c r="W98" s="101"/>
      <c r="X98" s="101"/>
      <c r="Y98" s="101"/>
      <c r="Z98" s="101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2" t="s">
        <v>49</v>
      </c>
      <c r="AO98" s="102" t="s">
        <v>49</v>
      </c>
      <c r="AP98" s="102" t="s">
        <v>49</v>
      </c>
      <c r="AQ98" s="101"/>
      <c r="AR98" s="101"/>
      <c r="AS98" s="101"/>
      <c r="AT98" s="101"/>
      <c r="AU98" s="101"/>
      <c r="AV98" s="101"/>
      <c r="AW98" s="101"/>
      <c r="AX98" s="101"/>
      <c r="AY98" s="101"/>
      <c r="AZ98" s="101"/>
      <c r="BA98" s="101"/>
      <c r="BB98" s="101"/>
      <c r="BC98" s="101"/>
      <c r="BD98" s="101"/>
      <c r="BE98" s="101"/>
      <c r="BF98" s="101"/>
      <c r="BG98" s="101"/>
      <c r="BH98" s="101"/>
      <c r="BI98" s="101"/>
      <c r="BJ98" s="101"/>
      <c r="BK98" s="101"/>
      <c r="BL98" s="101"/>
      <c r="BM98" s="101"/>
      <c r="BN98" s="101"/>
      <c r="BO98" s="101"/>
      <c r="BP98" s="101"/>
      <c r="BQ98" s="101"/>
    </row>
    <row r="99" spans="9:69">
      <c r="I99" s="220" t="s">
        <v>155</v>
      </c>
      <c r="J99" s="220" t="s">
        <v>1843</v>
      </c>
      <c r="K99" s="221">
        <f t="shared" ref="K99:M100" si="56">K98</f>
        <v>60</v>
      </c>
      <c r="L99" s="221">
        <f t="shared" si="56"/>
        <v>5</v>
      </c>
      <c r="M99" s="221">
        <f t="shared" si="56"/>
        <v>10</v>
      </c>
      <c r="N99" s="101"/>
      <c r="O99" s="101"/>
      <c r="P99" s="101"/>
      <c r="Q99" s="101"/>
      <c r="R99" s="101"/>
      <c r="S99" s="101"/>
      <c r="T99" s="94" t="s">
        <v>1846</v>
      </c>
      <c r="U99" s="95">
        <v>1</v>
      </c>
      <c r="V99" s="95">
        <v>5</v>
      </c>
      <c r="W99" s="101"/>
      <c r="X99" s="101"/>
      <c r="Y99" s="101"/>
      <c r="Z99" s="101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2" t="s">
        <v>89</v>
      </c>
      <c r="AO99" s="102" t="s">
        <v>89</v>
      </c>
      <c r="AP99" s="102" t="s">
        <v>89</v>
      </c>
      <c r="AQ99" s="101"/>
      <c r="AR99" s="101"/>
      <c r="AS99" s="101"/>
      <c r="AT99" s="101"/>
      <c r="AU99" s="101"/>
      <c r="AV99" s="101"/>
      <c r="AW99" s="101"/>
      <c r="AX99" s="101"/>
      <c r="AY99" s="101"/>
      <c r="AZ99" s="101"/>
      <c r="BA99" s="101"/>
      <c r="BB99" s="101"/>
      <c r="BC99" s="101"/>
      <c r="BD99" s="101"/>
      <c r="BE99" s="101"/>
      <c r="BF99" s="101"/>
      <c r="BG99" s="101"/>
      <c r="BH99" s="101"/>
      <c r="BI99" s="101"/>
      <c r="BJ99" s="101"/>
      <c r="BK99" s="101"/>
      <c r="BL99" s="101"/>
      <c r="BM99" s="101"/>
      <c r="BN99" s="101"/>
      <c r="BO99" s="101"/>
      <c r="BP99" s="101"/>
      <c r="BQ99" s="101"/>
    </row>
    <row r="100" spans="9:69">
      <c r="I100" s="220" t="s">
        <v>155</v>
      </c>
      <c r="J100" s="220" t="s">
        <v>1848</v>
      </c>
      <c r="K100" s="221">
        <f t="shared" si="56"/>
        <v>60</v>
      </c>
      <c r="L100" s="221">
        <f t="shared" si="56"/>
        <v>5</v>
      </c>
      <c r="M100" s="221">
        <f t="shared" si="56"/>
        <v>10</v>
      </c>
      <c r="N100" s="101"/>
      <c r="O100" s="101"/>
      <c r="P100" s="101"/>
      <c r="Q100" s="101"/>
      <c r="R100" s="101"/>
      <c r="S100" s="101"/>
      <c r="T100" s="94" t="s">
        <v>1847</v>
      </c>
      <c r="U100" s="95">
        <v>1</v>
      </c>
      <c r="V100" s="95">
        <v>5</v>
      </c>
      <c r="W100" s="101"/>
      <c r="X100" s="101"/>
      <c r="Y100" s="101"/>
      <c r="Z100" s="101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2" t="s">
        <v>49</v>
      </c>
      <c r="AO100" s="102" t="s">
        <v>49</v>
      </c>
      <c r="AP100" s="102" t="s">
        <v>49</v>
      </c>
      <c r="AQ100" s="101"/>
      <c r="AR100" s="101"/>
      <c r="AS100" s="101"/>
      <c r="AT100" s="101"/>
      <c r="AU100" s="101"/>
      <c r="AV100" s="101"/>
      <c r="AW100" s="101"/>
      <c r="AX100" s="101"/>
      <c r="AY100" s="101"/>
      <c r="AZ100" s="101"/>
      <c r="BA100" s="101"/>
      <c r="BB100" s="101"/>
      <c r="BC100" s="101"/>
      <c r="BD100" s="101"/>
      <c r="BE100" s="101"/>
      <c r="BF100" s="101"/>
      <c r="BG100" s="101"/>
      <c r="BH100" s="101"/>
      <c r="BI100" s="101"/>
      <c r="BJ100" s="101"/>
      <c r="BK100" s="101"/>
      <c r="BL100" s="101"/>
      <c r="BM100" s="101"/>
      <c r="BN100" s="101"/>
      <c r="BO100" s="101"/>
      <c r="BP100" s="101"/>
      <c r="BQ100" s="101"/>
    </row>
    <row r="101" spans="9:69" ht="15.4" customHeight="1">
      <c r="I101" s="255">
        <f>COUNTIF(I102:I105,"&lt;&gt;TS")</f>
        <v>3</v>
      </c>
      <c r="J101" s="106" t="s">
        <v>536</v>
      </c>
      <c r="K101" s="106" t="s">
        <v>784</v>
      </c>
      <c r="L101" s="106"/>
      <c r="M101" s="106"/>
      <c r="N101" s="106"/>
      <c r="O101" s="106"/>
      <c r="P101" s="106"/>
      <c r="Q101" s="106"/>
      <c r="R101" s="106"/>
      <c r="S101" s="106"/>
      <c r="T101" s="106"/>
      <c r="U101" s="107"/>
      <c r="V101" s="107"/>
      <c r="W101" s="106"/>
      <c r="X101" s="106"/>
      <c r="Y101" s="106"/>
      <c r="Z101" s="106"/>
      <c r="AA101" s="106"/>
      <c r="AB101" s="106"/>
      <c r="AC101" s="106"/>
      <c r="AD101" s="106"/>
      <c r="AE101" s="106"/>
      <c r="AF101" s="106"/>
      <c r="AG101" s="106"/>
      <c r="AH101" s="106"/>
      <c r="AI101" s="106"/>
      <c r="AJ101" s="106"/>
      <c r="AK101" s="106"/>
      <c r="AL101" s="106"/>
      <c r="AM101" s="106"/>
      <c r="AN101" s="106"/>
      <c r="AO101" s="106"/>
      <c r="AP101" s="106"/>
      <c r="AQ101" s="106"/>
      <c r="AR101" s="106"/>
      <c r="AS101" s="106"/>
      <c r="AT101" s="106"/>
      <c r="AU101" s="106"/>
      <c r="AV101" s="106"/>
      <c r="AW101" s="106"/>
      <c r="AX101" s="106"/>
      <c r="AY101" s="106"/>
      <c r="AZ101" s="106"/>
      <c r="BA101" s="106"/>
      <c r="BB101" s="106"/>
      <c r="BC101" s="106"/>
      <c r="BD101" s="106"/>
      <c r="BE101" s="106"/>
      <c r="BF101" s="106"/>
      <c r="BG101" s="106"/>
      <c r="BH101" s="106"/>
      <c r="BI101" s="106"/>
      <c r="BJ101" s="106"/>
      <c r="BK101" s="106"/>
      <c r="BL101" s="106"/>
      <c r="BM101" s="106"/>
      <c r="BN101" s="106"/>
      <c r="BO101" s="106"/>
      <c r="BP101" s="106"/>
      <c r="BQ101" s="106"/>
    </row>
    <row r="102" spans="9:69" ht="13.5">
      <c r="I102" s="108" t="s">
        <v>7</v>
      </c>
      <c r="J102" s="108" t="s">
        <v>700</v>
      </c>
      <c r="K102" s="109" t="s">
        <v>785</v>
      </c>
      <c r="L102" s="109"/>
      <c r="M102" s="109"/>
      <c r="N102" s="109"/>
      <c r="O102" s="109"/>
      <c r="P102" s="109"/>
      <c r="Q102" s="109"/>
      <c r="R102" s="109"/>
      <c r="S102" s="109"/>
      <c r="T102" s="109"/>
      <c r="U102" s="110"/>
      <c r="V102" s="110"/>
      <c r="W102" s="109"/>
      <c r="X102" s="109"/>
      <c r="Y102" s="109"/>
      <c r="Z102" s="109"/>
      <c r="AA102" s="109"/>
      <c r="AB102" s="109"/>
      <c r="AC102" s="109"/>
      <c r="AD102" s="109"/>
      <c r="AE102" s="109"/>
      <c r="AF102" s="109"/>
      <c r="AG102" s="109"/>
      <c r="AH102" s="109"/>
      <c r="AI102" s="109"/>
      <c r="AJ102" s="109"/>
      <c r="AK102" s="109"/>
      <c r="AL102" s="109"/>
      <c r="AM102" s="109"/>
      <c r="AN102" s="109"/>
      <c r="AO102" s="109"/>
      <c r="AP102" s="109"/>
      <c r="AQ102" s="109"/>
      <c r="AR102" s="109"/>
      <c r="AS102" s="109"/>
      <c r="AT102" s="109"/>
      <c r="AU102" s="109"/>
      <c r="AV102" s="109"/>
      <c r="AW102" s="109"/>
      <c r="AX102" s="109"/>
      <c r="AY102" s="109"/>
      <c r="AZ102" s="109"/>
      <c r="BA102" s="109"/>
      <c r="BB102" s="109"/>
      <c r="BC102" s="109"/>
      <c r="BD102" s="109"/>
      <c r="BE102" s="109"/>
      <c r="BF102" s="109"/>
      <c r="BG102" s="109"/>
      <c r="BH102" s="109"/>
      <c r="BI102" s="109"/>
      <c r="BJ102" s="109"/>
      <c r="BK102" s="109"/>
      <c r="BL102" s="109"/>
      <c r="BM102" s="109"/>
      <c r="BN102" s="109"/>
      <c r="BO102" s="109"/>
      <c r="BP102" s="109"/>
      <c r="BQ102" s="109"/>
    </row>
    <row r="103" spans="9:69">
      <c r="I103" s="96" t="s">
        <v>48</v>
      </c>
      <c r="J103" s="96" t="s">
        <v>701</v>
      </c>
      <c r="K103" s="100">
        <v>10</v>
      </c>
      <c r="L103" s="100">
        <v>1</v>
      </c>
      <c r="M103" s="100">
        <v>13</v>
      </c>
      <c r="N103" s="101"/>
      <c r="O103" s="101"/>
      <c r="P103" s="100">
        <v>50</v>
      </c>
      <c r="Q103" s="101"/>
      <c r="R103" s="101"/>
      <c r="S103" s="101"/>
      <c r="T103" s="94" t="s">
        <v>209</v>
      </c>
      <c r="U103" s="100" t="e">
        <f>IF(FLAG_Country&lt;&gt;"USA","설정 온도 22 degC, AUTO ON (SYNC ON) 설정","설정 온도 72 degF, AUTO ON (SYNC ON) 설정")</f>
        <v>#NAME?</v>
      </c>
      <c r="V103" s="99">
        <v>10</v>
      </c>
      <c r="W103" s="101"/>
      <c r="X103" s="101"/>
      <c r="Y103" s="101"/>
      <c r="Z103" s="101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2" t="s">
        <v>89</v>
      </c>
      <c r="AO103" s="102" t="s">
        <v>89</v>
      </c>
      <c r="AP103" s="102" t="s">
        <v>89</v>
      </c>
      <c r="AQ103" s="101"/>
      <c r="AR103" s="101"/>
      <c r="AS103" s="101"/>
      <c r="AT103" s="101"/>
      <c r="AU103" s="101"/>
      <c r="AV103" s="101"/>
      <c r="AW103" s="101"/>
      <c r="AX103" s="101"/>
      <c r="AY103" s="101"/>
      <c r="AZ103" s="102" t="s">
        <v>89</v>
      </c>
      <c r="BA103" s="101"/>
      <c r="BB103" s="101"/>
      <c r="BC103" s="101"/>
      <c r="BD103" s="101"/>
      <c r="BE103" s="101"/>
      <c r="BF103" s="101"/>
      <c r="BG103" s="101"/>
      <c r="BH103" s="101"/>
      <c r="BI103" s="101"/>
      <c r="BJ103" s="101"/>
      <c r="BK103" s="101"/>
      <c r="BL103" s="101"/>
      <c r="BM103" s="101"/>
      <c r="BN103" s="101"/>
      <c r="BO103" s="101"/>
      <c r="BP103" s="101"/>
      <c r="BQ103" s="101"/>
    </row>
    <row r="104" spans="9:69" ht="13.5">
      <c r="I104" s="220" t="s">
        <v>155</v>
      </c>
      <c r="J104" s="220" t="s">
        <v>702</v>
      </c>
      <c r="K104" s="221">
        <f>K103</f>
        <v>10</v>
      </c>
      <c r="L104" s="221">
        <f>L103</f>
        <v>1</v>
      </c>
      <c r="M104" s="221">
        <f>M103</f>
        <v>13</v>
      </c>
      <c r="N104" s="101"/>
      <c r="O104" s="101"/>
      <c r="P104" s="100">
        <v>0</v>
      </c>
      <c r="Q104" s="101"/>
      <c r="R104" s="101"/>
      <c r="S104" s="101"/>
      <c r="T104" s="111" t="e">
        <f>T_windshield</f>
        <v>#NAME?</v>
      </c>
      <c r="U104" s="100">
        <f t="shared" ref="U104" si="57">P104</f>
        <v>0</v>
      </c>
      <c r="V104" s="100">
        <v>13</v>
      </c>
      <c r="W104" s="101"/>
      <c r="X104" s="101"/>
      <c r="Y104" s="101"/>
      <c r="Z104" s="101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2" t="s">
        <v>89</v>
      </c>
      <c r="AO104" s="102" t="s">
        <v>49</v>
      </c>
      <c r="AP104" s="102" t="s">
        <v>49</v>
      </c>
      <c r="AQ104" s="101"/>
      <c r="AR104" s="101"/>
      <c r="AS104" s="101"/>
      <c r="AT104" s="101"/>
      <c r="AU104" s="101"/>
      <c r="AV104" s="101"/>
      <c r="AW104" s="101"/>
      <c r="AX104" s="101"/>
      <c r="AY104" s="101"/>
      <c r="AZ104" s="102" t="s">
        <v>1641</v>
      </c>
      <c r="BA104" s="101"/>
      <c r="BB104" s="101"/>
      <c r="BC104" s="101"/>
      <c r="BD104" s="101"/>
      <c r="BE104" s="101"/>
      <c r="BF104" s="101"/>
      <c r="BG104" s="101"/>
      <c r="BH104" s="101"/>
      <c r="BI104" s="101"/>
      <c r="BJ104" s="101"/>
      <c r="BK104" s="101"/>
      <c r="BL104" s="101"/>
      <c r="BM104" s="101"/>
      <c r="BN104" s="101"/>
      <c r="BO104" s="101"/>
      <c r="BP104" s="101"/>
      <c r="BQ104" s="101"/>
    </row>
    <row r="105" spans="9:69">
      <c r="I105" s="220" t="s">
        <v>155</v>
      </c>
      <c r="J105" s="220" t="s">
        <v>703</v>
      </c>
      <c r="K105" s="221">
        <f>K104</f>
        <v>10</v>
      </c>
      <c r="L105" s="100">
        <v>-5</v>
      </c>
      <c r="M105" s="221">
        <f>M104</f>
        <v>13</v>
      </c>
      <c r="N105" s="101"/>
      <c r="O105" s="101"/>
      <c r="P105" s="221">
        <f t="shared" ref="P105" si="58">P104</f>
        <v>0</v>
      </c>
      <c r="Q105" s="101"/>
      <c r="R105" s="101"/>
      <c r="S105" s="101"/>
      <c r="T105" s="111" t="e">
        <f>Amb_IN</f>
        <v>#NAME?</v>
      </c>
      <c r="U105" s="100">
        <f>L105</f>
        <v>-5</v>
      </c>
      <c r="V105" s="99">
        <v>30</v>
      </c>
      <c r="W105" s="101"/>
      <c r="X105" s="101"/>
      <c r="Y105" s="101"/>
      <c r="Z105" s="101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2" t="s">
        <v>89</v>
      </c>
      <c r="AO105" s="102" t="s">
        <v>89</v>
      </c>
      <c r="AP105" s="102" t="s">
        <v>89</v>
      </c>
      <c r="AQ105" s="101"/>
      <c r="AR105" s="101"/>
      <c r="AS105" s="101"/>
      <c r="AT105" s="101"/>
      <c r="AU105" s="101"/>
      <c r="AV105" s="101"/>
      <c r="AW105" s="101"/>
      <c r="AX105" s="101"/>
      <c r="AY105" s="101"/>
      <c r="AZ105" s="102" t="s">
        <v>89</v>
      </c>
      <c r="BA105" s="101"/>
      <c r="BB105" s="101"/>
      <c r="BC105" s="101"/>
      <c r="BD105" s="101"/>
      <c r="BE105" s="101"/>
      <c r="BF105" s="101"/>
      <c r="BG105" s="101"/>
      <c r="BH105" s="101"/>
      <c r="BI105" s="101"/>
      <c r="BJ105" s="101"/>
      <c r="BK105" s="101"/>
      <c r="BL105" s="101"/>
      <c r="BM105" s="101"/>
      <c r="BN105" s="101"/>
      <c r="BO105" s="101"/>
      <c r="BP105" s="101"/>
      <c r="BQ105" s="101"/>
    </row>
    <row r="106" spans="9:69">
      <c r="I106" s="255">
        <f>COUNTIF(I107:I110,"&lt;&gt;TS")</f>
        <v>3</v>
      </c>
      <c r="J106" s="106" t="s">
        <v>537</v>
      </c>
      <c r="K106" s="106" t="s">
        <v>1475</v>
      </c>
      <c r="L106" s="106"/>
      <c r="M106" s="106"/>
      <c r="N106" s="106"/>
      <c r="O106" s="106"/>
      <c r="P106" s="106"/>
      <c r="Q106" s="106"/>
      <c r="R106" s="106"/>
      <c r="S106" s="106"/>
      <c r="T106" s="106"/>
      <c r="U106" s="107"/>
      <c r="V106" s="107"/>
      <c r="W106" s="106"/>
      <c r="X106" s="106"/>
      <c r="Y106" s="106"/>
      <c r="Z106" s="106"/>
      <c r="AA106" s="106"/>
      <c r="AB106" s="106"/>
      <c r="AC106" s="106"/>
      <c r="AD106" s="106"/>
      <c r="AE106" s="106"/>
      <c r="AF106" s="106"/>
      <c r="AG106" s="106"/>
      <c r="AH106" s="106"/>
      <c r="AI106" s="106"/>
      <c r="AJ106" s="106"/>
      <c r="AK106" s="106"/>
      <c r="AL106" s="106"/>
      <c r="AM106" s="106"/>
      <c r="AN106" s="106"/>
      <c r="AO106" s="106"/>
      <c r="AP106" s="106"/>
      <c r="AQ106" s="106"/>
      <c r="AR106" s="106"/>
      <c r="AS106" s="106"/>
      <c r="AT106" s="106"/>
      <c r="AU106" s="106"/>
      <c r="AV106" s="106"/>
      <c r="AW106" s="106"/>
      <c r="AX106" s="106"/>
      <c r="AY106" s="106"/>
      <c r="AZ106" s="106"/>
      <c r="BA106" s="106"/>
      <c r="BB106" s="106"/>
      <c r="BC106" s="106"/>
      <c r="BD106" s="106"/>
      <c r="BE106" s="106"/>
      <c r="BF106" s="106"/>
      <c r="BG106" s="106"/>
      <c r="BH106" s="106"/>
      <c r="BI106" s="106"/>
      <c r="BJ106" s="106"/>
      <c r="BK106" s="106"/>
      <c r="BL106" s="106"/>
      <c r="BM106" s="106"/>
      <c r="BN106" s="106"/>
      <c r="BO106" s="106"/>
      <c r="BP106" s="106"/>
      <c r="BQ106" s="106"/>
    </row>
    <row r="107" spans="9:69" ht="13.5">
      <c r="I107" s="108" t="s">
        <v>7</v>
      </c>
      <c r="J107" s="108" t="s">
        <v>696</v>
      </c>
      <c r="K107" s="109" t="s">
        <v>1476</v>
      </c>
      <c r="L107" s="109"/>
      <c r="M107" s="109"/>
      <c r="N107" s="109"/>
      <c r="O107" s="109"/>
      <c r="P107" s="109"/>
      <c r="Q107" s="109"/>
      <c r="R107" s="109"/>
      <c r="S107" s="109"/>
      <c r="T107" s="109"/>
      <c r="U107" s="110"/>
      <c r="V107" s="110"/>
      <c r="W107" s="109"/>
      <c r="X107" s="109"/>
      <c r="Y107" s="109"/>
      <c r="Z107" s="109"/>
      <c r="AA107" s="109"/>
      <c r="AB107" s="109"/>
      <c r="AC107" s="109"/>
      <c r="AD107" s="109"/>
      <c r="AE107" s="109"/>
      <c r="AF107" s="109"/>
      <c r="AG107" s="109"/>
      <c r="AH107" s="109"/>
      <c r="AI107" s="109"/>
      <c r="AJ107" s="109"/>
      <c r="AK107" s="109"/>
      <c r="AL107" s="109"/>
      <c r="AM107" s="109"/>
      <c r="AN107" s="109"/>
      <c r="AO107" s="109"/>
      <c r="AP107" s="109"/>
      <c r="AQ107" s="109"/>
      <c r="AR107" s="109"/>
      <c r="AS107" s="109"/>
      <c r="AT107" s="109"/>
      <c r="AU107" s="109"/>
      <c r="AV107" s="109"/>
      <c r="AW107" s="109"/>
      <c r="AX107" s="109"/>
      <c r="AY107" s="109"/>
      <c r="AZ107" s="109"/>
      <c r="BA107" s="109"/>
      <c r="BB107" s="109"/>
      <c r="BC107" s="109"/>
      <c r="BD107" s="109"/>
      <c r="BE107" s="109"/>
      <c r="BF107" s="109"/>
      <c r="BG107" s="109"/>
      <c r="BH107" s="109"/>
      <c r="BI107" s="109"/>
      <c r="BJ107" s="109"/>
      <c r="BK107" s="109"/>
      <c r="BL107" s="109"/>
      <c r="BM107" s="109"/>
      <c r="BN107" s="109"/>
      <c r="BO107" s="109"/>
      <c r="BP107" s="109"/>
      <c r="BQ107" s="109"/>
    </row>
    <row r="108" spans="9:69" ht="13.5">
      <c r="I108" s="96" t="s">
        <v>48</v>
      </c>
      <c r="J108" s="96" t="s">
        <v>697</v>
      </c>
      <c r="K108" s="100">
        <v>60</v>
      </c>
      <c r="L108" s="100">
        <v>40</v>
      </c>
      <c r="M108" s="100">
        <v>13</v>
      </c>
      <c r="N108" s="101"/>
      <c r="O108" s="101"/>
      <c r="P108" s="100">
        <v>50</v>
      </c>
      <c r="Q108" s="101"/>
      <c r="R108" s="101"/>
      <c r="S108" s="101"/>
      <c r="T108" s="94" t="s">
        <v>209</v>
      </c>
      <c r="U108" s="100" t="s">
        <v>1642</v>
      </c>
      <c r="V108" s="95">
        <v>10</v>
      </c>
      <c r="W108" s="101"/>
      <c r="X108" s="101"/>
      <c r="Y108" s="101"/>
      <c r="Z108" s="101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2" t="s">
        <v>49</v>
      </c>
      <c r="AO108" s="102" t="s">
        <v>49</v>
      </c>
      <c r="AP108" s="102" t="s">
        <v>49</v>
      </c>
      <c r="AQ108" s="101"/>
      <c r="AR108" s="101"/>
      <c r="AS108" s="101"/>
      <c r="AT108" s="101"/>
      <c r="AU108" s="101"/>
      <c r="AV108" s="101"/>
      <c r="AW108" s="101"/>
      <c r="AX108" s="101"/>
      <c r="AY108" s="101"/>
      <c r="AZ108" s="101"/>
      <c r="BA108" s="101"/>
      <c r="BB108" s="101"/>
      <c r="BC108" s="101"/>
      <c r="BD108" s="101"/>
      <c r="BE108" s="101"/>
      <c r="BF108" s="101"/>
      <c r="BG108" s="101"/>
      <c r="BH108" s="101"/>
      <c r="BI108" s="101"/>
      <c r="BJ108" s="101"/>
      <c r="BK108" s="101"/>
      <c r="BL108" s="101"/>
      <c r="BM108" s="101"/>
      <c r="BN108" s="101"/>
      <c r="BO108" s="101"/>
      <c r="BP108" s="101"/>
      <c r="BQ108" s="101"/>
    </row>
    <row r="109" spans="9:69">
      <c r="I109" s="220" t="s">
        <v>155</v>
      </c>
      <c r="J109" s="220" t="s">
        <v>698</v>
      </c>
      <c r="K109" s="221">
        <f t="shared" ref="K109:L109" si="59">K108</f>
        <v>60</v>
      </c>
      <c r="L109" s="221">
        <f t="shared" si="59"/>
        <v>40</v>
      </c>
      <c r="M109" s="100">
        <v>1.5</v>
      </c>
      <c r="N109" s="101"/>
      <c r="O109" s="101"/>
      <c r="P109" s="221">
        <f t="shared" ref="P109:P110" si="60">P108</f>
        <v>50</v>
      </c>
      <c r="Q109" s="101"/>
      <c r="R109" s="101"/>
      <c r="S109" s="101"/>
      <c r="T109" s="111" t="e">
        <f>EvaDr_IN</f>
        <v>#NAME?</v>
      </c>
      <c r="U109" s="100">
        <f>M109</f>
        <v>1.5</v>
      </c>
      <c r="V109" s="100">
        <v>1</v>
      </c>
      <c r="W109" s="101"/>
      <c r="X109" s="101"/>
      <c r="Y109" s="101"/>
      <c r="Z109" s="101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2" t="s">
        <v>49</v>
      </c>
      <c r="AO109" s="102" t="s">
        <v>49</v>
      </c>
      <c r="AP109" s="102" t="s">
        <v>89</v>
      </c>
      <c r="AQ109" s="101"/>
      <c r="AR109" s="101"/>
      <c r="AS109" s="101"/>
      <c r="AT109" s="101"/>
      <c r="AU109" s="101"/>
      <c r="AV109" s="101"/>
      <c r="AW109" s="101"/>
      <c r="AX109" s="101"/>
      <c r="AY109" s="101"/>
      <c r="AZ109" s="101"/>
      <c r="BA109" s="101"/>
      <c r="BB109" s="101"/>
      <c r="BC109" s="101"/>
      <c r="BD109" s="101"/>
      <c r="BE109" s="101"/>
      <c r="BF109" s="101"/>
      <c r="BG109" s="101"/>
      <c r="BH109" s="101"/>
      <c r="BI109" s="101"/>
      <c r="BJ109" s="101"/>
      <c r="BK109" s="101"/>
      <c r="BL109" s="101"/>
      <c r="BM109" s="101"/>
      <c r="BN109" s="101"/>
      <c r="BO109" s="101"/>
      <c r="BP109" s="101"/>
      <c r="BQ109" s="101"/>
    </row>
    <row r="110" spans="9:69">
      <c r="I110" s="220" t="s">
        <v>155</v>
      </c>
      <c r="J110" s="220" t="s">
        <v>699</v>
      </c>
      <c r="K110" s="221">
        <f t="shared" ref="K110:L110" si="61">K109</f>
        <v>60</v>
      </c>
      <c r="L110" s="221">
        <f t="shared" si="61"/>
        <v>40</v>
      </c>
      <c r="M110" s="100">
        <v>3</v>
      </c>
      <c r="N110" s="101"/>
      <c r="O110" s="101"/>
      <c r="P110" s="221">
        <f t="shared" si="60"/>
        <v>50</v>
      </c>
      <c r="Q110" s="101"/>
      <c r="R110" s="101"/>
      <c r="S110" s="101"/>
      <c r="T110" s="111" t="e">
        <f>EvaDr_IN</f>
        <v>#NAME?</v>
      </c>
      <c r="U110" s="100">
        <f>M110</f>
        <v>3</v>
      </c>
      <c r="V110" s="100">
        <v>1</v>
      </c>
      <c r="W110" s="101"/>
      <c r="X110" s="101"/>
      <c r="Y110" s="101"/>
      <c r="Z110" s="101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2" t="s">
        <v>49</v>
      </c>
      <c r="AO110" s="102" t="s">
        <v>49</v>
      </c>
      <c r="AP110" s="102" t="s">
        <v>49</v>
      </c>
      <c r="AQ110" s="101"/>
      <c r="AR110" s="101"/>
      <c r="AS110" s="101"/>
      <c r="AT110" s="101"/>
      <c r="AU110" s="101"/>
      <c r="AV110" s="101"/>
      <c r="AW110" s="101"/>
      <c r="AX110" s="101"/>
      <c r="AY110" s="101"/>
      <c r="AZ110" s="101"/>
      <c r="BA110" s="101"/>
      <c r="BB110" s="101"/>
      <c r="BC110" s="101"/>
      <c r="BD110" s="101"/>
      <c r="BE110" s="101"/>
      <c r="BF110" s="101"/>
      <c r="BG110" s="101"/>
      <c r="BH110" s="101"/>
      <c r="BI110" s="101"/>
      <c r="BJ110" s="101"/>
      <c r="BK110" s="101"/>
      <c r="BL110" s="101"/>
      <c r="BM110" s="101"/>
      <c r="BN110" s="101"/>
      <c r="BO110" s="101"/>
      <c r="BP110" s="101"/>
      <c r="BQ110" s="101"/>
    </row>
    <row r="111" spans="9:69">
      <c r="I111" s="255">
        <f>COUNTIF(I112:I115,"&lt;&gt;TS")</f>
        <v>3</v>
      </c>
      <c r="J111" s="106" t="s">
        <v>538</v>
      </c>
      <c r="K111" s="106" t="s">
        <v>787</v>
      </c>
      <c r="L111" s="106"/>
      <c r="M111" s="106"/>
      <c r="N111" s="106"/>
      <c r="O111" s="106"/>
      <c r="P111" s="106"/>
      <c r="Q111" s="106"/>
      <c r="R111" s="106"/>
      <c r="S111" s="106"/>
      <c r="T111" s="106"/>
      <c r="U111" s="107"/>
      <c r="V111" s="107"/>
      <c r="W111" s="106"/>
      <c r="X111" s="106"/>
      <c r="Y111" s="106"/>
      <c r="Z111" s="106"/>
      <c r="AA111" s="106"/>
      <c r="AB111" s="106"/>
      <c r="AC111" s="106"/>
      <c r="AD111" s="106"/>
      <c r="AE111" s="106"/>
      <c r="AF111" s="106"/>
      <c r="AG111" s="106"/>
      <c r="AH111" s="106"/>
      <c r="AI111" s="106"/>
      <c r="AJ111" s="106"/>
      <c r="AK111" s="106"/>
      <c r="AL111" s="106"/>
      <c r="AM111" s="106"/>
      <c r="AN111" s="106"/>
      <c r="AO111" s="106"/>
      <c r="AP111" s="106"/>
      <c r="AQ111" s="106"/>
      <c r="AR111" s="106"/>
      <c r="AS111" s="106"/>
      <c r="AT111" s="106"/>
      <c r="AU111" s="106"/>
      <c r="AV111" s="106"/>
      <c r="AW111" s="106"/>
      <c r="AX111" s="106"/>
      <c r="AY111" s="106"/>
      <c r="AZ111" s="106"/>
      <c r="BA111" s="106"/>
      <c r="BB111" s="106"/>
      <c r="BC111" s="106"/>
      <c r="BD111" s="106"/>
      <c r="BE111" s="106"/>
      <c r="BF111" s="106"/>
      <c r="BG111" s="106"/>
      <c r="BH111" s="106"/>
      <c r="BI111" s="106"/>
      <c r="BJ111" s="106"/>
      <c r="BK111" s="106"/>
      <c r="BL111" s="106"/>
      <c r="BM111" s="106"/>
      <c r="BN111" s="106"/>
      <c r="BO111" s="106"/>
      <c r="BP111" s="106"/>
      <c r="BQ111" s="106"/>
    </row>
    <row r="112" spans="9:69">
      <c r="I112" s="108" t="s">
        <v>7</v>
      </c>
      <c r="J112" s="112" t="s">
        <v>692</v>
      </c>
      <c r="K112" s="109" t="e">
        <f>CONCATENATE("설정온도 Hi 설정에 따른 MaxHot 로직 ",IF(MAX_HOT="O","적용","미적용")," 확인")</f>
        <v>#NAME?</v>
      </c>
      <c r="L112" s="109"/>
      <c r="M112" s="109"/>
      <c r="N112" s="109"/>
      <c r="O112" s="109"/>
      <c r="P112" s="109"/>
      <c r="Q112" s="109"/>
      <c r="R112" s="109"/>
      <c r="S112" s="109"/>
      <c r="T112" s="109"/>
      <c r="U112" s="110"/>
      <c r="V112" s="110"/>
      <c r="W112" s="109"/>
      <c r="X112" s="109"/>
      <c r="Y112" s="109"/>
      <c r="Z112" s="109"/>
      <c r="AA112" s="109"/>
      <c r="AB112" s="109"/>
      <c r="AC112" s="109"/>
      <c r="AD112" s="109"/>
      <c r="AE112" s="109"/>
      <c r="AF112" s="109"/>
      <c r="AG112" s="109"/>
      <c r="AH112" s="109"/>
      <c r="AI112" s="109"/>
      <c r="AJ112" s="109"/>
      <c r="AK112" s="109"/>
      <c r="AL112" s="109"/>
      <c r="AM112" s="109"/>
      <c r="AN112" s="109"/>
      <c r="AO112" s="109"/>
      <c r="AP112" s="109"/>
      <c r="AQ112" s="109"/>
      <c r="AR112" s="109"/>
      <c r="AS112" s="109"/>
      <c r="AT112" s="109"/>
      <c r="AU112" s="109"/>
      <c r="AV112" s="109"/>
      <c r="AW112" s="109"/>
      <c r="AX112" s="109"/>
      <c r="AY112" s="109"/>
      <c r="AZ112" s="109"/>
      <c r="BA112" s="109"/>
      <c r="BB112" s="109"/>
      <c r="BC112" s="109"/>
      <c r="BD112" s="109"/>
      <c r="BE112" s="109"/>
      <c r="BF112" s="109"/>
      <c r="BG112" s="109"/>
      <c r="BH112" s="109"/>
      <c r="BI112" s="109"/>
      <c r="BJ112" s="109"/>
      <c r="BK112" s="109"/>
      <c r="BL112" s="109"/>
      <c r="BM112" s="109"/>
      <c r="BN112" s="109"/>
      <c r="BO112" s="109"/>
      <c r="BP112" s="109"/>
      <c r="BQ112" s="109"/>
    </row>
    <row r="113" spans="9:69" ht="13.5">
      <c r="I113" s="96" t="s">
        <v>48</v>
      </c>
      <c r="J113" s="96" t="s">
        <v>693</v>
      </c>
      <c r="K113" s="100">
        <v>60</v>
      </c>
      <c r="L113" s="100">
        <v>40</v>
      </c>
      <c r="M113" s="100">
        <v>13</v>
      </c>
      <c r="N113" s="101"/>
      <c r="O113" s="101"/>
      <c r="P113" s="101"/>
      <c r="Q113" s="101"/>
      <c r="R113" s="101"/>
      <c r="S113" s="101"/>
      <c r="T113" s="94" t="s">
        <v>209</v>
      </c>
      <c r="U113" s="100" t="e">
        <f>CONCATENATE("설정온도=Hi - ",const_Tset_resolution_1," ",IF(FLAG_Country&lt;&gt;"USA","degC","degF")," 설정")</f>
        <v>#NAME?</v>
      </c>
      <c r="V113" s="95">
        <v>10</v>
      </c>
      <c r="W113" s="100" t="s">
        <v>49</v>
      </c>
      <c r="X113" s="100" t="s">
        <v>49</v>
      </c>
      <c r="Y113" s="100" t="s">
        <v>237</v>
      </c>
      <c r="Z113" s="101"/>
      <c r="AA113" s="101"/>
      <c r="AB113" s="100" t="s">
        <v>237</v>
      </c>
      <c r="AC113" s="101"/>
      <c r="AD113" s="101"/>
      <c r="AE113" s="100" t="s">
        <v>237</v>
      </c>
      <c r="AF113" s="100" t="s">
        <v>250</v>
      </c>
      <c r="AG113" s="100" t="s">
        <v>236</v>
      </c>
      <c r="AH113" s="101"/>
      <c r="AI113" s="100" t="e">
        <f>const_Tset_max_1-const_Tset_resolution_1</f>
        <v>#NAME?</v>
      </c>
      <c r="AJ113" s="100" t="e">
        <f>const_Tset_max_1-const_Tset_resolution_1</f>
        <v>#NAME?</v>
      </c>
      <c r="AK113" s="101"/>
      <c r="AL113" s="101"/>
      <c r="AM113" s="101"/>
      <c r="AN113" s="102" t="s">
        <v>49</v>
      </c>
      <c r="AO113" s="101"/>
      <c r="AP113" s="102" t="s">
        <v>49</v>
      </c>
      <c r="AQ113" s="100" t="s">
        <v>51</v>
      </c>
      <c r="AR113" s="100" t="s">
        <v>51</v>
      </c>
      <c r="AS113" s="101"/>
      <c r="AT113" s="101"/>
      <c r="AU113" s="101"/>
      <c r="AV113" s="100" t="s">
        <v>405</v>
      </c>
      <c r="AW113" s="100" t="s">
        <v>405</v>
      </c>
      <c r="AX113" s="101"/>
      <c r="AY113" s="101"/>
      <c r="AZ113" s="101"/>
      <c r="BA113" s="101"/>
      <c r="BB113" s="101"/>
      <c r="BC113" s="101"/>
      <c r="BD113" s="101"/>
      <c r="BE113" s="101"/>
      <c r="BF113" s="101"/>
      <c r="BG113" s="101"/>
      <c r="BH113" s="101"/>
      <c r="BI113" s="101"/>
      <c r="BJ113" s="101"/>
      <c r="BK113" s="101"/>
      <c r="BL113" s="101"/>
      <c r="BM113" s="101"/>
      <c r="BN113" s="101"/>
      <c r="BO113" s="101"/>
      <c r="BP113" s="101"/>
      <c r="BQ113" s="101"/>
    </row>
    <row r="114" spans="9:69">
      <c r="I114" s="220" t="s">
        <v>155</v>
      </c>
      <c r="J114" s="220" t="s">
        <v>694</v>
      </c>
      <c r="K114" s="221">
        <f>K113</f>
        <v>60</v>
      </c>
      <c r="L114" s="221">
        <f t="shared" ref="L114:M114" si="62">L113</f>
        <v>40</v>
      </c>
      <c r="M114" s="221">
        <f t="shared" si="62"/>
        <v>13</v>
      </c>
      <c r="N114" s="101"/>
      <c r="O114" s="101"/>
      <c r="P114" s="101"/>
      <c r="Q114" s="101"/>
      <c r="R114" s="101"/>
      <c r="S114" s="101"/>
      <c r="T114" s="94" t="s">
        <v>378</v>
      </c>
      <c r="U114" s="95">
        <v>1</v>
      </c>
      <c r="V114" s="95">
        <v>10</v>
      </c>
      <c r="W114" s="100" t="s">
        <v>49</v>
      </c>
      <c r="X114" s="100" t="s">
        <v>49</v>
      </c>
      <c r="Y114" s="100" t="e">
        <f>IF(MAX_HOT="O","Floor",#REF!)</f>
        <v>#NAME?</v>
      </c>
      <c r="Z114" s="101"/>
      <c r="AA114" s="101"/>
      <c r="AB114" s="100" t="e">
        <f>Y114</f>
        <v>#NAME?</v>
      </c>
      <c r="AC114" s="101"/>
      <c r="AD114" s="101"/>
      <c r="AE114" s="100" t="e">
        <f>AB114</f>
        <v>#NAME?</v>
      </c>
      <c r="AF114" s="100" t="e">
        <f>VLOOKUP(VLOOKUP(AG114,Tbl_Blower_Volt,2),Tbl_BlowerUp_Display,2)</f>
        <v>#NAME?</v>
      </c>
      <c r="AG114" s="100" t="e">
        <f>IF(MAX_HOT="O","AutoHi",#REF!)</f>
        <v>#NAME?</v>
      </c>
      <c r="AH114" s="101"/>
      <c r="AI114" s="100" t="e">
        <f>const_Tset_max_1</f>
        <v>#NAME?</v>
      </c>
      <c r="AJ114" s="100" t="e">
        <f>const_Tset_max_1</f>
        <v>#NAME?</v>
      </c>
      <c r="AK114" s="101"/>
      <c r="AL114" s="101"/>
      <c r="AM114" s="101"/>
      <c r="AN114" s="100" t="str">
        <f>AN113</f>
        <v>On</v>
      </c>
      <c r="AO114" s="101"/>
      <c r="AP114" s="100" t="str">
        <f>AP113</f>
        <v>On</v>
      </c>
      <c r="AQ114" s="100" t="e">
        <f>IF(MAX_HOT="O","FRE",#REF!)</f>
        <v>#NAME?</v>
      </c>
      <c r="AR114" s="100" t="e">
        <f>AQ114</f>
        <v>#NAME?</v>
      </c>
      <c r="AS114" s="101"/>
      <c r="AT114" s="101"/>
      <c r="AU114" s="101"/>
      <c r="AV114" s="100" t="e">
        <f>IF(MAX_HOT="O","hot",#REF!)</f>
        <v>#NAME?</v>
      </c>
      <c r="AW114" s="100" t="e">
        <f>IF(MAX_HOT="O","hot",#REF!)</f>
        <v>#NAME?</v>
      </c>
      <c r="AX114" s="101"/>
      <c r="AY114" s="101"/>
      <c r="AZ114" s="101"/>
      <c r="BA114" s="101"/>
      <c r="BB114" s="101"/>
      <c r="BC114" s="101"/>
      <c r="BD114" s="101"/>
      <c r="BE114" s="101"/>
      <c r="BF114" s="101"/>
      <c r="BG114" s="101"/>
      <c r="BH114" s="101"/>
      <c r="BI114" s="101"/>
      <c r="BJ114" s="101"/>
      <c r="BK114" s="101"/>
      <c r="BL114" s="101"/>
      <c r="BM114" s="101"/>
      <c r="BN114" s="101"/>
      <c r="BO114" s="101"/>
      <c r="BP114" s="101"/>
      <c r="BQ114" s="101"/>
    </row>
    <row r="115" spans="9:69">
      <c r="I115" s="220" t="s">
        <v>155</v>
      </c>
      <c r="J115" s="220" t="s">
        <v>695</v>
      </c>
      <c r="K115" s="221">
        <f t="shared" ref="K115:M115" si="63">K114</f>
        <v>60</v>
      </c>
      <c r="L115" s="221">
        <f t="shared" si="63"/>
        <v>40</v>
      </c>
      <c r="M115" s="221">
        <f t="shared" si="63"/>
        <v>13</v>
      </c>
      <c r="N115" s="101"/>
      <c r="O115" s="101"/>
      <c r="P115" s="101"/>
      <c r="Q115" s="101"/>
      <c r="R115" s="101"/>
      <c r="S115" s="101"/>
      <c r="T115" s="94" t="s">
        <v>656</v>
      </c>
      <c r="U115" s="95">
        <v>1</v>
      </c>
      <c r="V115" s="95">
        <v>10</v>
      </c>
      <c r="W115" s="100" t="s">
        <v>49</v>
      </c>
      <c r="X115" s="100" t="s">
        <v>49</v>
      </c>
      <c r="Y115" s="100" t="s">
        <v>237</v>
      </c>
      <c r="Z115" s="101"/>
      <c r="AA115" s="101"/>
      <c r="AB115" s="100" t="s">
        <v>237</v>
      </c>
      <c r="AC115" s="101"/>
      <c r="AD115" s="101"/>
      <c r="AE115" s="100" t="s">
        <v>237</v>
      </c>
      <c r="AF115" s="100" t="str">
        <f>AF113</f>
        <v>Blower 제어단수 확인</v>
      </c>
      <c r="AG115" s="100" t="str">
        <f>AG113</f>
        <v>blower_TD 연산에 따름</v>
      </c>
      <c r="AH115" s="101"/>
      <c r="AI115" s="100" t="e">
        <f>AI113</f>
        <v>#NAME?</v>
      </c>
      <c r="AJ115" s="100" t="e">
        <f>AJ113</f>
        <v>#NAME?</v>
      </c>
      <c r="AK115" s="101"/>
      <c r="AL115" s="101"/>
      <c r="AM115" s="101"/>
      <c r="AN115" s="100" t="str">
        <f>AN113</f>
        <v>On</v>
      </c>
      <c r="AO115" s="101"/>
      <c r="AP115" s="100" t="str">
        <f>AP113</f>
        <v>On</v>
      </c>
      <c r="AQ115" s="100" t="s">
        <v>51</v>
      </c>
      <c r="AR115" s="100" t="s">
        <v>51</v>
      </c>
      <c r="AS115" s="101"/>
      <c r="AT115" s="101"/>
      <c r="AU115" s="101"/>
      <c r="AV115" s="100" t="str">
        <f>AV113</f>
        <v>Temp_TD 연산에 따름</v>
      </c>
      <c r="AW115" s="100" t="str">
        <f>AW113</f>
        <v>Temp_TD 연산에 따름</v>
      </c>
      <c r="AX115" s="101"/>
      <c r="AY115" s="101"/>
      <c r="AZ115" s="101"/>
      <c r="BA115" s="101"/>
      <c r="BB115" s="101"/>
      <c r="BC115" s="101"/>
      <c r="BD115" s="101"/>
      <c r="BE115" s="101"/>
      <c r="BF115" s="101"/>
      <c r="BG115" s="101"/>
      <c r="BH115" s="101"/>
      <c r="BI115" s="101"/>
      <c r="BJ115" s="101"/>
      <c r="BK115" s="101"/>
      <c r="BL115" s="101"/>
      <c r="BM115" s="101"/>
      <c r="BN115" s="101"/>
      <c r="BO115" s="101"/>
      <c r="BP115" s="101"/>
      <c r="BQ115" s="101"/>
    </row>
    <row r="116" spans="9:69">
      <c r="I116" s="109" t="s">
        <v>7</v>
      </c>
      <c r="J116" s="118" t="s">
        <v>1566</v>
      </c>
      <c r="K116" s="109" t="s">
        <v>788</v>
      </c>
      <c r="L116" s="109"/>
      <c r="M116" s="109"/>
      <c r="N116" s="109"/>
      <c r="O116" s="109"/>
      <c r="P116" s="109"/>
      <c r="Q116" s="109"/>
      <c r="R116" s="109"/>
      <c r="S116" s="109"/>
      <c r="T116" s="109"/>
      <c r="U116" s="110"/>
      <c r="V116" s="110"/>
      <c r="W116" s="109"/>
      <c r="X116" s="109"/>
      <c r="Y116" s="109"/>
      <c r="Z116" s="109"/>
      <c r="AA116" s="109"/>
      <c r="AB116" s="109"/>
      <c r="AC116" s="109"/>
      <c r="AD116" s="109"/>
      <c r="AE116" s="109"/>
      <c r="AF116" s="109"/>
      <c r="AG116" s="109"/>
      <c r="AH116" s="109"/>
      <c r="AI116" s="109"/>
      <c r="AJ116" s="109"/>
      <c r="AK116" s="109"/>
      <c r="AL116" s="109"/>
      <c r="AM116" s="109"/>
      <c r="AN116" s="109"/>
      <c r="AO116" s="109"/>
      <c r="AP116" s="109"/>
      <c r="AQ116" s="109"/>
      <c r="AR116" s="109"/>
      <c r="AS116" s="109"/>
      <c r="AT116" s="109"/>
      <c r="AU116" s="109"/>
      <c r="AV116" s="109"/>
      <c r="AW116" s="109"/>
      <c r="AX116" s="109"/>
      <c r="AY116" s="109"/>
      <c r="AZ116" s="109"/>
      <c r="BA116" s="109"/>
      <c r="BB116" s="109"/>
      <c r="BC116" s="109"/>
      <c r="BD116" s="109"/>
      <c r="BE116" s="109"/>
      <c r="BF116" s="109"/>
      <c r="BG116" s="109"/>
      <c r="BH116" s="109"/>
      <c r="BI116" s="109"/>
      <c r="BJ116" s="109"/>
      <c r="BK116" s="109"/>
      <c r="BL116" s="109"/>
      <c r="BM116" s="109"/>
      <c r="BN116" s="109"/>
      <c r="BO116" s="109"/>
      <c r="BP116" s="109"/>
      <c r="BQ116" s="109"/>
    </row>
    <row r="117" spans="9:69">
      <c r="I117" s="255">
        <f>COUNTIF(I118:I121,"&lt;&gt;TS")</f>
        <v>3</v>
      </c>
      <c r="J117" s="119" t="s">
        <v>539</v>
      </c>
      <c r="K117" s="119" t="s">
        <v>789</v>
      </c>
      <c r="L117" s="119"/>
      <c r="M117" s="119"/>
      <c r="N117" s="119"/>
      <c r="O117" s="119"/>
      <c r="P117" s="119"/>
      <c r="Q117" s="119"/>
      <c r="R117" s="119"/>
      <c r="S117" s="119"/>
      <c r="T117" s="119"/>
      <c r="U117" s="120"/>
      <c r="V117" s="120"/>
      <c r="W117" s="119"/>
      <c r="X117" s="119"/>
      <c r="Y117" s="119"/>
      <c r="Z117" s="119"/>
      <c r="AA117" s="119"/>
      <c r="AB117" s="119"/>
      <c r="AC117" s="119"/>
      <c r="AD117" s="119"/>
      <c r="AE117" s="119"/>
      <c r="AF117" s="119"/>
      <c r="AG117" s="119"/>
      <c r="AH117" s="119"/>
      <c r="AI117" s="119"/>
      <c r="AJ117" s="119"/>
      <c r="AK117" s="119"/>
      <c r="AL117" s="119"/>
      <c r="AM117" s="119"/>
      <c r="AN117" s="119"/>
      <c r="AO117" s="119"/>
      <c r="AP117" s="119"/>
      <c r="AQ117" s="119"/>
      <c r="AR117" s="119"/>
      <c r="AS117" s="119"/>
      <c r="AT117" s="119"/>
      <c r="AU117" s="119"/>
      <c r="AV117" s="119"/>
      <c r="AW117" s="119"/>
      <c r="AX117" s="119"/>
      <c r="AY117" s="119"/>
      <c r="AZ117" s="119"/>
      <c r="BA117" s="119"/>
      <c r="BB117" s="119"/>
      <c r="BC117" s="119"/>
      <c r="BD117" s="119"/>
      <c r="BE117" s="119"/>
      <c r="BF117" s="119"/>
      <c r="BG117" s="119"/>
      <c r="BH117" s="119"/>
      <c r="BI117" s="119"/>
      <c r="BJ117" s="119"/>
      <c r="BK117" s="119"/>
      <c r="BL117" s="119"/>
      <c r="BM117" s="119"/>
      <c r="BN117" s="119"/>
      <c r="BO117" s="119"/>
      <c r="BP117" s="119"/>
      <c r="BQ117" s="119"/>
    </row>
    <row r="118" spans="9:69">
      <c r="I118" s="108" t="s">
        <v>7</v>
      </c>
      <c r="J118" s="108" t="s">
        <v>637</v>
      </c>
      <c r="K118" s="109" t="e">
        <f>CONCATENATE("설정온도 Lo 설정에 따른 MaxCool 로직 ",IF(MAX_COOL="O","적용","미적용")," 확인")</f>
        <v>#NAME?</v>
      </c>
      <c r="L118" s="109"/>
      <c r="M118" s="109"/>
      <c r="N118" s="109"/>
      <c r="O118" s="109"/>
      <c r="P118" s="109"/>
      <c r="Q118" s="109"/>
      <c r="R118" s="109"/>
      <c r="S118" s="109"/>
      <c r="T118" s="109"/>
      <c r="U118" s="110"/>
      <c r="V118" s="110"/>
      <c r="W118" s="109"/>
      <c r="X118" s="109"/>
      <c r="Y118" s="109"/>
      <c r="Z118" s="109"/>
      <c r="AA118" s="109"/>
      <c r="AB118" s="109"/>
      <c r="AC118" s="109"/>
      <c r="AD118" s="109"/>
      <c r="AE118" s="109"/>
      <c r="AF118" s="109"/>
      <c r="AG118" s="109"/>
      <c r="AH118" s="109"/>
      <c r="AI118" s="109"/>
      <c r="AJ118" s="109"/>
      <c r="AK118" s="109"/>
      <c r="AL118" s="109"/>
      <c r="AM118" s="109"/>
      <c r="AN118" s="109"/>
      <c r="AO118" s="109"/>
      <c r="AP118" s="109"/>
      <c r="AQ118" s="109"/>
      <c r="AR118" s="109"/>
      <c r="AS118" s="109"/>
      <c r="AT118" s="109"/>
      <c r="AU118" s="109"/>
      <c r="AV118" s="109"/>
      <c r="AW118" s="109"/>
      <c r="AX118" s="109"/>
      <c r="AY118" s="109"/>
      <c r="AZ118" s="109"/>
      <c r="BA118" s="109"/>
      <c r="BB118" s="109"/>
      <c r="BC118" s="109"/>
      <c r="BD118" s="109"/>
      <c r="BE118" s="109"/>
      <c r="BF118" s="109"/>
      <c r="BG118" s="109"/>
      <c r="BH118" s="109"/>
      <c r="BI118" s="109"/>
      <c r="BJ118" s="109"/>
      <c r="BK118" s="109"/>
      <c r="BL118" s="109"/>
      <c r="BM118" s="109"/>
      <c r="BN118" s="109"/>
      <c r="BO118" s="109"/>
      <c r="BP118" s="109"/>
      <c r="BQ118" s="109"/>
    </row>
    <row r="119" spans="9:69" ht="13.5">
      <c r="I119" s="96" t="s">
        <v>48</v>
      </c>
      <c r="J119" s="96" t="s">
        <v>638</v>
      </c>
      <c r="K119" s="100">
        <v>-40</v>
      </c>
      <c r="L119" s="100">
        <v>5</v>
      </c>
      <c r="M119" s="100">
        <v>13</v>
      </c>
      <c r="N119" s="101"/>
      <c r="O119" s="101"/>
      <c r="P119" s="101"/>
      <c r="Q119" s="101"/>
      <c r="R119" s="101"/>
      <c r="S119" s="101"/>
      <c r="T119" s="94" t="s">
        <v>209</v>
      </c>
      <c r="U119" s="100" t="e">
        <f>CONCATENATE("설정온도=Lo + ",const_Tset_resolution_1," ",IF(FLAG_Country&lt;&gt;"USA","degC","degF")," 설정")</f>
        <v>#NAME?</v>
      </c>
      <c r="V119" s="95">
        <v>10</v>
      </c>
      <c r="W119" s="100" t="s">
        <v>49</v>
      </c>
      <c r="X119" s="100" t="s">
        <v>49</v>
      </c>
      <c r="Y119" s="100" t="s">
        <v>235</v>
      </c>
      <c r="Z119" s="101"/>
      <c r="AA119" s="101"/>
      <c r="AB119" s="100" t="s">
        <v>235</v>
      </c>
      <c r="AC119" s="101"/>
      <c r="AD119" s="101"/>
      <c r="AE119" s="100" t="s">
        <v>235</v>
      </c>
      <c r="AF119" s="100" t="s">
        <v>250</v>
      </c>
      <c r="AG119" s="100" t="s">
        <v>236</v>
      </c>
      <c r="AH119" s="101"/>
      <c r="AI119" s="100" t="e">
        <f>const_Tset_min_1+const_Tset_resolution_1</f>
        <v>#NAME?</v>
      </c>
      <c r="AJ119" s="100" t="e">
        <f>const_Tset_min_1+const_Tset_resolution_1</f>
        <v>#NAME?</v>
      </c>
      <c r="AK119" s="101"/>
      <c r="AL119" s="101"/>
      <c r="AM119" s="101"/>
      <c r="AN119" s="102" t="s">
        <v>89</v>
      </c>
      <c r="AO119" s="101"/>
      <c r="AP119" s="102" t="s">
        <v>89</v>
      </c>
      <c r="AQ119" s="100" t="s">
        <v>404</v>
      </c>
      <c r="AR119" s="100" t="s">
        <v>404</v>
      </c>
      <c r="AS119" s="101"/>
      <c r="AT119" s="101"/>
      <c r="AU119" s="101"/>
      <c r="AV119" s="100" t="s">
        <v>405</v>
      </c>
      <c r="AW119" s="100" t="s">
        <v>405</v>
      </c>
      <c r="AX119" s="101"/>
      <c r="AY119" s="101"/>
      <c r="AZ119" s="101"/>
      <c r="BA119" s="101"/>
      <c r="BB119" s="101"/>
      <c r="BC119" s="101"/>
      <c r="BD119" s="101"/>
      <c r="BE119" s="101"/>
      <c r="BF119" s="101"/>
      <c r="BG119" s="101"/>
      <c r="BH119" s="101"/>
      <c r="BI119" s="101"/>
      <c r="BJ119" s="101"/>
      <c r="BK119" s="101"/>
      <c r="BL119" s="101"/>
      <c r="BM119" s="101"/>
      <c r="BN119" s="101"/>
      <c r="BO119" s="101"/>
      <c r="BP119" s="101"/>
      <c r="BQ119" s="101"/>
    </row>
    <row r="120" spans="9:69">
      <c r="I120" s="220" t="s">
        <v>155</v>
      </c>
      <c r="J120" s="220" t="s">
        <v>639</v>
      </c>
      <c r="K120" s="221">
        <f>K119</f>
        <v>-40</v>
      </c>
      <c r="L120" s="221">
        <f t="shared" ref="L120" si="64">L119</f>
        <v>5</v>
      </c>
      <c r="M120" s="221">
        <f t="shared" ref="M120" si="65">M119</f>
        <v>13</v>
      </c>
      <c r="N120" s="101"/>
      <c r="O120" s="101"/>
      <c r="P120" s="101"/>
      <c r="Q120" s="101"/>
      <c r="R120" s="101"/>
      <c r="S120" s="101"/>
      <c r="T120" s="94" t="s">
        <v>656</v>
      </c>
      <c r="U120" s="95">
        <v>1</v>
      </c>
      <c r="V120" s="95">
        <v>10</v>
      </c>
      <c r="W120" s="100" t="s">
        <v>49</v>
      </c>
      <c r="X120" s="100" t="s">
        <v>49</v>
      </c>
      <c r="Y120" s="100" t="e">
        <f>IF(MAX_COOL="O","Vent",#REF!)</f>
        <v>#NAME?</v>
      </c>
      <c r="Z120" s="101"/>
      <c r="AA120" s="101"/>
      <c r="AB120" s="100" t="e">
        <f>Y120</f>
        <v>#NAME?</v>
      </c>
      <c r="AC120" s="101"/>
      <c r="AD120" s="101"/>
      <c r="AE120" s="100" t="e">
        <f>AB120</f>
        <v>#NAME?</v>
      </c>
      <c r="AF120" s="100" t="e">
        <f>VLOOKUP(VLOOKUP(AG120,Tbl_Blower_Volt,2),Tbl_BlowerUp_Display,2)</f>
        <v>#NAME?</v>
      </c>
      <c r="AG120" s="100" t="e">
        <f>IF(MAX_COOL="O",8,#REF!)</f>
        <v>#NAME?</v>
      </c>
      <c r="AH120" s="101"/>
      <c r="AI120" s="100" t="e">
        <f>const_Tset_min_1</f>
        <v>#NAME?</v>
      </c>
      <c r="AJ120" s="100" t="e">
        <f>const_Tset_min_1</f>
        <v>#NAME?</v>
      </c>
      <c r="AK120" s="101"/>
      <c r="AL120" s="101"/>
      <c r="AM120" s="101"/>
      <c r="AN120" s="100" t="e">
        <f>IF(MAX_COOL="O","On",#REF!)</f>
        <v>#NAME?</v>
      </c>
      <c r="AO120" s="101"/>
      <c r="AP120" s="100" t="e">
        <f>IF(MAX_COOL="O","On",#REF!)</f>
        <v>#NAME?</v>
      </c>
      <c r="AQ120" s="100" t="e">
        <f>IF(MAX_COOL="O","REC",#REF!)</f>
        <v>#NAME?</v>
      </c>
      <c r="AR120" s="100" t="e">
        <f>AQ120</f>
        <v>#NAME?</v>
      </c>
      <c r="AS120" s="101"/>
      <c r="AT120" s="101"/>
      <c r="AU120" s="101"/>
      <c r="AV120" s="100" t="e">
        <f>IF(MAX_COOL="O","Cool",#REF!)</f>
        <v>#NAME?</v>
      </c>
      <c r="AW120" s="100" t="e">
        <f>IF(MAX_COOL="O","Cool",#REF!)</f>
        <v>#NAME?</v>
      </c>
      <c r="AX120" s="101"/>
      <c r="AY120" s="101"/>
      <c r="AZ120" s="101"/>
      <c r="BA120" s="101"/>
      <c r="BB120" s="101"/>
      <c r="BC120" s="101"/>
      <c r="BD120" s="101"/>
      <c r="BE120" s="101"/>
      <c r="BF120" s="101"/>
      <c r="BG120" s="101"/>
      <c r="BH120" s="101"/>
      <c r="BI120" s="101"/>
      <c r="BJ120" s="101"/>
      <c r="BK120" s="101"/>
      <c r="BL120" s="101"/>
      <c r="BM120" s="101"/>
      <c r="BN120" s="101"/>
      <c r="BO120" s="101"/>
      <c r="BP120" s="101"/>
      <c r="BQ120" s="101"/>
    </row>
    <row r="121" spans="9:69">
      <c r="I121" s="220" t="s">
        <v>155</v>
      </c>
      <c r="J121" s="220" t="s">
        <v>640</v>
      </c>
      <c r="K121" s="221">
        <f t="shared" ref="K121:M121" si="66">K120</f>
        <v>-40</v>
      </c>
      <c r="L121" s="221">
        <f t="shared" si="66"/>
        <v>5</v>
      </c>
      <c r="M121" s="221">
        <f t="shared" si="66"/>
        <v>13</v>
      </c>
      <c r="N121" s="101"/>
      <c r="O121" s="101"/>
      <c r="P121" s="101"/>
      <c r="Q121" s="101"/>
      <c r="R121" s="101"/>
      <c r="S121" s="101"/>
      <c r="T121" s="94" t="s">
        <v>378</v>
      </c>
      <c r="U121" s="95">
        <v>1</v>
      </c>
      <c r="V121" s="95">
        <v>10</v>
      </c>
      <c r="W121" s="100" t="s">
        <v>49</v>
      </c>
      <c r="X121" s="100" t="s">
        <v>49</v>
      </c>
      <c r="Y121" s="100" t="s">
        <v>235</v>
      </c>
      <c r="Z121" s="101"/>
      <c r="AA121" s="101"/>
      <c r="AB121" s="100" t="s">
        <v>235</v>
      </c>
      <c r="AC121" s="101"/>
      <c r="AD121" s="101"/>
      <c r="AE121" s="100" t="s">
        <v>235</v>
      </c>
      <c r="AF121" s="100" t="str">
        <f>AF119</f>
        <v>Blower 제어단수 확인</v>
      </c>
      <c r="AG121" s="100" t="str">
        <f>AG119</f>
        <v>blower_TD 연산에 따름</v>
      </c>
      <c r="AH121" s="101"/>
      <c r="AI121" s="100" t="e">
        <f>AI119</f>
        <v>#NAME?</v>
      </c>
      <c r="AJ121" s="100" t="e">
        <f>AJ119</f>
        <v>#NAME?</v>
      </c>
      <c r="AK121" s="101"/>
      <c r="AL121" s="101"/>
      <c r="AM121" s="101"/>
      <c r="AN121" s="100" t="str">
        <f>AN119</f>
        <v>Off</v>
      </c>
      <c r="AO121" s="101"/>
      <c r="AP121" s="100" t="str">
        <f>AP119</f>
        <v>Off</v>
      </c>
      <c r="AQ121" s="100" t="s">
        <v>404</v>
      </c>
      <c r="AR121" s="100" t="s">
        <v>404</v>
      </c>
      <c r="AS121" s="101"/>
      <c r="AT121" s="101"/>
      <c r="AU121" s="101"/>
      <c r="AV121" s="100" t="str">
        <f>AV119</f>
        <v>Temp_TD 연산에 따름</v>
      </c>
      <c r="AW121" s="100" t="str">
        <f>AW119</f>
        <v>Temp_TD 연산에 따름</v>
      </c>
      <c r="AX121" s="101"/>
      <c r="AY121" s="101"/>
      <c r="AZ121" s="101"/>
      <c r="BA121" s="101"/>
      <c r="BB121" s="101"/>
      <c r="BC121" s="101"/>
      <c r="BD121" s="101"/>
      <c r="BE121" s="101"/>
      <c r="BF121" s="101"/>
      <c r="BG121" s="101"/>
      <c r="BH121" s="101"/>
      <c r="BI121" s="101"/>
      <c r="BJ121" s="101"/>
      <c r="BK121" s="101"/>
      <c r="BL121" s="101"/>
      <c r="BM121" s="101"/>
      <c r="BN121" s="101"/>
      <c r="BO121" s="101"/>
      <c r="BP121" s="101"/>
      <c r="BQ121" s="101"/>
    </row>
    <row r="122" spans="9:69">
      <c r="I122" s="255">
        <f>COUNTIF(I123:I126,"&lt;&gt;TS")</f>
        <v>3</v>
      </c>
      <c r="J122" s="106" t="s">
        <v>540</v>
      </c>
      <c r="K122" s="106" t="s">
        <v>790</v>
      </c>
      <c r="L122" s="106"/>
      <c r="M122" s="106"/>
      <c r="N122" s="106"/>
      <c r="O122" s="106"/>
      <c r="P122" s="106"/>
      <c r="Q122" s="106"/>
      <c r="R122" s="106"/>
      <c r="S122" s="106"/>
      <c r="T122" s="106"/>
      <c r="U122" s="107"/>
      <c r="V122" s="107"/>
      <c r="W122" s="106"/>
      <c r="X122" s="106"/>
      <c r="Y122" s="106"/>
      <c r="Z122" s="106"/>
      <c r="AA122" s="106"/>
      <c r="AB122" s="106"/>
      <c r="AC122" s="106"/>
      <c r="AD122" s="106"/>
      <c r="AE122" s="106"/>
      <c r="AF122" s="106"/>
      <c r="AG122" s="106"/>
      <c r="AH122" s="106"/>
      <c r="AI122" s="106"/>
      <c r="AJ122" s="106"/>
      <c r="AK122" s="106"/>
      <c r="AL122" s="106"/>
      <c r="AM122" s="106"/>
      <c r="AN122" s="106"/>
      <c r="AO122" s="106"/>
      <c r="AP122" s="106"/>
      <c r="AQ122" s="106"/>
      <c r="AR122" s="106"/>
      <c r="AS122" s="106"/>
      <c r="AT122" s="106"/>
      <c r="AU122" s="106"/>
      <c r="AV122" s="106"/>
      <c r="AW122" s="106"/>
      <c r="AX122" s="106"/>
      <c r="AY122" s="106"/>
      <c r="AZ122" s="106"/>
      <c r="BA122" s="106"/>
      <c r="BB122" s="106"/>
      <c r="BC122" s="106"/>
      <c r="BD122" s="106"/>
      <c r="BE122" s="106"/>
      <c r="BF122" s="106"/>
      <c r="BG122" s="106"/>
      <c r="BH122" s="106"/>
      <c r="BI122" s="106"/>
      <c r="BJ122" s="106"/>
      <c r="BK122" s="106"/>
      <c r="BL122" s="106"/>
      <c r="BM122" s="106"/>
      <c r="BN122" s="106"/>
      <c r="BO122" s="106"/>
      <c r="BP122" s="106"/>
      <c r="BQ122" s="106"/>
    </row>
    <row r="123" spans="9:69">
      <c r="I123" s="108" t="s">
        <v>7</v>
      </c>
      <c r="J123" s="108" t="s">
        <v>832</v>
      </c>
      <c r="K123" s="109" t="s">
        <v>791</v>
      </c>
      <c r="L123" s="109"/>
      <c r="M123" s="109"/>
      <c r="N123" s="109"/>
      <c r="O123" s="109"/>
      <c r="P123" s="109"/>
      <c r="Q123" s="109"/>
      <c r="R123" s="109"/>
      <c r="S123" s="109"/>
      <c r="T123" s="109"/>
      <c r="U123" s="110"/>
      <c r="V123" s="110"/>
      <c r="W123" s="109"/>
      <c r="X123" s="109"/>
      <c r="Y123" s="109"/>
      <c r="Z123" s="109"/>
      <c r="AA123" s="109"/>
      <c r="AB123" s="109"/>
      <c r="AC123" s="109"/>
      <c r="AD123" s="109"/>
      <c r="AE123" s="109"/>
      <c r="AF123" s="109"/>
      <c r="AG123" s="109"/>
      <c r="AH123" s="109"/>
      <c r="AI123" s="109"/>
      <c r="AJ123" s="109"/>
      <c r="AK123" s="109"/>
      <c r="AL123" s="109"/>
      <c r="AM123" s="109"/>
      <c r="AN123" s="109"/>
      <c r="AO123" s="109"/>
      <c r="AP123" s="109"/>
      <c r="AQ123" s="109"/>
      <c r="AR123" s="109"/>
      <c r="AS123" s="109"/>
      <c r="AT123" s="109"/>
      <c r="AU123" s="109"/>
      <c r="AV123" s="109"/>
      <c r="AW123" s="109"/>
      <c r="AX123" s="109"/>
      <c r="AY123" s="109"/>
      <c r="AZ123" s="109"/>
      <c r="BA123" s="109"/>
      <c r="BB123" s="109"/>
      <c r="BC123" s="109"/>
      <c r="BD123" s="109"/>
      <c r="BE123" s="109"/>
      <c r="BF123" s="109"/>
      <c r="BG123" s="109"/>
      <c r="BH123" s="109"/>
      <c r="BI123" s="109"/>
      <c r="BJ123" s="109"/>
      <c r="BK123" s="109"/>
      <c r="BL123" s="109"/>
      <c r="BM123" s="109"/>
      <c r="BN123" s="109"/>
      <c r="BO123" s="109"/>
      <c r="BP123" s="109"/>
      <c r="BQ123" s="109"/>
    </row>
    <row r="124" spans="9:69">
      <c r="I124" s="96" t="s">
        <v>48</v>
      </c>
      <c r="J124" s="96" t="s">
        <v>833</v>
      </c>
      <c r="K124" s="100">
        <v>0</v>
      </c>
      <c r="L124" s="100">
        <v>0</v>
      </c>
      <c r="M124" s="100">
        <v>13</v>
      </c>
      <c r="N124" s="100" t="e">
        <f>Celo_DEF-(IF(EngColTemp_ECT="O",0.75,1)*2)</f>
        <v>#NAME?</v>
      </c>
      <c r="O124" s="101"/>
      <c r="P124" s="101"/>
      <c r="Q124" s="101"/>
      <c r="R124" s="101"/>
      <c r="S124" s="101"/>
      <c r="T124" s="94" t="s">
        <v>209</v>
      </c>
      <c r="U124" s="100" t="e">
        <f>IF(FLAG_Country&lt;&gt;"USA","설정 온도 22 degC, AUTO ON (SYNC ON) + OFF 선택 상태 설정","설정 온도 72 degF, AUTO ON (SYNC ON) + OFF 선택 상태 설정")</f>
        <v>#NAME?</v>
      </c>
      <c r="V124" s="95">
        <v>10</v>
      </c>
      <c r="W124" s="100" t="s">
        <v>89</v>
      </c>
      <c r="X124" s="101"/>
      <c r="Y124" s="100" t="e">
        <f>IF(SystemOff_ModeDisp_On_Off="O",AB124,"Off")</f>
        <v>#NAME?</v>
      </c>
      <c r="Z124" s="101"/>
      <c r="AA124" s="101"/>
      <c r="AB124" s="100" t="s">
        <v>235</v>
      </c>
      <c r="AC124" s="101"/>
      <c r="AD124" s="101"/>
      <c r="AE124" s="100" t="s">
        <v>235</v>
      </c>
      <c r="AF124" s="100" t="s">
        <v>89</v>
      </c>
      <c r="AG124" s="224">
        <v>0</v>
      </c>
      <c r="AH124" s="101"/>
      <c r="AI124" s="101"/>
      <c r="AJ124" s="101"/>
      <c r="AK124" s="101"/>
      <c r="AL124" s="101"/>
      <c r="AM124" s="101"/>
      <c r="AN124" s="101"/>
      <c r="AO124" s="101"/>
      <c r="AP124" s="101"/>
      <c r="AQ124" s="101"/>
      <c r="AR124" s="101"/>
      <c r="AS124" s="100" t="s">
        <v>89</v>
      </c>
      <c r="AT124" s="100" t="e" cm="1">
        <f t="array" ref="AT124">_xlfn.IFS(Y124="DEF",1,Y124="MIX",2,TRUE,0)</f>
        <v>#NAME?</v>
      </c>
      <c r="AU124" s="101"/>
      <c r="AV124" s="101"/>
      <c r="AW124" s="101"/>
      <c r="AX124" s="101"/>
      <c r="AY124" s="101"/>
      <c r="AZ124" s="101"/>
      <c r="BA124" s="101"/>
      <c r="BB124" s="101"/>
      <c r="BC124" s="101"/>
      <c r="BD124" s="101"/>
      <c r="BE124" s="101"/>
      <c r="BF124" s="101"/>
      <c r="BG124" s="101"/>
      <c r="BH124" s="101"/>
      <c r="BI124" s="101"/>
      <c r="BJ124" s="101"/>
      <c r="BK124" s="101"/>
      <c r="BL124" s="101"/>
      <c r="BM124" s="101"/>
      <c r="BN124" s="101"/>
      <c r="BO124" s="101"/>
      <c r="BP124" s="101"/>
      <c r="BQ124" s="101"/>
    </row>
    <row r="125" spans="9:69">
      <c r="I125" s="220" t="s">
        <v>155</v>
      </c>
      <c r="J125" s="220" t="s">
        <v>834</v>
      </c>
      <c r="K125" s="221">
        <f>K124</f>
        <v>0</v>
      </c>
      <c r="L125" s="221">
        <f t="shared" ref="L125:N126" si="67">L124</f>
        <v>0</v>
      </c>
      <c r="M125" s="221">
        <f t="shared" si="67"/>
        <v>13</v>
      </c>
      <c r="N125" s="221" t="e">
        <f t="shared" si="67"/>
        <v>#NAME?</v>
      </c>
      <c r="O125" s="101"/>
      <c r="P125" s="101"/>
      <c r="Q125" s="101"/>
      <c r="R125" s="101"/>
      <c r="S125" s="101"/>
      <c r="T125" s="94" t="s">
        <v>378</v>
      </c>
      <c r="U125" s="95">
        <v>1</v>
      </c>
      <c r="V125" s="95">
        <v>1</v>
      </c>
      <c r="W125" s="100" t="s">
        <v>49</v>
      </c>
      <c r="X125" s="101"/>
      <c r="Y125" s="100" t="s">
        <v>18</v>
      </c>
      <c r="Z125" s="101"/>
      <c r="AA125" s="101"/>
      <c r="AB125" s="100" t="str">
        <f>Y125</f>
        <v>Def</v>
      </c>
      <c r="AC125" s="101"/>
      <c r="AD125" s="101"/>
      <c r="AE125" s="100" t="str">
        <f>AB125</f>
        <v>Def</v>
      </c>
      <c r="AF125" s="100" t="e" cm="1">
        <f t="array" ref="AF125">ROUNDDOWN(VINTERPOLATION(AG125,Tbl_BlowerUp_Display,2),0)</f>
        <v>#VALUE!</v>
      </c>
      <c r="AG125" s="225" t="e">
        <f>MIN(VINTERPOLATION(L125,Tbl_BlowerLimit_AmbUp_Volt,2),Celo_Blower_Min)</f>
        <v>#VALUE!</v>
      </c>
      <c r="AH125" s="101"/>
      <c r="AI125" s="101"/>
      <c r="AJ125" s="101"/>
      <c r="AK125" s="101"/>
      <c r="AL125" s="101"/>
      <c r="AM125" s="101"/>
      <c r="AN125" s="101"/>
      <c r="AO125" s="101"/>
      <c r="AP125" s="101"/>
      <c r="AQ125" s="101"/>
      <c r="AR125" s="101"/>
      <c r="AS125" s="100" t="s">
        <v>89</v>
      </c>
      <c r="AT125" s="100" cm="1">
        <f t="array" ref="AT125">_xlfn.IFS(Y125="DEF",1,Y125="MIX",2,TRUE,0)</f>
        <v>1</v>
      </c>
      <c r="AU125" s="101"/>
      <c r="AV125" s="101"/>
      <c r="AW125" s="101"/>
      <c r="AX125" s="101"/>
      <c r="AY125" s="101"/>
      <c r="AZ125" s="101"/>
      <c r="BA125" s="101"/>
      <c r="BB125" s="101"/>
      <c r="BC125" s="101"/>
      <c r="BD125" s="101"/>
      <c r="BE125" s="101"/>
      <c r="BF125" s="101"/>
      <c r="BG125" s="101"/>
      <c r="BH125" s="101"/>
      <c r="BI125" s="101"/>
      <c r="BJ125" s="101"/>
      <c r="BK125" s="101"/>
      <c r="BL125" s="101"/>
      <c r="BM125" s="101"/>
      <c r="BN125" s="101"/>
      <c r="BO125" s="101"/>
      <c r="BP125" s="101"/>
      <c r="BQ125" s="101"/>
    </row>
    <row r="126" spans="9:69" ht="13.5">
      <c r="I126" s="220" t="s">
        <v>155</v>
      </c>
      <c r="J126" s="220" t="s">
        <v>774</v>
      </c>
      <c r="K126" s="221">
        <f>K125</f>
        <v>0</v>
      </c>
      <c r="L126" s="221">
        <f t="shared" si="67"/>
        <v>0</v>
      </c>
      <c r="M126" s="221">
        <f t="shared" si="67"/>
        <v>13</v>
      </c>
      <c r="N126" s="100">
        <v>80.25</v>
      </c>
      <c r="O126" s="101"/>
      <c r="P126" s="101"/>
      <c r="Q126" s="101"/>
      <c r="R126" s="101"/>
      <c r="S126" s="101"/>
      <c r="T126" s="94" t="e">
        <f t="shared" ref="T126" si="68">IF(EngColTemp_ECT="O",EngColTemp,"Snr_DuctVent_DR(degC)_IN")</f>
        <v>#NAME?</v>
      </c>
      <c r="U126" s="100">
        <f t="shared" ref="U126" si="69">N126</f>
        <v>80.25</v>
      </c>
      <c r="V126" s="253" t="s">
        <v>1866</v>
      </c>
      <c r="W126" s="100" t="s">
        <v>49</v>
      </c>
      <c r="X126" s="101"/>
      <c r="Y126" s="100" t="s">
        <v>235</v>
      </c>
      <c r="Z126" s="101"/>
      <c r="AA126" s="101"/>
      <c r="AB126" s="100" t="str">
        <f>Y126</f>
        <v>Floor</v>
      </c>
      <c r="AC126" s="101"/>
      <c r="AD126" s="101"/>
      <c r="AE126" s="100" t="str">
        <f>AB126</f>
        <v>Floor</v>
      </c>
      <c r="AF126" s="100" t="e" cm="1">
        <f t="array" ref="AF126">ROUNDDOWN(VINTERPOLATION(AG126,Tbl_BlowerUp_Display,2),0)</f>
        <v>#VALUE!</v>
      </c>
      <c r="AG126" s="225" t="e">
        <f>MIN(VINTERPOLATION(L126,Tbl_BlowerLimit_AmbUp_Volt,2),VINTERPOLATION(U126,Tbl_ECT_blower,2))</f>
        <v>#VALUE!</v>
      </c>
      <c r="AH126" s="101"/>
      <c r="AI126" s="101"/>
      <c r="AJ126" s="101"/>
      <c r="AK126" s="101"/>
      <c r="AL126" s="101"/>
      <c r="AM126" s="101"/>
      <c r="AN126" s="101"/>
      <c r="AO126" s="101"/>
      <c r="AP126" s="101"/>
      <c r="AQ126" s="101"/>
      <c r="AR126" s="101"/>
      <c r="AS126" s="100" t="s">
        <v>89</v>
      </c>
      <c r="AT126" s="100" cm="1">
        <f t="array" ref="AT126">_xlfn.IFS(Y126="DEF",1,Y126="MIX",2,TRUE,0)</f>
        <v>0</v>
      </c>
      <c r="AU126" s="101"/>
      <c r="AV126" s="101"/>
      <c r="AW126" s="101"/>
      <c r="AX126" s="101"/>
      <c r="AY126" s="101"/>
      <c r="AZ126" s="101"/>
      <c r="BA126" s="101"/>
      <c r="BB126" s="101"/>
      <c r="BC126" s="101"/>
      <c r="BD126" s="101"/>
      <c r="BE126" s="101"/>
      <c r="BF126" s="101"/>
      <c r="BG126" s="101"/>
      <c r="BH126" s="101"/>
      <c r="BI126" s="101"/>
      <c r="BJ126" s="101"/>
      <c r="BK126" s="101"/>
      <c r="BL126" s="101"/>
      <c r="BM126" s="101"/>
      <c r="BN126" s="101"/>
      <c r="BO126" s="101"/>
      <c r="BP126" s="101"/>
      <c r="BQ126" s="101"/>
    </row>
    <row r="127" spans="9:69">
      <c r="I127" s="112" t="s">
        <v>7</v>
      </c>
      <c r="J127" s="112" t="s">
        <v>1567</v>
      </c>
      <c r="K127" s="112" t="s">
        <v>792</v>
      </c>
      <c r="L127" s="112"/>
      <c r="M127" s="112"/>
      <c r="N127" s="112"/>
      <c r="O127" s="112"/>
      <c r="P127" s="112"/>
      <c r="Q127" s="112"/>
      <c r="R127" s="112"/>
      <c r="S127" s="112"/>
      <c r="T127" s="112"/>
      <c r="U127" s="113"/>
      <c r="V127" s="113"/>
      <c r="W127" s="112"/>
      <c r="X127" s="112"/>
      <c r="Y127" s="112"/>
      <c r="Z127" s="112"/>
      <c r="AA127" s="112"/>
      <c r="AB127" s="112"/>
      <c r="AC127" s="112"/>
      <c r="AD127" s="112"/>
      <c r="AE127" s="112"/>
      <c r="AF127" s="112"/>
      <c r="AG127" s="112"/>
      <c r="AH127" s="112"/>
      <c r="AI127" s="112"/>
      <c r="AJ127" s="112"/>
      <c r="AK127" s="112"/>
      <c r="AL127" s="112"/>
      <c r="AM127" s="112"/>
      <c r="AN127" s="112"/>
      <c r="AO127" s="112"/>
      <c r="AP127" s="112"/>
      <c r="AQ127" s="112"/>
      <c r="AR127" s="112"/>
      <c r="AS127" s="112"/>
      <c r="AT127" s="112"/>
      <c r="AU127" s="112"/>
      <c r="AV127" s="112"/>
      <c r="AW127" s="112"/>
      <c r="AX127" s="112"/>
      <c r="AY127" s="112"/>
      <c r="AZ127" s="112"/>
      <c r="BA127" s="112"/>
      <c r="BB127" s="112"/>
      <c r="BC127" s="112"/>
      <c r="BD127" s="112"/>
      <c r="BE127" s="112"/>
      <c r="BF127" s="112"/>
      <c r="BG127" s="112"/>
      <c r="BH127" s="112"/>
      <c r="BI127" s="112"/>
      <c r="BJ127" s="112"/>
      <c r="BK127" s="112"/>
      <c r="BL127" s="112"/>
      <c r="BM127" s="112"/>
      <c r="BN127" s="112"/>
      <c r="BO127" s="112"/>
      <c r="BP127" s="112"/>
      <c r="BQ127" s="112"/>
    </row>
    <row r="128" spans="9:69">
      <c r="I128" s="112" t="s">
        <v>7</v>
      </c>
      <c r="J128" s="112" t="s">
        <v>1568</v>
      </c>
      <c r="K128" s="112" t="s">
        <v>793</v>
      </c>
      <c r="L128" s="112"/>
      <c r="M128" s="112"/>
      <c r="N128" s="112"/>
      <c r="O128" s="112"/>
      <c r="P128" s="112"/>
      <c r="Q128" s="112"/>
      <c r="R128" s="112"/>
      <c r="S128" s="112"/>
      <c r="T128" s="112"/>
      <c r="U128" s="113"/>
      <c r="V128" s="113"/>
      <c r="W128" s="112"/>
      <c r="X128" s="112"/>
      <c r="Y128" s="112"/>
      <c r="Z128" s="112"/>
      <c r="AA128" s="112"/>
      <c r="AB128" s="112"/>
      <c r="AC128" s="112"/>
      <c r="AD128" s="112"/>
      <c r="AE128" s="112"/>
      <c r="AF128" s="112"/>
      <c r="AG128" s="112"/>
      <c r="AH128" s="112"/>
      <c r="AI128" s="112"/>
      <c r="AJ128" s="112"/>
      <c r="AK128" s="112"/>
      <c r="AL128" s="112"/>
      <c r="AM128" s="112"/>
      <c r="AN128" s="112"/>
      <c r="AO128" s="112"/>
      <c r="AP128" s="112"/>
      <c r="AQ128" s="112"/>
      <c r="AR128" s="112"/>
      <c r="AS128" s="112"/>
      <c r="AT128" s="112"/>
      <c r="AU128" s="112"/>
      <c r="AV128" s="112"/>
      <c r="AW128" s="112"/>
      <c r="AX128" s="112"/>
      <c r="AY128" s="112"/>
      <c r="AZ128" s="112"/>
      <c r="BA128" s="112"/>
      <c r="BB128" s="112"/>
      <c r="BC128" s="112"/>
      <c r="BD128" s="112"/>
      <c r="BE128" s="112"/>
      <c r="BF128" s="112"/>
      <c r="BG128" s="112"/>
      <c r="BH128" s="112"/>
      <c r="BI128" s="112"/>
      <c r="BJ128" s="112"/>
      <c r="BK128" s="112"/>
      <c r="BL128" s="112"/>
      <c r="BM128" s="112"/>
      <c r="BN128" s="112"/>
      <c r="BO128" s="112"/>
      <c r="BP128" s="112"/>
      <c r="BQ128" s="112"/>
    </row>
    <row r="129" spans="9:69">
      <c r="I129" s="112" t="s">
        <v>7</v>
      </c>
      <c r="J129" s="112" t="s">
        <v>1569</v>
      </c>
      <c r="K129" s="112" t="s">
        <v>794</v>
      </c>
      <c r="L129" s="112"/>
      <c r="M129" s="112"/>
      <c r="N129" s="112"/>
      <c r="O129" s="112"/>
      <c r="P129" s="112"/>
      <c r="Q129" s="112"/>
      <c r="R129" s="112"/>
      <c r="S129" s="112"/>
      <c r="T129" s="112"/>
      <c r="U129" s="113"/>
      <c r="V129" s="113"/>
      <c r="W129" s="112"/>
      <c r="X129" s="112"/>
      <c r="Y129" s="112"/>
      <c r="Z129" s="112"/>
      <c r="AA129" s="112"/>
      <c r="AB129" s="112"/>
      <c r="AC129" s="112"/>
      <c r="AD129" s="112"/>
      <c r="AE129" s="112"/>
      <c r="AF129" s="112"/>
      <c r="AG129" s="112"/>
      <c r="AH129" s="112"/>
      <c r="AI129" s="112"/>
      <c r="AJ129" s="112"/>
      <c r="AK129" s="112"/>
      <c r="AL129" s="112"/>
      <c r="AM129" s="112"/>
      <c r="AN129" s="112"/>
      <c r="AO129" s="112"/>
      <c r="AP129" s="112"/>
      <c r="AQ129" s="112"/>
      <c r="AR129" s="112"/>
      <c r="AS129" s="112"/>
      <c r="AT129" s="112"/>
      <c r="AU129" s="112"/>
      <c r="AV129" s="112"/>
      <c r="AW129" s="112"/>
      <c r="AX129" s="112"/>
      <c r="AY129" s="112"/>
      <c r="AZ129" s="112"/>
      <c r="BA129" s="112"/>
      <c r="BB129" s="112"/>
      <c r="BC129" s="112"/>
      <c r="BD129" s="112"/>
      <c r="BE129" s="112"/>
      <c r="BF129" s="112"/>
      <c r="BG129" s="112"/>
      <c r="BH129" s="112"/>
      <c r="BI129" s="112"/>
      <c r="BJ129" s="112"/>
      <c r="BK129" s="112"/>
      <c r="BL129" s="112"/>
      <c r="BM129" s="112"/>
      <c r="BN129" s="112"/>
      <c r="BO129" s="112"/>
      <c r="BP129" s="112"/>
      <c r="BQ129" s="112"/>
    </row>
    <row r="130" spans="9:69">
      <c r="I130" s="255">
        <f>COUNTIF(I131:I136,"&lt;&gt;TS")</f>
        <v>5</v>
      </c>
      <c r="J130" s="106" t="s">
        <v>541</v>
      </c>
      <c r="K130" s="106" t="s">
        <v>798</v>
      </c>
      <c r="L130" s="106"/>
      <c r="M130" s="106"/>
      <c r="N130" s="106"/>
      <c r="O130" s="106"/>
      <c r="P130" s="106"/>
      <c r="Q130" s="106"/>
      <c r="R130" s="106"/>
      <c r="S130" s="106"/>
      <c r="T130" s="106"/>
      <c r="U130" s="107"/>
      <c r="V130" s="107"/>
      <c r="W130" s="106"/>
      <c r="X130" s="106"/>
      <c r="Y130" s="106"/>
      <c r="Z130" s="106"/>
      <c r="AA130" s="106"/>
      <c r="AB130" s="106"/>
      <c r="AC130" s="106"/>
      <c r="AD130" s="106"/>
      <c r="AE130" s="106"/>
      <c r="AF130" s="106"/>
      <c r="AG130" s="106"/>
      <c r="AH130" s="106"/>
      <c r="AI130" s="106"/>
      <c r="AJ130" s="106"/>
      <c r="AK130" s="106"/>
      <c r="AL130" s="106"/>
      <c r="AM130" s="106"/>
      <c r="AN130" s="106"/>
      <c r="AO130" s="106"/>
      <c r="AP130" s="106"/>
      <c r="AQ130" s="106"/>
      <c r="AR130" s="106"/>
      <c r="AS130" s="106"/>
      <c r="AT130" s="106"/>
      <c r="AU130" s="106"/>
      <c r="AV130" s="106"/>
      <c r="AW130" s="106"/>
      <c r="AX130" s="106"/>
      <c r="AY130" s="106"/>
      <c r="AZ130" s="106"/>
      <c r="BA130" s="106"/>
      <c r="BB130" s="106"/>
      <c r="BC130" s="106"/>
      <c r="BD130" s="106"/>
      <c r="BE130" s="106"/>
      <c r="BF130" s="106"/>
      <c r="BG130" s="106"/>
      <c r="BH130" s="106"/>
      <c r="BI130" s="106"/>
      <c r="BJ130" s="106"/>
      <c r="BK130" s="106"/>
      <c r="BL130" s="106"/>
      <c r="BM130" s="106"/>
      <c r="BN130" s="106"/>
      <c r="BO130" s="106"/>
      <c r="BP130" s="106"/>
      <c r="BQ130" s="106"/>
    </row>
    <row r="131" spans="9:69">
      <c r="I131" s="112" t="s">
        <v>7</v>
      </c>
      <c r="J131" s="112" t="s">
        <v>704</v>
      </c>
      <c r="K131" s="109" t="s">
        <v>799</v>
      </c>
      <c r="L131" s="109"/>
      <c r="M131" s="109"/>
      <c r="N131" s="109"/>
      <c r="O131" s="109"/>
      <c r="P131" s="109"/>
      <c r="Q131" s="109"/>
      <c r="R131" s="109"/>
      <c r="S131" s="109"/>
      <c r="T131" s="109"/>
      <c r="U131" s="110"/>
      <c r="V131" s="110"/>
      <c r="W131" s="109"/>
      <c r="X131" s="109"/>
      <c r="Y131" s="109"/>
      <c r="Z131" s="109"/>
      <c r="AA131" s="109"/>
      <c r="AB131" s="109"/>
      <c r="AC131" s="109"/>
      <c r="AD131" s="109"/>
      <c r="AE131" s="109"/>
      <c r="AF131" s="109"/>
      <c r="AG131" s="109"/>
      <c r="AH131" s="109"/>
      <c r="AI131" s="109"/>
      <c r="AJ131" s="109"/>
      <c r="AK131" s="109"/>
      <c r="AL131" s="109"/>
      <c r="AM131" s="109"/>
      <c r="AN131" s="109"/>
      <c r="AO131" s="109"/>
      <c r="AP131" s="109"/>
      <c r="AQ131" s="109"/>
      <c r="AR131" s="109"/>
      <c r="AS131" s="109"/>
      <c r="AT131" s="109"/>
      <c r="AU131" s="109"/>
      <c r="AV131" s="109"/>
      <c r="AW131" s="109"/>
      <c r="AX131" s="109"/>
      <c r="AY131" s="109"/>
      <c r="AZ131" s="109"/>
      <c r="BA131" s="109"/>
      <c r="BB131" s="109"/>
      <c r="BC131" s="109"/>
      <c r="BD131" s="109"/>
      <c r="BE131" s="109"/>
      <c r="BF131" s="109"/>
      <c r="BG131" s="109"/>
      <c r="BH131" s="109"/>
      <c r="BI131" s="109"/>
      <c r="BJ131" s="109"/>
      <c r="BK131" s="109"/>
      <c r="BL131" s="109"/>
      <c r="BM131" s="109"/>
      <c r="BN131" s="109"/>
      <c r="BO131" s="109"/>
      <c r="BP131" s="109"/>
      <c r="BQ131" s="109"/>
    </row>
    <row r="132" spans="9:69" ht="13.5">
      <c r="I132" s="96" t="s">
        <v>48</v>
      </c>
      <c r="J132" s="96" t="s">
        <v>705</v>
      </c>
      <c r="K132" s="100">
        <v>10</v>
      </c>
      <c r="L132" s="100">
        <v>5</v>
      </c>
      <c r="M132" s="100">
        <v>13</v>
      </c>
      <c r="N132" s="101"/>
      <c r="O132" s="101"/>
      <c r="P132" s="101"/>
      <c r="Q132" s="101"/>
      <c r="R132" s="101"/>
      <c r="S132" s="101"/>
      <c r="T132" s="94" t="s">
        <v>209</v>
      </c>
      <c r="U132" s="100" t="s">
        <v>1642</v>
      </c>
      <c r="V132" s="95">
        <v>10</v>
      </c>
      <c r="W132" s="101"/>
      <c r="X132" s="101"/>
      <c r="Y132" s="100" t="s">
        <v>235</v>
      </c>
      <c r="Z132" s="101"/>
      <c r="AA132" s="101"/>
      <c r="AB132" s="101"/>
      <c r="AC132" s="101"/>
      <c r="AD132" s="101"/>
      <c r="AE132" s="101"/>
      <c r="AF132" s="100">
        <v>1</v>
      </c>
      <c r="AG132" s="100">
        <v>1</v>
      </c>
      <c r="AH132" s="101"/>
      <c r="AI132" s="101"/>
      <c r="AJ132" s="101"/>
      <c r="AK132" s="101"/>
      <c r="AL132" s="101"/>
      <c r="AM132" s="101"/>
      <c r="AN132" s="101"/>
      <c r="AO132" s="101"/>
      <c r="AP132" s="101"/>
      <c r="AQ132" s="101"/>
      <c r="AR132" s="101"/>
      <c r="AS132" s="100" t="s">
        <v>89</v>
      </c>
      <c r="AT132" s="101"/>
      <c r="AU132" s="101"/>
      <c r="AV132" s="101"/>
      <c r="AW132" s="101"/>
      <c r="AX132" s="101"/>
      <c r="AY132" s="101"/>
      <c r="AZ132" s="101"/>
      <c r="BA132" s="101"/>
      <c r="BB132" s="101"/>
      <c r="BC132" s="101"/>
      <c r="BD132" s="101"/>
      <c r="BE132" s="101"/>
      <c r="BF132" s="101"/>
      <c r="BG132" s="101"/>
      <c r="BH132" s="101"/>
      <c r="BI132" s="101"/>
      <c r="BJ132" s="101"/>
      <c r="BK132" s="101"/>
      <c r="BL132" s="101"/>
      <c r="BM132" s="101"/>
      <c r="BN132" s="101"/>
      <c r="BO132" s="101"/>
      <c r="BP132" s="101"/>
      <c r="BQ132" s="101"/>
    </row>
    <row r="133" spans="9:69">
      <c r="I133" s="220" t="s">
        <v>155</v>
      </c>
      <c r="J133" s="220" t="s">
        <v>706</v>
      </c>
      <c r="K133" s="221">
        <f t="shared" ref="K133:M133" si="70">K132</f>
        <v>10</v>
      </c>
      <c r="L133" s="221">
        <f t="shared" si="70"/>
        <v>5</v>
      </c>
      <c r="M133" s="221">
        <f t="shared" si="70"/>
        <v>13</v>
      </c>
      <c r="N133" s="101"/>
      <c r="O133" s="101"/>
      <c r="P133" s="101"/>
      <c r="Q133" s="101"/>
      <c r="R133" s="101"/>
      <c r="S133" s="101"/>
      <c r="T133" s="94" t="s">
        <v>272</v>
      </c>
      <c r="U133" s="95">
        <v>1</v>
      </c>
      <c r="V133" s="95">
        <v>2</v>
      </c>
      <c r="W133" s="101"/>
      <c r="X133" s="101"/>
      <c r="Y133" s="100" t="s">
        <v>18</v>
      </c>
      <c r="Z133" s="101"/>
      <c r="AA133" s="101"/>
      <c r="AB133" s="101"/>
      <c r="AC133" s="101"/>
      <c r="AD133" s="101"/>
      <c r="AE133" s="101"/>
      <c r="AF133" s="100">
        <v>3</v>
      </c>
      <c r="AG133" s="100" t="s">
        <v>322</v>
      </c>
      <c r="AH133" s="101"/>
      <c r="AI133" s="101"/>
      <c r="AJ133" s="101"/>
      <c r="AK133" s="101"/>
      <c r="AL133" s="101"/>
      <c r="AM133" s="101"/>
      <c r="AN133" s="101"/>
      <c r="AO133" s="101"/>
      <c r="AP133" s="101"/>
      <c r="AQ133" s="101"/>
      <c r="AR133" s="101"/>
      <c r="AS133" s="100" t="s">
        <v>49</v>
      </c>
      <c r="AT133" s="101"/>
      <c r="AU133" s="101"/>
      <c r="AV133" s="101"/>
      <c r="AW133" s="101"/>
      <c r="AX133" s="101"/>
      <c r="AY133" s="101"/>
      <c r="AZ133" s="101"/>
      <c r="BA133" s="101"/>
      <c r="BB133" s="101"/>
      <c r="BC133" s="101"/>
      <c r="BD133" s="101"/>
      <c r="BE133" s="101"/>
      <c r="BF133" s="101"/>
      <c r="BG133" s="101"/>
      <c r="BH133" s="101"/>
      <c r="BI133" s="101"/>
      <c r="BJ133" s="101"/>
      <c r="BK133" s="101"/>
      <c r="BL133" s="101"/>
      <c r="BM133" s="101"/>
      <c r="BN133" s="101"/>
      <c r="BO133" s="101"/>
      <c r="BP133" s="101"/>
      <c r="BQ133" s="101"/>
    </row>
    <row r="134" spans="9:69">
      <c r="I134" s="220" t="s">
        <v>155</v>
      </c>
      <c r="J134" s="220" t="s">
        <v>707</v>
      </c>
      <c r="K134" s="221">
        <f t="shared" ref="K134:M134" si="71">K133</f>
        <v>10</v>
      </c>
      <c r="L134" s="221">
        <f t="shared" si="71"/>
        <v>5</v>
      </c>
      <c r="M134" s="221">
        <f t="shared" si="71"/>
        <v>13</v>
      </c>
      <c r="N134" s="101"/>
      <c r="O134" s="101"/>
      <c r="P134" s="101"/>
      <c r="Q134" s="101"/>
      <c r="R134" s="101"/>
      <c r="S134" s="101"/>
      <c r="T134" s="94" t="s">
        <v>272</v>
      </c>
      <c r="U134" s="95">
        <v>1</v>
      </c>
      <c r="V134" s="95">
        <v>2</v>
      </c>
      <c r="W134" s="101"/>
      <c r="X134" s="101"/>
      <c r="Y134" s="100" t="s">
        <v>235</v>
      </c>
      <c r="Z134" s="101"/>
      <c r="AA134" s="101"/>
      <c r="AB134" s="101"/>
      <c r="AC134" s="101"/>
      <c r="AD134" s="101"/>
      <c r="AE134" s="101"/>
      <c r="AF134" s="100">
        <v>1</v>
      </c>
      <c r="AG134" s="100">
        <v>1</v>
      </c>
      <c r="AH134" s="101"/>
      <c r="AI134" s="101"/>
      <c r="AJ134" s="101"/>
      <c r="AK134" s="101"/>
      <c r="AL134" s="101"/>
      <c r="AM134" s="101"/>
      <c r="AN134" s="101"/>
      <c r="AO134" s="101"/>
      <c r="AP134" s="101"/>
      <c r="AQ134" s="101"/>
      <c r="AR134" s="101"/>
      <c r="AS134" s="100" t="s">
        <v>89</v>
      </c>
      <c r="AT134" s="101"/>
      <c r="AU134" s="101"/>
      <c r="AV134" s="101"/>
      <c r="AW134" s="101"/>
      <c r="AX134" s="101"/>
      <c r="AY134" s="101"/>
      <c r="AZ134" s="101"/>
      <c r="BA134" s="101"/>
      <c r="BB134" s="101"/>
      <c r="BC134" s="101"/>
      <c r="BD134" s="101"/>
      <c r="BE134" s="101"/>
      <c r="BF134" s="101"/>
      <c r="BG134" s="101"/>
      <c r="BH134" s="101"/>
      <c r="BI134" s="101"/>
      <c r="BJ134" s="101"/>
      <c r="BK134" s="101"/>
      <c r="BL134" s="101"/>
      <c r="BM134" s="101"/>
      <c r="BN134" s="101"/>
      <c r="BO134" s="101"/>
      <c r="BP134" s="101"/>
      <c r="BQ134" s="101"/>
    </row>
    <row r="135" spans="9:69">
      <c r="I135" s="220" t="s">
        <v>155</v>
      </c>
      <c r="J135" s="220" t="s">
        <v>708</v>
      </c>
      <c r="K135" s="221">
        <f t="shared" ref="K135:M135" si="72">K134</f>
        <v>10</v>
      </c>
      <c r="L135" s="221">
        <f t="shared" si="72"/>
        <v>5</v>
      </c>
      <c r="M135" s="221">
        <f t="shared" si="72"/>
        <v>13</v>
      </c>
      <c r="N135" s="101"/>
      <c r="O135" s="101"/>
      <c r="P135" s="101"/>
      <c r="Q135" s="101"/>
      <c r="R135" s="101"/>
      <c r="S135" s="101"/>
      <c r="T135" s="94" t="s">
        <v>244</v>
      </c>
      <c r="U135" s="95">
        <v>5</v>
      </c>
      <c r="V135" s="95">
        <v>2</v>
      </c>
      <c r="W135" s="101"/>
      <c r="X135" s="101"/>
      <c r="Y135" s="100" t="s">
        <v>235</v>
      </c>
      <c r="Z135" s="101"/>
      <c r="AA135" s="101"/>
      <c r="AB135" s="101"/>
      <c r="AC135" s="101"/>
      <c r="AD135" s="101"/>
      <c r="AE135" s="101"/>
      <c r="AF135" s="100">
        <v>6</v>
      </c>
      <c r="AG135" s="100">
        <v>6</v>
      </c>
      <c r="AH135" s="101"/>
      <c r="AI135" s="101"/>
      <c r="AJ135" s="101"/>
      <c r="AK135" s="101"/>
      <c r="AL135" s="101"/>
      <c r="AM135" s="101"/>
      <c r="AN135" s="101"/>
      <c r="AO135" s="101"/>
      <c r="AP135" s="101"/>
      <c r="AQ135" s="101"/>
      <c r="AR135" s="101"/>
      <c r="AS135" s="100" t="s">
        <v>89</v>
      </c>
      <c r="AT135" s="101"/>
      <c r="AU135" s="101"/>
      <c r="AV135" s="101"/>
      <c r="AW135" s="101"/>
      <c r="AX135" s="101"/>
      <c r="AY135" s="101"/>
      <c r="AZ135" s="101"/>
      <c r="BA135" s="101"/>
      <c r="BB135" s="101"/>
      <c r="BC135" s="101"/>
      <c r="BD135" s="101"/>
      <c r="BE135" s="101"/>
      <c r="BF135" s="101"/>
      <c r="BG135" s="101"/>
      <c r="BH135" s="101"/>
      <c r="BI135" s="101"/>
      <c r="BJ135" s="101"/>
      <c r="BK135" s="101"/>
      <c r="BL135" s="101"/>
      <c r="BM135" s="101"/>
      <c r="BN135" s="101"/>
      <c r="BO135" s="101"/>
      <c r="BP135" s="101"/>
      <c r="BQ135" s="101"/>
    </row>
    <row r="136" spans="9:69">
      <c r="I136" s="220" t="s">
        <v>155</v>
      </c>
      <c r="J136" s="220" t="s">
        <v>709</v>
      </c>
      <c r="K136" s="221">
        <f t="shared" ref="K136:M136" si="73">K135</f>
        <v>10</v>
      </c>
      <c r="L136" s="221">
        <f t="shared" si="73"/>
        <v>5</v>
      </c>
      <c r="M136" s="221">
        <f t="shared" si="73"/>
        <v>13</v>
      </c>
      <c r="N136" s="101"/>
      <c r="O136" s="101"/>
      <c r="P136" s="101"/>
      <c r="Q136" s="101"/>
      <c r="R136" s="101"/>
      <c r="S136" s="101"/>
      <c r="T136" s="94" t="s">
        <v>272</v>
      </c>
      <c r="U136" s="95">
        <v>1</v>
      </c>
      <c r="V136" s="95">
        <v>2</v>
      </c>
      <c r="W136" s="101"/>
      <c r="X136" s="101"/>
      <c r="Y136" s="100" t="s">
        <v>18</v>
      </c>
      <c r="Z136" s="101"/>
      <c r="AA136" s="101"/>
      <c r="AB136" s="101"/>
      <c r="AC136" s="101"/>
      <c r="AD136" s="101"/>
      <c r="AE136" s="101"/>
      <c r="AF136" s="100">
        <v>6</v>
      </c>
      <c r="AG136" s="100">
        <v>6</v>
      </c>
      <c r="AH136" s="101"/>
      <c r="AI136" s="101"/>
      <c r="AJ136" s="101"/>
      <c r="AK136" s="101"/>
      <c r="AL136" s="101"/>
      <c r="AM136" s="101"/>
      <c r="AN136" s="101"/>
      <c r="AO136" s="101"/>
      <c r="AP136" s="101"/>
      <c r="AQ136" s="101"/>
      <c r="AR136" s="101"/>
      <c r="AS136" s="100" t="s">
        <v>49</v>
      </c>
      <c r="AT136" s="101"/>
      <c r="AU136" s="101"/>
      <c r="AV136" s="101"/>
      <c r="AW136" s="101"/>
      <c r="AX136" s="101"/>
      <c r="AY136" s="101"/>
      <c r="AZ136" s="101"/>
      <c r="BA136" s="101"/>
      <c r="BB136" s="101"/>
      <c r="BC136" s="101"/>
      <c r="BD136" s="101"/>
      <c r="BE136" s="101"/>
      <c r="BF136" s="101"/>
      <c r="BG136" s="101"/>
      <c r="BH136" s="101"/>
      <c r="BI136" s="101"/>
      <c r="BJ136" s="101"/>
      <c r="BK136" s="101"/>
      <c r="BL136" s="101"/>
      <c r="BM136" s="101"/>
      <c r="BN136" s="101"/>
      <c r="BO136" s="101"/>
      <c r="BP136" s="101"/>
      <c r="BQ136" s="101"/>
    </row>
    <row r="137" spans="9:69">
      <c r="I137" s="112" t="s">
        <v>7</v>
      </c>
      <c r="J137" s="112" t="s">
        <v>711</v>
      </c>
      <c r="K137" s="112" t="s">
        <v>780</v>
      </c>
      <c r="L137" s="112"/>
      <c r="M137" s="112"/>
      <c r="N137" s="112"/>
      <c r="O137" s="112"/>
      <c r="P137" s="112"/>
      <c r="Q137" s="112"/>
      <c r="R137" s="112"/>
      <c r="S137" s="112"/>
      <c r="T137" s="112"/>
      <c r="U137" s="113"/>
      <c r="V137" s="113"/>
      <c r="W137" s="112"/>
      <c r="X137" s="112"/>
      <c r="Y137" s="112"/>
      <c r="Z137" s="112"/>
      <c r="AA137" s="112"/>
      <c r="AB137" s="112"/>
      <c r="AC137" s="112"/>
      <c r="AD137" s="112"/>
      <c r="AE137" s="112"/>
      <c r="AF137" s="112"/>
      <c r="AG137" s="112"/>
      <c r="AH137" s="112"/>
      <c r="AI137" s="112"/>
      <c r="AJ137" s="112"/>
      <c r="AK137" s="112"/>
      <c r="AL137" s="112"/>
      <c r="AM137" s="112"/>
      <c r="AN137" s="112"/>
      <c r="AO137" s="112"/>
      <c r="AP137" s="112"/>
      <c r="AQ137" s="112"/>
      <c r="AR137" s="112"/>
      <c r="AS137" s="112"/>
      <c r="AT137" s="112"/>
      <c r="AU137" s="112"/>
      <c r="AV137" s="112"/>
      <c r="AW137" s="112"/>
      <c r="AX137" s="112"/>
      <c r="AY137" s="112"/>
      <c r="AZ137" s="112"/>
      <c r="BA137" s="112"/>
      <c r="BB137" s="112"/>
      <c r="BC137" s="112"/>
      <c r="BD137" s="112"/>
      <c r="BE137" s="112"/>
      <c r="BF137" s="112"/>
      <c r="BG137" s="112"/>
      <c r="BH137" s="112"/>
      <c r="BI137" s="112"/>
      <c r="BJ137" s="112"/>
      <c r="BK137" s="112"/>
      <c r="BL137" s="112"/>
      <c r="BM137" s="112"/>
      <c r="BN137" s="112"/>
      <c r="BO137" s="112"/>
      <c r="BP137" s="112"/>
      <c r="BQ137" s="112"/>
    </row>
    <row r="138" spans="9:69">
      <c r="I138" s="108" t="s">
        <v>7</v>
      </c>
      <c r="J138" s="112" t="s">
        <v>712</v>
      </c>
      <c r="K138" s="112" t="s">
        <v>800</v>
      </c>
      <c r="L138" s="112"/>
      <c r="M138" s="112"/>
      <c r="N138" s="112"/>
      <c r="O138" s="112"/>
      <c r="P138" s="112"/>
      <c r="Q138" s="112"/>
      <c r="R138" s="112"/>
      <c r="S138" s="112"/>
      <c r="T138" s="112"/>
      <c r="U138" s="113"/>
      <c r="V138" s="113"/>
      <c r="W138" s="112"/>
      <c r="X138" s="112"/>
      <c r="Y138" s="112"/>
      <c r="Z138" s="112"/>
      <c r="AA138" s="112"/>
      <c r="AB138" s="112"/>
      <c r="AC138" s="112"/>
      <c r="AD138" s="112"/>
      <c r="AE138" s="112"/>
      <c r="AF138" s="112"/>
      <c r="AG138" s="112"/>
      <c r="AH138" s="112"/>
      <c r="AI138" s="112"/>
      <c r="AJ138" s="112"/>
      <c r="AK138" s="112"/>
      <c r="AL138" s="112"/>
      <c r="AM138" s="112"/>
      <c r="AN138" s="112"/>
      <c r="AO138" s="112"/>
      <c r="AP138" s="112"/>
      <c r="AQ138" s="112"/>
      <c r="AR138" s="112"/>
      <c r="AS138" s="112"/>
      <c r="AT138" s="112"/>
      <c r="AU138" s="112"/>
      <c r="AV138" s="112"/>
      <c r="AW138" s="112"/>
      <c r="AX138" s="112"/>
      <c r="AY138" s="112"/>
      <c r="AZ138" s="112"/>
      <c r="BA138" s="112"/>
      <c r="BB138" s="112"/>
      <c r="BC138" s="112"/>
      <c r="BD138" s="112"/>
      <c r="BE138" s="112"/>
      <c r="BF138" s="112"/>
      <c r="BG138" s="112"/>
      <c r="BH138" s="112"/>
      <c r="BI138" s="112"/>
      <c r="BJ138" s="112"/>
      <c r="BK138" s="112"/>
      <c r="BL138" s="112"/>
      <c r="BM138" s="112"/>
      <c r="BN138" s="112"/>
      <c r="BO138" s="112"/>
      <c r="BP138" s="112"/>
      <c r="BQ138" s="112"/>
    </row>
    <row r="139" spans="9:69">
      <c r="I139" s="255">
        <f>COUNTIF(I140:I161,"&lt;&gt;TS")</f>
        <v>20</v>
      </c>
      <c r="J139" s="106" t="s">
        <v>542</v>
      </c>
      <c r="K139" s="106" t="s">
        <v>801</v>
      </c>
      <c r="L139" s="106"/>
      <c r="M139" s="106"/>
      <c r="N139" s="106"/>
      <c r="O139" s="106"/>
      <c r="P139" s="106"/>
      <c r="Q139" s="106"/>
      <c r="R139" s="106"/>
      <c r="S139" s="106"/>
      <c r="T139" s="106"/>
      <c r="U139" s="107"/>
      <c r="V139" s="107"/>
      <c r="W139" s="106"/>
      <c r="X139" s="106"/>
      <c r="Y139" s="106"/>
      <c r="Z139" s="106"/>
      <c r="AA139" s="106"/>
      <c r="AB139" s="106"/>
      <c r="AC139" s="106"/>
      <c r="AD139" s="106"/>
      <c r="AE139" s="106"/>
      <c r="AF139" s="106"/>
      <c r="AG139" s="106"/>
      <c r="AH139" s="106"/>
      <c r="AI139" s="106"/>
      <c r="AJ139" s="106"/>
      <c r="AK139" s="106"/>
      <c r="AL139" s="106"/>
      <c r="AM139" s="106"/>
      <c r="AN139" s="106"/>
      <c r="AO139" s="106"/>
      <c r="AP139" s="106"/>
      <c r="AQ139" s="106"/>
      <c r="AR139" s="106"/>
      <c r="AS139" s="106"/>
      <c r="AT139" s="106"/>
      <c r="AU139" s="106"/>
      <c r="AV139" s="106"/>
      <c r="AW139" s="106"/>
      <c r="AX139" s="106"/>
      <c r="AY139" s="106"/>
      <c r="AZ139" s="106"/>
      <c r="BA139" s="106"/>
      <c r="BB139" s="106"/>
      <c r="BC139" s="106"/>
      <c r="BD139" s="106"/>
      <c r="BE139" s="106"/>
      <c r="BF139" s="106"/>
      <c r="BG139" s="106"/>
      <c r="BH139" s="106"/>
      <c r="BI139" s="106"/>
      <c r="BJ139" s="106"/>
      <c r="BK139" s="106"/>
      <c r="BL139" s="106"/>
      <c r="BM139" s="106"/>
      <c r="BN139" s="106"/>
      <c r="BO139" s="106"/>
      <c r="BP139" s="106"/>
      <c r="BQ139" s="106"/>
    </row>
    <row r="140" spans="9:69">
      <c r="I140" s="108" t="s">
        <v>7</v>
      </c>
      <c r="J140" s="108" t="s">
        <v>673</v>
      </c>
      <c r="K140" s="109" t="s">
        <v>802</v>
      </c>
      <c r="L140" s="109"/>
      <c r="M140" s="109"/>
      <c r="N140" s="109"/>
      <c r="O140" s="109"/>
      <c r="P140" s="109"/>
      <c r="Q140" s="109"/>
      <c r="R140" s="109"/>
      <c r="S140" s="109"/>
      <c r="T140" s="109"/>
      <c r="U140" s="110"/>
      <c r="V140" s="110"/>
      <c r="W140" s="109"/>
      <c r="X140" s="109"/>
      <c r="Y140" s="109"/>
      <c r="Z140" s="109"/>
      <c r="AA140" s="109"/>
      <c r="AB140" s="109"/>
      <c r="AC140" s="109"/>
      <c r="AD140" s="109"/>
      <c r="AE140" s="109"/>
      <c r="AF140" s="109"/>
      <c r="AG140" s="109"/>
      <c r="AH140" s="109"/>
      <c r="AI140" s="109"/>
      <c r="AJ140" s="109"/>
      <c r="AK140" s="109"/>
      <c r="AL140" s="109"/>
      <c r="AM140" s="109"/>
      <c r="AN140" s="109"/>
      <c r="AO140" s="109"/>
      <c r="AP140" s="109"/>
      <c r="AQ140" s="109"/>
      <c r="AR140" s="109"/>
      <c r="AS140" s="109"/>
      <c r="AT140" s="109"/>
      <c r="AU140" s="109"/>
      <c r="AV140" s="109"/>
      <c r="AW140" s="109"/>
      <c r="AX140" s="109"/>
      <c r="AY140" s="109"/>
      <c r="AZ140" s="109"/>
      <c r="BA140" s="109"/>
      <c r="BB140" s="109"/>
      <c r="BC140" s="109"/>
      <c r="BD140" s="109"/>
      <c r="BE140" s="109"/>
      <c r="BF140" s="109"/>
      <c r="BG140" s="109"/>
      <c r="BH140" s="109"/>
      <c r="BI140" s="109"/>
      <c r="BJ140" s="109"/>
      <c r="BK140" s="109"/>
      <c r="BL140" s="109"/>
      <c r="BM140" s="109"/>
      <c r="BN140" s="109"/>
      <c r="BO140" s="109"/>
      <c r="BP140" s="109"/>
      <c r="BQ140" s="109"/>
    </row>
    <row r="141" spans="9:69">
      <c r="I141" s="96" t="s">
        <v>48</v>
      </c>
      <c r="J141" s="96" t="s">
        <v>674</v>
      </c>
      <c r="K141" s="221">
        <f>K136</f>
        <v>10</v>
      </c>
      <c r="L141" s="221">
        <f t="shared" ref="L141:M141" si="74">L136</f>
        <v>5</v>
      </c>
      <c r="M141" s="221">
        <f t="shared" si="74"/>
        <v>13</v>
      </c>
      <c r="N141" s="101"/>
      <c r="O141" s="101"/>
      <c r="P141" s="101"/>
      <c r="Q141" s="101"/>
      <c r="R141" s="101"/>
      <c r="S141" s="101"/>
      <c r="T141" s="94" t="s">
        <v>241</v>
      </c>
      <c r="U141" s="95">
        <v>1</v>
      </c>
      <c r="V141" s="95">
        <v>10</v>
      </c>
      <c r="W141" s="100" t="s">
        <v>49</v>
      </c>
      <c r="X141" s="101"/>
      <c r="Y141" s="100" t="s">
        <v>235</v>
      </c>
      <c r="Z141" s="101"/>
      <c r="AA141" s="101"/>
      <c r="AB141" s="101"/>
      <c r="AC141" s="101"/>
      <c r="AD141" s="101"/>
      <c r="AE141" s="101"/>
      <c r="AF141" s="100" t="s">
        <v>250</v>
      </c>
      <c r="AG141" s="101"/>
      <c r="AH141" s="101"/>
      <c r="AI141" s="101"/>
      <c r="AJ141" s="101"/>
      <c r="AK141" s="101"/>
      <c r="AL141" s="101"/>
      <c r="AM141" s="101"/>
      <c r="AN141" s="100" t="s">
        <v>89</v>
      </c>
      <c r="AO141" s="101"/>
      <c r="AP141" s="101"/>
      <c r="AQ141" s="100" t="s">
        <v>50</v>
      </c>
      <c r="AR141" s="101"/>
      <c r="AS141" s="100" t="s">
        <v>89</v>
      </c>
      <c r="AT141" s="101"/>
      <c r="AU141" s="101"/>
      <c r="AV141" s="101"/>
      <c r="AW141" s="101"/>
      <c r="AX141" s="100">
        <v>2</v>
      </c>
      <c r="AY141" s="101"/>
      <c r="AZ141" s="101"/>
      <c r="BA141" s="101"/>
      <c r="BB141" s="101"/>
      <c r="BC141" s="101"/>
      <c r="BD141" s="101"/>
      <c r="BE141" s="101"/>
      <c r="BF141" s="101"/>
      <c r="BG141" s="101"/>
      <c r="BH141" s="101"/>
      <c r="BI141" s="101"/>
      <c r="BJ141" s="101"/>
      <c r="BK141" s="101"/>
      <c r="BL141" s="101"/>
      <c r="BM141" s="101"/>
      <c r="BN141" s="101"/>
      <c r="BO141" s="101"/>
      <c r="BP141" s="101"/>
      <c r="BQ141" s="101"/>
    </row>
    <row r="142" spans="9:69">
      <c r="I142" s="220" t="s">
        <v>155</v>
      </c>
      <c r="J142" s="220" t="s">
        <v>675</v>
      </c>
      <c r="K142" s="221">
        <f>K141</f>
        <v>10</v>
      </c>
      <c r="L142" s="221">
        <f t="shared" ref="L142:M142" si="75">L141</f>
        <v>5</v>
      </c>
      <c r="M142" s="221">
        <f t="shared" si="75"/>
        <v>13</v>
      </c>
      <c r="N142" s="101"/>
      <c r="O142" s="101"/>
      <c r="P142" s="101"/>
      <c r="Q142" s="101"/>
      <c r="R142" s="101"/>
      <c r="S142" s="101"/>
      <c r="T142" s="94" t="s">
        <v>209</v>
      </c>
      <c r="U142" s="100" t="e">
        <f>AC_INTAKE_EN_DIS</f>
        <v>#NAME?</v>
      </c>
      <c r="V142" s="95">
        <v>1</v>
      </c>
      <c r="W142" s="100" t="s">
        <v>49</v>
      </c>
      <c r="X142" s="101"/>
      <c r="Y142" s="100" t="s">
        <v>235</v>
      </c>
      <c r="Z142" s="101"/>
      <c r="AA142" s="101"/>
      <c r="AB142" s="101"/>
      <c r="AC142" s="101"/>
      <c r="AD142" s="101"/>
      <c r="AE142" s="101"/>
      <c r="AF142" s="100" t="s">
        <v>250</v>
      </c>
      <c r="AG142" s="101"/>
      <c r="AH142" s="101"/>
      <c r="AI142" s="101"/>
      <c r="AJ142" s="101"/>
      <c r="AK142" s="101"/>
      <c r="AL142" s="101"/>
      <c r="AM142" s="101"/>
      <c r="AN142" s="100" t="s">
        <v>89</v>
      </c>
      <c r="AO142" s="101"/>
      <c r="AP142" s="101"/>
      <c r="AQ142" s="100" t="s">
        <v>871</v>
      </c>
      <c r="AR142" s="101"/>
      <c r="AS142" s="100" t="s">
        <v>89</v>
      </c>
      <c r="AT142" s="101"/>
      <c r="AU142" s="101"/>
      <c r="AV142" s="101"/>
      <c r="AW142" s="101"/>
      <c r="AX142" s="100">
        <v>1</v>
      </c>
      <c r="AY142" s="101"/>
      <c r="AZ142" s="101"/>
      <c r="BA142" s="101"/>
      <c r="BB142" s="101"/>
      <c r="BC142" s="101"/>
      <c r="BD142" s="101"/>
      <c r="BE142" s="101"/>
      <c r="BF142" s="101"/>
      <c r="BG142" s="101"/>
      <c r="BH142" s="101"/>
      <c r="BI142" s="101"/>
      <c r="BJ142" s="101"/>
      <c r="BK142" s="101"/>
      <c r="BL142" s="101"/>
      <c r="BM142" s="101"/>
      <c r="BN142" s="101"/>
      <c r="BO142" s="101"/>
      <c r="BP142" s="101"/>
      <c r="BQ142" s="101"/>
    </row>
    <row r="143" spans="9:69" ht="13.5">
      <c r="I143" s="220" t="s">
        <v>155</v>
      </c>
      <c r="J143" s="220" t="s">
        <v>716</v>
      </c>
      <c r="K143" s="221">
        <f t="shared" ref="K143:M143" si="76">K142</f>
        <v>10</v>
      </c>
      <c r="L143" s="221">
        <f t="shared" si="76"/>
        <v>5</v>
      </c>
      <c r="M143" s="221">
        <f t="shared" si="76"/>
        <v>13</v>
      </c>
      <c r="N143" s="101"/>
      <c r="O143" s="101"/>
      <c r="P143" s="101"/>
      <c r="Q143" s="101"/>
      <c r="R143" s="101"/>
      <c r="S143" s="101"/>
      <c r="T143" s="94" t="s">
        <v>209</v>
      </c>
      <c r="U143" s="100" t="s">
        <v>1632</v>
      </c>
      <c r="V143" s="95">
        <v>2</v>
      </c>
      <c r="W143" s="100" t="s">
        <v>89</v>
      </c>
      <c r="X143" s="101"/>
      <c r="Y143" s="100" t="s">
        <v>235</v>
      </c>
      <c r="Z143" s="101"/>
      <c r="AA143" s="101"/>
      <c r="AB143" s="101"/>
      <c r="AC143" s="101"/>
      <c r="AD143" s="101"/>
      <c r="AE143" s="101"/>
      <c r="AF143" s="100">
        <v>1</v>
      </c>
      <c r="AG143" s="101"/>
      <c r="AH143" s="101"/>
      <c r="AI143" s="101"/>
      <c r="AJ143" s="101"/>
      <c r="AK143" s="101"/>
      <c r="AL143" s="101"/>
      <c r="AM143" s="101"/>
      <c r="AN143" s="100" t="s">
        <v>89</v>
      </c>
      <c r="AO143" s="101"/>
      <c r="AP143" s="101"/>
      <c r="AQ143" s="100" t="s">
        <v>51</v>
      </c>
      <c r="AR143" s="101"/>
      <c r="AS143" s="100" t="s">
        <v>89</v>
      </c>
      <c r="AT143" s="101"/>
      <c r="AU143" s="101"/>
      <c r="AV143" s="101"/>
      <c r="AW143" s="101"/>
      <c r="AX143" s="100">
        <v>1</v>
      </c>
      <c r="AY143" s="101"/>
      <c r="AZ143" s="101"/>
      <c r="BA143" s="101"/>
      <c r="BB143" s="101"/>
      <c r="BC143" s="101"/>
      <c r="BD143" s="101"/>
      <c r="BE143" s="101"/>
      <c r="BF143" s="101"/>
      <c r="BG143" s="101"/>
      <c r="BH143" s="101"/>
      <c r="BI143" s="101"/>
      <c r="BJ143" s="101"/>
      <c r="BK143" s="101"/>
      <c r="BL143" s="101"/>
      <c r="BM143" s="101"/>
      <c r="BN143" s="101"/>
      <c r="BO143" s="101"/>
      <c r="BP143" s="101"/>
      <c r="BQ143" s="101"/>
    </row>
    <row r="144" spans="9:69">
      <c r="I144" s="220" t="s">
        <v>155</v>
      </c>
      <c r="J144" s="220" t="s">
        <v>676</v>
      </c>
      <c r="K144" s="221">
        <f t="shared" ref="K144:M144" si="77">K143</f>
        <v>10</v>
      </c>
      <c r="L144" s="221">
        <f t="shared" si="77"/>
        <v>5</v>
      </c>
      <c r="M144" s="221">
        <f t="shared" si="77"/>
        <v>13</v>
      </c>
      <c r="N144" s="101"/>
      <c r="O144" s="101"/>
      <c r="P144" s="101"/>
      <c r="Q144" s="101"/>
      <c r="R144" s="101"/>
      <c r="S144" s="101"/>
      <c r="T144" s="94" t="s">
        <v>243</v>
      </c>
      <c r="U144" s="95">
        <v>1</v>
      </c>
      <c r="V144" s="95">
        <v>1</v>
      </c>
      <c r="W144" s="100" t="s">
        <v>89</v>
      </c>
      <c r="X144" s="101"/>
      <c r="Y144" s="100" t="s">
        <v>407</v>
      </c>
      <c r="Z144" s="101"/>
      <c r="AA144" s="101"/>
      <c r="AB144" s="101"/>
      <c r="AC144" s="101"/>
      <c r="AD144" s="101"/>
      <c r="AE144" s="101"/>
      <c r="AF144" s="100">
        <v>1</v>
      </c>
      <c r="AG144" s="101"/>
      <c r="AH144" s="101"/>
      <c r="AI144" s="101"/>
      <c r="AJ144" s="101"/>
      <c r="AK144" s="101"/>
      <c r="AL144" s="101"/>
      <c r="AM144" s="101"/>
      <c r="AN144" s="100" t="s">
        <v>89</v>
      </c>
      <c r="AO144" s="101"/>
      <c r="AP144" s="101"/>
      <c r="AQ144" s="100" t="s">
        <v>51</v>
      </c>
      <c r="AR144" s="101"/>
      <c r="AS144" s="100" t="s">
        <v>89</v>
      </c>
      <c r="AT144" s="101"/>
      <c r="AU144" s="101"/>
      <c r="AV144" s="101"/>
      <c r="AW144" s="101"/>
      <c r="AX144" s="100">
        <v>1</v>
      </c>
      <c r="AY144" s="101"/>
      <c r="AZ144" s="101"/>
      <c r="BA144" s="101"/>
      <c r="BB144" s="101"/>
      <c r="BC144" s="101"/>
      <c r="BD144" s="101"/>
      <c r="BE144" s="101"/>
      <c r="BF144" s="101"/>
      <c r="BG144" s="101"/>
      <c r="BH144" s="101"/>
      <c r="BI144" s="101"/>
      <c r="BJ144" s="101"/>
      <c r="BK144" s="101"/>
      <c r="BL144" s="101"/>
      <c r="BM144" s="101"/>
      <c r="BN144" s="101"/>
      <c r="BO144" s="101"/>
      <c r="BP144" s="101"/>
      <c r="BQ144" s="101"/>
    </row>
    <row r="145" spans="9:69">
      <c r="I145" s="220" t="s">
        <v>155</v>
      </c>
      <c r="J145" s="220" t="s">
        <v>677</v>
      </c>
      <c r="K145" s="221">
        <f t="shared" ref="K145:M145" si="78">K144</f>
        <v>10</v>
      </c>
      <c r="L145" s="221">
        <f t="shared" si="78"/>
        <v>5</v>
      </c>
      <c r="M145" s="221">
        <f t="shared" si="78"/>
        <v>13</v>
      </c>
      <c r="N145" s="101"/>
      <c r="O145" s="101"/>
      <c r="P145" s="101"/>
      <c r="Q145" s="101"/>
      <c r="R145" s="101"/>
      <c r="S145" s="101"/>
      <c r="T145" s="94" t="s">
        <v>246</v>
      </c>
      <c r="U145" s="95">
        <v>1</v>
      </c>
      <c r="V145" s="95">
        <v>1</v>
      </c>
      <c r="W145" s="100" t="s">
        <v>89</v>
      </c>
      <c r="X145" s="101"/>
      <c r="Y145" s="100" t="s">
        <v>18</v>
      </c>
      <c r="Z145" s="101"/>
      <c r="AA145" s="101"/>
      <c r="AB145" s="101"/>
      <c r="AC145" s="101"/>
      <c r="AD145" s="101"/>
      <c r="AE145" s="101"/>
      <c r="AF145" s="100">
        <v>3</v>
      </c>
      <c r="AG145" s="101"/>
      <c r="AH145" s="101"/>
      <c r="AI145" s="101"/>
      <c r="AJ145" s="101"/>
      <c r="AK145" s="101"/>
      <c r="AL145" s="101"/>
      <c r="AM145" s="101"/>
      <c r="AN145" s="100" t="s">
        <v>89</v>
      </c>
      <c r="AO145" s="101"/>
      <c r="AP145" s="101"/>
      <c r="AQ145" s="100" t="s">
        <v>51</v>
      </c>
      <c r="AR145" s="101"/>
      <c r="AS145" s="100" t="s">
        <v>49</v>
      </c>
      <c r="AT145" s="101"/>
      <c r="AU145" s="101"/>
      <c r="AV145" s="101"/>
      <c r="AW145" s="101"/>
      <c r="AX145" s="100">
        <v>1</v>
      </c>
      <c r="AY145" s="101"/>
      <c r="AZ145" s="101"/>
      <c r="BA145" s="101"/>
      <c r="BB145" s="101"/>
      <c r="BC145" s="101"/>
      <c r="BD145" s="101"/>
      <c r="BE145" s="101"/>
      <c r="BF145" s="101"/>
      <c r="BG145" s="101"/>
      <c r="BH145" s="101"/>
      <c r="BI145" s="101"/>
      <c r="BJ145" s="101"/>
      <c r="BK145" s="101"/>
      <c r="BL145" s="101"/>
      <c r="BM145" s="101"/>
      <c r="BN145" s="101"/>
      <c r="BO145" s="101"/>
      <c r="BP145" s="101"/>
      <c r="BQ145" s="101"/>
    </row>
    <row r="146" spans="9:69">
      <c r="I146" s="220" t="s">
        <v>155</v>
      </c>
      <c r="J146" s="220" t="s">
        <v>678</v>
      </c>
      <c r="K146" s="221">
        <f t="shared" ref="K146:M146" si="79">K145</f>
        <v>10</v>
      </c>
      <c r="L146" s="221">
        <f t="shared" si="79"/>
        <v>5</v>
      </c>
      <c r="M146" s="221">
        <f t="shared" si="79"/>
        <v>13</v>
      </c>
      <c r="N146" s="101"/>
      <c r="O146" s="101"/>
      <c r="P146" s="101"/>
      <c r="Q146" s="101"/>
      <c r="R146" s="101"/>
      <c r="S146" s="101"/>
      <c r="T146" s="94" t="s">
        <v>209</v>
      </c>
      <c r="U146" s="100" t="e">
        <f>AC_INTAKE_EN_DIS</f>
        <v>#NAME?</v>
      </c>
      <c r="V146" s="95">
        <v>1</v>
      </c>
      <c r="W146" s="100" t="s">
        <v>49</v>
      </c>
      <c r="X146" s="101"/>
      <c r="Y146" s="100" t="s">
        <v>235</v>
      </c>
      <c r="Z146" s="101"/>
      <c r="AA146" s="101"/>
      <c r="AB146" s="101"/>
      <c r="AC146" s="101"/>
      <c r="AD146" s="101"/>
      <c r="AE146" s="101"/>
      <c r="AF146" s="100" t="s">
        <v>250</v>
      </c>
      <c r="AG146" s="101"/>
      <c r="AH146" s="101"/>
      <c r="AI146" s="101"/>
      <c r="AJ146" s="101"/>
      <c r="AK146" s="101"/>
      <c r="AL146" s="101"/>
      <c r="AM146" s="101"/>
      <c r="AN146" s="100" t="s">
        <v>89</v>
      </c>
      <c r="AO146" s="101"/>
      <c r="AP146" s="101"/>
      <c r="AQ146" s="100" t="s">
        <v>1643</v>
      </c>
      <c r="AR146" s="101"/>
      <c r="AS146" s="100" t="s">
        <v>89</v>
      </c>
      <c r="AT146" s="101"/>
      <c r="AU146" s="101"/>
      <c r="AV146" s="101"/>
      <c r="AW146" s="101"/>
      <c r="AX146" s="100">
        <v>2</v>
      </c>
      <c r="AY146" s="101"/>
      <c r="AZ146" s="101"/>
      <c r="BA146" s="101"/>
      <c r="BB146" s="101"/>
      <c r="BC146" s="101"/>
      <c r="BD146" s="101"/>
      <c r="BE146" s="101"/>
      <c r="BF146" s="101"/>
      <c r="BG146" s="101"/>
      <c r="BH146" s="101"/>
      <c r="BI146" s="101"/>
      <c r="BJ146" s="101"/>
      <c r="BK146" s="101"/>
      <c r="BL146" s="101"/>
      <c r="BM146" s="101"/>
      <c r="BN146" s="101"/>
      <c r="BO146" s="101"/>
      <c r="BP146" s="101"/>
      <c r="BQ146" s="101"/>
    </row>
    <row r="147" spans="9:69" ht="13.5">
      <c r="I147" s="220" t="s">
        <v>155</v>
      </c>
      <c r="J147" s="220" t="s">
        <v>679</v>
      </c>
      <c r="K147" s="221">
        <f t="shared" ref="K147:M147" si="80">K146</f>
        <v>10</v>
      </c>
      <c r="L147" s="221">
        <f t="shared" si="80"/>
        <v>5</v>
      </c>
      <c r="M147" s="221">
        <f t="shared" si="80"/>
        <v>13</v>
      </c>
      <c r="N147" s="101"/>
      <c r="O147" s="101"/>
      <c r="P147" s="101"/>
      <c r="Q147" s="101"/>
      <c r="R147" s="101"/>
      <c r="S147" s="101"/>
      <c r="T147" s="94" t="s">
        <v>209</v>
      </c>
      <c r="U147" s="100" t="s">
        <v>1632</v>
      </c>
      <c r="V147" s="95">
        <v>2</v>
      </c>
      <c r="W147" s="100" t="s">
        <v>89</v>
      </c>
      <c r="X147" s="101"/>
      <c r="Y147" s="100" t="s">
        <v>235</v>
      </c>
      <c r="Z147" s="101"/>
      <c r="AA147" s="101"/>
      <c r="AB147" s="101"/>
      <c r="AC147" s="101"/>
      <c r="AD147" s="101"/>
      <c r="AE147" s="101"/>
      <c r="AF147" s="100">
        <v>1</v>
      </c>
      <c r="AG147" s="101"/>
      <c r="AH147" s="101"/>
      <c r="AI147" s="101"/>
      <c r="AJ147" s="101"/>
      <c r="AK147" s="101"/>
      <c r="AL147" s="101"/>
      <c r="AM147" s="101"/>
      <c r="AN147" s="100" t="s">
        <v>89</v>
      </c>
      <c r="AO147" s="101"/>
      <c r="AP147" s="101"/>
      <c r="AQ147" s="100" t="s">
        <v>51</v>
      </c>
      <c r="AR147" s="101"/>
      <c r="AS147" s="100" t="s">
        <v>89</v>
      </c>
      <c r="AT147" s="101"/>
      <c r="AU147" s="101"/>
      <c r="AV147" s="101"/>
      <c r="AW147" s="101"/>
      <c r="AX147" s="100">
        <v>2</v>
      </c>
      <c r="AY147" s="101"/>
      <c r="AZ147" s="101"/>
      <c r="BA147" s="101"/>
      <c r="BB147" s="101"/>
      <c r="BC147" s="101"/>
      <c r="BD147" s="101"/>
      <c r="BE147" s="101"/>
      <c r="BF147" s="101"/>
      <c r="BG147" s="101"/>
      <c r="BH147" s="101"/>
      <c r="BI147" s="101"/>
      <c r="BJ147" s="101"/>
      <c r="BK147" s="101"/>
      <c r="BL147" s="101"/>
      <c r="BM147" s="101"/>
      <c r="BN147" s="101"/>
      <c r="BO147" s="101"/>
      <c r="BP147" s="101"/>
      <c r="BQ147" s="101"/>
    </row>
    <row r="148" spans="9:69">
      <c r="I148" s="220" t="s">
        <v>155</v>
      </c>
      <c r="J148" s="220" t="s">
        <v>680</v>
      </c>
      <c r="K148" s="221">
        <f t="shared" ref="K148:M148" si="81">K147</f>
        <v>10</v>
      </c>
      <c r="L148" s="221">
        <f t="shared" si="81"/>
        <v>5</v>
      </c>
      <c r="M148" s="221">
        <f t="shared" si="81"/>
        <v>13</v>
      </c>
      <c r="N148" s="101"/>
      <c r="O148" s="101"/>
      <c r="P148" s="101"/>
      <c r="Q148" s="101"/>
      <c r="R148" s="101"/>
      <c r="S148" s="101"/>
      <c r="T148" s="94" t="s">
        <v>243</v>
      </c>
      <c r="U148" s="95">
        <v>1</v>
      </c>
      <c r="V148" s="95">
        <v>1</v>
      </c>
      <c r="W148" s="100" t="s">
        <v>89</v>
      </c>
      <c r="X148" s="101"/>
      <c r="Y148" s="100" t="s">
        <v>407</v>
      </c>
      <c r="Z148" s="101"/>
      <c r="AA148" s="101"/>
      <c r="AB148" s="101"/>
      <c r="AC148" s="101"/>
      <c r="AD148" s="101"/>
      <c r="AE148" s="101"/>
      <c r="AF148" s="100">
        <v>1</v>
      </c>
      <c r="AG148" s="101"/>
      <c r="AH148" s="101"/>
      <c r="AI148" s="101"/>
      <c r="AJ148" s="101"/>
      <c r="AK148" s="101"/>
      <c r="AL148" s="101"/>
      <c r="AM148" s="101"/>
      <c r="AN148" s="100" t="s">
        <v>49</v>
      </c>
      <c r="AO148" s="101"/>
      <c r="AP148" s="101"/>
      <c r="AQ148" s="100" t="s">
        <v>50</v>
      </c>
      <c r="AR148" s="101"/>
      <c r="AS148" s="100" t="s">
        <v>89</v>
      </c>
      <c r="AT148" s="101"/>
      <c r="AU148" s="101"/>
      <c r="AV148" s="101"/>
      <c r="AW148" s="101"/>
      <c r="AX148" s="100">
        <v>2</v>
      </c>
      <c r="AY148" s="101"/>
      <c r="AZ148" s="101"/>
      <c r="BA148" s="101"/>
      <c r="BB148" s="101"/>
      <c r="BC148" s="101"/>
      <c r="BD148" s="101"/>
      <c r="BE148" s="101"/>
      <c r="BF148" s="101"/>
      <c r="BG148" s="101"/>
      <c r="BH148" s="101"/>
      <c r="BI148" s="101"/>
      <c r="BJ148" s="101"/>
      <c r="BK148" s="101"/>
      <c r="BL148" s="101"/>
      <c r="BM148" s="101"/>
      <c r="BN148" s="101"/>
      <c r="BO148" s="101"/>
      <c r="BP148" s="101"/>
      <c r="BQ148" s="101"/>
    </row>
    <row r="149" spans="9:69">
      <c r="I149" s="220" t="s">
        <v>155</v>
      </c>
      <c r="J149" s="220" t="s">
        <v>681</v>
      </c>
      <c r="K149" s="221">
        <f t="shared" ref="K149:M149" si="82">K148</f>
        <v>10</v>
      </c>
      <c r="L149" s="221">
        <f t="shared" si="82"/>
        <v>5</v>
      </c>
      <c r="M149" s="221">
        <f t="shared" si="82"/>
        <v>13</v>
      </c>
      <c r="N149" s="101"/>
      <c r="O149" s="101"/>
      <c r="P149" s="101"/>
      <c r="Q149" s="101"/>
      <c r="R149" s="101"/>
      <c r="S149" s="101"/>
      <c r="T149" s="94" t="s">
        <v>243</v>
      </c>
      <c r="U149" s="95">
        <v>1</v>
      </c>
      <c r="V149" s="95">
        <v>1</v>
      </c>
      <c r="W149" s="100" t="s">
        <v>89</v>
      </c>
      <c r="X149" s="101"/>
      <c r="Y149" s="100" t="s">
        <v>237</v>
      </c>
      <c r="Z149" s="101"/>
      <c r="AA149" s="101"/>
      <c r="AB149" s="101"/>
      <c r="AC149" s="101"/>
      <c r="AD149" s="101"/>
      <c r="AE149" s="101"/>
      <c r="AF149" s="100">
        <v>1</v>
      </c>
      <c r="AG149" s="101"/>
      <c r="AH149" s="101"/>
      <c r="AI149" s="101"/>
      <c r="AJ149" s="101"/>
      <c r="AK149" s="101"/>
      <c r="AL149" s="101"/>
      <c r="AM149" s="101"/>
      <c r="AN149" s="100" t="s">
        <v>89</v>
      </c>
      <c r="AO149" s="101"/>
      <c r="AP149" s="101"/>
      <c r="AQ149" s="100" t="s">
        <v>51</v>
      </c>
      <c r="AR149" s="101"/>
      <c r="AS149" s="100" t="s">
        <v>89</v>
      </c>
      <c r="AT149" s="101"/>
      <c r="AU149" s="101"/>
      <c r="AV149" s="101"/>
      <c r="AW149" s="101"/>
      <c r="AX149" s="100">
        <v>2</v>
      </c>
      <c r="AY149" s="101"/>
      <c r="AZ149" s="101"/>
      <c r="BA149" s="101"/>
      <c r="BB149" s="101"/>
      <c r="BC149" s="101"/>
      <c r="BD149" s="101"/>
      <c r="BE149" s="101"/>
      <c r="BF149" s="101"/>
      <c r="BG149" s="101"/>
      <c r="BH149" s="101"/>
      <c r="BI149" s="101"/>
      <c r="BJ149" s="101"/>
      <c r="BK149" s="101"/>
      <c r="BL149" s="101"/>
      <c r="BM149" s="101"/>
      <c r="BN149" s="101"/>
      <c r="BO149" s="101"/>
      <c r="BP149" s="101"/>
      <c r="BQ149" s="101"/>
    </row>
    <row r="150" spans="9:69">
      <c r="I150" s="220" t="s">
        <v>155</v>
      </c>
      <c r="J150" s="220" t="s">
        <v>682</v>
      </c>
      <c r="K150" s="221">
        <f t="shared" ref="K150:M150" si="83">K149</f>
        <v>10</v>
      </c>
      <c r="L150" s="221">
        <f t="shared" si="83"/>
        <v>5</v>
      </c>
      <c r="M150" s="221">
        <f t="shared" si="83"/>
        <v>13</v>
      </c>
      <c r="N150" s="101"/>
      <c r="O150" s="101"/>
      <c r="P150" s="101"/>
      <c r="Q150" s="101"/>
      <c r="R150" s="101"/>
      <c r="S150" s="101"/>
      <c r="T150" s="94" t="s">
        <v>246</v>
      </c>
      <c r="U150" s="95">
        <v>1</v>
      </c>
      <c r="V150" s="95">
        <v>1</v>
      </c>
      <c r="W150" s="100" t="s">
        <v>89</v>
      </c>
      <c r="X150" s="101"/>
      <c r="Y150" s="100" t="s">
        <v>18</v>
      </c>
      <c r="Z150" s="101"/>
      <c r="AA150" s="101"/>
      <c r="AB150" s="101"/>
      <c r="AC150" s="101"/>
      <c r="AD150" s="101"/>
      <c r="AE150" s="101"/>
      <c r="AF150" s="100">
        <v>3</v>
      </c>
      <c r="AG150" s="101"/>
      <c r="AH150" s="101"/>
      <c r="AI150" s="101"/>
      <c r="AJ150" s="101"/>
      <c r="AK150" s="101"/>
      <c r="AL150" s="101"/>
      <c r="AM150" s="101"/>
      <c r="AN150" s="100" t="s">
        <v>49</v>
      </c>
      <c r="AO150" s="101"/>
      <c r="AP150" s="101"/>
      <c r="AQ150" s="100" t="s">
        <v>50</v>
      </c>
      <c r="AR150" s="101"/>
      <c r="AS150" s="100" t="s">
        <v>49</v>
      </c>
      <c r="AT150" s="101"/>
      <c r="AU150" s="101"/>
      <c r="AV150" s="101"/>
      <c r="AW150" s="101"/>
      <c r="AX150" s="100">
        <v>2</v>
      </c>
      <c r="AY150" s="101"/>
      <c r="AZ150" s="101"/>
      <c r="BA150" s="101"/>
      <c r="BB150" s="101"/>
      <c r="BC150" s="101"/>
      <c r="BD150" s="101"/>
      <c r="BE150" s="101"/>
      <c r="BF150" s="101"/>
      <c r="BG150" s="101"/>
      <c r="BH150" s="101"/>
      <c r="BI150" s="101"/>
      <c r="BJ150" s="101"/>
      <c r="BK150" s="101"/>
      <c r="BL150" s="101"/>
      <c r="BM150" s="101"/>
      <c r="BN150" s="101"/>
      <c r="BO150" s="101"/>
      <c r="BP150" s="101"/>
      <c r="BQ150" s="101"/>
    </row>
    <row r="151" spans="9:69">
      <c r="I151" s="112" t="s">
        <v>7</v>
      </c>
      <c r="J151" s="112" t="s">
        <v>683</v>
      </c>
      <c r="K151" s="109" t="s">
        <v>803</v>
      </c>
      <c r="L151" s="109"/>
      <c r="M151" s="109"/>
      <c r="N151" s="109"/>
      <c r="O151" s="109"/>
      <c r="P151" s="109"/>
      <c r="Q151" s="109"/>
      <c r="R151" s="109"/>
      <c r="S151" s="109"/>
      <c r="T151" s="109"/>
      <c r="U151" s="110"/>
      <c r="V151" s="110"/>
      <c r="W151" s="109"/>
      <c r="X151" s="109"/>
      <c r="Y151" s="109"/>
      <c r="Z151" s="109"/>
      <c r="AA151" s="109"/>
      <c r="AB151" s="109"/>
      <c r="AC151" s="109"/>
      <c r="AD151" s="109"/>
      <c r="AE151" s="109"/>
      <c r="AF151" s="109"/>
      <c r="AG151" s="109"/>
      <c r="AH151" s="109"/>
      <c r="AI151" s="109"/>
      <c r="AJ151" s="109"/>
      <c r="AK151" s="109"/>
      <c r="AL151" s="109"/>
      <c r="AM151" s="109"/>
      <c r="AN151" s="109"/>
      <c r="AO151" s="109"/>
      <c r="AP151" s="109"/>
      <c r="AQ151" s="109"/>
      <c r="AR151" s="109"/>
      <c r="AS151" s="109"/>
      <c r="AT151" s="109"/>
      <c r="AU151" s="109"/>
      <c r="AV151" s="109"/>
      <c r="AW151" s="109"/>
      <c r="AX151" s="109"/>
      <c r="AY151" s="109"/>
      <c r="AZ151" s="109"/>
      <c r="BA151" s="109"/>
      <c r="BB151" s="109"/>
      <c r="BC151" s="109"/>
      <c r="BD151" s="109"/>
      <c r="BE151" s="109"/>
      <c r="BF151" s="109"/>
      <c r="BG151" s="109"/>
      <c r="BH151" s="109"/>
      <c r="BI151" s="109"/>
      <c r="BJ151" s="109"/>
      <c r="BK151" s="109"/>
      <c r="BL151" s="109"/>
      <c r="BM151" s="109"/>
      <c r="BN151" s="109"/>
      <c r="BO151" s="109"/>
      <c r="BP151" s="109"/>
      <c r="BQ151" s="109"/>
    </row>
    <row r="152" spans="9:69">
      <c r="I152" s="96" t="s">
        <v>48</v>
      </c>
      <c r="J152" s="96" t="s">
        <v>684</v>
      </c>
      <c r="K152" s="221">
        <f>K149</f>
        <v>10</v>
      </c>
      <c r="L152" s="221">
        <f t="shared" ref="L152:M152" si="84">L149</f>
        <v>5</v>
      </c>
      <c r="M152" s="221">
        <f t="shared" si="84"/>
        <v>13</v>
      </c>
      <c r="N152" s="101"/>
      <c r="O152" s="101"/>
      <c r="P152" s="101"/>
      <c r="Q152" s="101"/>
      <c r="R152" s="101"/>
      <c r="S152" s="101"/>
      <c r="T152" s="94" t="s">
        <v>241</v>
      </c>
      <c r="U152" s="95">
        <v>1</v>
      </c>
      <c r="V152" s="95">
        <v>10</v>
      </c>
      <c r="W152" s="100" t="s">
        <v>49</v>
      </c>
      <c r="X152" s="101"/>
      <c r="Y152" s="100" t="s">
        <v>235</v>
      </c>
      <c r="Z152" s="101"/>
      <c r="AA152" s="101"/>
      <c r="AB152" s="101"/>
      <c r="AC152" s="101"/>
      <c r="AD152" s="101"/>
      <c r="AE152" s="101"/>
      <c r="AF152" s="100" t="s">
        <v>250</v>
      </c>
      <c r="AG152" s="101"/>
      <c r="AH152" s="101"/>
      <c r="AI152" s="101"/>
      <c r="AJ152" s="101"/>
      <c r="AK152" s="101"/>
      <c r="AL152" s="101"/>
      <c r="AM152" s="101"/>
      <c r="AN152" s="100" t="s">
        <v>89</v>
      </c>
      <c r="AO152" s="101"/>
      <c r="AP152" s="101"/>
      <c r="AQ152" s="100" t="s">
        <v>50</v>
      </c>
      <c r="AR152" s="101"/>
      <c r="AS152" s="100" t="s">
        <v>89</v>
      </c>
      <c r="AT152" s="101"/>
      <c r="AU152" s="101"/>
      <c r="AV152" s="101"/>
      <c r="AW152" s="101"/>
      <c r="AX152" s="100">
        <v>2</v>
      </c>
      <c r="AY152" s="101"/>
      <c r="AZ152" s="101"/>
      <c r="BA152" s="101"/>
      <c r="BB152" s="101"/>
      <c r="BC152" s="101"/>
      <c r="BD152" s="101"/>
      <c r="BE152" s="101"/>
      <c r="BF152" s="101"/>
      <c r="BG152" s="101"/>
      <c r="BH152" s="101"/>
      <c r="BI152" s="101"/>
      <c r="BJ152" s="101"/>
      <c r="BK152" s="101"/>
      <c r="BL152" s="101"/>
      <c r="BM152" s="101"/>
      <c r="BN152" s="101"/>
      <c r="BO152" s="101"/>
      <c r="BP152" s="101"/>
      <c r="BQ152" s="101"/>
    </row>
    <row r="153" spans="9:69">
      <c r="I153" s="220" t="s">
        <v>155</v>
      </c>
      <c r="J153" s="220" t="s">
        <v>733</v>
      </c>
      <c r="K153" s="221">
        <f>K152</f>
        <v>10</v>
      </c>
      <c r="L153" s="221">
        <f t="shared" ref="L153:M153" si="85">L152</f>
        <v>5</v>
      </c>
      <c r="M153" s="221">
        <f t="shared" si="85"/>
        <v>13</v>
      </c>
      <c r="N153" s="101"/>
      <c r="O153" s="101"/>
      <c r="P153" s="101"/>
      <c r="Q153" s="101"/>
      <c r="R153" s="101"/>
      <c r="S153" s="101"/>
      <c r="T153" s="94" t="e">
        <f>DefLogic_USM_Set</f>
        <v>#NAME?</v>
      </c>
      <c r="U153" s="100">
        <v>1</v>
      </c>
      <c r="V153" s="95">
        <v>1</v>
      </c>
      <c r="W153" s="100" t="s">
        <v>49</v>
      </c>
      <c r="X153" s="101"/>
      <c r="Y153" s="100" t="s">
        <v>235</v>
      </c>
      <c r="Z153" s="101"/>
      <c r="AA153" s="101"/>
      <c r="AB153" s="101"/>
      <c r="AC153" s="101"/>
      <c r="AD153" s="101"/>
      <c r="AE153" s="101"/>
      <c r="AF153" s="100" t="s">
        <v>250</v>
      </c>
      <c r="AG153" s="101"/>
      <c r="AH153" s="101"/>
      <c r="AI153" s="101"/>
      <c r="AJ153" s="101"/>
      <c r="AK153" s="101"/>
      <c r="AL153" s="101"/>
      <c r="AM153" s="101"/>
      <c r="AN153" s="100" t="s">
        <v>89</v>
      </c>
      <c r="AO153" s="101"/>
      <c r="AP153" s="101"/>
      <c r="AQ153" s="100" t="s">
        <v>50</v>
      </c>
      <c r="AR153" s="101"/>
      <c r="AS153" s="100" t="s">
        <v>89</v>
      </c>
      <c r="AT153" s="101"/>
      <c r="AU153" s="101"/>
      <c r="AV153" s="101"/>
      <c r="AW153" s="101"/>
      <c r="AX153" s="100">
        <v>1</v>
      </c>
      <c r="AY153" s="101"/>
      <c r="AZ153" s="101"/>
      <c r="BA153" s="101"/>
      <c r="BB153" s="101"/>
      <c r="BC153" s="101"/>
      <c r="BD153" s="101"/>
      <c r="BE153" s="101"/>
      <c r="BF153" s="101"/>
      <c r="BG153" s="101"/>
      <c r="BH153" s="101"/>
      <c r="BI153" s="101"/>
      <c r="BJ153" s="101"/>
      <c r="BK153" s="101"/>
      <c r="BL153" s="101"/>
      <c r="BM153" s="101"/>
      <c r="BN153" s="101"/>
      <c r="BO153" s="101"/>
      <c r="BP153" s="101"/>
      <c r="BQ153" s="101"/>
    </row>
    <row r="154" spans="9:69" ht="13.5">
      <c r="I154" s="220" t="s">
        <v>155</v>
      </c>
      <c r="J154" s="220" t="s">
        <v>734</v>
      </c>
      <c r="K154" s="221">
        <f t="shared" ref="K154:M154" si="86">K153</f>
        <v>10</v>
      </c>
      <c r="L154" s="221">
        <f t="shared" si="86"/>
        <v>5</v>
      </c>
      <c r="M154" s="221">
        <f t="shared" si="86"/>
        <v>13</v>
      </c>
      <c r="N154" s="101"/>
      <c r="O154" s="101"/>
      <c r="P154" s="101"/>
      <c r="Q154" s="101"/>
      <c r="R154" s="101"/>
      <c r="S154" s="101"/>
      <c r="T154" s="94" t="s">
        <v>209</v>
      </c>
      <c r="U154" s="100" t="s">
        <v>1632</v>
      </c>
      <c r="V154" s="95">
        <v>2</v>
      </c>
      <c r="W154" s="100" t="s">
        <v>89</v>
      </c>
      <c r="X154" s="101"/>
      <c r="Y154" s="100" t="s">
        <v>235</v>
      </c>
      <c r="Z154" s="101"/>
      <c r="AA154" s="101"/>
      <c r="AB154" s="101"/>
      <c r="AC154" s="101"/>
      <c r="AD154" s="101"/>
      <c r="AE154" s="101"/>
      <c r="AF154" s="100">
        <v>1</v>
      </c>
      <c r="AG154" s="101"/>
      <c r="AH154" s="101"/>
      <c r="AI154" s="101"/>
      <c r="AJ154" s="101"/>
      <c r="AK154" s="101"/>
      <c r="AL154" s="101"/>
      <c r="AM154" s="101"/>
      <c r="AN154" s="100" t="s">
        <v>89</v>
      </c>
      <c r="AO154" s="101"/>
      <c r="AP154" s="101"/>
      <c r="AQ154" s="100" t="s">
        <v>51</v>
      </c>
      <c r="AR154" s="101"/>
      <c r="AS154" s="100" t="s">
        <v>89</v>
      </c>
      <c r="AT154" s="101"/>
      <c r="AU154" s="101"/>
      <c r="AV154" s="101"/>
      <c r="AW154" s="101"/>
      <c r="AX154" s="100">
        <v>1</v>
      </c>
      <c r="AY154" s="101"/>
      <c r="AZ154" s="101"/>
      <c r="BA154" s="101"/>
      <c r="BB154" s="101"/>
      <c r="BC154" s="101"/>
      <c r="BD154" s="101"/>
      <c r="BE154" s="101"/>
      <c r="BF154" s="101"/>
      <c r="BG154" s="101"/>
      <c r="BH154" s="101"/>
      <c r="BI154" s="101"/>
      <c r="BJ154" s="101"/>
      <c r="BK154" s="101"/>
      <c r="BL154" s="101"/>
      <c r="BM154" s="101"/>
      <c r="BN154" s="101"/>
      <c r="BO154" s="101"/>
      <c r="BP154" s="101"/>
      <c r="BQ154" s="101"/>
    </row>
    <row r="155" spans="9:69">
      <c r="I155" s="220" t="s">
        <v>155</v>
      </c>
      <c r="J155" s="220" t="s">
        <v>685</v>
      </c>
      <c r="K155" s="221">
        <f t="shared" ref="K155:M155" si="87">K154</f>
        <v>10</v>
      </c>
      <c r="L155" s="221">
        <f t="shared" si="87"/>
        <v>5</v>
      </c>
      <c r="M155" s="221">
        <f t="shared" si="87"/>
        <v>13</v>
      </c>
      <c r="N155" s="101"/>
      <c r="O155" s="101"/>
      <c r="P155" s="101"/>
      <c r="Q155" s="101"/>
      <c r="R155" s="101"/>
      <c r="S155" s="101"/>
      <c r="T155" s="94" t="s">
        <v>243</v>
      </c>
      <c r="U155" s="95">
        <v>1</v>
      </c>
      <c r="V155" s="95">
        <v>1</v>
      </c>
      <c r="W155" s="100" t="s">
        <v>89</v>
      </c>
      <c r="X155" s="101"/>
      <c r="Y155" s="100" t="s">
        <v>407</v>
      </c>
      <c r="Z155" s="101"/>
      <c r="AA155" s="101"/>
      <c r="AB155" s="101"/>
      <c r="AC155" s="101"/>
      <c r="AD155" s="101"/>
      <c r="AE155" s="101"/>
      <c r="AF155" s="100">
        <v>1</v>
      </c>
      <c r="AG155" s="101"/>
      <c r="AH155" s="101"/>
      <c r="AI155" s="101"/>
      <c r="AJ155" s="101"/>
      <c r="AK155" s="101"/>
      <c r="AL155" s="101"/>
      <c r="AM155" s="101"/>
      <c r="AN155" s="100" t="s">
        <v>89</v>
      </c>
      <c r="AO155" s="101"/>
      <c r="AP155" s="101"/>
      <c r="AQ155" s="100" t="s">
        <v>51</v>
      </c>
      <c r="AR155" s="101"/>
      <c r="AS155" s="100" t="s">
        <v>89</v>
      </c>
      <c r="AT155" s="101"/>
      <c r="AU155" s="101"/>
      <c r="AV155" s="101"/>
      <c r="AW155" s="101"/>
      <c r="AX155" s="100">
        <v>1</v>
      </c>
      <c r="AY155" s="101"/>
      <c r="AZ155" s="101"/>
      <c r="BA155" s="101"/>
      <c r="BB155" s="101"/>
      <c r="BC155" s="101"/>
      <c r="BD155" s="101"/>
      <c r="BE155" s="101"/>
      <c r="BF155" s="101"/>
      <c r="BG155" s="101"/>
      <c r="BH155" s="101"/>
      <c r="BI155" s="101"/>
      <c r="BJ155" s="101"/>
      <c r="BK155" s="101"/>
      <c r="BL155" s="101"/>
      <c r="BM155" s="101"/>
      <c r="BN155" s="101"/>
      <c r="BO155" s="101"/>
      <c r="BP155" s="101"/>
      <c r="BQ155" s="101"/>
    </row>
    <row r="156" spans="9:69">
      <c r="I156" s="220" t="s">
        <v>155</v>
      </c>
      <c r="J156" s="220" t="s">
        <v>686</v>
      </c>
      <c r="K156" s="221">
        <f t="shared" ref="K156:M156" si="88">K155</f>
        <v>10</v>
      </c>
      <c r="L156" s="221">
        <f t="shared" si="88"/>
        <v>5</v>
      </c>
      <c r="M156" s="221">
        <f t="shared" si="88"/>
        <v>13</v>
      </c>
      <c r="N156" s="101"/>
      <c r="O156" s="101"/>
      <c r="P156" s="101"/>
      <c r="Q156" s="101"/>
      <c r="R156" s="101"/>
      <c r="S156" s="101"/>
      <c r="T156" s="94" t="s">
        <v>246</v>
      </c>
      <c r="U156" s="95">
        <v>1</v>
      </c>
      <c r="V156" s="95">
        <v>1</v>
      </c>
      <c r="W156" s="100" t="s">
        <v>89</v>
      </c>
      <c r="X156" s="101"/>
      <c r="Y156" s="100" t="s">
        <v>18</v>
      </c>
      <c r="Z156" s="101"/>
      <c r="AA156" s="101"/>
      <c r="AB156" s="101"/>
      <c r="AC156" s="101"/>
      <c r="AD156" s="101"/>
      <c r="AE156" s="101"/>
      <c r="AF156" s="100">
        <v>3</v>
      </c>
      <c r="AG156" s="101"/>
      <c r="AH156" s="101"/>
      <c r="AI156" s="101"/>
      <c r="AJ156" s="101"/>
      <c r="AK156" s="101"/>
      <c r="AL156" s="101"/>
      <c r="AM156" s="101"/>
      <c r="AN156" s="100" t="s">
        <v>89</v>
      </c>
      <c r="AO156" s="101"/>
      <c r="AP156" s="101"/>
      <c r="AQ156" s="100" t="s">
        <v>51</v>
      </c>
      <c r="AR156" s="101"/>
      <c r="AS156" s="100" t="s">
        <v>49</v>
      </c>
      <c r="AT156" s="101"/>
      <c r="AU156" s="101"/>
      <c r="AV156" s="101"/>
      <c r="AW156" s="101"/>
      <c r="AX156" s="100">
        <v>1</v>
      </c>
      <c r="AY156" s="101"/>
      <c r="AZ156" s="101"/>
      <c r="BA156" s="101"/>
      <c r="BB156" s="101"/>
      <c r="BC156" s="101"/>
      <c r="BD156" s="101"/>
      <c r="BE156" s="101"/>
      <c r="BF156" s="101"/>
      <c r="BG156" s="101"/>
      <c r="BH156" s="101"/>
      <c r="BI156" s="101"/>
      <c r="BJ156" s="101"/>
      <c r="BK156" s="101"/>
      <c r="BL156" s="101"/>
      <c r="BM156" s="101"/>
      <c r="BN156" s="101"/>
      <c r="BO156" s="101"/>
      <c r="BP156" s="101"/>
      <c r="BQ156" s="101"/>
    </row>
    <row r="157" spans="9:69">
      <c r="I157" s="220" t="s">
        <v>155</v>
      </c>
      <c r="J157" s="220" t="s">
        <v>687</v>
      </c>
      <c r="K157" s="221">
        <f t="shared" ref="K157:M157" si="89">K156</f>
        <v>10</v>
      </c>
      <c r="L157" s="221">
        <f t="shared" si="89"/>
        <v>5</v>
      </c>
      <c r="M157" s="221">
        <f t="shared" si="89"/>
        <v>13</v>
      </c>
      <c r="N157" s="101"/>
      <c r="O157" s="101"/>
      <c r="P157" s="101"/>
      <c r="Q157" s="101"/>
      <c r="R157" s="101"/>
      <c r="S157" s="101"/>
      <c r="T157" s="94" t="e">
        <f>DefLogic_USM_Set</f>
        <v>#NAME?</v>
      </c>
      <c r="U157" s="100">
        <v>2</v>
      </c>
      <c r="V157" s="95">
        <v>1</v>
      </c>
      <c r="W157" s="100" t="s">
        <v>89</v>
      </c>
      <c r="X157" s="101"/>
      <c r="Y157" s="100" t="s">
        <v>18</v>
      </c>
      <c r="Z157" s="101"/>
      <c r="AA157" s="101"/>
      <c r="AB157" s="101"/>
      <c r="AC157" s="101"/>
      <c r="AD157" s="101"/>
      <c r="AE157" s="101"/>
      <c r="AF157" s="100">
        <v>3</v>
      </c>
      <c r="AG157" s="101"/>
      <c r="AH157" s="101"/>
      <c r="AI157" s="101"/>
      <c r="AJ157" s="101"/>
      <c r="AK157" s="101"/>
      <c r="AL157" s="101"/>
      <c r="AM157" s="101"/>
      <c r="AN157" s="100" t="s">
        <v>89</v>
      </c>
      <c r="AO157" s="101"/>
      <c r="AP157" s="101"/>
      <c r="AQ157" s="100" t="s">
        <v>51</v>
      </c>
      <c r="AR157" s="101"/>
      <c r="AS157" s="100" t="s">
        <v>49</v>
      </c>
      <c r="AT157" s="101"/>
      <c r="AU157" s="101"/>
      <c r="AV157" s="101"/>
      <c r="AW157" s="101"/>
      <c r="AX157" s="100">
        <v>2</v>
      </c>
      <c r="AY157" s="101"/>
      <c r="AZ157" s="101"/>
      <c r="BA157" s="101"/>
      <c r="BB157" s="101"/>
      <c r="BC157" s="101"/>
      <c r="BD157" s="101"/>
      <c r="BE157" s="101"/>
      <c r="BF157" s="101"/>
      <c r="BG157" s="101"/>
      <c r="BH157" s="101"/>
      <c r="BI157" s="101"/>
      <c r="BJ157" s="101"/>
      <c r="BK157" s="101"/>
      <c r="BL157" s="101"/>
      <c r="BM157" s="101"/>
      <c r="BN157" s="101"/>
      <c r="BO157" s="101"/>
      <c r="BP157" s="101"/>
      <c r="BQ157" s="101"/>
    </row>
    <row r="158" spans="9:69">
      <c r="I158" s="220" t="s">
        <v>155</v>
      </c>
      <c r="J158" s="220" t="s">
        <v>688</v>
      </c>
      <c r="K158" s="221">
        <f t="shared" ref="K158:M158" si="90">K157</f>
        <v>10</v>
      </c>
      <c r="L158" s="221">
        <f t="shared" si="90"/>
        <v>5</v>
      </c>
      <c r="M158" s="221">
        <f t="shared" si="90"/>
        <v>13</v>
      </c>
      <c r="N158" s="101"/>
      <c r="O158" s="101"/>
      <c r="P158" s="101"/>
      <c r="Q158" s="101"/>
      <c r="R158" s="101"/>
      <c r="S158" s="101"/>
      <c r="T158" s="94" t="s">
        <v>246</v>
      </c>
      <c r="U158" s="95">
        <v>1</v>
      </c>
      <c r="V158" s="95">
        <v>1</v>
      </c>
      <c r="W158" s="100" t="s">
        <v>89</v>
      </c>
      <c r="X158" s="101"/>
      <c r="Y158" s="100" t="s">
        <v>407</v>
      </c>
      <c r="Z158" s="101"/>
      <c r="AA158" s="101"/>
      <c r="AB158" s="101"/>
      <c r="AC158" s="101"/>
      <c r="AD158" s="101"/>
      <c r="AE158" s="101"/>
      <c r="AF158" s="100">
        <v>1</v>
      </c>
      <c r="AG158" s="101"/>
      <c r="AH158" s="101"/>
      <c r="AI158" s="101"/>
      <c r="AJ158" s="101"/>
      <c r="AK158" s="101"/>
      <c r="AL158" s="101"/>
      <c r="AM158" s="101"/>
      <c r="AN158" s="100" t="s">
        <v>49</v>
      </c>
      <c r="AO158" s="101"/>
      <c r="AP158" s="101"/>
      <c r="AQ158" s="100" t="s">
        <v>50</v>
      </c>
      <c r="AR158" s="101"/>
      <c r="AS158" s="100" t="s">
        <v>89</v>
      </c>
      <c r="AT158" s="101"/>
      <c r="AU158" s="101"/>
      <c r="AV158" s="101"/>
      <c r="AW158" s="101"/>
      <c r="AX158" s="100">
        <v>2</v>
      </c>
      <c r="AY158" s="101"/>
      <c r="AZ158" s="101"/>
      <c r="BA158" s="101"/>
      <c r="BB158" s="101"/>
      <c r="BC158" s="101"/>
      <c r="BD158" s="101"/>
      <c r="BE158" s="101"/>
      <c r="BF158" s="101"/>
      <c r="BG158" s="101"/>
      <c r="BH158" s="101"/>
      <c r="BI158" s="101"/>
      <c r="BJ158" s="101"/>
      <c r="BK158" s="101"/>
      <c r="BL158" s="101"/>
      <c r="BM158" s="101"/>
      <c r="BN158" s="101"/>
      <c r="BO158" s="101"/>
      <c r="BP158" s="101"/>
      <c r="BQ158" s="101"/>
    </row>
    <row r="159" spans="9:69">
      <c r="I159" s="220" t="s">
        <v>155</v>
      </c>
      <c r="J159" s="220" t="s">
        <v>689</v>
      </c>
      <c r="K159" s="221">
        <f t="shared" ref="K159:M159" si="91">K158</f>
        <v>10</v>
      </c>
      <c r="L159" s="221">
        <f t="shared" si="91"/>
        <v>5</v>
      </c>
      <c r="M159" s="221">
        <f t="shared" si="91"/>
        <v>13</v>
      </c>
      <c r="N159" s="101"/>
      <c r="O159" s="101"/>
      <c r="P159" s="101"/>
      <c r="Q159" s="101"/>
      <c r="R159" s="101"/>
      <c r="S159" s="101"/>
      <c r="T159" s="94" t="s">
        <v>243</v>
      </c>
      <c r="U159" s="95">
        <v>1</v>
      </c>
      <c r="V159" s="95">
        <v>1</v>
      </c>
      <c r="W159" s="100" t="s">
        <v>89</v>
      </c>
      <c r="X159" s="101"/>
      <c r="Y159" s="100" t="s">
        <v>237</v>
      </c>
      <c r="Z159" s="101"/>
      <c r="AA159" s="101"/>
      <c r="AB159" s="101"/>
      <c r="AC159" s="101"/>
      <c r="AD159" s="101"/>
      <c r="AE159" s="101"/>
      <c r="AF159" s="100">
        <v>1</v>
      </c>
      <c r="AG159" s="101"/>
      <c r="AH159" s="101"/>
      <c r="AI159" s="101"/>
      <c r="AJ159" s="101"/>
      <c r="AK159" s="101"/>
      <c r="AL159" s="101"/>
      <c r="AM159" s="101"/>
      <c r="AN159" s="100" t="s">
        <v>89</v>
      </c>
      <c r="AO159" s="101"/>
      <c r="AP159" s="101"/>
      <c r="AQ159" s="100" t="s">
        <v>51</v>
      </c>
      <c r="AR159" s="101"/>
      <c r="AS159" s="100" t="s">
        <v>89</v>
      </c>
      <c r="AT159" s="101"/>
      <c r="AU159" s="101"/>
      <c r="AV159" s="101"/>
      <c r="AW159" s="101"/>
      <c r="AX159" s="100">
        <v>2</v>
      </c>
      <c r="AY159" s="101"/>
      <c r="AZ159" s="101"/>
      <c r="BA159" s="101"/>
      <c r="BB159" s="101"/>
      <c r="BC159" s="101"/>
      <c r="BD159" s="101"/>
      <c r="BE159" s="101"/>
      <c r="BF159" s="101"/>
      <c r="BG159" s="101"/>
      <c r="BH159" s="101"/>
      <c r="BI159" s="101"/>
      <c r="BJ159" s="101"/>
      <c r="BK159" s="101"/>
      <c r="BL159" s="101"/>
      <c r="BM159" s="101"/>
      <c r="BN159" s="101"/>
      <c r="BO159" s="101"/>
      <c r="BP159" s="101"/>
      <c r="BQ159" s="101"/>
    </row>
    <row r="160" spans="9:69">
      <c r="I160" s="220" t="s">
        <v>155</v>
      </c>
      <c r="J160" s="220" t="s">
        <v>690</v>
      </c>
      <c r="K160" s="221">
        <f t="shared" ref="K160:M160" si="92">K159</f>
        <v>10</v>
      </c>
      <c r="L160" s="221">
        <f t="shared" si="92"/>
        <v>5</v>
      </c>
      <c r="M160" s="221">
        <f t="shared" si="92"/>
        <v>13</v>
      </c>
      <c r="N160" s="101"/>
      <c r="O160" s="101"/>
      <c r="P160" s="101"/>
      <c r="Q160" s="101"/>
      <c r="R160" s="101"/>
      <c r="S160" s="101"/>
      <c r="T160" s="94" t="s">
        <v>246</v>
      </c>
      <c r="U160" s="95">
        <v>1</v>
      </c>
      <c r="V160" s="95">
        <v>1</v>
      </c>
      <c r="W160" s="100" t="s">
        <v>89</v>
      </c>
      <c r="X160" s="101"/>
      <c r="Y160" s="100" t="s">
        <v>18</v>
      </c>
      <c r="Z160" s="101"/>
      <c r="AA160" s="101"/>
      <c r="AB160" s="101"/>
      <c r="AC160" s="101"/>
      <c r="AD160" s="101"/>
      <c r="AE160" s="101"/>
      <c r="AF160" s="100">
        <v>3</v>
      </c>
      <c r="AG160" s="101"/>
      <c r="AH160" s="101"/>
      <c r="AI160" s="101"/>
      <c r="AJ160" s="101"/>
      <c r="AK160" s="101"/>
      <c r="AL160" s="101"/>
      <c r="AM160" s="101"/>
      <c r="AN160" s="100" t="s">
        <v>49</v>
      </c>
      <c r="AO160" s="101"/>
      <c r="AP160" s="101"/>
      <c r="AQ160" s="100" t="s">
        <v>50</v>
      </c>
      <c r="AR160" s="101"/>
      <c r="AS160" s="100" t="s">
        <v>49</v>
      </c>
      <c r="AT160" s="101"/>
      <c r="AU160" s="101"/>
      <c r="AV160" s="101"/>
      <c r="AW160" s="101"/>
      <c r="AX160" s="100">
        <v>2</v>
      </c>
      <c r="AY160" s="101"/>
      <c r="AZ160" s="101"/>
      <c r="BA160" s="101"/>
      <c r="BB160" s="101"/>
      <c r="BC160" s="101"/>
      <c r="BD160" s="101"/>
      <c r="BE160" s="101"/>
      <c r="BF160" s="101"/>
      <c r="BG160" s="101"/>
      <c r="BH160" s="101"/>
      <c r="BI160" s="101"/>
      <c r="BJ160" s="101"/>
      <c r="BK160" s="101"/>
      <c r="BL160" s="101"/>
      <c r="BM160" s="101"/>
      <c r="BN160" s="101"/>
      <c r="BO160" s="101"/>
      <c r="BP160" s="101"/>
      <c r="BQ160" s="101"/>
    </row>
    <row r="161" spans="9:69">
      <c r="I161" s="220" t="s">
        <v>155</v>
      </c>
      <c r="J161" s="220" t="s">
        <v>691</v>
      </c>
      <c r="K161" s="221">
        <f t="shared" ref="K161:M161" si="93">K160</f>
        <v>10</v>
      </c>
      <c r="L161" s="221">
        <f t="shared" si="93"/>
        <v>5</v>
      </c>
      <c r="M161" s="221">
        <f t="shared" si="93"/>
        <v>13</v>
      </c>
      <c r="N161" s="101"/>
      <c r="O161" s="101"/>
      <c r="P161" s="101"/>
      <c r="Q161" s="101"/>
      <c r="R161" s="101"/>
      <c r="S161" s="101"/>
      <c r="T161" s="94" t="s">
        <v>209</v>
      </c>
      <c r="U161" s="100" t="s">
        <v>527</v>
      </c>
      <c r="V161" s="95">
        <v>1</v>
      </c>
      <c r="W161" s="100" t="s">
        <v>89</v>
      </c>
      <c r="X161" s="101"/>
      <c r="Y161" s="100" t="s">
        <v>18</v>
      </c>
      <c r="Z161" s="101"/>
      <c r="AA161" s="101"/>
      <c r="AB161" s="101"/>
      <c r="AC161" s="101"/>
      <c r="AD161" s="101"/>
      <c r="AE161" s="101"/>
      <c r="AF161" s="100">
        <v>3</v>
      </c>
      <c r="AG161" s="101"/>
      <c r="AH161" s="101"/>
      <c r="AI161" s="101"/>
      <c r="AJ161" s="101"/>
      <c r="AK161" s="101"/>
      <c r="AL161" s="101"/>
      <c r="AM161" s="101"/>
      <c r="AN161" s="100" t="s">
        <v>49</v>
      </c>
      <c r="AO161" s="101"/>
      <c r="AP161" s="101"/>
      <c r="AQ161" s="100" t="s">
        <v>50</v>
      </c>
      <c r="AR161" s="101"/>
      <c r="AS161" s="100" t="s">
        <v>49</v>
      </c>
      <c r="AT161" s="101"/>
      <c r="AU161" s="101"/>
      <c r="AV161" s="101"/>
      <c r="AW161" s="101"/>
      <c r="AX161" s="100">
        <v>2</v>
      </c>
      <c r="AY161" s="101"/>
      <c r="AZ161" s="101"/>
      <c r="BA161" s="101"/>
      <c r="BB161" s="101"/>
      <c r="BC161" s="101"/>
      <c r="BD161" s="101"/>
      <c r="BE161" s="101"/>
      <c r="BF161" s="101"/>
      <c r="BG161" s="101"/>
      <c r="BH161" s="101"/>
      <c r="BI161" s="101"/>
      <c r="BJ161" s="101"/>
      <c r="BK161" s="101"/>
      <c r="BL161" s="101"/>
      <c r="BM161" s="101"/>
      <c r="BN161" s="101"/>
      <c r="BO161" s="101"/>
      <c r="BP161" s="101"/>
      <c r="BQ161" s="101"/>
    </row>
    <row r="162" spans="9:69">
      <c r="I162" s="255">
        <f>COUNTIF(I163:I178,"&lt;&gt;TS")</f>
        <v>14</v>
      </c>
      <c r="J162" s="106" t="s">
        <v>543</v>
      </c>
      <c r="K162" s="106" t="s">
        <v>804</v>
      </c>
      <c r="L162" s="106"/>
      <c r="M162" s="106"/>
      <c r="N162" s="106"/>
      <c r="O162" s="106"/>
      <c r="P162" s="106"/>
      <c r="Q162" s="106"/>
      <c r="R162" s="106"/>
      <c r="S162" s="106"/>
      <c r="T162" s="106"/>
      <c r="U162" s="107"/>
      <c r="V162" s="107"/>
      <c r="W162" s="106"/>
      <c r="X162" s="106"/>
      <c r="Y162" s="106"/>
      <c r="Z162" s="106"/>
      <c r="AA162" s="106"/>
      <c r="AB162" s="106"/>
      <c r="AC162" s="106"/>
      <c r="AD162" s="106"/>
      <c r="AE162" s="106"/>
      <c r="AF162" s="106"/>
      <c r="AG162" s="106"/>
      <c r="AH162" s="106"/>
      <c r="AI162" s="106"/>
      <c r="AJ162" s="106"/>
      <c r="AK162" s="106"/>
      <c r="AL162" s="106"/>
      <c r="AM162" s="106"/>
      <c r="AN162" s="106"/>
      <c r="AO162" s="106"/>
      <c r="AP162" s="106"/>
      <c r="AQ162" s="106"/>
      <c r="AR162" s="106"/>
      <c r="AS162" s="106"/>
      <c r="AT162" s="106"/>
      <c r="AU162" s="106"/>
      <c r="AV162" s="106"/>
      <c r="AW162" s="106"/>
      <c r="AX162" s="106"/>
      <c r="AY162" s="106"/>
      <c r="AZ162" s="106"/>
      <c r="BA162" s="106"/>
      <c r="BB162" s="106"/>
      <c r="BC162" s="106"/>
      <c r="BD162" s="106"/>
      <c r="BE162" s="106"/>
      <c r="BF162" s="106"/>
      <c r="BG162" s="106"/>
      <c r="BH162" s="106"/>
      <c r="BI162" s="106"/>
      <c r="BJ162" s="106"/>
      <c r="BK162" s="106"/>
      <c r="BL162" s="106"/>
      <c r="BM162" s="106"/>
      <c r="BN162" s="106"/>
      <c r="BO162" s="106"/>
      <c r="BP162" s="106"/>
      <c r="BQ162" s="106"/>
    </row>
    <row r="163" spans="9:69">
      <c r="I163" s="108" t="s">
        <v>7</v>
      </c>
      <c r="J163" s="108" t="s">
        <v>658</v>
      </c>
      <c r="K163" s="109" t="s">
        <v>805</v>
      </c>
      <c r="L163" s="109"/>
      <c r="M163" s="109"/>
      <c r="N163" s="109"/>
      <c r="O163" s="109"/>
      <c r="P163" s="109"/>
      <c r="Q163" s="109"/>
      <c r="R163" s="109"/>
      <c r="S163" s="109"/>
      <c r="T163" s="109"/>
      <c r="U163" s="110"/>
      <c r="V163" s="110"/>
      <c r="W163" s="109"/>
      <c r="X163" s="109"/>
      <c r="Y163" s="109"/>
      <c r="Z163" s="109"/>
      <c r="AA163" s="109"/>
      <c r="AB163" s="109"/>
      <c r="AC163" s="109"/>
      <c r="AD163" s="109"/>
      <c r="AE163" s="109"/>
      <c r="AF163" s="109"/>
      <c r="AG163" s="109"/>
      <c r="AH163" s="109"/>
      <c r="AI163" s="109"/>
      <c r="AJ163" s="109"/>
      <c r="AK163" s="109"/>
      <c r="AL163" s="109"/>
      <c r="AM163" s="109"/>
      <c r="AN163" s="109"/>
      <c r="AO163" s="109"/>
      <c r="AP163" s="109"/>
      <c r="AQ163" s="109"/>
      <c r="AR163" s="109"/>
      <c r="AS163" s="109"/>
      <c r="AT163" s="109"/>
      <c r="AU163" s="109"/>
      <c r="AV163" s="109"/>
      <c r="AW163" s="109"/>
      <c r="AX163" s="109"/>
      <c r="AY163" s="109"/>
      <c r="AZ163" s="109"/>
      <c r="BA163" s="109"/>
      <c r="BB163" s="109"/>
      <c r="BC163" s="109"/>
      <c r="BD163" s="109"/>
      <c r="BE163" s="109"/>
      <c r="BF163" s="109"/>
      <c r="BG163" s="109"/>
      <c r="BH163" s="109"/>
      <c r="BI163" s="109"/>
      <c r="BJ163" s="109"/>
      <c r="BK163" s="109"/>
      <c r="BL163" s="109"/>
      <c r="BM163" s="109"/>
      <c r="BN163" s="109"/>
      <c r="BO163" s="109"/>
      <c r="BP163" s="109"/>
      <c r="BQ163" s="109"/>
    </row>
    <row r="164" spans="9:69">
      <c r="I164" s="96" t="s">
        <v>48</v>
      </c>
      <c r="J164" s="96" t="s">
        <v>659</v>
      </c>
      <c r="K164" s="100">
        <v>10</v>
      </c>
      <c r="L164" s="100">
        <v>1</v>
      </c>
      <c r="M164" s="100">
        <v>13</v>
      </c>
      <c r="N164" s="101"/>
      <c r="O164" s="101"/>
      <c r="P164" s="100">
        <v>50</v>
      </c>
      <c r="Q164" s="101"/>
      <c r="R164" s="101"/>
      <c r="S164" s="101"/>
      <c r="T164" s="94" t="s">
        <v>241</v>
      </c>
      <c r="U164" s="95">
        <v>1</v>
      </c>
      <c r="V164" s="95">
        <v>10</v>
      </c>
      <c r="W164" s="101"/>
      <c r="X164" s="101"/>
      <c r="Y164" s="100" t="s">
        <v>235</v>
      </c>
      <c r="Z164" s="101"/>
      <c r="AA164" s="101"/>
      <c r="AB164" s="101"/>
      <c r="AC164" s="101"/>
      <c r="AD164" s="101"/>
      <c r="AE164" s="101"/>
      <c r="AF164" s="101"/>
      <c r="AG164" s="101"/>
      <c r="AH164" s="101"/>
      <c r="AI164" s="101"/>
      <c r="AJ164" s="101"/>
      <c r="AK164" s="101"/>
      <c r="AL164" s="101"/>
      <c r="AM164" s="101"/>
      <c r="AN164" s="100" t="s">
        <v>89</v>
      </c>
      <c r="AO164" s="101"/>
      <c r="AP164" s="100" t="s">
        <v>89</v>
      </c>
      <c r="AQ164" s="100" t="s">
        <v>50</v>
      </c>
      <c r="AR164" s="100" t="s">
        <v>417</v>
      </c>
      <c r="AS164" s="101"/>
      <c r="AT164" s="101"/>
      <c r="AU164" s="100">
        <v>0</v>
      </c>
      <c r="AV164" s="101"/>
      <c r="AW164" s="101"/>
      <c r="AX164" s="101"/>
      <c r="AY164" s="101"/>
      <c r="AZ164" s="101"/>
      <c r="BA164" s="101"/>
      <c r="BB164" s="101"/>
      <c r="BC164" s="101"/>
      <c r="BD164" s="101"/>
      <c r="BE164" s="101"/>
      <c r="BF164" s="101"/>
      <c r="BG164" s="101"/>
      <c r="BH164" s="101"/>
      <c r="BI164" s="101"/>
      <c r="BJ164" s="101"/>
      <c r="BK164" s="101"/>
      <c r="BL164" s="101"/>
      <c r="BM164" s="101"/>
      <c r="BN164" s="101"/>
      <c r="BO164" s="101"/>
      <c r="BP164" s="101"/>
      <c r="BQ164" s="101"/>
    </row>
    <row r="165" spans="9:69">
      <c r="I165" s="220" t="s">
        <v>155</v>
      </c>
      <c r="J165" s="220" t="s">
        <v>660</v>
      </c>
      <c r="K165" s="221">
        <f>K164</f>
        <v>10</v>
      </c>
      <c r="L165" s="221">
        <f t="shared" ref="L165:M165" si="94">L164</f>
        <v>1</v>
      </c>
      <c r="M165" s="221">
        <f t="shared" si="94"/>
        <v>13</v>
      </c>
      <c r="N165" s="101"/>
      <c r="O165" s="101"/>
      <c r="P165" s="221">
        <f>P164</f>
        <v>50</v>
      </c>
      <c r="Q165" s="101"/>
      <c r="R165" s="101"/>
      <c r="S165" s="101"/>
      <c r="T165" s="94" t="s">
        <v>209</v>
      </c>
      <c r="U165" s="100" t="e">
        <f>AutoDefog_EN_DIS</f>
        <v>#NAME?</v>
      </c>
      <c r="V165" s="95">
        <v>1</v>
      </c>
      <c r="W165" s="101"/>
      <c r="X165" s="101"/>
      <c r="Y165" s="100" t="s">
        <v>407</v>
      </c>
      <c r="Z165" s="101"/>
      <c r="AA165" s="101"/>
      <c r="AB165" s="101"/>
      <c r="AC165" s="101"/>
      <c r="AD165" s="101"/>
      <c r="AE165" s="101"/>
      <c r="AF165" s="101"/>
      <c r="AG165" s="101"/>
      <c r="AH165" s="101"/>
      <c r="AI165" s="101"/>
      <c r="AJ165" s="101"/>
      <c r="AK165" s="101"/>
      <c r="AL165" s="101"/>
      <c r="AM165" s="101"/>
      <c r="AN165" s="100" t="s">
        <v>49</v>
      </c>
      <c r="AO165" s="101"/>
      <c r="AP165" s="100" t="s">
        <v>49</v>
      </c>
      <c r="AQ165" s="100" t="s">
        <v>51</v>
      </c>
      <c r="AR165" s="100" t="s">
        <v>51</v>
      </c>
      <c r="AS165" s="101"/>
      <c r="AT165" s="101"/>
      <c r="AU165" s="100">
        <v>1</v>
      </c>
      <c r="AV165" s="101"/>
      <c r="AW165" s="101"/>
      <c r="AX165" s="101"/>
      <c r="AY165" s="101"/>
      <c r="AZ165" s="101"/>
      <c r="BA165" s="101"/>
      <c r="BB165" s="101"/>
      <c r="BC165" s="101"/>
      <c r="BD165" s="101"/>
      <c r="BE165" s="101"/>
      <c r="BF165" s="101"/>
      <c r="BG165" s="101"/>
      <c r="BH165" s="101"/>
      <c r="BI165" s="101"/>
      <c r="BJ165" s="101"/>
      <c r="BK165" s="101"/>
      <c r="BL165" s="101"/>
      <c r="BM165" s="101"/>
      <c r="BN165" s="101"/>
      <c r="BO165" s="101"/>
      <c r="BP165" s="101"/>
      <c r="BQ165" s="101"/>
    </row>
    <row r="166" spans="9:69">
      <c r="I166" s="220" t="s">
        <v>155</v>
      </c>
      <c r="J166" s="220" t="s">
        <v>661</v>
      </c>
      <c r="K166" s="221">
        <f t="shared" ref="K166:M168" si="95">K165</f>
        <v>10</v>
      </c>
      <c r="L166" s="221">
        <f t="shared" si="95"/>
        <v>1</v>
      </c>
      <c r="M166" s="221">
        <f t="shared" si="95"/>
        <v>13</v>
      </c>
      <c r="N166" s="101"/>
      <c r="O166" s="101"/>
      <c r="P166" s="221">
        <f t="shared" ref="P166" si="96">P165</f>
        <v>50</v>
      </c>
      <c r="Q166" s="101"/>
      <c r="R166" s="101"/>
      <c r="S166" s="101"/>
      <c r="T166" s="94" t="s">
        <v>243</v>
      </c>
      <c r="U166" s="95">
        <v>1</v>
      </c>
      <c r="V166" s="95">
        <v>10</v>
      </c>
      <c r="W166" s="101"/>
      <c r="X166" s="101"/>
      <c r="Y166" s="100" t="s">
        <v>237</v>
      </c>
      <c r="Z166" s="101"/>
      <c r="AA166" s="101"/>
      <c r="AB166" s="101"/>
      <c r="AC166" s="101"/>
      <c r="AD166" s="101"/>
      <c r="AE166" s="101"/>
      <c r="AF166" s="101"/>
      <c r="AG166" s="101"/>
      <c r="AH166" s="101"/>
      <c r="AI166" s="101"/>
      <c r="AJ166" s="101"/>
      <c r="AK166" s="101"/>
      <c r="AL166" s="101"/>
      <c r="AM166" s="101"/>
      <c r="AN166" s="100" t="s">
        <v>89</v>
      </c>
      <c r="AO166" s="101"/>
      <c r="AP166" s="100" t="s">
        <v>89</v>
      </c>
      <c r="AQ166" s="100" t="s">
        <v>51</v>
      </c>
      <c r="AR166" s="100" t="s">
        <v>51</v>
      </c>
      <c r="AS166" s="101"/>
      <c r="AT166" s="101"/>
      <c r="AU166" s="100">
        <v>1</v>
      </c>
      <c r="AV166" s="101"/>
      <c r="AW166" s="101"/>
      <c r="AX166" s="101"/>
      <c r="AY166" s="101"/>
      <c r="AZ166" s="101"/>
      <c r="BA166" s="101"/>
      <c r="BB166" s="101"/>
      <c r="BC166" s="101"/>
      <c r="BD166" s="101"/>
      <c r="BE166" s="101"/>
      <c r="BF166" s="101"/>
      <c r="BG166" s="101"/>
      <c r="BH166" s="101"/>
      <c r="BI166" s="101"/>
      <c r="BJ166" s="101"/>
      <c r="BK166" s="101"/>
      <c r="BL166" s="101"/>
      <c r="BM166" s="101"/>
      <c r="BN166" s="101"/>
      <c r="BO166" s="101"/>
      <c r="BP166" s="101"/>
      <c r="BQ166" s="101"/>
    </row>
    <row r="167" spans="9:69">
      <c r="I167" s="220" t="s">
        <v>155</v>
      </c>
      <c r="J167" s="220" t="s">
        <v>662</v>
      </c>
      <c r="K167" s="221">
        <f t="shared" si="95"/>
        <v>10</v>
      </c>
      <c r="L167" s="221">
        <f t="shared" si="95"/>
        <v>1</v>
      </c>
      <c r="M167" s="221">
        <f t="shared" si="95"/>
        <v>13</v>
      </c>
      <c r="N167" s="101"/>
      <c r="O167" s="101"/>
      <c r="P167" s="100">
        <v>0</v>
      </c>
      <c r="Q167" s="101"/>
      <c r="R167" s="101"/>
      <c r="S167" s="101"/>
      <c r="T167" s="94" t="e">
        <f>T_windshield</f>
        <v>#NAME?</v>
      </c>
      <c r="U167" s="95">
        <f>P167</f>
        <v>0</v>
      </c>
      <c r="V167" s="95">
        <v>10</v>
      </c>
      <c r="W167" s="101"/>
      <c r="X167" s="101"/>
      <c r="Y167" s="100" t="s">
        <v>237</v>
      </c>
      <c r="Z167" s="101"/>
      <c r="AA167" s="101"/>
      <c r="AB167" s="101"/>
      <c r="AC167" s="101"/>
      <c r="AD167" s="101"/>
      <c r="AE167" s="101"/>
      <c r="AF167" s="101"/>
      <c r="AG167" s="101"/>
      <c r="AH167" s="101"/>
      <c r="AI167" s="101"/>
      <c r="AJ167" s="101"/>
      <c r="AK167" s="101"/>
      <c r="AL167" s="101"/>
      <c r="AM167" s="101"/>
      <c r="AN167" s="100" t="s">
        <v>89</v>
      </c>
      <c r="AO167" s="101"/>
      <c r="AP167" s="100" t="s">
        <v>89</v>
      </c>
      <c r="AQ167" s="100" t="s">
        <v>51</v>
      </c>
      <c r="AR167" s="100" t="s">
        <v>51</v>
      </c>
      <c r="AS167" s="101"/>
      <c r="AT167" s="101"/>
      <c r="AU167" s="100">
        <v>1</v>
      </c>
      <c r="AV167" s="101"/>
      <c r="AW167" s="101"/>
      <c r="AX167" s="101"/>
      <c r="AY167" s="101"/>
      <c r="AZ167" s="101"/>
      <c r="BA167" s="101"/>
      <c r="BB167" s="101"/>
      <c r="BC167" s="101"/>
      <c r="BD167" s="101"/>
      <c r="BE167" s="101"/>
      <c r="BF167" s="101"/>
      <c r="BG167" s="101"/>
      <c r="BH167" s="101"/>
      <c r="BI167" s="101"/>
      <c r="BJ167" s="101"/>
      <c r="BK167" s="101"/>
      <c r="BL167" s="101"/>
      <c r="BM167" s="101"/>
      <c r="BN167" s="101"/>
      <c r="BO167" s="101"/>
      <c r="BP167" s="101"/>
      <c r="BQ167" s="101"/>
    </row>
    <row r="168" spans="9:69">
      <c r="I168" s="220" t="s">
        <v>155</v>
      </c>
      <c r="J168" s="220" t="s">
        <v>663</v>
      </c>
      <c r="K168" s="221">
        <f t="shared" si="95"/>
        <v>10</v>
      </c>
      <c r="L168" s="221">
        <f t="shared" si="95"/>
        <v>1</v>
      </c>
      <c r="M168" s="221">
        <f t="shared" si="95"/>
        <v>13</v>
      </c>
      <c r="N168" s="101"/>
      <c r="O168" s="101"/>
      <c r="P168" s="100">
        <v>50</v>
      </c>
      <c r="Q168" s="101"/>
      <c r="R168" s="101"/>
      <c r="S168" s="101"/>
      <c r="T168" s="94" t="e">
        <f>T_windshield</f>
        <v>#NAME?</v>
      </c>
      <c r="U168" s="95">
        <f>P168</f>
        <v>50</v>
      </c>
      <c r="V168" s="95">
        <v>1</v>
      </c>
      <c r="W168" s="101"/>
      <c r="X168" s="101"/>
      <c r="Y168" s="100" t="s">
        <v>237</v>
      </c>
      <c r="Z168" s="101"/>
      <c r="AA168" s="101"/>
      <c r="AB168" s="101"/>
      <c r="AC168" s="101"/>
      <c r="AD168" s="101"/>
      <c r="AE168" s="101"/>
      <c r="AF168" s="101"/>
      <c r="AG168" s="101"/>
      <c r="AH168" s="101"/>
      <c r="AI168" s="101"/>
      <c r="AJ168" s="101"/>
      <c r="AK168" s="101"/>
      <c r="AL168" s="101"/>
      <c r="AM168" s="101"/>
      <c r="AN168" s="100" t="s">
        <v>89</v>
      </c>
      <c r="AO168" s="101"/>
      <c r="AP168" s="100" t="s">
        <v>89</v>
      </c>
      <c r="AQ168" s="100" t="s">
        <v>51</v>
      </c>
      <c r="AR168" s="100" t="s">
        <v>51</v>
      </c>
      <c r="AS168" s="101"/>
      <c r="AT168" s="101"/>
      <c r="AU168" s="100">
        <v>1</v>
      </c>
      <c r="AV168" s="101"/>
      <c r="AW168" s="101"/>
      <c r="AX168" s="101"/>
      <c r="AY168" s="101"/>
      <c r="AZ168" s="101"/>
      <c r="BA168" s="101"/>
      <c r="BB168" s="101"/>
      <c r="BC168" s="101"/>
      <c r="BD168" s="101"/>
      <c r="BE168" s="101"/>
      <c r="BF168" s="101"/>
      <c r="BG168" s="101"/>
      <c r="BH168" s="101"/>
      <c r="BI168" s="101"/>
      <c r="BJ168" s="101"/>
      <c r="BK168" s="101"/>
      <c r="BL168" s="101"/>
      <c r="BM168" s="101"/>
      <c r="BN168" s="101"/>
      <c r="BO168" s="101"/>
      <c r="BP168" s="101"/>
      <c r="BQ168" s="101"/>
    </row>
    <row r="169" spans="9:69">
      <c r="I169" s="220" t="s">
        <v>155</v>
      </c>
      <c r="J169" s="220" t="s">
        <v>664</v>
      </c>
      <c r="K169" s="221">
        <f t="shared" ref="K169:M169" si="97">K168</f>
        <v>10</v>
      </c>
      <c r="L169" s="221">
        <f t="shared" si="97"/>
        <v>1</v>
      </c>
      <c r="M169" s="221">
        <f t="shared" si="97"/>
        <v>13</v>
      </c>
      <c r="N169" s="101"/>
      <c r="O169" s="101"/>
      <c r="P169" s="221">
        <f>P168</f>
        <v>50</v>
      </c>
      <c r="Q169" s="101"/>
      <c r="R169" s="101"/>
      <c r="S169" s="101"/>
      <c r="T169" s="94" t="s">
        <v>209</v>
      </c>
      <c r="U169" s="100" t="e">
        <f>AutoDefog_EN_DIS</f>
        <v>#NAME?</v>
      </c>
      <c r="V169" s="95">
        <v>1</v>
      </c>
      <c r="W169" s="101"/>
      <c r="X169" s="101"/>
      <c r="Y169" s="100" t="s">
        <v>407</v>
      </c>
      <c r="Z169" s="101"/>
      <c r="AA169" s="101"/>
      <c r="AB169" s="101"/>
      <c r="AC169" s="101"/>
      <c r="AD169" s="101"/>
      <c r="AE169" s="101"/>
      <c r="AF169" s="101"/>
      <c r="AG169" s="101"/>
      <c r="AH169" s="101"/>
      <c r="AI169" s="101"/>
      <c r="AJ169" s="101"/>
      <c r="AK169" s="101"/>
      <c r="AL169" s="101"/>
      <c r="AM169" s="101"/>
      <c r="AN169" s="100" t="s">
        <v>49</v>
      </c>
      <c r="AO169" s="101"/>
      <c r="AP169" s="100" t="s">
        <v>49</v>
      </c>
      <c r="AQ169" s="100" t="s">
        <v>51</v>
      </c>
      <c r="AR169" s="100" t="s">
        <v>51</v>
      </c>
      <c r="AS169" s="101"/>
      <c r="AT169" s="101"/>
      <c r="AU169" s="100">
        <v>0</v>
      </c>
      <c r="AV169" s="101"/>
      <c r="AW169" s="101"/>
      <c r="AX169" s="101"/>
      <c r="AY169" s="101"/>
      <c r="AZ169" s="101"/>
      <c r="BA169" s="101"/>
      <c r="BB169" s="101"/>
      <c r="BC169" s="101"/>
      <c r="BD169" s="101"/>
      <c r="BE169" s="101"/>
      <c r="BF169" s="101"/>
      <c r="BG169" s="101"/>
      <c r="BH169" s="101"/>
      <c r="BI169" s="101"/>
      <c r="BJ169" s="101"/>
      <c r="BK169" s="101"/>
      <c r="BL169" s="101"/>
      <c r="BM169" s="101"/>
      <c r="BN169" s="101"/>
      <c r="BO169" s="101"/>
      <c r="BP169" s="101"/>
      <c r="BQ169" s="101"/>
    </row>
    <row r="170" spans="9:69">
      <c r="I170" s="220" t="s">
        <v>155</v>
      </c>
      <c r="J170" s="220" t="s">
        <v>665</v>
      </c>
      <c r="K170" s="221">
        <f t="shared" ref="K170:M170" si="98">K169</f>
        <v>10</v>
      </c>
      <c r="L170" s="221">
        <f t="shared" si="98"/>
        <v>1</v>
      </c>
      <c r="M170" s="221">
        <f t="shared" si="98"/>
        <v>13</v>
      </c>
      <c r="N170" s="101"/>
      <c r="O170" s="101"/>
      <c r="P170" s="221">
        <f t="shared" ref="P170" si="99">P169</f>
        <v>50</v>
      </c>
      <c r="Q170" s="101"/>
      <c r="R170" s="101"/>
      <c r="S170" s="101"/>
      <c r="T170" s="94" t="s">
        <v>243</v>
      </c>
      <c r="U170" s="95">
        <v>1</v>
      </c>
      <c r="V170" s="95">
        <v>10</v>
      </c>
      <c r="W170" s="101"/>
      <c r="X170" s="101"/>
      <c r="Y170" s="100" t="s">
        <v>237</v>
      </c>
      <c r="Z170" s="101"/>
      <c r="AA170" s="101"/>
      <c r="AB170" s="101"/>
      <c r="AC170" s="101"/>
      <c r="AD170" s="101"/>
      <c r="AE170" s="101"/>
      <c r="AF170" s="101"/>
      <c r="AG170" s="101"/>
      <c r="AH170" s="101"/>
      <c r="AI170" s="101"/>
      <c r="AJ170" s="101"/>
      <c r="AK170" s="101"/>
      <c r="AL170" s="101"/>
      <c r="AM170" s="101"/>
      <c r="AN170" s="100" t="s">
        <v>89</v>
      </c>
      <c r="AO170" s="101"/>
      <c r="AP170" s="100" t="s">
        <v>89</v>
      </c>
      <c r="AQ170" s="100" t="s">
        <v>51</v>
      </c>
      <c r="AR170" s="100" t="s">
        <v>51</v>
      </c>
      <c r="AS170" s="101"/>
      <c r="AT170" s="101"/>
      <c r="AU170" s="100">
        <v>0</v>
      </c>
      <c r="AV170" s="101"/>
      <c r="AW170" s="101"/>
      <c r="AX170" s="101"/>
      <c r="AY170" s="101"/>
      <c r="AZ170" s="101"/>
      <c r="BA170" s="101"/>
      <c r="BB170" s="101"/>
      <c r="BC170" s="101"/>
      <c r="BD170" s="101"/>
      <c r="BE170" s="101"/>
      <c r="BF170" s="101"/>
      <c r="BG170" s="101"/>
      <c r="BH170" s="101"/>
      <c r="BI170" s="101"/>
      <c r="BJ170" s="101"/>
      <c r="BK170" s="101"/>
      <c r="BL170" s="101"/>
      <c r="BM170" s="101"/>
      <c r="BN170" s="101"/>
      <c r="BO170" s="101"/>
      <c r="BP170" s="101"/>
      <c r="BQ170" s="101"/>
    </row>
    <row r="171" spans="9:69">
      <c r="I171" s="220" t="s">
        <v>155</v>
      </c>
      <c r="J171" s="220" t="s">
        <v>666</v>
      </c>
      <c r="K171" s="221">
        <f t="shared" ref="K171:M171" si="100">K170</f>
        <v>10</v>
      </c>
      <c r="L171" s="221">
        <f t="shared" si="100"/>
        <v>1</v>
      </c>
      <c r="M171" s="221">
        <f t="shared" si="100"/>
        <v>13</v>
      </c>
      <c r="N171" s="101"/>
      <c r="O171" s="101"/>
      <c r="P171" s="100">
        <v>0</v>
      </c>
      <c r="Q171" s="101"/>
      <c r="R171" s="101"/>
      <c r="S171" s="101"/>
      <c r="T171" s="94" t="e">
        <f>T_windshield</f>
        <v>#NAME?</v>
      </c>
      <c r="U171" s="95">
        <f>P171</f>
        <v>0</v>
      </c>
      <c r="V171" s="95">
        <v>10</v>
      </c>
      <c r="W171" s="101"/>
      <c r="X171" s="101"/>
      <c r="Y171" s="100" t="s">
        <v>735</v>
      </c>
      <c r="Z171" s="101"/>
      <c r="AA171" s="101"/>
      <c r="AB171" s="101"/>
      <c r="AC171" s="101"/>
      <c r="AD171" s="101"/>
      <c r="AE171" s="101"/>
      <c r="AF171" s="101"/>
      <c r="AG171" s="101"/>
      <c r="AH171" s="101"/>
      <c r="AI171" s="101"/>
      <c r="AJ171" s="101"/>
      <c r="AK171" s="101"/>
      <c r="AL171" s="101"/>
      <c r="AM171" s="101"/>
      <c r="AN171" s="100" t="s">
        <v>89</v>
      </c>
      <c r="AO171" s="101"/>
      <c r="AP171" s="100" t="s">
        <v>49</v>
      </c>
      <c r="AQ171" s="100" t="s">
        <v>50</v>
      </c>
      <c r="AR171" s="100" t="s">
        <v>50</v>
      </c>
      <c r="AS171" s="101"/>
      <c r="AT171" s="101"/>
      <c r="AU171" s="100">
        <v>0</v>
      </c>
      <c r="AV171" s="101"/>
      <c r="AW171" s="101"/>
      <c r="AX171" s="101"/>
      <c r="AY171" s="101"/>
      <c r="AZ171" s="101"/>
      <c r="BA171" s="101"/>
      <c r="BB171" s="101"/>
      <c r="BC171" s="101"/>
      <c r="BD171" s="101"/>
      <c r="BE171" s="101"/>
      <c r="BF171" s="101"/>
      <c r="BG171" s="101"/>
      <c r="BH171" s="101"/>
      <c r="BI171" s="101"/>
      <c r="BJ171" s="101"/>
      <c r="BK171" s="101"/>
      <c r="BL171" s="101"/>
      <c r="BM171" s="101"/>
      <c r="BN171" s="101"/>
      <c r="BO171" s="101"/>
      <c r="BP171" s="101"/>
      <c r="BQ171" s="101"/>
    </row>
    <row r="172" spans="9:69">
      <c r="I172" s="220" t="s">
        <v>155</v>
      </c>
      <c r="J172" s="220" t="s">
        <v>667</v>
      </c>
      <c r="K172" s="221">
        <f t="shared" ref="K172:M172" si="101">K171</f>
        <v>10</v>
      </c>
      <c r="L172" s="221">
        <f t="shared" si="101"/>
        <v>1</v>
      </c>
      <c r="M172" s="221">
        <f t="shared" si="101"/>
        <v>13</v>
      </c>
      <c r="N172" s="101"/>
      <c r="O172" s="101"/>
      <c r="P172" s="100">
        <v>50</v>
      </c>
      <c r="Q172" s="101"/>
      <c r="R172" s="101"/>
      <c r="S172" s="101"/>
      <c r="T172" s="94" t="e">
        <f>T_windshield</f>
        <v>#NAME?</v>
      </c>
      <c r="U172" s="95">
        <f>P172</f>
        <v>50</v>
      </c>
      <c r="V172" s="95">
        <v>1</v>
      </c>
      <c r="W172" s="101"/>
      <c r="X172" s="101"/>
      <c r="Y172" s="100" t="s">
        <v>739</v>
      </c>
      <c r="Z172" s="101"/>
      <c r="AA172" s="101"/>
      <c r="AB172" s="101"/>
      <c r="AC172" s="101"/>
      <c r="AD172" s="101"/>
      <c r="AE172" s="101"/>
      <c r="AF172" s="101"/>
      <c r="AG172" s="101"/>
      <c r="AH172" s="101"/>
      <c r="AI172" s="101"/>
      <c r="AJ172" s="101"/>
      <c r="AK172" s="101"/>
      <c r="AL172" s="101"/>
      <c r="AM172" s="101"/>
      <c r="AN172" s="100" t="s">
        <v>89</v>
      </c>
      <c r="AO172" s="101"/>
      <c r="AP172" s="100" t="s">
        <v>49</v>
      </c>
      <c r="AQ172" s="100" t="s">
        <v>50</v>
      </c>
      <c r="AR172" s="100" t="s">
        <v>50</v>
      </c>
      <c r="AS172" s="101"/>
      <c r="AT172" s="101"/>
      <c r="AU172" s="100">
        <v>0</v>
      </c>
      <c r="AV172" s="101"/>
      <c r="AW172" s="101"/>
      <c r="AX172" s="101"/>
      <c r="AY172" s="101"/>
      <c r="AZ172" s="101"/>
      <c r="BA172" s="101"/>
      <c r="BB172" s="101"/>
      <c r="BC172" s="101"/>
      <c r="BD172" s="101"/>
      <c r="BE172" s="101"/>
      <c r="BF172" s="101"/>
      <c r="BG172" s="101"/>
      <c r="BH172" s="101"/>
      <c r="BI172" s="101"/>
      <c r="BJ172" s="101"/>
      <c r="BK172" s="101"/>
      <c r="BL172" s="101"/>
      <c r="BM172" s="101"/>
      <c r="BN172" s="101"/>
      <c r="BO172" s="101"/>
      <c r="BP172" s="101"/>
      <c r="BQ172" s="101"/>
    </row>
    <row r="173" spans="9:69">
      <c r="I173" s="220" t="s">
        <v>155</v>
      </c>
      <c r="J173" s="220" t="s">
        <v>668</v>
      </c>
      <c r="K173" s="221">
        <f t="shared" ref="K173:M173" si="102">K172</f>
        <v>10</v>
      </c>
      <c r="L173" s="221">
        <f t="shared" si="102"/>
        <v>1</v>
      </c>
      <c r="M173" s="221">
        <f t="shared" si="102"/>
        <v>13</v>
      </c>
      <c r="N173" s="101"/>
      <c r="O173" s="101"/>
      <c r="P173" s="221">
        <f t="shared" ref="P173" si="103">P172</f>
        <v>50</v>
      </c>
      <c r="Q173" s="101"/>
      <c r="R173" s="101"/>
      <c r="S173" s="101"/>
      <c r="T173" s="94" t="s">
        <v>207</v>
      </c>
      <c r="U173" s="95" t="s">
        <v>420</v>
      </c>
      <c r="V173" s="95">
        <v>2</v>
      </c>
      <c r="W173" s="101"/>
      <c r="X173" s="101"/>
      <c r="Y173" s="100" t="s">
        <v>237</v>
      </c>
      <c r="Z173" s="101"/>
      <c r="AA173" s="101"/>
      <c r="AB173" s="101"/>
      <c r="AC173" s="101"/>
      <c r="AD173" s="101"/>
      <c r="AE173" s="101"/>
      <c r="AF173" s="101"/>
      <c r="AG173" s="101"/>
      <c r="AH173" s="101"/>
      <c r="AI173" s="101"/>
      <c r="AJ173" s="101"/>
      <c r="AK173" s="101"/>
      <c r="AL173" s="101"/>
      <c r="AM173" s="101"/>
      <c r="AN173" s="100" t="s">
        <v>89</v>
      </c>
      <c r="AO173" s="101"/>
      <c r="AP173" s="100" t="s">
        <v>89</v>
      </c>
      <c r="AQ173" s="100" t="s">
        <v>50</v>
      </c>
      <c r="AR173" s="100" t="s">
        <v>50</v>
      </c>
      <c r="AS173" s="101"/>
      <c r="AT173" s="101"/>
      <c r="AU173" s="100">
        <v>0</v>
      </c>
      <c r="AV173" s="101"/>
      <c r="AW173" s="101"/>
      <c r="AX173" s="101"/>
      <c r="AY173" s="101"/>
      <c r="AZ173" s="101"/>
      <c r="BA173" s="101"/>
      <c r="BB173" s="101"/>
      <c r="BC173" s="101"/>
      <c r="BD173" s="101"/>
      <c r="BE173" s="101"/>
      <c r="BF173" s="101"/>
      <c r="BG173" s="101"/>
      <c r="BH173" s="101"/>
      <c r="BI173" s="101"/>
      <c r="BJ173" s="101"/>
      <c r="BK173" s="101"/>
      <c r="BL173" s="101"/>
      <c r="BM173" s="101"/>
      <c r="BN173" s="101"/>
      <c r="BO173" s="101"/>
      <c r="BP173" s="101"/>
      <c r="BQ173" s="101"/>
    </row>
    <row r="174" spans="9:69">
      <c r="I174" s="112" t="s">
        <v>7</v>
      </c>
      <c r="J174" s="112" t="s">
        <v>669</v>
      </c>
      <c r="K174" s="109" t="s">
        <v>806</v>
      </c>
      <c r="L174" s="109"/>
      <c r="M174" s="109"/>
      <c r="N174" s="109"/>
      <c r="O174" s="109"/>
      <c r="P174" s="109"/>
      <c r="Q174" s="109"/>
      <c r="R174" s="109"/>
      <c r="S174" s="109"/>
      <c r="T174" s="109"/>
      <c r="U174" s="110"/>
      <c r="V174" s="110"/>
      <c r="W174" s="109"/>
      <c r="X174" s="109"/>
      <c r="Y174" s="109"/>
      <c r="Z174" s="109"/>
      <c r="AA174" s="109"/>
      <c r="AB174" s="109"/>
      <c r="AC174" s="109"/>
      <c r="AD174" s="109"/>
      <c r="AE174" s="109"/>
      <c r="AF174" s="109"/>
      <c r="AG174" s="109"/>
      <c r="AH174" s="109"/>
      <c r="AI174" s="109"/>
      <c r="AJ174" s="109"/>
      <c r="AK174" s="109"/>
      <c r="AL174" s="109"/>
      <c r="AM174" s="109"/>
      <c r="AN174" s="109"/>
      <c r="AO174" s="109"/>
      <c r="AP174" s="109"/>
      <c r="AQ174" s="109"/>
      <c r="AR174" s="109"/>
      <c r="AS174" s="109"/>
      <c r="AT174" s="109"/>
      <c r="AU174" s="109"/>
      <c r="AV174" s="109"/>
      <c r="AW174" s="109"/>
      <c r="AX174" s="109"/>
      <c r="AY174" s="109"/>
      <c r="AZ174" s="109"/>
      <c r="BA174" s="109"/>
      <c r="BB174" s="109"/>
      <c r="BC174" s="109"/>
      <c r="BD174" s="109"/>
      <c r="BE174" s="109"/>
      <c r="BF174" s="109"/>
      <c r="BG174" s="109"/>
      <c r="BH174" s="109"/>
      <c r="BI174" s="109"/>
      <c r="BJ174" s="109"/>
      <c r="BK174" s="109"/>
      <c r="BL174" s="109"/>
      <c r="BM174" s="109"/>
      <c r="BN174" s="109"/>
      <c r="BO174" s="109"/>
      <c r="BP174" s="109"/>
      <c r="BQ174" s="109"/>
    </row>
    <row r="175" spans="9:69" ht="13.5">
      <c r="I175" s="96" t="s">
        <v>48</v>
      </c>
      <c r="J175" s="96" t="s">
        <v>670</v>
      </c>
      <c r="K175" s="221">
        <f>K172</f>
        <v>10</v>
      </c>
      <c r="L175" s="221">
        <f t="shared" ref="L175:M175" si="104">L172</f>
        <v>1</v>
      </c>
      <c r="M175" s="221">
        <f t="shared" si="104"/>
        <v>13</v>
      </c>
      <c r="N175" s="101"/>
      <c r="O175" s="101"/>
      <c r="P175" s="100">
        <v>50</v>
      </c>
      <c r="Q175" s="101"/>
      <c r="R175" s="101"/>
      <c r="S175" s="101"/>
      <c r="T175" s="94" t="s">
        <v>209</v>
      </c>
      <c r="U175" s="100" t="s">
        <v>1631</v>
      </c>
      <c r="V175" s="95">
        <v>10</v>
      </c>
      <c r="W175" s="101"/>
      <c r="X175" s="101"/>
      <c r="Y175" s="100" t="s">
        <v>235</v>
      </c>
      <c r="Z175" s="101"/>
      <c r="AA175" s="101"/>
      <c r="AB175" s="101"/>
      <c r="AC175" s="101"/>
      <c r="AD175" s="101"/>
      <c r="AE175" s="101"/>
      <c r="AF175" s="101"/>
      <c r="AG175" s="101"/>
      <c r="AH175" s="101"/>
      <c r="AI175" s="101"/>
      <c r="AJ175" s="101"/>
      <c r="AK175" s="101"/>
      <c r="AL175" s="101"/>
      <c r="AM175" s="101"/>
      <c r="AN175" s="100" t="s">
        <v>89</v>
      </c>
      <c r="AO175" s="101"/>
      <c r="AP175" s="100" t="s">
        <v>89</v>
      </c>
      <c r="AQ175" s="100" t="s">
        <v>51</v>
      </c>
      <c r="AR175" s="100" t="s">
        <v>51</v>
      </c>
      <c r="AS175" s="101"/>
      <c r="AT175" s="101"/>
      <c r="AU175" s="100">
        <v>0</v>
      </c>
      <c r="AV175" s="101"/>
      <c r="AW175" s="101"/>
      <c r="AX175" s="101"/>
      <c r="AY175" s="101"/>
      <c r="AZ175" s="101"/>
      <c r="BA175" s="101"/>
      <c r="BB175" s="101"/>
      <c r="BC175" s="101"/>
      <c r="BD175" s="101"/>
      <c r="BE175" s="101"/>
      <c r="BF175" s="101"/>
      <c r="BG175" s="101"/>
      <c r="BH175" s="101"/>
      <c r="BI175" s="101"/>
      <c r="BJ175" s="101"/>
      <c r="BK175" s="101"/>
      <c r="BL175" s="101"/>
      <c r="BM175" s="101"/>
      <c r="BN175" s="101"/>
      <c r="BO175" s="101"/>
      <c r="BP175" s="101"/>
      <c r="BQ175" s="101"/>
    </row>
    <row r="176" spans="9:69">
      <c r="I176" s="220" t="s">
        <v>155</v>
      </c>
      <c r="J176" s="220" t="s">
        <v>671</v>
      </c>
      <c r="K176" s="221">
        <f>K175</f>
        <v>10</v>
      </c>
      <c r="L176" s="221">
        <f>L175</f>
        <v>1</v>
      </c>
      <c r="M176" s="221">
        <f>M175</f>
        <v>13</v>
      </c>
      <c r="N176" s="101"/>
      <c r="O176" s="101"/>
      <c r="P176" s="221">
        <f>P175</f>
        <v>50</v>
      </c>
      <c r="Q176" s="101"/>
      <c r="R176" s="101"/>
      <c r="S176" s="101"/>
      <c r="T176" s="94" t="e">
        <f>ADSOnOffSet</f>
        <v>#NAME?</v>
      </c>
      <c r="U176" s="100">
        <v>0</v>
      </c>
      <c r="V176" s="95">
        <v>1</v>
      </c>
      <c r="W176" s="101"/>
      <c r="X176" s="101"/>
      <c r="Y176" s="100" t="s">
        <v>235</v>
      </c>
      <c r="Z176" s="101"/>
      <c r="AA176" s="101"/>
      <c r="AB176" s="101"/>
      <c r="AC176" s="101"/>
      <c r="AD176" s="101"/>
      <c r="AE176" s="101"/>
      <c r="AF176" s="101"/>
      <c r="AG176" s="101"/>
      <c r="AH176" s="101"/>
      <c r="AI176" s="101"/>
      <c r="AJ176" s="101"/>
      <c r="AK176" s="101"/>
      <c r="AL176" s="101"/>
      <c r="AM176" s="101"/>
      <c r="AN176" s="100" t="s">
        <v>89</v>
      </c>
      <c r="AO176" s="101"/>
      <c r="AP176" s="100" t="s">
        <v>89</v>
      </c>
      <c r="AQ176" s="100" t="s">
        <v>51</v>
      </c>
      <c r="AR176" s="100" t="s">
        <v>51</v>
      </c>
      <c r="AS176" s="101"/>
      <c r="AT176" s="101"/>
      <c r="AU176" s="100">
        <v>1</v>
      </c>
      <c r="AV176" s="101"/>
      <c r="AW176" s="101"/>
      <c r="AX176" s="101"/>
      <c r="AY176" s="101"/>
      <c r="AZ176" s="101"/>
      <c r="BA176" s="101"/>
      <c r="BB176" s="101"/>
      <c r="BC176" s="101"/>
      <c r="BD176" s="101"/>
      <c r="BE176" s="101"/>
      <c r="BF176" s="101"/>
      <c r="BG176" s="101"/>
      <c r="BH176" s="101"/>
      <c r="BI176" s="101"/>
      <c r="BJ176" s="101"/>
      <c r="BK176" s="101"/>
      <c r="BL176" s="101"/>
      <c r="BM176" s="101"/>
      <c r="BN176" s="101"/>
      <c r="BO176" s="101"/>
      <c r="BP176" s="101"/>
      <c r="BQ176" s="101"/>
    </row>
    <row r="177" spans="3:69">
      <c r="I177" s="220" t="s">
        <v>155</v>
      </c>
      <c r="J177" s="220" t="s">
        <v>672</v>
      </c>
      <c r="K177" s="221">
        <f t="shared" ref="K177:M178" si="105">K176</f>
        <v>10</v>
      </c>
      <c r="L177" s="221">
        <f t="shared" si="105"/>
        <v>1</v>
      </c>
      <c r="M177" s="221">
        <f t="shared" si="105"/>
        <v>13</v>
      </c>
      <c r="N177" s="101"/>
      <c r="O177" s="101"/>
      <c r="P177" s="100">
        <v>0</v>
      </c>
      <c r="Q177" s="101"/>
      <c r="R177" s="101"/>
      <c r="S177" s="101"/>
      <c r="T177" s="94" t="e">
        <f>T_windshield</f>
        <v>#NAME?</v>
      </c>
      <c r="U177" s="95">
        <f>P177</f>
        <v>0</v>
      </c>
      <c r="V177" s="95">
        <v>10</v>
      </c>
      <c r="W177" s="101"/>
      <c r="X177" s="101"/>
      <c r="Y177" s="100" t="s">
        <v>235</v>
      </c>
      <c r="Z177" s="101"/>
      <c r="AA177" s="101"/>
      <c r="AB177" s="101"/>
      <c r="AC177" s="101"/>
      <c r="AD177" s="101"/>
      <c r="AE177" s="101"/>
      <c r="AF177" s="101"/>
      <c r="AG177" s="101"/>
      <c r="AH177" s="101"/>
      <c r="AI177" s="101"/>
      <c r="AJ177" s="101"/>
      <c r="AK177" s="101"/>
      <c r="AL177" s="101"/>
      <c r="AM177" s="101"/>
      <c r="AN177" s="100" t="s">
        <v>89</v>
      </c>
      <c r="AO177" s="101"/>
      <c r="AP177" s="100" t="s">
        <v>89</v>
      </c>
      <c r="AQ177" s="100" t="s">
        <v>51</v>
      </c>
      <c r="AR177" s="100" t="s">
        <v>51</v>
      </c>
      <c r="AS177" s="101"/>
      <c r="AT177" s="101"/>
      <c r="AU177" s="100">
        <v>1</v>
      </c>
      <c r="AV177" s="101"/>
      <c r="AW177" s="101"/>
      <c r="AX177" s="101"/>
      <c r="AY177" s="101"/>
      <c r="AZ177" s="101"/>
      <c r="BA177" s="101"/>
      <c r="BB177" s="101"/>
      <c r="BC177" s="101"/>
      <c r="BD177" s="101"/>
      <c r="BE177" s="101"/>
      <c r="BF177" s="101"/>
      <c r="BG177" s="101"/>
      <c r="BH177" s="101"/>
      <c r="BI177" s="101"/>
      <c r="BJ177" s="101"/>
      <c r="BK177" s="101"/>
      <c r="BL177" s="101"/>
      <c r="BM177" s="101"/>
      <c r="BN177" s="101"/>
      <c r="BO177" s="101"/>
      <c r="BP177" s="101"/>
      <c r="BQ177" s="101"/>
    </row>
    <row r="178" spans="3:69">
      <c r="I178" s="220" t="s">
        <v>155</v>
      </c>
      <c r="J178" s="220" t="s">
        <v>1512</v>
      </c>
      <c r="K178" s="221">
        <f t="shared" si="105"/>
        <v>10</v>
      </c>
      <c r="L178" s="221">
        <f t="shared" si="105"/>
        <v>1</v>
      </c>
      <c r="M178" s="221">
        <f t="shared" si="105"/>
        <v>13</v>
      </c>
      <c r="N178" s="101"/>
      <c r="O178" s="101"/>
      <c r="P178" s="221">
        <f>P177</f>
        <v>0</v>
      </c>
      <c r="Q178" s="101"/>
      <c r="R178" s="101"/>
      <c r="S178" s="101"/>
      <c r="T178" s="94" t="e">
        <f>ADSOnOffSet</f>
        <v>#NAME?</v>
      </c>
      <c r="U178" s="100">
        <v>1</v>
      </c>
      <c r="V178" s="95">
        <v>1</v>
      </c>
      <c r="W178" s="101"/>
      <c r="X178" s="101"/>
      <c r="Y178" s="100" t="s">
        <v>735</v>
      </c>
      <c r="Z178" s="101"/>
      <c r="AA178" s="101"/>
      <c r="AB178" s="101"/>
      <c r="AC178" s="101"/>
      <c r="AD178" s="101"/>
      <c r="AE178" s="101"/>
      <c r="AF178" s="101"/>
      <c r="AG178" s="101"/>
      <c r="AH178" s="101"/>
      <c r="AI178" s="101"/>
      <c r="AJ178" s="101"/>
      <c r="AK178" s="101"/>
      <c r="AL178" s="101"/>
      <c r="AM178" s="101"/>
      <c r="AN178" s="100" t="s">
        <v>89</v>
      </c>
      <c r="AO178" s="101"/>
      <c r="AP178" s="100" t="s">
        <v>49</v>
      </c>
      <c r="AQ178" s="100" t="s">
        <v>50</v>
      </c>
      <c r="AR178" s="100" t="s">
        <v>50</v>
      </c>
      <c r="AS178" s="101"/>
      <c r="AT178" s="101"/>
      <c r="AU178" s="100">
        <v>0</v>
      </c>
      <c r="AV178" s="101"/>
      <c r="AW178" s="101"/>
      <c r="AX178" s="101"/>
      <c r="AY178" s="101"/>
      <c r="AZ178" s="101"/>
      <c r="BA178" s="101"/>
      <c r="BB178" s="101"/>
      <c r="BC178" s="101"/>
      <c r="BD178" s="101"/>
      <c r="BE178" s="101"/>
      <c r="BF178" s="101"/>
      <c r="BG178" s="101"/>
      <c r="BH178" s="101"/>
      <c r="BI178" s="101"/>
      <c r="BJ178" s="101"/>
      <c r="BK178" s="101"/>
      <c r="BL178" s="101"/>
      <c r="BM178" s="101"/>
      <c r="BN178" s="101"/>
      <c r="BO178" s="101"/>
      <c r="BP178" s="101"/>
      <c r="BQ178" s="101"/>
    </row>
    <row r="179" spans="3:69">
      <c r="I179" s="255">
        <f>COUNTIF(I180:I192,"&lt;&gt;TS")</f>
        <v>11</v>
      </c>
      <c r="J179" s="106" t="s">
        <v>544</v>
      </c>
      <c r="K179" s="106" t="s">
        <v>1513</v>
      </c>
      <c r="L179" s="106"/>
      <c r="M179" s="106"/>
      <c r="N179" s="106"/>
      <c r="O179" s="106"/>
      <c r="P179" s="106"/>
      <c r="Q179" s="106"/>
      <c r="R179" s="106"/>
      <c r="S179" s="106"/>
      <c r="T179" s="106"/>
      <c r="U179" s="107"/>
      <c r="V179" s="107"/>
      <c r="W179" s="106"/>
      <c r="X179" s="106"/>
      <c r="Y179" s="106"/>
      <c r="Z179" s="106"/>
      <c r="AA179" s="106"/>
      <c r="AB179" s="106"/>
      <c r="AC179" s="106"/>
      <c r="AD179" s="106"/>
      <c r="AE179" s="106"/>
      <c r="AF179" s="106"/>
      <c r="AG179" s="106"/>
      <c r="AH179" s="106"/>
      <c r="AI179" s="106"/>
      <c r="AJ179" s="106"/>
      <c r="AK179" s="106"/>
      <c r="AL179" s="106"/>
      <c r="AM179" s="106"/>
      <c r="AN179" s="106"/>
      <c r="AO179" s="106"/>
      <c r="AP179" s="106"/>
      <c r="AQ179" s="106"/>
      <c r="AR179" s="106"/>
      <c r="AS179" s="106"/>
      <c r="AT179" s="106"/>
      <c r="AU179" s="106"/>
      <c r="AV179" s="106"/>
      <c r="AW179" s="106"/>
      <c r="AX179" s="106"/>
      <c r="AY179" s="106"/>
      <c r="AZ179" s="106"/>
      <c r="BA179" s="106"/>
      <c r="BB179" s="106"/>
      <c r="BC179" s="106"/>
      <c r="BD179" s="106"/>
      <c r="BE179" s="106"/>
      <c r="BF179" s="106"/>
      <c r="BG179" s="106"/>
      <c r="BH179" s="106"/>
      <c r="BI179" s="106"/>
      <c r="BJ179" s="106"/>
      <c r="BK179" s="106"/>
      <c r="BL179" s="106"/>
      <c r="BM179" s="106"/>
      <c r="BN179" s="106"/>
      <c r="BO179" s="106"/>
      <c r="BP179" s="106"/>
      <c r="BQ179" s="106"/>
    </row>
    <row r="180" spans="3:69" ht="13.5">
      <c r="I180" s="108" t="s">
        <v>7</v>
      </c>
      <c r="J180" s="108" t="s">
        <v>857</v>
      </c>
      <c r="K180" s="109" t="s">
        <v>1644</v>
      </c>
      <c r="L180" s="109"/>
      <c r="M180" s="109"/>
      <c r="N180" s="109"/>
      <c r="O180" s="109"/>
      <c r="P180" s="109"/>
      <c r="Q180" s="109"/>
      <c r="R180" s="109"/>
      <c r="S180" s="109"/>
      <c r="T180" s="109"/>
      <c r="U180" s="110"/>
      <c r="V180" s="110"/>
      <c r="W180" s="109"/>
      <c r="X180" s="109"/>
      <c r="Y180" s="109"/>
      <c r="Z180" s="109"/>
      <c r="AA180" s="109"/>
      <c r="AB180" s="109"/>
      <c r="AC180" s="109"/>
      <c r="AD180" s="109"/>
      <c r="AE180" s="109"/>
      <c r="AF180" s="109"/>
      <c r="AG180" s="109"/>
      <c r="AH180" s="109"/>
      <c r="AI180" s="109"/>
      <c r="AJ180" s="109"/>
      <c r="AK180" s="109"/>
      <c r="AL180" s="109"/>
      <c r="AM180" s="109"/>
      <c r="AN180" s="109"/>
      <c r="AO180" s="109"/>
      <c r="AP180" s="109"/>
      <c r="AQ180" s="109"/>
      <c r="AR180" s="109"/>
      <c r="AS180" s="109"/>
      <c r="AT180" s="109"/>
      <c r="AU180" s="109"/>
      <c r="AV180" s="109"/>
      <c r="AW180" s="109"/>
      <c r="AX180" s="109"/>
      <c r="AY180" s="109"/>
      <c r="AZ180" s="109"/>
      <c r="BA180" s="109"/>
      <c r="BB180" s="109"/>
      <c r="BC180" s="109"/>
      <c r="BD180" s="109"/>
      <c r="BE180" s="109"/>
      <c r="BF180" s="109"/>
      <c r="BG180" s="109"/>
      <c r="BH180" s="109"/>
      <c r="BI180" s="109"/>
      <c r="BJ180" s="109"/>
      <c r="BK180" s="109"/>
      <c r="BL180" s="109"/>
      <c r="BM180" s="109"/>
      <c r="BN180" s="109"/>
      <c r="BO180" s="109"/>
      <c r="BP180" s="109"/>
      <c r="BQ180" s="109"/>
    </row>
    <row r="181" spans="3:69">
      <c r="I181" s="96" t="s">
        <v>48</v>
      </c>
      <c r="J181" s="96" t="s">
        <v>858</v>
      </c>
      <c r="K181" s="100">
        <v>53</v>
      </c>
      <c r="L181" s="100">
        <v>10</v>
      </c>
      <c r="M181" s="100">
        <v>13</v>
      </c>
      <c r="N181" s="101"/>
      <c r="O181" s="101"/>
      <c r="P181" s="100">
        <v>50</v>
      </c>
      <c r="Q181" s="100">
        <v>400</v>
      </c>
      <c r="R181" s="101"/>
      <c r="S181" s="101"/>
      <c r="T181" s="94" t="s">
        <v>241</v>
      </c>
      <c r="U181" s="95">
        <v>1</v>
      </c>
      <c r="V181" s="95">
        <v>10</v>
      </c>
      <c r="W181" s="101"/>
      <c r="X181" s="101"/>
      <c r="Y181" s="101"/>
      <c r="Z181" s="101"/>
      <c r="AA181" s="101"/>
      <c r="AB181" s="101"/>
      <c r="AC181" s="101"/>
      <c r="AD181" s="101"/>
      <c r="AE181" s="101"/>
      <c r="AF181" s="101"/>
      <c r="AG181" s="101"/>
      <c r="AH181" s="101"/>
      <c r="AI181" s="101"/>
      <c r="AJ181" s="101"/>
      <c r="AK181" s="101"/>
      <c r="AL181" s="101"/>
      <c r="AM181" s="101"/>
      <c r="AN181" s="101"/>
      <c r="AO181" s="101"/>
      <c r="AP181" s="101"/>
      <c r="AQ181" s="100" t="s">
        <v>50</v>
      </c>
      <c r="AR181" s="101"/>
      <c r="AS181" s="101"/>
      <c r="AT181" s="101"/>
      <c r="AU181" s="100">
        <v>0</v>
      </c>
      <c r="AV181" s="101"/>
      <c r="AW181" s="101"/>
      <c r="AX181" s="101"/>
      <c r="AY181" s="101"/>
      <c r="AZ181" s="101"/>
      <c r="BA181" s="101"/>
      <c r="BB181" s="101"/>
      <c r="BC181" s="101"/>
      <c r="BD181" s="101"/>
      <c r="BE181" s="100">
        <v>0</v>
      </c>
      <c r="BF181" s="100">
        <v>1</v>
      </c>
      <c r="BG181" s="101"/>
      <c r="BH181" s="101"/>
      <c r="BI181" s="101"/>
      <c r="BJ181" s="101"/>
      <c r="BK181" s="101"/>
      <c r="BL181" s="101"/>
      <c r="BM181" s="101"/>
      <c r="BN181" s="101"/>
      <c r="BO181" s="101"/>
      <c r="BP181" s="101"/>
      <c r="BQ181" s="101"/>
    </row>
    <row r="182" spans="3:69">
      <c r="I182" s="220" t="s">
        <v>155</v>
      </c>
      <c r="J182" s="220" t="s">
        <v>859</v>
      </c>
      <c r="K182" s="221">
        <f>K181</f>
        <v>53</v>
      </c>
      <c r="L182" s="221">
        <f t="shared" ref="L182:M182" si="106">L181</f>
        <v>10</v>
      </c>
      <c r="M182" s="221">
        <f t="shared" si="106"/>
        <v>13</v>
      </c>
      <c r="N182" s="101"/>
      <c r="O182" s="101"/>
      <c r="P182" s="101"/>
      <c r="Q182" s="221">
        <f t="shared" ref="Q182:Q183" si="107">Q181</f>
        <v>400</v>
      </c>
      <c r="R182" s="101"/>
      <c r="S182" s="101"/>
      <c r="T182" s="94" t="s">
        <v>209</v>
      </c>
      <c r="U182" s="100" t="e">
        <f>CO2_EN_DIS</f>
        <v>#NAME?</v>
      </c>
      <c r="V182" s="95">
        <v>1</v>
      </c>
      <c r="W182" s="101"/>
      <c r="X182" s="101"/>
      <c r="Y182" s="101"/>
      <c r="Z182" s="101"/>
      <c r="AA182" s="101"/>
      <c r="AB182" s="101"/>
      <c r="AC182" s="101"/>
      <c r="AD182" s="101"/>
      <c r="AE182" s="101"/>
      <c r="AF182" s="101"/>
      <c r="AG182" s="101"/>
      <c r="AH182" s="101"/>
      <c r="AI182" s="101"/>
      <c r="AJ182" s="101"/>
      <c r="AK182" s="101"/>
      <c r="AL182" s="101"/>
      <c r="AM182" s="101"/>
      <c r="AN182" s="101"/>
      <c r="AO182" s="101"/>
      <c r="AP182" s="101"/>
      <c r="AQ182" s="100" t="s">
        <v>1643</v>
      </c>
      <c r="AR182" s="101"/>
      <c r="AS182" s="101"/>
      <c r="AT182" s="101"/>
      <c r="AU182" s="100">
        <v>1</v>
      </c>
      <c r="AV182" s="101"/>
      <c r="AW182" s="101"/>
      <c r="AX182" s="101"/>
      <c r="AY182" s="101"/>
      <c r="AZ182" s="101"/>
      <c r="BA182" s="101"/>
      <c r="BB182" s="101"/>
      <c r="BC182" s="101"/>
      <c r="BD182" s="101"/>
      <c r="BE182" s="100">
        <v>0</v>
      </c>
      <c r="BF182" s="100">
        <v>0</v>
      </c>
      <c r="BG182" s="101"/>
      <c r="BH182" s="101"/>
      <c r="BI182" s="101"/>
      <c r="BJ182" s="101"/>
      <c r="BK182" s="101"/>
      <c r="BL182" s="101"/>
      <c r="BM182" s="101"/>
      <c r="BN182" s="101"/>
      <c r="BO182" s="101"/>
      <c r="BP182" s="101"/>
      <c r="BQ182" s="101"/>
    </row>
    <row r="183" spans="3:69">
      <c r="I183" s="220" t="s">
        <v>155</v>
      </c>
      <c r="J183" s="220" t="s">
        <v>860</v>
      </c>
      <c r="K183" s="221">
        <f t="shared" ref="K183:M183" si="108">K182</f>
        <v>53</v>
      </c>
      <c r="L183" s="221">
        <f t="shared" si="108"/>
        <v>10</v>
      </c>
      <c r="M183" s="221">
        <f t="shared" si="108"/>
        <v>13</v>
      </c>
      <c r="N183" s="101"/>
      <c r="O183" s="101"/>
      <c r="P183" s="101"/>
      <c r="Q183" s="221">
        <f t="shared" si="107"/>
        <v>400</v>
      </c>
      <c r="R183" s="101"/>
      <c r="S183" s="101"/>
      <c r="T183" s="94" t="s">
        <v>253</v>
      </c>
      <c r="U183" s="95">
        <v>1</v>
      </c>
      <c r="V183" s="95">
        <v>10</v>
      </c>
      <c r="W183" s="101"/>
      <c r="X183" s="101"/>
      <c r="Y183" s="101"/>
      <c r="Z183" s="101"/>
      <c r="AA183" s="101"/>
      <c r="AB183" s="101"/>
      <c r="AC183" s="101"/>
      <c r="AD183" s="101"/>
      <c r="AE183" s="101"/>
      <c r="AF183" s="101"/>
      <c r="AG183" s="101"/>
      <c r="AH183" s="101"/>
      <c r="AI183" s="101"/>
      <c r="AJ183" s="101"/>
      <c r="AK183" s="101"/>
      <c r="AL183" s="101"/>
      <c r="AM183" s="101"/>
      <c r="AN183" s="101"/>
      <c r="AO183" s="101"/>
      <c r="AP183" s="101"/>
      <c r="AQ183" s="100" t="s">
        <v>51</v>
      </c>
      <c r="AR183" s="101"/>
      <c r="AS183" s="101"/>
      <c r="AT183" s="101"/>
      <c r="AU183" s="100">
        <v>1</v>
      </c>
      <c r="AV183" s="101"/>
      <c r="AW183" s="101"/>
      <c r="AX183" s="101"/>
      <c r="AY183" s="101"/>
      <c r="AZ183" s="101"/>
      <c r="BA183" s="101"/>
      <c r="BB183" s="101"/>
      <c r="BC183" s="101"/>
      <c r="BD183" s="101"/>
      <c r="BE183" s="100">
        <v>0</v>
      </c>
      <c r="BF183" s="100">
        <v>0</v>
      </c>
      <c r="BG183" s="101"/>
      <c r="BH183" s="101"/>
      <c r="BI183" s="101"/>
      <c r="BJ183" s="101"/>
      <c r="BK183" s="101"/>
      <c r="BL183" s="101"/>
      <c r="BM183" s="101"/>
      <c r="BN183" s="101"/>
      <c r="BO183" s="101"/>
      <c r="BP183" s="101"/>
      <c r="BQ183" s="101"/>
    </row>
    <row r="184" spans="3:69">
      <c r="C184" s="4"/>
      <c r="I184" s="220" t="s">
        <v>155</v>
      </c>
      <c r="J184" s="220" t="s">
        <v>861</v>
      </c>
      <c r="K184" s="221">
        <f>K183</f>
        <v>53</v>
      </c>
      <c r="L184" s="221">
        <f>L183</f>
        <v>10</v>
      </c>
      <c r="M184" s="221">
        <f>M183</f>
        <v>13</v>
      </c>
      <c r="N184" s="101"/>
      <c r="O184" s="101"/>
      <c r="P184" s="101"/>
      <c r="Q184" s="100">
        <v>4000</v>
      </c>
      <c r="R184" s="101"/>
      <c r="S184" s="101"/>
      <c r="T184" s="94" t="e">
        <f>CO2_PPM_V</f>
        <v>#NAME?</v>
      </c>
      <c r="U184" s="100">
        <v>4000</v>
      </c>
      <c r="V184" s="95">
        <v>10</v>
      </c>
      <c r="W184" s="101"/>
      <c r="X184" s="101"/>
      <c r="Y184" s="101"/>
      <c r="Z184" s="101"/>
      <c r="AA184" s="101"/>
      <c r="AB184" s="101"/>
      <c r="AC184" s="101"/>
      <c r="AD184" s="101"/>
      <c r="AE184" s="101"/>
      <c r="AF184" s="101"/>
      <c r="AG184" s="101"/>
      <c r="AH184" s="101"/>
      <c r="AI184" s="101"/>
      <c r="AJ184" s="101"/>
      <c r="AK184" s="101"/>
      <c r="AL184" s="101"/>
      <c r="AM184" s="101"/>
      <c r="AN184" s="101"/>
      <c r="AO184" s="101"/>
      <c r="AP184" s="101"/>
      <c r="AQ184" s="100" t="s">
        <v>51</v>
      </c>
      <c r="AR184" s="101"/>
      <c r="AS184" s="101"/>
      <c r="AT184" s="101"/>
      <c r="AU184" s="100">
        <v>1</v>
      </c>
      <c r="AV184" s="101"/>
      <c r="AW184" s="101"/>
      <c r="AX184" s="101"/>
      <c r="AY184" s="101"/>
      <c r="AZ184" s="101"/>
      <c r="BA184" s="101"/>
      <c r="BB184" s="101"/>
      <c r="BC184" s="101"/>
      <c r="BD184" s="101"/>
      <c r="BE184" s="100">
        <v>0</v>
      </c>
      <c r="BF184" s="100">
        <v>0</v>
      </c>
      <c r="BG184" s="101"/>
      <c r="BH184" s="101"/>
      <c r="BI184" s="101"/>
      <c r="BJ184" s="101"/>
      <c r="BK184" s="101"/>
      <c r="BL184" s="101"/>
      <c r="BM184" s="101"/>
      <c r="BN184" s="101"/>
      <c r="BO184" s="101"/>
      <c r="BP184" s="101"/>
      <c r="BQ184" s="101"/>
    </row>
    <row r="185" spans="3:69">
      <c r="I185" s="220" t="s">
        <v>155</v>
      </c>
      <c r="J185" s="220" t="s">
        <v>862</v>
      </c>
      <c r="K185" s="221">
        <f t="shared" ref="K185:M187" si="109">K184</f>
        <v>53</v>
      </c>
      <c r="L185" s="221">
        <f t="shared" si="109"/>
        <v>10</v>
      </c>
      <c r="M185" s="221">
        <f t="shared" si="109"/>
        <v>13</v>
      </c>
      <c r="N185" s="101"/>
      <c r="O185" s="101"/>
      <c r="P185" s="101"/>
      <c r="Q185" s="100">
        <v>400</v>
      </c>
      <c r="R185" s="101"/>
      <c r="S185" s="101"/>
      <c r="T185" s="94" t="e">
        <f>CO2_PPM_V</f>
        <v>#NAME?</v>
      </c>
      <c r="U185" s="100">
        <v>400</v>
      </c>
      <c r="V185" s="95">
        <v>10</v>
      </c>
      <c r="W185" s="101"/>
      <c r="X185" s="101"/>
      <c r="Y185" s="101"/>
      <c r="Z185" s="101"/>
      <c r="AA185" s="101"/>
      <c r="AB185" s="101"/>
      <c r="AC185" s="101"/>
      <c r="AD185" s="101"/>
      <c r="AE185" s="101"/>
      <c r="AF185" s="101"/>
      <c r="AG185" s="101"/>
      <c r="AH185" s="101"/>
      <c r="AI185" s="101"/>
      <c r="AJ185" s="101"/>
      <c r="AK185" s="101"/>
      <c r="AL185" s="101"/>
      <c r="AM185" s="101"/>
      <c r="AN185" s="101"/>
      <c r="AO185" s="101"/>
      <c r="AP185" s="101"/>
      <c r="AQ185" s="100" t="s">
        <v>51</v>
      </c>
      <c r="AR185" s="101"/>
      <c r="AS185" s="101"/>
      <c r="AT185" s="101"/>
      <c r="AU185" s="100">
        <v>1</v>
      </c>
      <c r="AV185" s="101"/>
      <c r="AW185" s="101"/>
      <c r="AX185" s="101"/>
      <c r="AY185" s="101"/>
      <c r="AZ185" s="101"/>
      <c r="BA185" s="101"/>
      <c r="BB185" s="101"/>
      <c r="BC185" s="101"/>
      <c r="BD185" s="101"/>
      <c r="BE185" s="100">
        <v>0</v>
      </c>
      <c r="BF185" s="100">
        <v>0</v>
      </c>
      <c r="BG185" s="101"/>
      <c r="BH185" s="101"/>
      <c r="BI185" s="101"/>
      <c r="BJ185" s="101"/>
      <c r="BK185" s="101"/>
      <c r="BL185" s="101"/>
      <c r="BM185" s="101"/>
      <c r="BN185" s="101"/>
      <c r="BO185" s="101"/>
      <c r="BP185" s="101"/>
      <c r="BQ185" s="101"/>
    </row>
    <row r="186" spans="3:69">
      <c r="I186" s="220" t="s">
        <v>155</v>
      </c>
      <c r="J186" s="220" t="s">
        <v>863</v>
      </c>
      <c r="K186" s="221">
        <f t="shared" si="109"/>
        <v>53</v>
      </c>
      <c r="L186" s="221">
        <f t="shared" si="109"/>
        <v>10</v>
      </c>
      <c r="M186" s="221">
        <f t="shared" si="109"/>
        <v>13</v>
      </c>
      <c r="N186" s="101"/>
      <c r="O186" s="101"/>
      <c r="P186" s="101"/>
      <c r="Q186" s="221">
        <f>Q185</f>
        <v>400</v>
      </c>
      <c r="R186" s="101"/>
      <c r="S186" s="101"/>
      <c r="T186" s="94" t="s">
        <v>209</v>
      </c>
      <c r="U186" s="100" t="e">
        <f>CO2_EN_DIS</f>
        <v>#NAME?</v>
      </c>
      <c r="V186" s="95">
        <v>1</v>
      </c>
      <c r="W186" s="101"/>
      <c r="X186" s="101"/>
      <c r="Y186" s="101"/>
      <c r="Z186" s="101"/>
      <c r="AA186" s="101"/>
      <c r="AB186" s="101"/>
      <c r="AC186" s="101"/>
      <c r="AD186" s="101"/>
      <c r="AE186" s="101"/>
      <c r="AF186" s="101"/>
      <c r="AG186" s="101"/>
      <c r="AH186" s="101"/>
      <c r="AI186" s="101"/>
      <c r="AJ186" s="101"/>
      <c r="AK186" s="101"/>
      <c r="AL186" s="101"/>
      <c r="AM186" s="101"/>
      <c r="AN186" s="101"/>
      <c r="AO186" s="101"/>
      <c r="AP186" s="101"/>
      <c r="AQ186" s="100" t="s">
        <v>1645</v>
      </c>
      <c r="AR186" s="101"/>
      <c r="AS186" s="101"/>
      <c r="AT186" s="101"/>
      <c r="AU186" s="100">
        <v>0</v>
      </c>
      <c r="AV186" s="101"/>
      <c r="AW186" s="101"/>
      <c r="AX186" s="101"/>
      <c r="AY186" s="101"/>
      <c r="AZ186" s="101"/>
      <c r="BA186" s="101"/>
      <c r="BB186" s="101"/>
      <c r="BC186" s="101"/>
      <c r="BD186" s="101"/>
      <c r="BE186" s="100">
        <v>0</v>
      </c>
      <c r="BF186" s="100">
        <v>1</v>
      </c>
      <c r="BG186" s="101"/>
      <c r="BH186" s="101"/>
      <c r="BI186" s="101"/>
      <c r="BJ186" s="101"/>
      <c r="BK186" s="101"/>
      <c r="BL186" s="101"/>
      <c r="BM186" s="101"/>
      <c r="BN186" s="101"/>
      <c r="BO186" s="101"/>
      <c r="BP186" s="101"/>
      <c r="BQ186" s="101"/>
    </row>
    <row r="187" spans="3:69">
      <c r="I187" s="220" t="s">
        <v>155</v>
      </c>
      <c r="J187" s="220" t="s">
        <v>1614</v>
      </c>
      <c r="K187" s="221">
        <f t="shared" si="109"/>
        <v>53</v>
      </c>
      <c r="L187" s="221">
        <f t="shared" si="109"/>
        <v>10</v>
      </c>
      <c r="M187" s="221">
        <f t="shared" si="109"/>
        <v>13</v>
      </c>
      <c r="N187" s="101"/>
      <c r="O187" s="101"/>
      <c r="P187" s="101"/>
      <c r="Q187" s="100">
        <v>4000</v>
      </c>
      <c r="R187" s="101"/>
      <c r="S187" s="101"/>
      <c r="T187" s="94" t="e">
        <f>CO2_PPM_V</f>
        <v>#NAME?</v>
      </c>
      <c r="U187" s="100">
        <v>4000</v>
      </c>
      <c r="V187" s="95">
        <v>10</v>
      </c>
      <c r="W187" s="101"/>
      <c r="X187" s="101"/>
      <c r="Y187" s="101"/>
      <c r="Z187" s="101"/>
      <c r="AA187" s="101"/>
      <c r="AB187" s="101"/>
      <c r="AC187" s="101"/>
      <c r="AD187" s="101"/>
      <c r="AE187" s="101"/>
      <c r="AF187" s="101"/>
      <c r="AG187" s="101"/>
      <c r="AH187" s="101"/>
      <c r="AI187" s="101"/>
      <c r="AJ187" s="101"/>
      <c r="AK187" s="101"/>
      <c r="AL187" s="101"/>
      <c r="AM187" s="101"/>
      <c r="AN187" s="101"/>
      <c r="AO187" s="101"/>
      <c r="AP187" s="101"/>
      <c r="AQ187" s="100" t="s">
        <v>50</v>
      </c>
      <c r="AR187" s="101"/>
      <c r="AS187" s="101"/>
      <c r="AT187" s="101"/>
      <c r="AU187" s="100">
        <v>0</v>
      </c>
      <c r="AV187" s="101"/>
      <c r="AW187" s="101"/>
      <c r="AX187" s="101"/>
      <c r="AY187" s="101"/>
      <c r="AZ187" s="101"/>
      <c r="BA187" s="101"/>
      <c r="BB187" s="101"/>
      <c r="BC187" s="101"/>
      <c r="BD187" s="101"/>
      <c r="BE187" s="100">
        <v>1</v>
      </c>
      <c r="BF187" s="100">
        <v>1</v>
      </c>
      <c r="BG187" s="101"/>
      <c r="BH187" s="101"/>
      <c r="BI187" s="101"/>
      <c r="BJ187" s="101"/>
      <c r="BK187" s="101"/>
      <c r="BL187" s="101"/>
      <c r="BM187" s="101"/>
      <c r="BN187" s="101"/>
      <c r="BO187" s="101"/>
      <c r="BP187" s="101"/>
      <c r="BQ187" s="101"/>
    </row>
    <row r="188" spans="3:69" ht="13.5">
      <c r="I188" s="112" t="s">
        <v>7</v>
      </c>
      <c r="J188" s="112" t="s">
        <v>864</v>
      </c>
      <c r="K188" s="109" t="s">
        <v>1514</v>
      </c>
      <c r="L188" s="109"/>
      <c r="M188" s="109"/>
      <c r="N188" s="109"/>
      <c r="O188" s="109"/>
      <c r="P188" s="109"/>
      <c r="Q188" s="109"/>
      <c r="R188" s="109"/>
      <c r="S188" s="109"/>
      <c r="T188" s="109"/>
      <c r="U188" s="110"/>
      <c r="V188" s="110"/>
      <c r="W188" s="109"/>
      <c r="X188" s="109"/>
      <c r="Y188" s="109"/>
      <c r="Z188" s="109"/>
      <c r="AA188" s="109"/>
      <c r="AB188" s="109"/>
      <c r="AC188" s="109"/>
      <c r="AD188" s="109"/>
      <c r="AE188" s="109"/>
      <c r="AF188" s="109"/>
      <c r="AG188" s="109"/>
      <c r="AH188" s="109"/>
      <c r="AI188" s="109"/>
      <c r="AJ188" s="109"/>
      <c r="AK188" s="109"/>
      <c r="AL188" s="109"/>
      <c r="AM188" s="109"/>
      <c r="AN188" s="109"/>
      <c r="AO188" s="109"/>
      <c r="AP188" s="109"/>
      <c r="AQ188" s="109"/>
      <c r="AR188" s="109"/>
      <c r="AS188" s="109"/>
      <c r="AT188" s="109"/>
      <c r="AU188" s="109"/>
      <c r="AV188" s="109"/>
      <c r="AW188" s="109"/>
      <c r="AX188" s="109"/>
      <c r="AY188" s="109"/>
      <c r="AZ188" s="109"/>
      <c r="BA188" s="109"/>
      <c r="BB188" s="109"/>
      <c r="BC188" s="109"/>
      <c r="BD188" s="109"/>
      <c r="BE188" s="109"/>
      <c r="BF188" s="109"/>
      <c r="BG188" s="109"/>
      <c r="BH188" s="109"/>
      <c r="BI188" s="109"/>
      <c r="BJ188" s="109"/>
      <c r="BK188" s="109"/>
      <c r="BL188" s="109"/>
      <c r="BM188" s="109"/>
      <c r="BN188" s="109"/>
      <c r="BO188" s="109"/>
      <c r="BP188" s="109"/>
      <c r="BQ188" s="109"/>
    </row>
    <row r="189" spans="3:69">
      <c r="I189" s="96" t="s">
        <v>48</v>
      </c>
      <c r="J189" s="96" t="s">
        <v>865</v>
      </c>
      <c r="K189" s="221">
        <f>K186</f>
        <v>53</v>
      </c>
      <c r="L189" s="221">
        <f t="shared" ref="L189:M189" si="110">L186</f>
        <v>10</v>
      </c>
      <c r="M189" s="221">
        <f t="shared" si="110"/>
        <v>13</v>
      </c>
      <c r="N189" s="101"/>
      <c r="O189" s="101"/>
      <c r="P189" s="101"/>
      <c r="Q189" s="100">
        <v>400</v>
      </c>
      <c r="R189" s="101"/>
      <c r="S189" s="101"/>
      <c r="T189" s="94"/>
      <c r="U189" s="95" t="s">
        <v>420</v>
      </c>
      <c r="V189" s="95">
        <v>10</v>
      </c>
      <c r="W189" s="101"/>
      <c r="X189" s="101"/>
      <c r="Y189" s="100" t="s">
        <v>235</v>
      </c>
      <c r="Z189" s="101"/>
      <c r="AA189" s="101"/>
      <c r="AB189" s="101"/>
      <c r="AC189" s="101"/>
      <c r="AD189" s="101"/>
      <c r="AE189" s="101"/>
      <c r="AF189" s="101"/>
      <c r="AG189" s="101"/>
      <c r="AH189" s="101"/>
      <c r="AI189" s="101"/>
      <c r="AJ189" s="101"/>
      <c r="AK189" s="101"/>
      <c r="AL189" s="101"/>
      <c r="AM189" s="101"/>
      <c r="AN189" s="100" t="s">
        <v>89</v>
      </c>
      <c r="AO189" s="101"/>
      <c r="AP189" s="100" t="s">
        <v>89</v>
      </c>
      <c r="AQ189" s="100" t="s">
        <v>51</v>
      </c>
      <c r="AR189" s="101"/>
      <c r="AS189" s="101"/>
      <c r="AT189" s="101"/>
      <c r="AU189" s="100">
        <v>0</v>
      </c>
      <c r="AV189" s="101"/>
      <c r="AW189" s="101"/>
      <c r="AX189" s="101"/>
      <c r="AY189" s="101"/>
      <c r="AZ189" s="101"/>
      <c r="BA189" s="101"/>
      <c r="BB189" s="101"/>
      <c r="BC189" s="101"/>
      <c r="BD189" s="101"/>
      <c r="BE189" s="100">
        <v>0</v>
      </c>
      <c r="BF189" s="100">
        <v>1</v>
      </c>
      <c r="BG189" s="101"/>
      <c r="BH189" s="101"/>
      <c r="BI189" s="101"/>
      <c r="BJ189" s="101"/>
      <c r="BK189" s="101"/>
      <c r="BL189" s="101"/>
      <c r="BM189" s="101"/>
      <c r="BN189" s="101"/>
      <c r="BO189" s="101"/>
      <c r="BP189" s="101"/>
      <c r="BQ189" s="101"/>
    </row>
    <row r="190" spans="3:69">
      <c r="I190" s="220" t="s">
        <v>155</v>
      </c>
      <c r="J190" s="220" t="s">
        <v>866</v>
      </c>
      <c r="K190" s="221">
        <f>K189</f>
        <v>53</v>
      </c>
      <c r="L190" s="221">
        <f>L189</f>
        <v>10</v>
      </c>
      <c r="M190" s="221">
        <f>M189</f>
        <v>13</v>
      </c>
      <c r="N190" s="101"/>
      <c r="O190" s="101"/>
      <c r="P190" s="101"/>
      <c r="Q190" s="221">
        <f t="shared" ref="Q190" si="111">Q189</f>
        <v>400</v>
      </c>
      <c r="R190" s="101"/>
      <c r="S190" s="101"/>
      <c r="T190" s="94" t="e">
        <f>CO2_Set</f>
        <v>#NAME?</v>
      </c>
      <c r="U190" s="100">
        <v>0</v>
      </c>
      <c r="V190" s="95">
        <v>1</v>
      </c>
      <c r="W190" s="101"/>
      <c r="X190" s="101"/>
      <c r="Y190" s="100" t="s">
        <v>235</v>
      </c>
      <c r="Z190" s="101"/>
      <c r="AA190" s="101"/>
      <c r="AB190" s="101"/>
      <c r="AC190" s="101"/>
      <c r="AD190" s="101"/>
      <c r="AE190" s="101"/>
      <c r="AF190" s="101"/>
      <c r="AG190" s="101"/>
      <c r="AH190" s="101"/>
      <c r="AI190" s="101"/>
      <c r="AJ190" s="101"/>
      <c r="AK190" s="101"/>
      <c r="AL190" s="101"/>
      <c r="AM190" s="101"/>
      <c r="AN190" s="100" t="s">
        <v>89</v>
      </c>
      <c r="AO190" s="101"/>
      <c r="AP190" s="100" t="s">
        <v>89</v>
      </c>
      <c r="AQ190" s="100" t="s">
        <v>51</v>
      </c>
      <c r="AR190" s="101"/>
      <c r="AS190" s="101"/>
      <c r="AT190" s="101"/>
      <c r="AU190" s="100">
        <v>1</v>
      </c>
      <c r="AV190" s="101"/>
      <c r="AW190" s="101"/>
      <c r="AX190" s="101"/>
      <c r="AY190" s="101"/>
      <c r="AZ190" s="101"/>
      <c r="BA190" s="101"/>
      <c r="BB190" s="101"/>
      <c r="BC190" s="101"/>
      <c r="BD190" s="101"/>
      <c r="BE190" s="100">
        <v>0</v>
      </c>
      <c r="BF190" s="100">
        <v>0</v>
      </c>
      <c r="BG190" s="101"/>
      <c r="BH190" s="101"/>
      <c r="BI190" s="101"/>
      <c r="BJ190" s="101"/>
      <c r="BK190" s="101"/>
      <c r="BL190" s="101"/>
      <c r="BM190" s="101"/>
      <c r="BN190" s="101"/>
      <c r="BO190" s="101"/>
      <c r="BP190" s="101"/>
      <c r="BQ190" s="101"/>
    </row>
    <row r="191" spans="3:69">
      <c r="I191" s="220" t="s">
        <v>155</v>
      </c>
      <c r="J191" s="220" t="s">
        <v>867</v>
      </c>
      <c r="K191" s="221">
        <f t="shared" ref="K191:M191" si="112">K190</f>
        <v>53</v>
      </c>
      <c r="L191" s="221">
        <f t="shared" si="112"/>
        <v>10</v>
      </c>
      <c r="M191" s="221">
        <f t="shared" si="112"/>
        <v>13</v>
      </c>
      <c r="N191" s="101"/>
      <c r="O191" s="101"/>
      <c r="P191" s="101"/>
      <c r="Q191" s="100">
        <v>4000</v>
      </c>
      <c r="R191" s="101"/>
      <c r="S191" s="101"/>
      <c r="T191" s="94" t="e">
        <f>CO2_PPM_V</f>
        <v>#NAME?</v>
      </c>
      <c r="U191" s="100">
        <v>4000</v>
      </c>
      <c r="V191" s="95">
        <v>10</v>
      </c>
      <c r="W191" s="101"/>
      <c r="X191" s="101"/>
      <c r="Y191" s="100" t="s">
        <v>235</v>
      </c>
      <c r="Z191" s="101"/>
      <c r="AA191" s="101"/>
      <c r="AB191" s="101"/>
      <c r="AC191" s="101"/>
      <c r="AD191" s="101"/>
      <c r="AE191" s="101"/>
      <c r="AF191" s="101"/>
      <c r="AG191" s="101"/>
      <c r="AH191" s="101"/>
      <c r="AI191" s="101"/>
      <c r="AJ191" s="101"/>
      <c r="AK191" s="101"/>
      <c r="AL191" s="101"/>
      <c r="AM191" s="101"/>
      <c r="AN191" s="100" t="s">
        <v>89</v>
      </c>
      <c r="AO191" s="101"/>
      <c r="AP191" s="100" t="s">
        <v>89</v>
      </c>
      <c r="AQ191" s="100" t="s">
        <v>51</v>
      </c>
      <c r="AR191" s="101"/>
      <c r="AS191" s="101"/>
      <c r="AT191" s="101"/>
      <c r="AU191" s="100">
        <v>1</v>
      </c>
      <c r="AV191" s="101"/>
      <c r="AW191" s="101"/>
      <c r="AX191" s="101"/>
      <c r="AY191" s="101"/>
      <c r="AZ191" s="101"/>
      <c r="BA191" s="101"/>
      <c r="BB191" s="101"/>
      <c r="BC191" s="101"/>
      <c r="BD191" s="101"/>
      <c r="BE191" s="100">
        <v>0</v>
      </c>
      <c r="BF191" s="100">
        <v>0</v>
      </c>
      <c r="BG191" s="101"/>
      <c r="BH191" s="101"/>
      <c r="BI191" s="101"/>
      <c r="BJ191" s="101"/>
      <c r="BK191" s="101"/>
      <c r="BL191" s="101"/>
      <c r="BM191" s="101"/>
      <c r="BN191" s="101"/>
      <c r="BO191" s="101"/>
      <c r="BP191" s="101"/>
      <c r="BQ191" s="101"/>
    </row>
    <row r="192" spans="3:69">
      <c r="I192" s="220" t="s">
        <v>155</v>
      </c>
      <c r="J192" s="220" t="s">
        <v>1616</v>
      </c>
      <c r="K192" s="221">
        <f t="shared" ref="K192" si="113">K191</f>
        <v>53</v>
      </c>
      <c r="L192" s="221">
        <f t="shared" ref="L192" si="114">L191</f>
        <v>10</v>
      </c>
      <c r="M192" s="221">
        <f t="shared" ref="M192" si="115">M191</f>
        <v>13</v>
      </c>
      <c r="N192" s="101"/>
      <c r="O192" s="101"/>
      <c r="P192" s="101"/>
      <c r="Q192" s="221">
        <f>Q191</f>
        <v>4000</v>
      </c>
      <c r="R192" s="101"/>
      <c r="S192" s="101"/>
      <c r="T192" s="94" t="e">
        <f>CO2_Set</f>
        <v>#NAME?</v>
      </c>
      <c r="U192" s="100">
        <v>1</v>
      </c>
      <c r="V192" s="95">
        <v>1</v>
      </c>
      <c r="W192" s="101"/>
      <c r="X192" s="101"/>
      <c r="Y192" s="100" t="s">
        <v>735</v>
      </c>
      <c r="Z192" s="101"/>
      <c r="AA192" s="101"/>
      <c r="AB192" s="101"/>
      <c r="AC192" s="101"/>
      <c r="AD192" s="101"/>
      <c r="AE192" s="101"/>
      <c r="AF192" s="101"/>
      <c r="AG192" s="101"/>
      <c r="AH192" s="101"/>
      <c r="AI192" s="101"/>
      <c r="AJ192" s="101"/>
      <c r="AK192" s="101"/>
      <c r="AL192" s="101"/>
      <c r="AM192" s="101"/>
      <c r="AN192" s="100" t="s">
        <v>89</v>
      </c>
      <c r="AO192" s="101"/>
      <c r="AP192" s="100" t="s">
        <v>49</v>
      </c>
      <c r="AQ192" s="100" t="s">
        <v>50</v>
      </c>
      <c r="AR192" s="101"/>
      <c r="AS192" s="101"/>
      <c r="AT192" s="101"/>
      <c r="AU192" s="100">
        <v>0</v>
      </c>
      <c r="AV192" s="101"/>
      <c r="AW192" s="101"/>
      <c r="AX192" s="101"/>
      <c r="AY192" s="101"/>
      <c r="AZ192" s="101"/>
      <c r="BA192" s="101"/>
      <c r="BB192" s="101"/>
      <c r="BC192" s="101"/>
      <c r="BD192" s="101"/>
      <c r="BE192" s="100">
        <v>1</v>
      </c>
      <c r="BF192" s="100">
        <v>1</v>
      </c>
      <c r="BG192" s="101"/>
      <c r="BH192" s="101"/>
      <c r="BI192" s="101"/>
      <c r="BJ192" s="101"/>
      <c r="BK192" s="101"/>
      <c r="BL192" s="101"/>
      <c r="BM192" s="101"/>
      <c r="BN192" s="101"/>
      <c r="BO192" s="101"/>
      <c r="BP192" s="101"/>
      <c r="BQ192" s="101"/>
    </row>
    <row r="193" spans="3:69">
      <c r="I193" s="255">
        <f>COUNTIF(I194:I197,"&lt;&gt;TS")</f>
        <v>3</v>
      </c>
      <c r="J193" s="106" t="s">
        <v>545</v>
      </c>
      <c r="K193" s="106" t="s">
        <v>807</v>
      </c>
      <c r="L193" s="106"/>
      <c r="M193" s="106"/>
      <c r="N193" s="106"/>
      <c r="O193" s="106"/>
      <c r="P193" s="106"/>
      <c r="Q193" s="106"/>
      <c r="R193" s="106"/>
      <c r="S193" s="106"/>
      <c r="T193" s="106"/>
      <c r="U193" s="107"/>
      <c r="V193" s="107"/>
      <c r="W193" s="106"/>
      <c r="X193" s="106"/>
      <c r="Y193" s="106"/>
      <c r="Z193" s="106"/>
      <c r="AA193" s="106"/>
      <c r="AB193" s="106"/>
      <c r="AC193" s="106"/>
      <c r="AD193" s="106"/>
      <c r="AE193" s="106"/>
      <c r="AF193" s="106"/>
      <c r="AG193" s="106"/>
      <c r="AH193" s="106"/>
      <c r="AI193" s="106"/>
      <c r="AJ193" s="106"/>
      <c r="AK193" s="106"/>
      <c r="AL193" s="106"/>
      <c r="AM193" s="106"/>
      <c r="AN193" s="106"/>
      <c r="AO193" s="106"/>
      <c r="AP193" s="106"/>
      <c r="AQ193" s="106"/>
      <c r="AR193" s="106"/>
      <c r="AS193" s="106"/>
      <c r="AT193" s="106"/>
      <c r="AU193" s="106"/>
      <c r="AV193" s="106"/>
      <c r="AW193" s="106"/>
      <c r="AX193" s="106"/>
      <c r="AY193" s="106"/>
      <c r="AZ193" s="106"/>
      <c r="BA193" s="106"/>
      <c r="BB193" s="106"/>
      <c r="BC193" s="106"/>
      <c r="BD193" s="106"/>
      <c r="BE193" s="106"/>
      <c r="BF193" s="106"/>
      <c r="BG193" s="106"/>
      <c r="BH193" s="106"/>
      <c r="BI193" s="106"/>
      <c r="BJ193" s="106"/>
      <c r="BK193" s="106"/>
      <c r="BL193" s="106"/>
      <c r="BM193" s="106"/>
      <c r="BN193" s="106"/>
      <c r="BO193" s="106"/>
      <c r="BP193" s="106"/>
      <c r="BQ193" s="106"/>
    </row>
    <row r="194" spans="3:69">
      <c r="I194" s="108" t="s">
        <v>7</v>
      </c>
      <c r="J194" s="108" t="s">
        <v>1210</v>
      </c>
      <c r="K194" s="109" t="s">
        <v>1650</v>
      </c>
      <c r="L194" s="109"/>
      <c r="M194" s="109"/>
      <c r="N194" s="109"/>
      <c r="O194" s="109"/>
      <c r="P194" s="109"/>
      <c r="Q194" s="109"/>
      <c r="R194" s="109"/>
      <c r="S194" s="109"/>
      <c r="T194" s="109"/>
      <c r="U194" s="110"/>
      <c r="V194" s="110"/>
      <c r="W194" s="109"/>
      <c r="X194" s="109"/>
      <c r="Y194" s="109"/>
      <c r="Z194" s="109"/>
      <c r="AA194" s="109"/>
      <c r="AB194" s="109"/>
      <c r="AC194" s="109"/>
      <c r="AD194" s="109"/>
      <c r="AE194" s="109"/>
      <c r="AF194" s="109"/>
      <c r="AG194" s="109"/>
      <c r="AH194" s="109"/>
      <c r="AI194" s="109"/>
      <c r="AJ194" s="109"/>
      <c r="AK194" s="109"/>
      <c r="AL194" s="109"/>
      <c r="AM194" s="109"/>
      <c r="AN194" s="109"/>
      <c r="AO194" s="109"/>
      <c r="AP194" s="109"/>
      <c r="AQ194" s="109"/>
      <c r="AR194" s="109"/>
      <c r="AS194" s="109"/>
      <c r="AT194" s="109"/>
      <c r="AU194" s="109"/>
      <c r="AV194" s="109"/>
      <c r="AW194" s="109"/>
      <c r="AX194" s="109"/>
      <c r="AY194" s="109"/>
      <c r="AZ194" s="109"/>
      <c r="BA194" s="109"/>
      <c r="BB194" s="109"/>
      <c r="BC194" s="109"/>
      <c r="BD194" s="109"/>
      <c r="BE194" s="109"/>
      <c r="BF194" s="109"/>
      <c r="BG194" s="109"/>
      <c r="BH194" s="109"/>
      <c r="BI194" s="109"/>
      <c r="BJ194" s="109"/>
      <c r="BK194" s="109"/>
      <c r="BL194" s="109"/>
      <c r="BM194" s="109"/>
      <c r="BN194" s="109"/>
      <c r="BO194" s="109"/>
      <c r="BP194" s="109"/>
      <c r="BQ194" s="109"/>
    </row>
    <row r="195" spans="3:69" ht="13.5">
      <c r="I195" s="220" t="s">
        <v>48</v>
      </c>
      <c r="J195" s="220" t="s">
        <v>1211</v>
      </c>
      <c r="K195" s="100">
        <v>10</v>
      </c>
      <c r="L195" s="221">
        <f t="shared" ref="L195" si="116">L192</f>
        <v>10</v>
      </c>
      <c r="M195" s="100">
        <v>13</v>
      </c>
      <c r="N195" s="101"/>
      <c r="O195" s="101"/>
      <c r="P195" s="101"/>
      <c r="Q195" s="100">
        <v>400</v>
      </c>
      <c r="R195" s="101"/>
      <c r="S195" s="101"/>
      <c r="T195" s="111" t="s">
        <v>1621</v>
      </c>
      <c r="U195" s="99" t="s">
        <v>420</v>
      </c>
      <c r="V195" s="99">
        <v>2</v>
      </c>
      <c r="W195" s="101"/>
      <c r="X195" s="101"/>
      <c r="Y195" s="101"/>
      <c r="Z195" s="101"/>
      <c r="AA195" s="101"/>
      <c r="AB195" s="101"/>
      <c r="AC195" s="101"/>
      <c r="AD195" s="101"/>
      <c r="AE195" s="101"/>
      <c r="AF195" s="101"/>
      <c r="AG195" s="100" t="s">
        <v>1801</v>
      </c>
      <c r="AH195" s="101"/>
      <c r="AI195" s="101"/>
      <c r="AJ195" s="101"/>
      <c r="AK195" s="101"/>
      <c r="AL195" s="101"/>
      <c r="AM195" s="101"/>
      <c r="AN195" s="101"/>
      <c r="AO195" s="101"/>
      <c r="AP195" s="101"/>
      <c r="AQ195" s="101"/>
      <c r="AR195" s="101"/>
      <c r="AS195" s="101"/>
      <c r="AT195" s="101"/>
      <c r="AU195" s="101"/>
      <c r="AV195" s="101"/>
      <c r="AW195" s="101"/>
      <c r="AX195" s="101"/>
      <c r="AY195" s="101"/>
      <c r="AZ195" s="101"/>
      <c r="BA195" s="101"/>
      <c r="BB195" s="101"/>
      <c r="BC195" s="101"/>
      <c r="BD195" s="101"/>
      <c r="BE195" s="101"/>
      <c r="BF195" s="101"/>
      <c r="BG195" s="101"/>
      <c r="BH195" s="101"/>
      <c r="BI195" s="101"/>
      <c r="BJ195" s="101"/>
      <c r="BK195" s="101"/>
      <c r="BL195" s="101"/>
      <c r="BM195" s="101"/>
      <c r="BN195" s="101"/>
      <c r="BO195" s="101"/>
      <c r="BP195" s="101"/>
      <c r="BQ195" s="101"/>
    </row>
    <row r="196" spans="3:69">
      <c r="I196" s="220" t="s">
        <v>901</v>
      </c>
      <c r="J196" s="220" t="s">
        <v>1212</v>
      </c>
      <c r="K196" s="221">
        <f t="shared" ref="K196:M197" si="117">K195</f>
        <v>10</v>
      </c>
      <c r="L196" s="221">
        <f t="shared" si="117"/>
        <v>10</v>
      </c>
      <c r="M196" s="221">
        <f t="shared" si="117"/>
        <v>13</v>
      </c>
      <c r="N196" s="101"/>
      <c r="O196" s="101"/>
      <c r="P196" s="101"/>
      <c r="Q196" s="101"/>
      <c r="R196" s="101"/>
      <c r="S196" s="101"/>
      <c r="T196" s="111" t="s">
        <v>1622</v>
      </c>
      <c r="U196" s="99" t="s">
        <v>420</v>
      </c>
      <c r="V196" s="99">
        <f>13*60</f>
        <v>780</v>
      </c>
      <c r="W196" s="101"/>
      <c r="X196" s="101"/>
      <c r="Y196" s="101"/>
      <c r="Z196" s="101"/>
      <c r="AA196" s="101"/>
      <c r="AB196" s="101"/>
      <c r="AC196" s="101"/>
      <c r="AD196" s="101"/>
      <c r="AE196" s="101"/>
      <c r="AF196" s="101"/>
      <c r="AG196" s="101"/>
      <c r="AH196" s="101"/>
      <c r="AI196" s="101"/>
      <c r="AJ196" s="101"/>
      <c r="AK196" s="101"/>
      <c r="AL196" s="101"/>
      <c r="AM196" s="101"/>
      <c r="AN196" s="101"/>
      <c r="AO196" s="101"/>
      <c r="AP196" s="101"/>
      <c r="AQ196" s="101"/>
      <c r="AR196" s="101"/>
      <c r="AS196" s="101"/>
      <c r="AT196" s="101"/>
      <c r="AU196" s="101"/>
      <c r="AV196" s="101"/>
      <c r="AW196" s="101"/>
      <c r="AX196" s="101"/>
      <c r="AY196" s="101"/>
      <c r="AZ196" s="101"/>
      <c r="BA196" s="101"/>
      <c r="BB196" s="101"/>
      <c r="BC196" s="101"/>
      <c r="BD196" s="101"/>
      <c r="BE196" s="101"/>
      <c r="BF196" s="101"/>
      <c r="BG196" s="101"/>
      <c r="BH196" s="101"/>
      <c r="BI196" s="101"/>
      <c r="BJ196" s="101"/>
      <c r="BK196" s="101"/>
      <c r="BL196" s="101"/>
      <c r="BM196" s="101"/>
      <c r="BN196" s="101"/>
      <c r="BO196" s="101"/>
      <c r="BP196" s="101"/>
      <c r="BQ196" s="101"/>
    </row>
    <row r="197" spans="3:69">
      <c r="I197" s="220" t="s">
        <v>901</v>
      </c>
      <c r="J197" s="220" t="s">
        <v>1213</v>
      </c>
      <c r="K197" s="221">
        <f t="shared" si="117"/>
        <v>10</v>
      </c>
      <c r="L197" s="221">
        <f t="shared" si="117"/>
        <v>10</v>
      </c>
      <c r="M197" s="221">
        <f t="shared" si="117"/>
        <v>13</v>
      </c>
      <c r="N197" s="101"/>
      <c r="O197" s="101"/>
      <c r="P197" s="101"/>
      <c r="Q197" s="101"/>
      <c r="R197" s="101"/>
      <c r="S197" s="101"/>
      <c r="T197" s="111" t="s">
        <v>1621</v>
      </c>
      <c r="U197" s="99" t="s">
        <v>420</v>
      </c>
      <c r="V197" s="99">
        <v>2</v>
      </c>
      <c r="W197" s="101"/>
      <c r="X197" s="101"/>
      <c r="Y197" s="101"/>
      <c r="Z197" s="101"/>
      <c r="AA197" s="101"/>
      <c r="AB197" s="101"/>
      <c r="AC197" s="101"/>
      <c r="AD197" s="101"/>
      <c r="AE197" s="101"/>
      <c r="AF197" s="101"/>
      <c r="AG197" s="101"/>
      <c r="AH197" s="101"/>
      <c r="AI197" s="101"/>
      <c r="AJ197" s="101"/>
      <c r="AK197" s="101"/>
      <c r="AL197" s="101"/>
      <c r="AM197" s="101"/>
      <c r="AN197" s="101"/>
      <c r="AO197" s="101"/>
      <c r="AP197" s="101"/>
      <c r="AQ197" s="101"/>
      <c r="AR197" s="101"/>
      <c r="AS197" s="101"/>
      <c r="AT197" s="101"/>
      <c r="AU197" s="101"/>
      <c r="AV197" s="101"/>
      <c r="AW197" s="101"/>
      <c r="AX197" s="101"/>
      <c r="AY197" s="101"/>
      <c r="AZ197" s="101"/>
      <c r="BA197" s="101"/>
      <c r="BB197" s="101"/>
      <c r="BC197" s="101"/>
      <c r="BD197" s="101"/>
      <c r="BE197" s="101"/>
      <c r="BF197" s="101"/>
      <c r="BG197" s="101"/>
      <c r="BH197" s="101"/>
      <c r="BI197" s="101"/>
      <c r="BJ197" s="101"/>
      <c r="BK197" s="101"/>
      <c r="BL197" s="101"/>
      <c r="BM197" s="101"/>
      <c r="BN197" s="101"/>
      <c r="BO197" s="101"/>
      <c r="BP197" s="101"/>
      <c r="BQ197" s="101"/>
    </row>
    <row r="198" spans="3:69">
      <c r="I198" s="255">
        <f>COUNTIF(I199:I202,"&lt;&gt;TS")</f>
        <v>3</v>
      </c>
      <c r="J198" s="106" t="s">
        <v>546</v>
      </c>
      <c r="K198" s="106" t="s">
        <v>579</v>
      </c>
      <c r="L198" s="106"/>
      <c r="M198" s="106"/>
      <c r="N198" s="106"/>
      <c r="O198" s="106"/>
      <c r="P198" s="106"/>
      <c r="Q198" s="106"/>
      <c r="R198" s="106"/>
      <c r="S198" s="106"/>
      <c r="T198" s="106"/>
      <c r="U198" s="107"/>
      <c r="V198" s="107"/>
      <c r="W198" s="106"/>
      <c r="X198" s="106"/>
      <c r="Y198" s="106"/>
      <c r="Z198" s="106"/>
      <c r="AA198" s="106"/>
      <c r="AB198" s="106"/>
      <c r="AC198" s="106"/>
      <c r="AD198" s="106"/>
      <c r="AE198" s="106"/>
      <c r="AF198" s="106"/>
      <c r="AG198" s="106"/>
      <c r="AH198" s="106"/>
      <c r="AI198" s="106"/>
      <c r="AJ198" s="106"/>
      <c r="AK198" s="106"/>
      <c r="AL198" s="106"/>
      <c r="AM198" s="106"/>
      <c r="AN198" s="106"/>
      <c r="AO198" s="106"/>
      <c r="AP198" s="106"/>
      <c r="AQ198" s="106"/>
      <c r="AR198" s="106"/>
      <c r="AS198" s="106"/>
      <c r="AT198" s="106"/>
      <c r="AU198" s="106"/>
      <c r="AV198" s="106"/>
      <c r="AW198" s="106"/>
      <c r="AX198" s="106"/>
      <c r="AY198" s="106"/>
      <c r="AZ198" s="106"/>
      <c r="BA198" s="106"/>
      <c r="BB198" s="106"/>
      <c r="BC198" s="106"/>
      <c r="BD198" s="106"/>
      <c r="BE198" s="106"/>
      <c r="BF198" s="106"/>
      <c r="BG198" s="106"/>
      <c r="BH198" s="106"/>
      <c r="BI198" s="106"/>
      <c r="BJ198" s="106"/>
      <c r="BK198" s="106"/>
      <c r="BL198" s="106"/>
      <c r="BM198" s="106"/>
      <c r="BN198" s="106"/>
      <c r="BO198" s="106"/>
      <c r="BP198" s="106"/>
      <c r="BQ198" s="106"/>
    </row>
    <row r="199" spans="3:69">
      <c r="I199" s="108" t="s">
        <v>7</v>
      </c>
      <c r="J199" s="108" t="s">
        <v>1395</v>
      </c>
      <c r="K199" s="109" t="s">
        <v>1651</v>
      </c>
      <c r="L199" s="109"/>
      <c r="M199" s="109"/>
      <c r="N199" s="109"/>
      <c r="O199" s="109"/>
      <c r="P199" s="109"/>
      <c r="Q199" s="109"/>
      <c r="R199" s="109"/>
      <c r="S199" s="109"/>
      <c r="T199" s="109"/>
      <c r="U199" s="110"/>
      <c r="V199" s="110"/>
      <c r="W199" s="109"/>
      <c r="X199" s="109"/>
      <c r="Y199" s="109"/>
      <c r="Z199" s="109"/>
      <c r="AA199" s="109"/>
      <c r="AB199" s="109"/>
      <c r="AC199" s="109"/>
      <c r="AD199" s="109"/>
      <c r="AE199" s="109"/>
      <c r="AF199" s="109"/>
      <c r="AG199" s="109"/>
      <c r="AH199" s="109"/>
      <c r="AI199" s="109"/>
      <c r="AJ199" s="109"/>
      <c r="AK199" s="109"/>
      <c r="AL199" s="109"/>
      <c r="AM199" s="109"/>
      <c r="AN199" s="109"/>
      <c r="AO199" s="109"/>
      <c r="AP199" s="109"/>
      <c r="AQ199" s="109"/>
      <c r="AR199" s="109"/>
      <c r="AS199" s="109"/>
      <c r="AT199" s="109"/>
      <c r="AU199" s="109"/>
      <c r="AV199" s="109"/>
      <c r="AW199" s="109"/>
      <c r="AX199" s="109"/>
      <c r="AY199" s="109"/>
      <c r="AZ199" s="109"/>
      <c r="BA199" s="109"/>
      <c r="BB199" s="109"/>
      <c r="BC199" s="109"/>
      <c r="BD199" s="109"/>
      <c r="BE199" s="109"/>
      <c r="BF199" s="109"/>
      <c r="BG199" s="109"/>
      <c r="BH199" s="109"/>
      <c r="BI199" s="109"/>
      <c r="BJ199" s="109"/>
      <c r="BK199" s="109"/>
      <c r="BL199" s="109"/>
      <c r="BM199" s="109"/>
      <c r="BN199" s="109"/>
      <c r="BO199" s="109"/>
      <c r="BP199" s="109"/>
      <c r="BQ199" s="109"/>
    </row>
    <row r="200" spans="3:69" ht="13.5">
      <c r="I200" s="220" t="s">
        <v>48</v>
      </c>
      <c r="J200" s="220" t="s">
        <v>1396</v>
      </c>
      <c r="K200" s="100">
        <v>10</v>
      </c>
      <c r="L200" s="100">
        <v>5</v>
      </c>
      <c r="M200" s="100">
        <v>13</v>
      </c>
      <c r="N200" s="101"/>
      <c r="O200" s="101"/>
      <c r="P200" s="101"/>
      <c r="Q200" s="101"/>
      <c r="R200" s="101"/>
      <c r="S200" s="101"/>
      <c r="T200" s="94" t="s">
        <v>209</v>
      </c>
      <c r="U200" s="100" t="s">
        <v>1630</v>
      </c>
      <c r="V200" s="99">
        <v>10</v>
      </c>
      <c r="W200" s="101"/>
      <c r="X200" s="101"/>
      <c r="Y200" s="101"/>
      <c r="Z200" s="101"/>
      <c r="AA200" s="101"/>
      <c r="AB200" s="101"/>
      <c r="AC200" s="101"/>
      <c r="AD200" s="101"/>
      <c r="AE200" s="101"/>
      <c r="AF200" s="100">
        <v>6</v>
      </c>
      <c r="AG200" s="100" t="e">
        <f>VLOOKUP(AF200,Tbl_Blower_Volt,2,FALSE)</f>
        <v>#NAME?</v>
      </c>
      <c r="AH200" s="101"/>
      <c r="AI200" s="101"/>
      <c r="AJ200" s="101"/>
      <c r="AK200" s="101"/>
      <c r="AL200" s="101"/>
      <c r="AM200" s="101"/>
      <c r="AN200" s="101"/>
      <c r="AO200" s="101"/>
      <c r="AP200" s="101"/>
      <c r="AQ200" s="100" t="s">
        <v>50</v>
      </c>
      <c r="AR200" s="100" t="s">
        <v>50</v>
      </c>
      <c r="AS200" s="101"/>
      <c r="AT200" s="101"/>
      <c r="AU200" s="101"/>
      <c r="AV200" s="101"/>
      <c r="AW200" s="101"/>
      <c r="AX200" s="101"/>
      <c r="AY200" s="101"/>
      <c r="AZ200" s="101"/>
      <c r="BA200" s="101"/>
      <c r="BB200" s="101"/>
      <c r="BC200" s="101"/>
      <c r="BD200" s="101"/>
      <c r="BE200" s="101"/>
      <c r="BF200" s="101"/>
      <c r="BG200" s="101"/>
      <c r="BH200" s="101"/>
      <c r="BI200" s="101"/>
      <c r="BJ200" s="101"/>
      <c r="BK200" s="101"/>
      <c r="BL200" s="101"/>
      <c r="BM200" s="101"/>
      <c r="BN200" s="101"/>
      <c r="BO200" s="101"/>
      <c r="BP200" s="101"/>
      <c r="BQ200" s="101"/>
    </row>
    <row r="201" spans="3:69">
      <c r="I201" s="220" t="s">
        <v>901</v>
      </c>
      <c r="J201" s="220" t="s">
        <v>1397</v>
      </c>
      <c r="K201" s="221">
        <f t="shared" ref="K201:M202" si="118">K200</f>
        <v>10</v>
      </c>
      <c r="L201" s="221">
        <f t="shared" si="118"/>
        <v>5</v>
      </c>
      <c r="M201" s="221">
        <f t="shared" si="118"/>
        <v>13</v>
      </c>
      <c r="N201" s="101"/>
      <c r="O201" s="101"/>
      <c r="P201" s="101"/>
      <c r="Q201" s="101"/>
      <c r="R201" s="101"/>
      <c r="S201" s="101"/>
      <c r="T201" s="111" t="e">
        <f>VS_VehSpd_Kmh</f>
        <v>#NAME?</v>
      </c>
      <c r="U201" s="100">
        <v>255</v>
      </c>
      <c r="V201" s="99">
        <v>5</v>
      </c>
      <c r="W201" s="101"/>
      <c r="X201" s="101"/>
      <c r="Y201" s="101"/>
      <c r="Z201" s="101"/>
      <c r="AA201" s="101"/>
      <c r="AB201" s="101"/>
      <c r="AC201" s="101"/>
      <c r="AD201" s="101"/>
      <c r="AE201" s="101"/>
      <c r="AF201" s="100">
        <v>6</v>
      </c>
      <c r="AG201" s="226" t="e">
        <f>(VLOOKUP(AF201,Tbl_Blower_Volt,2,FALSE))*(100-AH201)/100</f>
        <v>#NAME?</v>
      </c>
      <c r="AH201" s="226">
        <v>0</v>
      </c>
      <c r="AI201" s="101"/>
      <c r="AJ201" s="101"/>
      <c r="AK201" s="101"/>
      <c r="AL201" s="101"/>
      <c r="AM201" s="101"/>
      <c r="AN201" s="101"/>
      <c r="AO201" s="101"/>
      <c r="AP201" s="101"/>
      <c r="AQ201" s="100" t="s">
        <v>50</v>
      </c>
      <c r="AR201" s="100" t="s">
        <v>50</v>
      </c>
      <c r="AS201" s="101"/>
      <c r="AT201" s="101"/>
      <c r="AU201" s="101"/>
      <c r="AV201" s="101"/>
      <c r="AW201" s="101"/>
      <c r="AX201" s="101"/>
      <c r="AY201" s="101"/>
      <c r="AZ201" s="101"/>
      <c r="BA201" s="101"/>
      <c r="BB201" s="101"/>
      <c r="BC201" s="101"/>
      <c r="BD201" s="101"/>
      <c r="BE201" s="101"/>
      <c r="BF201" s="101"/>
      <c r="BG201" s="101"/>
      <c r="BH201" s="101"/>
      <c r="BI201" s="101"/>
      <c r="BJ201" s="101"/>
      <c r="BK201" s="101"/>
      <c r="BL201" s="101"/>
      <c r="BM201" s="101"/>
      <c r="BN201" s="101"/>
      <c r="BO201" s="101"/>
      <c r="BP201" s="101"/>
      <c r="BQ201" s="101"/>
    </row>
    <row r="202" spans="3:69">
      <c r="I202" s="220" t="s">
        <v>901</v>
      </c>
      <c r="J202" s="220" t="s">
        <v>1398</v>
      </c>
      <c r="K202" s="221">
        <f t="shared" si="118"/>
        <v>10</v>
      </c>
      <c r="L202" s="221">
        <f t="shared" si="118"/>
        <v>5</v>
      </c>
      <c r="M202" s="221">
        <f t="shared" si="118"/>
        <v>13</v>
      </c>
      <c r="N202" s="101"/>
      <c r="O202" s="101"/>
      <c r="P202" s="101"/>
      <c r="Q202" s="101"/>
      <c r="R202" s="101"/>
      <c r="S202" s="101"/>
      <c r="T202" s="111" t="s">
        <v>1399</v>
      </c>
      <c r="U202" s="99">
        <v>1</v>
      </c>
      <c r="V202" s="99">
        <v>5</v>
      </c>
      <c r="W202" s="101"/>
      <c r="X202" s="101"/>
      <c r="Y202" s="101"/>
      <c r="Z202" s="101"/>
      <c r="AA202" s="101"/>
      <c r="AB202" s="101"/>
      <c r="AC202" s="101"/>
      <c r="AD202" s="101"/>
      <c r="AE202" s="101"/>
      <c r="AF202" s="100">
        <v>6</v>
      </c>
      <c r="AG202" s="100" t="e">
        <f>VLOOKUP(AF202,Tbl_Blower_Volt,2,FALSE)</f>
        <v>#NAME?</v>
      </c>
      <c r="AH202" s="101"/>
      <c r="AI202" s="101"/>
      <c r="AJ202" s="101"/>
      <c r="AK202" s="101"/>
      <c r="AL202" s="101"/>
      <c r="AM202" s="101"/>
      <c r="AN202" s="101"/>
      <c r="AO202" s="101"/>
      <c r="AP202" s="101"/>
      <c r="AQ202" s="100" t="s">
        <v>51</v>
      </c>
      <c r="AR202" s="100" t="s">
        <v>51</v>
      </c>
      <c r="AS202" s="101"/>
      <c r="AT202" s="101"/>
      <c r="AU202" s="101"/>
      <c r="AV202" s="101"/>
      <c r="AW202" s="101"/>
      <c r="AX202" s="101"/>
      <c r="AY202" s="101"/>
      <c r="AZ202" s="101"/>
      <c r="BA202" s="101"/>
      <c r="BB202" s="101"/>
      <c r="BC202" s="101"/>
      <c r="BD202" s="101"/>
      <c r="BE202" s="101"/>
      <c r="BF202" s="101"/>
      <c r="BG202" s="101"/>
      <c r="BH202" s="101"/>
      <c r="BI202" s="101"/>
      <c r="BJ202" s="101"/>
      <c r="BK202" s="101"/>
      <c r="BL202" s="101"/>
      <c r="BM202" s="101"/>
      <c r="BN202" s="101"/>
      <c r="BO202" s="101"/>
      <c r="BP202" s="101"/>
      <c r="BQ202" s="101"/>
    </row>
    <row r="203" spans="3:69">
      <c r="I203" s="255">
        <f>COUNTIF(I204:I211,"&lt;&gt;TS")</f>
        <v>6</v>
      </c>
      <c r="J203" s="106" t="s">
        <v>547</v>
      </c>
      <c r="K203" s="106" t="s">
        <v>808</v>
      </c>
      <c r="L203" s="106"/>
      <c r="M203" s="106"/>
      <c r="N203" s="106"/>
      <c r="O203" s="106"/>
      <c r="P203" s="106"/>
      <c r="Q203" s="106"/>
      <c r="R203" s="106"/>
      <c r="S203" s="106"/>
      <c r="T203" s="106"/>
      <c r="U203" s="107"/>
      <c r="V203" s="107"/>
      <c r="W203" s="106"/>
      <c r="X203" s="106"/>
      <c r="Y203" s="106"/>
      <c r="Z203" s="106"/>
      <c r="AA203" s="106"/>
      <c r="AB203" s="106"/>
      <c r="AC203" s="106"/>
      <c r="AD203" s="106"/>
      <c r="AE203" s="106"/>
      <c r="AF203" s="106"/>
      <c r="AG203" s="106"/>
      <c r="AH203" s="106"/>
      <c r="AI203" s="106"/>
      <c r="AJ203" s="106"/>
      <c r="AK203" s="106"/>
      <c r="AL203" s="106"/>
      <c r="AM203" s="106"/>
      <c r="AN203" s="106"/>
      <c r="AO203" s="106"/>
      <c r="AP203" s="106"/>
      <c r="AQ203" s="106"/>
      <c r="AR203" s="106"/>
      <c r="AS203" s="106"/>
      <c r="AT203" s="106"/>
      <c r="AU203" s="106"/>
      <c r="AV203" s="106"/>
      <c r="AW203" s="106"/>
      <c r="AX203" s="106"/>
      <c r="AY203" s="106"/>
      <c r="AZ203" s="106"/>
      <c r="BA203" s="106"/>
      <c r="BB203" s="106"/>
      <c r="BC203" s="106"/>
      <c r="BD203" s="106"/>
      <c r="BE203" s="106"/>
      <c r="BF203" s="106"/>
      <c r="BG203" s="106"/>
      <c r="BH203" s="106"/>
      <c r="BI203" s="106"/>
      <c r="BJ203" s="106"/>
      <c r="BK203" s="106"/>
      <c r="BL203" s="106"/>
      <c r="BM203" s="106"/>
      <c r="BN203" s="106"/>
      <c r="BO203" s="106"/>
      <c r="BP203" s="106"/>
      <c r="BQ203" s="106"/>
    </row>
    <row r="204" spans="3:69">
      <c r="C204" s="4"/>
      <c r="I204" s="108" t="s">
        <v>7</v>
      </c>
      <c r="J204" s="108" t="s">
        <v>899</v>
      </c>
      <c r="K204" s="109" t="s">
        <v>1652</v>
      </c>
      <c r="L204" s="109"/>
      <c r="M204" s="109"/>
      <c r="N204" s="109"/>
      <c r="O204" s="109"/>
      <c r="P204" s="109"/>
      <c r="Q204" s="109"/>
      <c r="R204" s="109"/>
      <c r="S204" s="109"/>
      <c r="T204" s="109"/>
      <c r="U204" s="110"/>
      <c r="V204" s="110"/>
      <c r="W204" s="109"/>
      <c r="X204" s="109"/>
      <c r="Y204" s="109"/>
      <c r="Z204" s="109"/>
      <c r="AA204" s="109"/>
      <c r="AB204" s="109"/>
      <c r="AC204" s="109"/>
      <c r="AD204" s="109"/>
      <c r="AE204" s="109"/>
      <c r="AF204" s="109"/>
      <c r="AG204" s="109"/>
      <c r="AH204" s="109"/>
      <c r="AI204" s="109"/>
      <c r="AJ204" s="109"/>
      <c r="AK204" s="109"/>
      <c r="AL204" s="109"/>
      <c r="AM204" s="109"/>
      <c r="AN204" s="109"/>
      <c r="AO204" s="109"/>
      <c r="AP204" s="109"/>
      <c r="AQ204" s="109"/>
      <c r="AR204" s="109"/>
      <c r="AS204" s="109"/>
      <c r="AT204" s="109"/>
      <c r="AU204" s="109"/>
      <c r="AV204" s="109"/>
      <c r="AW204" s="109"/>
      <c r="AX204" s="109"/>
      <c r="AY204" s="109"/>
      <c r="AZ204" s="109"/>
      <c r="BA204" s="109"/>
      <c r="BB204" s="109"/>
      <c r="BC204" s="109"/>
      <c r="BD204" s="109"/>
      <c r="BE204" s="109"/>
      <c r="BF204" s="109"/>
      <c r="BG204" s="109"/>
      <c r="BH204" s="109"/>
      <c r="BI204" s="109"/>
      <c r="BJ204" s="109"/>
      <c r="BK204" s="109"/>
      <c r="BL204" s="109"/>
      <c r="BM204" s="109"/>
      <c r="BN204" s="109"/>
      <c r="BO204" s="109"/>
      <c r="BP204" s="109"/>
      <c r="BQ204" s="109"/>
    </row>
    <row r="205" spans="3:69" ht="13.5">
      <c r="I205" s="220" t="s">
        <v>48</v>
      </c>
      <c r="J205" s="220" t="s">
        <v>900</v>
      </c>
      <c r="K205" s="100">
        <v>45</v>
      </c>
      <c r="L205" s="100">
        <v>-10</v>
      </c>
      <c r="M205" s="100">
        <v>13</v>
      </c>
      <c r="N205" s="100">
        <v>35</v>
      </c>
      <c r="O205" s="101"/>
      <c r="P205" s="101"/>
      <c r="Q205" s="101"/>
      <c r="R205" s="101"/>
      <c r="S205" s="101"/>
      <c r="T205" s="94" t="s">
        <v>209</v>
      </c>
      <c r="U205" s="100" t="s">
        <v>1629</v>
      </c>
      <c r="V205" s="99">
        <v>10</v>
      </c>
      <c r="W205" s="101"/>
      <c r="X205" s="101"/>
      <c r="Y205" s="101"/>
      <c r="Z205" s="101"/>
      <c r="AA205" s="101"/>
      <c r="AB205" s="101"/>
      <c r="AC205" s="101"/>
      <c r="AD205" s="101"/>
      <c r="AE205" s="101"/>
      <c r="AF205" s="100">
        <v>5</v>
      </c>
      <c r="AG205" s="100">
        <v>5</v>
      </c>
      <c r="AH205" s="101"/>
      <c r="AI205" s="100" t="e">
        <f>const_Tset_max_1</f>
        <v>#NAME?</v>
      </c>
      <c r="AJ205" s="101"/>
      <c r="AK205" s="101"/>
      <c r="AL205" s="101"/>
      <c r="AM205" s="101"/>
      <c r="AN205" s="101"/>
      <c r="AO205" s="101"/>
      <c r="AP205" s="101"/>
      <c r="AQ205" s="100" t="s">
        <v>50</v>
      </c>
      <c r="AR205" s="100" t="s">
        <v>50</v>
      </c>
      <c r="AS205" s="101"/>
      <c r="AT205" s="101"/>
      <c r="AU205" s="101"/>
      <c r="AV205" s="101"/>
      <c r="AW205" s="101"/>
      <c r="AX205" s="101"/>
      <c r="AY205" s="101"/>
      <c r="AZ205" s="101"/>
      <c r="BA205" s="101"/>
      <c r="BB205" s="101"/>
      <c r="BC205" s="101"/>
      <c r="BD205" s="101"/>
      <c r="BE205" s="101"/>
      <c r="BF205" s="101"/>
      <c r="BG205" s="101"/>
      <c r="BH205" s="101"/>
      <c r="BI205" s="101"/>
      <c r="BJ205" s="101"/>
      <c r="BK205" s="101"/>
      <c r="BL205" s="101"/>
      <c r="BM205" s="101"/>
      <c r="BN205" s="101"/>
      <c r="BO205" s="101"/>
      <c r="BP205" s="101"/>
      <c r="BQ205" s="101"/>
    </row>
    <row r="206" spans="3:69">
      <c r="I206" s="220" t="s">
        <v>901</v>
      </c>
      <c r="J206" s="220" t="s">
        <v>902</v>
      </c>
      <c r="K206" s="221">
        <f t="shared" ref="K206:M207" si="119">K205</f>
        <v>45</v>
      </c>
      <c r="L206" s="221">
        <f t="shared" si="119"/>
        <v>-10</v>
      </c>
      <c r="M206" s="221">
        <f t="shared" si="119"/>
        <v>13</v>
      </c>
      <c r="N206" s="221">
        <f t="shared" ref="N206" si="120">N205</f>
        <v>35</v>
      </c>
      <c r="O206" s="101"/>
      <c r="P206" s="101"/>
      <c r="Q206" s="101"/>
      <c r="R206" s="101"/>
      <c r="S206" s="101"/>
      <c r="T206" s="111" t="s">
        <v>835</v>
      </c>
      <c r="U206" s="99">
        <v>1</v>
      </c>
      <c r="V206" s="99">
        <v>5</v>
      </c>
      <c r="W206" s="101"/>
      <c r="X206" s="101"/>
      <c r="Y206" s="101"/>
      <c r="Z206" s="101"/>
      <c r="AA206" s="101"/>
      <c r="AB206" s="101"/>
      <c r="AC206" s="101"/>
      <c r="AD206" s="101"/>
      <c r="AE206" s="101"/>
      <c r="AF206" s="100">
        <v>6</v>
      </c>
      <c r="AG206" s="100">
        <v>6</v>
      </c>
      <c r="AH206" s="101"/>
      <c r="AI206" s="100" t="e">
        <f>const_Tset_max_1</f>
        <v>#NAME?</v>
      </c>
      <c r="AJ206" s="101"/>
      <c r="AK206" s="101"/>
      <c r="AL206" s="101"/>
      <c r="AM206" s="101"/>
      <c r="AN206" s="101"/>
      <c r="AO206" s="101"/>
      <c r="AP206" s="101"/>
      <c r="AQ206" s="100" t="s">
        <v>50</v>
      </c>
      <c r="AR206" s="100" t="s">
        <v>903</v>
      </c>
      <c r="AS206" s="101"/>
      <c r="AT206" s="101"/>
      <c r="AU206" s="101"/>
      <c r="AV206" s="101"/>
      <c r="AW206" s="101"/>
      <c r="AX206" s="101"/>
      <c r="AY206" s="101"/>
      <c r="AZ206" s="101"/>
      <c r="BA206" s="101"/>
      <c r="BB206" s="101"/>
      <c r="BC206" s="101"/>
      <c r="BD206" s="101"/>
      <c r="BE206" s="101"/>
      <c r="BF206" s="101"/>
      <c r="BG206" s="101"/>
      <c r="BH206" s="101"/>
      <c r="BI206" s="101"/>
      <c r="BJ206" s="101"/>
      <c r="BK206" s="101"/>
      <c r="BL206" s="101"/>
      <c r="BM206" s="101"/>
      <c r="BN206" s="101"/>
      <c r="BO206" s="101"/>
      <c r="BP206" s="101"/>
      <c r="BQ206" s="101"/>
    </row>
    <row r="207" spans="3:69">
      <c r="I207" s="220" t="s">
        <v>901</v>
      </c>
      <c r="J207" s="220" t="s">
        <v>1347</v>
      </c>
      <c r="K207" s="221">
        <f t="shared" si="119"/>
        <v>45</v>
      </c>
      <c r="L207" s="221">
        <f t="shared" si="119"/>
        <v>-10</v>
      </c>
      <c r="M207" s="221">
        <f t="shared" si="119"/>
        <v>13</v>
      </c>
      <c r="N207" s="221">
        <f t="shared" ref="N207" si="121">N206</f>
        <v>35</v>
      </c>
      <c r="O207" s="101"/>
      <c r="P207" s="101"/>
      <c r="Q207" s="101"/>
      <c r="R207" s="101"/>
      <c r="S207" s="101"/>
      <c r="T207" s="111" t="s">
        <v>245</v>
      </c>
      <c r="U207" s="99">
        <v>1</v>
      </c>
      <c r="V207" s="99">
        <v>5</v>
      </c>
      <c r="W207" s="101"/>
      <c r="X207" s="101"/>
      <c r="Y207" s="101"/>
      <c r="Z207" s="101"/>
      <c r="AA207" s="101"/>
      <c r="AB207" s="101"/>
      <c r="AC207" s="101"/>
      <c r="AD207" s="101"/>
      <c r="AE207" s="101"/>
      <c r="AF207" s="100">
        <v>5</v>
      </c>
      <c r="AG207" s="100">
        <v>5</v>
      </c>
      <c r="AH207" s="101"/>
      <c r="AI207" s="100" t="e">
        <f>const_Tset_max_1</f>
        <v>#NAME?</v>
      </c>
      <c r="AJ207" s="101"/>
      <c r="AK207" s="101"/>
      <c r="AL207" s="101"/>
      <c r="AM207" s="101"/>
      <c r="AN207" s="101"/>
      <c r="AO207" s="101"/>
      <c r="AP207" s="101"/>
      <c r="AQ207" s="100" t="s">
        <v>50</v>
      </c>
      <c r="AR207" s="100" t="s">
        <v>50</v>
      </c>
      <c r="AS207" s="101"/>
      <c r="AT207" s="101"/>
      <c r="AU207" s="101"/>
      <c r="AV207" s="101"/>
      <c r="AW207" s="101"/>
      <c r="AX207" s="101"/>
      <c r="AY207" s="101"/>
      <c r="AZ207" s="101"/>
      <c r="BA207" s="101"/>
      <c r="BB207" s="101"/>
      <c r="BC207" s="101"/>
      <c r="BD207" s="101"/>
      <c r="BE207" s="101"/>
      <c r="BF207" s="101"/>
      <c r="BG207" s="101"/>
      <c r="BH207" s="101"/>
      <c r="BI207" s="101"/>
      <c r="BJ207" s="101"/>
      <c r="BK207" s="101"/>
      <c r="BL207" s="101"/>
      <c r="BM207" s="101"/>
      <c r="BN207" s="101"/>
      <c r="BO207" s="101"/>
      <c r="BP207" s="101"/>
      <c r="BQ207" s="101"/>
    </row>
    <row r="208" spans="3:69">
      <c r="C208" s="4"/>
      <c r="I208" s="108" t="s">
        <v>7</v>
      </c>
      <c r="J208" s="108" t="s">
        <v>904</v>
      </c>
      <c r="K208" s="109" t="s">
        <v>1653</v>
      </c>
      <c r="L208" s="109"/>
      <c r="M208" s="109"/>
      <c r="N208" s="109"/>
      <c r="O208" s="109"/>
      <c r="P208" s="109"/>
      <c r="Q208" s="109"/>
      <c r="R208" s="109"/>
      <c r="S208" s="109"/>
      <c r="T208" s="109"/>
      <c r="U208" s="110"/>
      <c r="V208" s="110"/>
      <c r="W208" s="109"/>
      <c r="X208" s="109"/>
      <c r="Y208" s="109"/>
      <c r="Z208" s="109"/>
      <c r="AA208" s="109"/>
      <c r="AB208" s="109"/>
      <c r="AC208" s="109"/>
      <c r="AD208" s="109"/>
      <c r="AE208" s="109"/>
      <c r="AF208" s="109"/>
      <c r="AG208" s="109"/>
      <c r="AH208" s="109"/>
      <c r="AI208" s="109"/>
      <c r="AJ208" s="109"/>
      <c r="AK208" s="109"/>
      <c r="AL208" s="109"/>
      <c r="AM208" s="109"/>
      <c r="AN208" s="109"/>
      <c r="AO208" s="109"/>
      <c r="AP208" s="109"/>
      <c r="AQ208" s="109"/>
      <c r="AR208" s="109"/>
      <c r="AS208" s="109"/>
      <c r="AT208" s="109"/>
      <c r="AU208" s="109"/>
      <c r="AV208" s="109"/>
      <c r="AW208" s="109"/>
      <c r="AX208" s="109"/>
      <c r="AY208" s="109"/>
      <c r="AZ208" s="109"/>
      <c r="BA208" s="109"/>
      <c r="BB208" s="109"/>
      <c r="BC208" s="109"/>
      <c r="BD208" s="109"/>
      <c r="BE208" s="109"/>
      <c r="BF208" s="109"/>
      <c r="BG208" s="109"/>
      <c r="BH208" s="109"/>
      <c r="BI208" s="109"/>
      <c r="BJ208" s="109"/>
      <c r="BK208" s="109"/>
      <c r="BL208" s="109"/>
      <c r="BM208" s="109"/>
      <c r="BN208" s="109"/>
      <c r="BO208" s="109"/>
      <c r="BP208" s="109"/>
      <c r="BQ208" s="109"/>
    </row>
    <row r="209" spans="9:69">
      <c r="I209" s="220" t="s">
        <v>48</v>
      </c>
      <c r="J209" s="220" t="s">
        <v>905</v>
      </c>
      <c r="K209" s="100">
        <v>30</v>
      </c>
      <c r="L209" s="100">
        <v>35</v>
      </c>
      <c r="M209" s="100">
        <v>13</v>
      </c>
      <c r="N209" s="100">
        <v>80.25</v>
      </c>
      <c r="O209" s="101"/>
      <c r="P209" s="101"/>
      <c r="Q209" s="101"/>
      <c r="R209" s="101"/>
      <c r="S209" s="101"/>
      <c r="T209" s="94" t="s">
        <v>209</v>
      </c>
      <c r="U209" s="100" t="e">
        <f>IF(FLAG_Country&lt;&gt;"USA","설정 온도 22 degC, Blower=4단 수동 설정","설정 온도 72 degF, Blower=4단 수동 설정")</f>
        <v>#NAME?</v>
      </c>
      <c r="V209" s="99">
        <v>10</v>
      </c>
      <c r="W209" s="101"/>
      <c r="X209" s="101"/>
      <c r="Y209" s="101"/>
      <c r="Z209" s="101"/>
      <c r="AA209" s="101"/>
      <c r="AB209" s="101"/>
      <c r="AC209" s="101"/>
      <c r="AD209" s="101"/>
      <c r="AE209" s="101"/>
      <c r="AF209" s="100">
        <v>4</v>
      </c>
      <c r="AG209" s="100">
        <v>4</v>
      </c>
      <c r="AH209" s="101"/>
      <c r="AI209" s="101"/>
      <c r="AJ209" s="101"/>
      <c r="AK209" s="101"/>
      <c r="AL209" s="101"/>
      <c r="AM209" s="101"/>
      <c r="AN209" s="101"/>
      <c r="AO209" s="101"/>
      <c r="AP209" s="101"/>
      <c r="AQ209" s="100" t="s">
        <v>50</v>
      </c>
      <c r="AR209" s="100" t="s">
        <v>50</v>
      </c>
      <c r="AS209" s="101"/>
      <c r="AT209" s="101"/>
      <c r="AU209" s="101"/>
      <c r="AV209" s="101"/>
      <c r="AW209" s="101"/>
      <c r="AX209" s="101"/>
      <c r="AY209" s="101"/>
      <c r="AZ209" s="101"/>
      <c r="BA209" s="101"/>
      <c r="BB209" s="101"/>
      <c r="BC209" s="101"/>
      <c r="BD209" s="101"/>
      <c r="BE209" s="101"/>
      <c r="BF209" s="101"/>
      <c r="BG209" s="101"/>
      <c r="BH209" s="101"/>
      <c r="BI209" s="101"/>
      <c r="BJ209" s="101"/>
      <c r="BK209" s="101"/>
      <c r="BL209" s="101"/>
      <c r="BM209" s="101"/>
      <c r="BN209" s="101"/>
      <c r="BO209" s="101"/>
      <c r="BP209" s="101"/>
      <c r="BQ209" s="101"/>
    </row>
    <row r="210" spans="9:69">
      <c r="I210" s="220" t="s">
        <v>901</v>
      </c>
      <c r="J210" s="220" t="s">
        <v>906</v>
      </c>
      <c r="K210" s="221">
        <f t="shared" ref="K210:N211" si="122">K209</f>
        <v>30</v>
      </c>
      <c r="L210" s="221">
        <f t="shared" si="122"/>
        <v>35</v>
      </c>
      <c r="M210" s="221">
        <f t="shared" si="122"/>
        <v>13</v>
      </c>
      <c r="N210" s="221">
        <f t="shared" si="122"/>
        <v>80.25</v>
      </c>
      <c r="O210" s="101"/>
      <c r="P210" s="101"/>
      <c r="Q210" s="101"/>
      <c r="R210" s="101"/>
      <c r="S210" s="101"/>
      <c r="T210" s="111" t="s">
        <v>835</v>
      </c>
      <c r="U210" s="99">
        <v>1</v>
      </c>
      <c r="V210" s="99">
        <v>5</v>
      </c>
      <c r="W210" s="101"/>
      <c r="X210" s="101"/>
      <c r="Y210" s="101"/>
      <c r="Z210" s="101"/>
      <c r="AA210" s="101"/>
      <c r="AB210" s="101"/>
      <c r="AC210" s="101"/>
      <c r="AD210" s="101"/>
      <c r="AE210" s="101"/>
      <c r="AF210" s="100">
        <v>5</v>
      </c>
      <c r="AG210" s="100">
        <v>5</v>
      </c>
      <c r="AH210" s="101"/>
      <c r="AI210" s="101"/>
      <c r="AJ210" s="101"/>
      <c r="AK210" s="101"/>
      <c r="AL210" s="101"/>
      <c r="AM210" s="101"/>
      <c r="AN210" s="101"/>
      <c r="AO210" s="101"/>
      <c r="AP210" s="101"/>
      <c r="AQ210" s="100" t="s">
        <v>50</v>
      </c>
      <c r="AR210" s="100" t="s">
        <v>903</v>
      </c>
      <c r="AS210" s="101"/>
      <c r="AT210" s="101"/>
      <c r="AU210" s="101"/>
      <c r="AV210" s="101"/>
      <c r="AW210" s="101"/>
      <c r="AX210" s="101"/>
      <c r="AY210" s="101"/>
      <c r="AZ210" s="101"/>
      <c r="BA210" s="101"/>
      <c r="BB210" s="101"/>
      <c r="BC210" s="101"/>
      <c r="BD210" s="101"/>
      <c r="BE210" s="101"/>
      <c r="BF210" s="101"/>
      <c r="BG210" s="101"/>
      <c r="BH210" s="101"/>
      <c r="BI210" s="101"/>
      <c r="BJ210" s="101"/>
      <c r="BK210" s="101"/>
      <c r="BL210" s="101"/>
      <c r="BM210" s="101"/>
      <c r="BN210" s="101"/>
      <c r="BO210" s="101"/>
      <c r="BP210" s="101"/>
      <c r="BQ210" s="101"/>
    </row>
    <row r="211" spans="9:69">
      <c r="I211" s="220" t="s">
        <v>901</v>
      </c>
      <c r="J211" s="220" t="s">
        <v>907</v>
      </c>
      <c r="K211" s="221">
        <f t="shared" si="122"/>
        <v>30</v>
      </c>
      <c r="L211" s="221">
        <f t="shared" si="122"/>
        <v>35</v>
      </c>
      <c r="M211" s="221">
        <f t="shared" si="122"/>
        <v>13</v>
      </c>
      <c r="N211" s="221">
        <f t="shared" si="122"/>
        <v>80.25</v>
      </c>
      <c r="O211" s="101"/>
      <c r="P211" s="101"/>
      <c r="Q211" s="101"/>
      <c r="R211" s="101"/>
      <c r="S211" s="101"/>
      <c r="T211" s="111" t="s">
        <v>245</v>
      </c>
      <c r="U211" s="99">
        <v>1</v>
      </c>
      <c r="V211" s="99">
        <v>5</v>
      </c>
      <c r="W211" s="101"/>
      <c r="X211" s="101"/>
      <c r="Y211" s="101"/>
      <c r="Z211" s="101"/>
      <c r="AA211" s="101"/>
      <c r="AB211" s="101"/>
      <c r="AC211" s="101"/>
      <c r="AD211" s="101"/>
      <c r="AE211" s="101"/>
      <c r="AF211" s="100">
        <v>4</v>
      </c>
      <c r="AG211" s="100">
        <v>4</v>
      </c>
      <c r="AH211" s="101"/>
      <c r="AI211" s="101"/>
      <c r="AJ211" s="101"/>
      <c r="AK211" s="101"/>
      <c r="AL211" s="101"/>
      <c r="AM211" s="101"/>
      <c r="AN211" s="101"/>
      <c r="AO211" s="101"/>
      <c r="AP211" s="101"/>
      <c r="AQ211" s="100" t="s">
        <v>50</v>
      </c>
      <c r="AR211" s="100" t="s">
        <v>50</v>
      </c>
      <c r="AS211" s="101"/>
      <c r="AT211" s="101"/>
      <c r="AU211" s="101"/>
      <c r="AV211" s="101"/>
      <c r="AW211" s="101"/>
      <c r="AX211" s="101"/>
      <c r="AY211" s="101"/>
      <c r="AZ211" s="101"/>
      <c r="BA211" s="101"/>
      <c r="BB211" s="101"/>
      <c r="BC211" s="101"/>
      <c r="BD211" s="101"/>
      <c r="BE211" s="101"/>
      <c r="BF211" s="101"/>
      <c r="BG211" s="101"/>
      <c r="BH211" s="101"/>
      <c r="BI211" s="101"/>
      <c r="BJ211" s="101"/>
      <c r="BK211" s="101"/>
      <c r="BL211" s="101"/>
      <c r="BM211" s="101"/>
      <c r="BN211" s="101"/>
      <c r="BO211" s="101"/>
      <c r="BP211" s="101"/>
      <c r="BQ211" s="101"/>
    </row>
    <row r="212" spans="9:69">
      <c r="I212" s="255">
        <f>COUNTIF(I213:I220,"&lt;&gt;TS")</f>
        <v>6</v>
      </c>
      <c r="J212" s="106" t="s">
        <v>548</v>
      </c>
      <c r="K212" s="106" t="s">
        <v>1394</v>
      </c>
      <c r="L212" s="106"/>
      <c r="M212" s="106"/>
      <c r="N212" s="106"/>
      <c r="O212" s="106"/>
      <c r="P212" s="106"/>
      <c r="Q212" s="106"/>
      <c r="R212" s="106"/>
      <c r="S212" s="106"/>
      <c r="T212" s="106"/>
      <c r="U212" s="107"/>
      <c r="V212" s="107"/>
      <c r="W212" s="106"/>
      <c r="X212" s="106"/>
      <c r="Y212" s="106"/>
      <c r="Z212" s="106"/>
      <c r="AA212" s="106"/>
      <c r="AB212" s="106"/>
      <c r="AC212" s="106"/>
      <c r="AD212" s="106"/>
      <c r="AE212" s="106"/>
      <c r="AF212" s="106"/>
      <c r="AG212" s="106"/>
      <c r="AH212" s="106"/>
      <c r="AI212" s="106"/>
      <c r="AJ212" s="106"/>
      <c r="AK212" s="106"/>
      <c r="AL212" s="106"/>
      <c r="AM212" s="106"/>
      <c r="AN212" s="106"/>
      <c r="AO212" s="106"/>
      <c r="AP212" s="106"/>
      <c r="AQ212" s="106"/>
      <c r="AR212" s="106"/>
      <c r="AS212" s="106"/>
      <c r="AT212" s="106"/>
      <c r="AU212" s="106"/>
      <c r="AV212" s="106"/>
      <c r="AW212" s="106"/>
      <c r="AX212" s="106"/>
      <c r="AY212" s="106"/>
      <c r="AZ212" s="106"/>
      <c r="BA212" s="106"/>
      <c r="BB212" s="106"/>
      <c r="BC212" s="106"/>
      <c r="BD212" s="106"/>
      <c r="BE212" s="106"/>
      <c r="BF212" s="106"/>
      <c r="BG212" s="106"/>
      <c r="BH212" s="106"/>
      <c r="BI212" s="106"/>
      <c r="BJ212" s="106"/>
      <c r="BK212" s="106"/>
      <c r="BL212" s="106"/>
      <c r="BM212" s="106"/>
      <c r="BN212" s="106"/>
      <c r="BO212" s="106"/>
      <c r="BP212" s="106"/>
      <c r="BQ212" s="106"/>
    </row>
    <row r="213" spans="9:69">
      <c r="I213" s="108" t="s">
        <v>7</v>
      </c>
      <c r="J213" s="108" t="s">
        <v>1214</v>
      </c>
      <c r="K213" s="109" t="s">
        <v>1654</v>
      </c>
      <c r="L213" s="109"/>
      <c r="M213" s="109"/>
      <c r="N213" s="109"/>
      <c r="O213" s="109"/>
      <c r="P213" s="109"/>
      <c r="Q213" s="109"/>
      <c r="R213" s="109"/>
      <c r="S213" s="109"/>
      <c r="T213" s="109"/>
      <c r="U213" s="110"/>
      <c r="V213" s="110"/>
      <c r="W213" s="109"/>
      <c r="X213" s="109"/>
      <c r="Y213" s="109"/>
      <c r="Z213" s="109"/>
      <c r="AA213" s="109"/>
      <c r="AB213" s="109"/>
      <c r="AC213" s="109"/>
      <c r="AD213" s="109"/>
      <c r="AE213" s="109"/>
      <c r="AF213" s="109"/>
      <c r="AG213" s="109"/>
      <c r="AH213" s="109"/>
      <c r="AI213" s="109"/>
      <c r="AJ213" s="109"/>
      <c r="AK213" s="109"/>
      <c r="AL213" s="109"/>
      <c r="AM213" s="109"/>
      <c r="AN213" s="109"/>
      <c r="AO213" s="109"/>
      <c r="AP213" s="109"/>
      <c r="AQ213" s="109"/>
      <c r="AR213" s="109"/>
      <c r="AS213" s="109"/>
      <c r="AT213" s="109"/>
      <c r="AU213" s="109"/>
      <c r="AV213" s="109"/>
      <c r="AW213" s="109"/>
      <c r="AX213" s="109"/>
      <c r="AY213" s="109"/>
      <c r="AZ213" s="109"/>
      <c r="BA213" s="109"/>
      <c r="BB213" s="109"/>
      <c r="BC213" s="109"/>
      <c r="BD213" s="109"/>
      <c r="BE213" s="109"/>
      <c r="BF213" s="109"/>
      <c r="BG213" s="109"/>
      <c r="BH213" s="109"/>
      <c r="BI213" s="109"/>
      <c r="BJ213" s="109"/>
      <c r="BK213" s="109"/>
      <c r="BL213" s="109"/>
      <c r="BM213" s="109"/>
      <c r="BN213" s="109"/>
      <c r="BO213" s="109"/>
      <c r="BP213" s="109"/>
      <c r="BQ213" s="109"/>
    </row>
    <row r="214" spans="9:69" ht="13.5">
      <c r="I214" s="220" t="s">
        <v>48</v>
      </c>
      <c r="J214" s="220" t="s">
        <v>1215</v>
      </c>
      <c r="K214" s="100">
        <v>20</v>
      </c>
      <c r="L214" s="100">
        <v>0</v>
      </c>
      <c r="M214" s="100">
        <v>13</v>
      </c>
      <c r="N214" s="100">
        <v>45</v>
      </c>
      <c r="O214" s="101"/>
      <c r="P214" s="101"/>
      <c r="Q214" s="101"/>
      <c r="R214" s="101"/>
      <c r="S214" s="101"/>
      <c r="T214" s="94" t="s">
        <v>209</v>
      </c>
      <c r="U214" s="100" t="s">
        <v>1628</v>
      </c>
      <c r="V214" s="99">
        <v>10</v>
      </c>
      <c r="W214" s="101"/>
      <c r="X214" s="101"/>
      <c r="Y214" s="101"/>
      <c r="Z214" s="101"/>
      <c r="AA214" s="101"/>
      <c r="AB214" s="101"/>
      <c r="AC214" s="101"/>
      <c r="AD214" s="101"/>
      <c r="AE214" s="101"/>
      <c r="AF214" s="100">
        <v>4</v>
      </c>
      <c r="AG214" s="100">
        <v>4</v>
      </c>
      <c r="AH214" s="101"/>
      <c r="AI214" s="100">
        <v>27</v>
      </c>
      <c r="AJ214" s="101"/>
      <c r="AK214" s="101"/>
      <c r="AL214" s="101"/>
      <c r="AM214" s="101"/>
      <c r="AN214" s="101"/>
      <c r="AO214" s="101"/>
      <c r="AP214" s="101"/>
      <c r="AQ214" s="100" t="s">
        <v>50</v>
      </c>
      <c r="AR214" s="100" t="s">
        <v>50</v>
      </c>
      <c r="AS214" s="101"/>
      <c r="AT214" s="101"/>
      <c r="AU214" s="101"/>
      <c r="AV214" s="100" t="e">
        <f>IF(MAX_HOT="O","Hot",AV213)</f>
        <v>#NAME?</v>
      </c>
      <c r="AW214" s="101"/>
      <c r="AX214" s="101"/>
      <c r="AY214" s="101"/>
      <c r="AZ214" s="101"/>
      <c r="BA214" s="101"/>
      <c r="BB214" s="101"/>
      <c r="BC214" s="101"/>
      <c r="BD214" s="101"/>
      <c r="BE214" s="101"/>
      <c r="BF214" s="101"/>
      <c r="BG214" s="101"/>
      <c r="BH214" s="101"/>
      <c r="BI214" s="101"/>
      <c r="BJ214" s="101"/>
      <c r="BK214" s="101"/>
      <c r="BL214" s="101"/>
      <c r="BM214" s="101"/>
      <c r="BN214" s="101"/>
      <c r="BO214" s="101"/>
      <c r="BP214" s="101"/>
      <c r="BQ214" s="101"/>
    </row>
    <row r="215" spans="9:69">
      <c r="I215" s="220" t="s">
        <v>901</v>
      </c>
      <c r="J215" s="220" t="s">
        <v>1216</v>
      </c>
      <c r="K215" s="221">
        <f t="shared" ref="K215:N216" si="123">K214</f>
        <v>20</v>
      </c>
      <c r="L215" s="221">
        <f t="shared" si="123"/>
        <v>0</v>
      </c>
      <c r="M215" s="221">
        <f t="shared" si="123"/>
        <v>13</v>
      </c>
      <c r="N215" s="221">
        <f t="shared" si="123"/>
        <v>45</v>
      </c>
      <c r="O215" s="101"/>
      <c r="P215" s="101"/>
      <c r="Q215" s="101"/>
      <c r="R215" s="101"/>
      <c r="S215" s="101"/>
      <c r="T215" s="111" t="s">
        <v>835</v>
      </c>
      <c r="U215" s="99">
        <v>1</v>
      </c>
      <c r="V215" s="99">
        <v>10</v>
      </c>
      <c r="W215" s="101"/>
      <c r="X215" s="101"/>
      <c r="Y215" s="101"/>
      <c r="Z215" s="101"/>
      <c r="AA215" s="101"/>
      <c r="AB215" s="101"/>
      <c r="AC215" s="101"/>
      <c r="AD215" s="101"/>
      <c r="AE215" s="101"/>
      <c r="AF215" s="100">
        <v>5</v>
      </c>
      <c r="AG215" s="100">
        <v>5</v>
      </c>
      <c r="AH215" s="101"/>
      <c r="AI215" s="100">
        <v>27</v>
      </c>
      <c r="AJ215" s="101"/>
      <c r="AK215" s="101"/>
      <c r="AL215" s="101"/>
      <c r="AM215" s="101"/>
      <c r="AN215" s="101"/>
      <c r="AO215" s="101"/>
      <c r="AP215" s="101"/>
      <c r="AQ215" s="100" t="s">
        <v>50</v>
      </c>
      <c r="AR215" s="100" t="s">
        <v>50</v>
      </c>
      <c r="AS215" s="101"/>
      <c r="AT215" s="101"/>
      <c r="AU215" s="101"/>
      <c r="AV215" s="100" t="e">
        <f>IF(MAX_HOT="O","Hot",AV214)</f>
        <v>#NAME?</v>
      </c>
      <c r="AW215" s="101"/>
      <c r="AX215" s="101"/>
      <c r="AY215" s="101"/>
      <c r="AZ215" s="101"/>
      <c r="BA215" s="101"/>
      <c r="BB215" s="101"/>
      <c r="BC215" s="101"/>
      <c r="BD215" s="101"/>
      <c r="BE215" s="101"/>
      <c r="BF215" s="101"/>
      <c r="BG215" s="101"/>
      <c r="BH215" s="101"/>
      <c r="BI215" s="101"/>
      <c r="BJ215" s="101"/>
      <c r="BK215" s="101"/>
      <c r="BL215" s="101"/>
      <c r="BM215" s="101"/>
      <c r="BN215" s="101"/>
      <c r="BO215" s="101"/>
      <c r="BP215" s="101"/>
      <c r="BQ215" s="101"/>
    </row>
    <row r="216" spans="9:69" ht="13.5">
      <c r="I216" s="220" t="s">
        <v>901</v>
      </c>
      <c r="J216" s="220" t="s">
        <v>1217</v>
      </c>
      <c r="K216" s="221">
        <f t="shared" si="123"/>
        <v>20</v>
      </c>
      <c r="L216" s="221">
        <f t="shared" si="123"/>
        <v>0</v>
      </c>
      <c r="M216" s="221">
        <f t="shared" si="123"/>
        <v>13</v>
      </c>
      <c r="N216" s="100">
        <v>80.25</v>
      </c>
      <c r="O216" s="101"/>
      <c r="P216" s="101"/>
      <c r="Q216" s="101"/>
      <c r="R216" s="101"/>
      <c r="S216" s="101"/>
      <c r="T216" s="111" t="e">
        <f>EngColTemp</f>
        <v>#NAME?</v>
      </c>
      <c r="U216" s="225">
        <f>N216</f>
        <v>80.25</v>
      </c>
      <c r="V216" s="254" t="s">
        <v>1868</v>
      </c>
      <c r="W216" s="101"/>
      <c r="X216" s="101"/>
      <c r="Y216" s="101"/>
      <c r="Z216" s="101"/>
      <c r="AA216" s="101"/>
      <c r="AB216" s="101"/>
      <c r="AC216" s="101"/>
      <c r="AD216" s="101"/>
      <c r="AE216" s="101"/>
      <c r="AF216" s="100">
        <v>5</v>
      </c>
      <c r="AG216" s="100">
        <v>5</v>
      </c>
      <c r="AH216" s="101"/>
      <c r="AI216" s="100">
        <v>27</v>
      </c>
      <c r="AJ216" s="101"/>
      <c r="AK216" s="101"/>
      <c r="AL216" s="101"/>
      <c r="AM216" s="101"/>
      <c r="AN216" s="101"/>
      <c r="AO216" s="101"/>
      <c r="AP216" s="101"/>
      <c r="AQ216" s="100" t="s">
        <v>50</v>
      </c>
      <c r="AR216" s="100" t="s">
        <v>50</v>
      </c>
      <c r="AS216" s="101"/>
      <c r="AT216" s="101"/>
      <c r="AU216" s="101"/>
      <c r="AV216" s="100" t="e">
        <f>IF(MAX_HOT="O","Hot",AV215)</f>
        <v>#NAME?</v>
      </c>
      <c r="AW216" s="101"/>
      <c r="AX216" s="101"/>
      <c r="AY216" s="101"/>
      <c r="AZ216" s="101"/>
      <c r="BA216" s="101"/>
      <c r="BB216" s="101"/>
      <c r="BC216" s="101"/>
      <c r="BD216" s="101"/>
      <c r="BE216" s="101"/>
      <c r="BF216" s="101"/>
      <c r="BG216" s="101"/>
      <c r="BH216" s="101"/>
      <c r="BI216" s="101"/>
      <c r="BJ216" s="101"/>
      <c r="BK216" s="101"/>
      <c r="BL216" s="101"/>
      <c r="BM216" s="101"/>
      <c r="BN216" s="101"/>
      <c r="BO216" s="101"/>
      <c r="BP216" s="101"/>
      <c r="BQ216" s="101"/>
    </row>
    <row r="217" spans="9:69">
      <c r="I217" s="108" t="s">
        <v>7</v>
      </c>
      <c r="J217" s="108" t="s">
        <v>1218</v>
      </c>
      <c r="K217" s="109" t="s">
        <v>1655</v>
      </c>
      <c r="L217" s="109"/>
      <c r="M217" s="109"/>
      <c r="N217" s="109"/>
      <c r="O217" s="109"/>
      <c r="P217" s="109"/>
      <c r="Q217" s="109"/>
      <c r="R217" s="109"/>
      <c r="S217" s="109"/>
      <c r="T217" s="109"/>
      <c r="U217" s="110"/>
      <c r="V217" s="110"/>
      <c r="W217" s="109"/>
      <c r="X217" s="109"/>
      <c r="Y217" s="109"/>
      <c r="Z217" s="109"/>
      <c r="AA217" s="109"/>
      <c r="AB217" s="109"/>
      <c r="AC217" s="109"/>
      <c r="AD217" s="109"/>
      <c r="AE217" s="109"/>
      <c r="AF217" s="109"/>
      <c r="AG217" s="109"/>
      <c r="AH217" s="109"/>
      <c r="AI217" s="109"/>
      <c r="AJ217" s="109"/>
      <c r="AK217" s="109"/>
      <c r="AL217" s="109"/>
      <c r="AM217" s="109"/>
      <c r="AN217" s="109"/>
      <c r="AO217" s="109"/>
      <c r="AP217" s="109"/>
      <c r="AQ217" s="109"/>
      <c r="AR217" s="109"/>
      <c r="AS217" s="109"/>
      <c r="AT217" s="109"/>
      <c r="AU217" s="109"/>
      <c r="AV217" s="109"/>
      <c r="AW217" s="109"/>
      <c r="AX217" s="109"/>
      <c r="AY217" s="109"/>
      <c r="AZ217" s="109"/>
      <c r="BA217" s="109"/>
      <c r="BB217" s="109"/>
      <c r="BC217" s="109"/>
      <c r="BD217" s="109"/>
      <c r="BE217" s="109"/>
      <c r="BF217" s="109"/>
      <c r="BG217" s="109"/>
      <c r="BH217" s="109"/>
      <c r="BI217" s="109"/>
      <c r="BJ217" s="109"/>
      <c r="BK217" s="109"/>
      <c r="BL217" s="109"/>
      <c r="BM217" s="109"/>
      <c r="BN217" s="109"/>
      <c r="BO217" s="109"/>
      <c r="BP217" s="109"/>
      <c r="BQ217" s="109"/>
    </row>
    <row r="218" spans="9:69" ht="13.5">
      <c r="I218" s="220" t="s">
        <v>48</v>
      </c>
      <c r="J218" s="220" t="s">
        <v>1219</v>
      </c>
      <c r="K218" s="100">
        <v>20</v>
      </c>
      <c r="L218" s="100">
        <v>30</v>
      </c>
      <c r="M218" s="100">
        <v>13</v>
      </c>
      <c r="N218" s="101"/>
      <c r="O218" s="101"/>
      <c r="P218" s="101"/>
      <c r="Q218" s="101"/>
      <c r="R218" s="101"/>
      <c r="S218" s="101"/>
      <c r="T218" s="94" t="s">
        <v>209</v>
      </c>
      <c r="U218" s="100" t="s">
        <v>1628</v>
      </c>
      <c r="V218" s="99">
        <v>10</v>
      </c>
      <c r="W218" s="101"/>
      <c r="X218" s="101"/>
      <c r="Y218" s="101"/>
      <c r="Z218" s="101"/>
      <c r="AA218" s="101"/>
      <c r="AB218" s="101"/>
      <c r="AC218" s="101"/>
      <c r="AD218" s="101"/>
      <c r="AE218" s="101"/>
      <c r="AF218" s="100">
        <v>4</v>
      </c>
      <c r="AG218" s="100">
        <v>4</v>
      </c>
      <c r="AH218" s="101"/>
      <c r="AI218" s="100">
        <v>27</v>
      </c>
      <c r="AJ218" s="101"/>
      <c r="AK218" s="101"/>
      <c r="AL218" s="101"/>
      <c r="AM218" s="101"/>
      <c r="AN218" s="101"/>
      <c r="AO218" s="101"/>
      <c r="AP218" s="101"/>
      <c r="AQ218" s="100" t="s">
        <v>50</v>
      </c>
      <c r="AR218" s="100" t="s">
        <v>50</v>
      </c>
      <c r="AS218" s="101"/>
      <c r="AT218" s="101"/>
      <c r="AU218" s="101"/>
      <c r="AV218" s="101"/>
      <c r="AW218" s="101"/>
      <c r="AX218" s="101"/>
      <c r="AY218" s="101"/>
      <c r="AZ218" s="101"/>
      <c r="BA218" s="101"/>
      <c r="BB218" s="101"/>
      <c r="BC218" s="101"/>
      <c r="BD218" s="101"/>
      <c r="BE218" s="101"/>
      <c r="BF218" s="101"/>
      <c r="BG218" s="101"/>
      <c r="BH218" s="101"/>
      <c r="BI218" s="101"/>
      <c r="BJ218" s="101"/>
      <c r="BK218" s="101"/>
      <c r="BL218" s="101"/>
      <c r="BM218" s="101"/>
      <c r="BN218" s="101"/>
      <c r="BO218" s="101"/>
      <c r="BP218" s="101"/>
      <c r="BQ218" s="101"/>
    </row>
    <row r="219" spans="9:69">
      <c r="I219" s="220" t="s">
        <v>901</v>
      </c>
      <c r="J219" s="220" t="s">
        <v>1220</v>
      </c>
      <c r="K219" s="221">
        <f t="shared" ref="K219:M220" si="124">K218</f>
        <v>20</v>
      </c>
      <c r="L219" s="221">
        <f t="shared" si="124"/>
        <v>30</v>
      </c>
      <c r="M219" s="221">
        <f t="shared" si="124"/>
        <v>13</v>
      </c>
      <c r="N219" s="101"/>
      <c r="O219" s="101"/>
      <c r="P219" s="101"/>
      <c r="Q219" s="101"/>
      <c r="R219" s="101"/>
      <c r="S219" s="101"/>
      <c r="T219" s="111" t="s">
        <v>835</v>
      </c>
      <c r="U219" s="99">
        <v>1</v>
      </c>
      <c r="V219" s="99">
        <v>10</v>
      </c>
      <c r="W219" s="101"/>
      <c r="X219" s="101"/>
      <c r="Y219" s="101"/>
      <c r="Z219" s="101"/>
      <c r="AA219" s="101"/>
      <c r="AB219" s="101"/>
      <c r="AC219" s="101"/>
      <c r="AD219" s="101"/>
      <c r="AE219" s="101"/>
      <c r="AF219" s="100">
        <v>5</v>
      </c>
      <c r="AG219" s="100">
        <v>5</v>
      </c>
      <c r="AH219" s="101"/>
      <c r="AI219" s="100">
        <v>27</v>
      </c>
      <c r="AJ219" s="101"/>
      <c r="AK219" s="101"/>
      <c r="AL219" s="101"/>
      <c r="AM219" s="101"/>
      <c r="AN219" s="101"/>
      <c r="AO219" s="101"/>
      <c r="AP219" s="101"/>
      <c r="AQ219" s="100" t="s">
        <v>50</v>
      </c>
      <c r="AR219" s="100" t="s">
        <v>50</v>
      </c>
      <c r="AS219" s="101"/>
      <c r="AT219" s="101"/>
      <c r="AU219" s="101"/>
      <c r="AV219" s="101"/>
      <c r="AW219" s="101"/>
      <c r="AX219" s="101"/>
      <c r="AY219" s="101"/>
      <c r="AZ219" s="101"/>
      <c r="BA219" s="101"/>
      <c r="BB219" s="101"/>
      <c r="BC219" s="101"/>
      <c r="BD219" s="101"/>
      <c r="BE219" s="101"/>
      <c r="BF219" s="101"/>
      <c r="BG219" s="101"/>
      <c r="BH219" s="101"/>
      <c r="BI219" s="101"/>
      <c r="BJ219" s="101"/>
      <c r="BK219" s="101"/>
      <c r="BL219" s="101"/>
      <c r="BM219" s="101"/>
      <c r="BN219" s="101"/>
      <c r="BO219" s="101"/>
      <c r="BP219" s="101"/>
      <c r="BQ219" s="101"/>
    </row>
    <row r="220" spans="9:69">
      <c r="I220" s="220" t="s">
        <v>901</v>
      </c>
      <c r="J220" s="220" t="s">
        <v>1346</v>
      </c>
      <c r="K220" s="221">
        <f t="shared" si="124"/>
        <v>20</v>
      </c>
      <c r="L220" s="221">
        <f t="shared" si="124"/>
        <v>30</v>
      </c>
      <c r="M220" s="221">
        <f t="shared" si="124"/>
        <v>13</v>
      </c>
      <c r="N220" s="101"/>
      <c r="O220" s="101"/>
      <c r="P220" s="101"/>
      <c r="Q220" s="101"/>
      <c r="R220" s="101"/>
      <c r="S220" s="101"/>
      <c r="T220" s="111" t="s">
        <v>245</v>
      </c>
      <c r="U220" s="99">
        <v>1</v>
      </c>
      <c r="V220" s="99">
        <v>10</v>
      </c>
      <c r="W220" s="101"/>
      <c r="X220" s="101"/>
      <c r="Y220" s="101"/>
      <c r="Z220" s="101"/>
      <c r="AA220" s="101"/>
      <c r="AB220" s="101"/>
      <c r="AC220" s="101"/>
      <c r="AD220" s="101"/>
      <c r="AE220" s="101"/>
      <c r="AF220" s="100">
        <v>4</v>
      </c>
      <c r="AG220" s="100">
        <v>4</v>
      </c>
      <c r="AH220" s="101"/>
      <c r="AI220" s="100">
        <v>27</v>
      </c>
      <c r="AJ220" s="101"/>
      <c r="AK220" s="101"/>
      <c r="AL220" s="101"/>
      <c r="AM220" s="101"/>
      <c r="AN220" s="101"/>
      <c r="AO220" s="101"/>
      <c r="AP220" s="101"/>
      <c r="AQ220" s="100" t="s">
        <v>50</v>
      </c>
      <c r="AR220" s="100" t="s">
        <v>50</v>
      </c>
      <c r="AS220" s="101"/>
      <c r="AT220" s="101"/>
      <c r="AU220" s="101"/>
      <c r="AV220" s="101"/>
      <c r="AW220" s="101"/>
      <c r="AX220" s="101"/>
      <c r="AY220" s="101"/>
      <c r="AZ220" s="101"/>
      <c r="BA220" s="101"/>
      <c r="BB220" s="101"/>
      <c r="BC220" s="101"/>
      <c r="BD220" s="101"/>
      <c r="BE220" s="101"/>
      <c r="BF220" s="101"/>
      <c r="BG220" s="101"/>
      <c r="BH220" s="101"/>
      <c r="BI220" s="101"/>
      <c r="BJ220" s="101"/>
      <c r="BK220" s="101"/>
      <c r="BL220" s="101"/>
      <c r="BM220" s="101"/>
      <c r="BN220" s="101"/>
      <c r="BO220" s="101"/>
      <c r="BP220" s="101"/>
      <c r="BQ220" s="101"/>
    </row>
    <row r="221" spans="9:69">
      <c r="I221" s="255">
        <f>COUNTIF(I222:I237,"&lt;&gt;TS")</f>
        <v>12</v>
      </c>
      <c r="J221" s="106" t="s">
        <v>549</v>
      </c>
      <c r="K221" s="106" t="s">
        <v>809</v>
      </c>
      <c r="L221" s="106"/>
      <c r="M221" s="106"/>
      <c r="N221" s="106"/>
      <c r="O221" s="106"/>
      <c r="P221" s="106"/>
      <c r="Q221" s="106"/>
      <c r="R221" s="106"/>
      <c r="S221" s="106"/>
      <c r="T221" s="106"/>
      <c r="U221" s="107"/>
      <c r="V221" s="107"/>
      <c r="W221" s="106"/>
      <c r="X221" s="106"/>
      <c r="Y221" s="106"/>
      <c r="Z221" s="106"/>
      <c r="AA221" s="106"/>
      <c r="AB221" s="106"/>
      <c r="AC221" s="106"/>
      <c r="AD221" s="106"/>
      <c r="AE221" s="106"/>
      <c r="AF221" s="106"/>
      <c r="AG221" s="106"/>
      <c r="AH221" s="106"/>
      <c r="AI221" s="106"/>
      <c r="AJ221" s="106"/>
      <c r="AK221" s="106"/>
      <c r="AL221" s="106"/>
      <c r="AM221" s="106"/>
      <c r="AN221" s="106"/>
      <c r="AO221" s="106"/>
      <c r="AP221" s="106"/>
      <c r="AQ221" s="106"/>
      <c r="AR221" s="106"/>
      <c r="AS221" s="106"/>
      <c r="AT221" s="106"/>
      <c r="AU221" s="106"/>
      <c r="AV221" s="106"/>
      <c r="AW221" s="106"/>
      <c r="AX221" s="106"/>
      <c r="AY221" s="106"/>
      <c r="AZ221" s="106"/>
      <c r="BA221" s="106"/>
      <c r="BB221" s="106"/>
      <c r="BC221" s="106"/>
      <c r="BD221" s="106"/>
      <c r="BE221" s="106"/>
      <c r="BF221" s="106"/>
      <c r="BG221" s="106"/>
      <c r="BH221" s="106"/>
      <c r="BI221" s="106"/>
      <c r="BJ221" s="106"/>
      <c r="BK221" s="106"/>
      <c r="BL221" s="106"/>
      <c r="BM221" s="106"/>
      <c r="BN221" s="106"/>
      <c r="BO221" s="106"/>
      <c r="BP221" s="106"/>
      <c r="BQ221" s="106"/>
    </row>
    <row r="222" spans="9:69">
      <c r="I222" s="108" t="s">
        <v>7</v>
      </c>
      <c r="J222" s="108" t="s">
        <v>974</v>
      </c>
      <c r="K222" s="109" t="s">
        <v>1656</v>
      </c>
      <c r="L222" s="109"/>
      <c r="M222" s="109"/>
      <c r="N222" s="109"/>
      <c r="O222" s="109"/>
      <c r="P222" s="109"/>
      <c r="Q222" s="109"/>
      <c r="R222" s="109"/>
      <c r="S222" s="109"/>
      <c r="T222" s="109"/>
      <c r="U222" s="110"/>
      <c r="V222" s="110"/>
      <c r="W222" s="109"/>
      <c r="X222" s="109"/>
      <c r="Y222" s="109"/>
      <c r="Z222" s="109"/>
      <c r="AA222" s="109"/>
      <c r="AB222" s="109"/>
      <c r="AC222" s="109"/>
      <c r="AD222" s="109"/>
      <c r="AE222" s="109"/>
      <c r="AF222" s="109"/>
      <c r="AG222" s="109"/>
      <c r="AH222" s="109"/>
      <c r="AI222" s="109"/>
      <c r="AJ222" s="109"/>
      <c r="AK222" s="109"/>
      <c r="AL222" s="109"/>
      <c r="AM222" s="109"/>
      <c r="AN222" s="109"/>
      <c r="AO222" s="109"/>
      <c r="AP222" s="109"/>
      <c r="AQ222" s="109"/>
      <c r="AR222" s="109"/>
      <c r="AS222" s="109"/>
      <c r="AT222" s="109"/>
      <c r="AU222" s="109"/>
      <c r="AV222" s="109"/>
      <c r="AW222" s="109"/>
      <c r="AX222" s="109"/>
      <c r="AY222" s="109"/>
      <c r="AZ222" s="109"/>
      <c r="BA222" s="109"/>
      <c r="BB222" s="109"/>
      <c r="BC222" s="109"/>
      <c r="BD222" s="109"/>
      <c r="BE222" s="109"/>
      <c r="BF222" s="109"/>
      <c r="BG222" s="109"/>
      <c r="BH222" s="109"/>
      <c r="BI222" s="109"/>
      <c r="BJ222" s="109"/>
      <c r="BK222" s="109"/>
      <c r="BL222" s="109"/>
      <c r="BM222" s="109"/>
      <c r="BN222" s="109"/>
      <c r="BO222" s="109"/>
      <c r="BP222" s="109"/>
      <c r="BQ222" s="109"/>
    </row>
    <row r="223" spans="9:69">
      <c r="I223" s="220" t="s">
        <v>48</v>
      </c>
      <c r="J223" s="220" t="s">
        <v>975</v>
      </c>
      <c r="K223" s="100">
        <v>30</v>
      </c>
      <c r="L223" s="100">
        <v>30</v>
      </c>
      <c r="M223" s="100">
        <v>13</v>
      </c>
      <c r="N223" s="101"/>
      <c r="O223" s="101"/>
      <c r="P223" s="101"/>
      <c r="Q223" s="101"/>
      <c r="R223" s="101"/>
      <c r="S223" s="101"/>
      <c r="T223" s="94" t="s">
        <v>209</v>
      </c>
      <c r="U223" s="100" t="e">
        <f>IF(FLAG_Country&lt;&gt;"USA","설정 온도 22 degC, Blower=1단 수동 설정","설정 온도 72 degF, Blower=1단 수동 설정")</f>
        <v>#NAME?</v>
      </c>
      <c r="V223" s="99">
        <v>10</v>
      </c>
      <c r="W223" s="101"/>
      <c r="X223" s="101"/>
      <c r="Y223" s="101"/>
      <c r="Z223" s="101"/>
      <c r="AA223" s="101"/>
      <c r="AB223" s="101"/>
      <c r="AC223" s="101"/>
      <c r="AD223" s="101"/>
      <c r="AE223" s="101"/>
      <c r="AF223" s="100">
        <v>1</v>
      </c>
      <c r="AG223" s="101"/>
      <c r="AH223" s="101"/>
      <c r="AI223" s="101"/>
      <c r="AJ223" s="101"/>
      <c r="AK223" s="101"/>
      <c r="AL223" s="101"/>
      <c r="AM223" s="101"/>
      <c r="AN223" s="101"/>
      <c r="AO223" s="101"/>
      <c r="AP223" s="101"/>
      <c r="AQ223" s="101"/>
      <c r="AR223" s="101"/>
      <c r="AS223" s="101"/>
      <c r="AT223" s="101"/>
      <c r="AU223" s="101"/>
      <c r="AV223" s="101"/>
      <c r="AW223" s="101"/>
      <c r="AX223" s="101"/>
      <c r="AY223" s="101"/>
      <c r="AZ223" s="101"/>
      <c r="BA223" s="101"/>
      <c r="BB223" s="101"/>
      <c r="BC223" s="101"/>
      <c r="BD223" s="101"/>
      <c r="BE223" s="101"/>
      <c r="BF223" s="101"/>
      <c r="BG223" s="100">
        <v>0</v>
      </c>
      <c r="BH223" s="100">
        <v>0</v>
      </c>
      <c r="BI223" s="101"/>
      <c r="BJ223" s="101"/>
      <c r="BK223" s="101"/>
      <c r="BL223" s="101"/>
      <c r="BM223" s="101"/>
      <c r="BN223" s="101"/>
      <c r="BO223" s="101"/>
      <c r="BP223" s="101"/>
      <c r="BQ223" s="101"/>
    </row>
    <row r="224" spans="9:69">
      <c r="I224" s="220" t="s">
        <v>901</v>
      </c>
      <c r="J224" s="220" t="s">
        <v>976</v>
      </c>
      <c r="K224" s="221">
        <f t="shared" ref="K224:M224" si="125">K223</f>
        <v>30</v>
      </c>
      <c r="L224" s="221">
        <f t="shared" si="125"/>
        <v>30</v>
      </c>
      <c r="M224" s="221">
        <f t="shared" si="125"/>
        <v>13</v>
      </c>
      <c r="N224" s="101"/>
      <c r="O224" s="101"/>
      <c r="P224" s="101"/>
      <c r="Q224" s="101"/>
      <c r="R224" s="101"/>
      <c r="S224" s="101"/>
      <c r="T224" s="111" t="s">
        <v>246</v>
      </c>
      <c r="U224" s="99">
        <v>1</v>
      </c>
      <c r="V224" s="99">
        <v>2</v>
      </c>
      <c r="W224" s="101"/>
      <c r="X224" s="101"/>
      <c r="Y224" s="101"/>
      <c r="Z224" s="101"/>
      <c r="AA224" s="101"/>
      <c r="AB224" s="101"/>
      <c r="AC224" s="101"/>
      <c r="AD224" s="101"/>
      <c r="AE224" s="101"/>
      <c r="AF224" s="101"/>
      <c r="AG224" s="101"/>
      <c r="AH224" s="101"/>
      <c r="AI224" s="101"/>
      <c r="AJ224" s="101"/>
      <c r="AK224" s="101"/>
      <c r="AL224" s="101"/>
      <c r="AM224" s="101"/>
      <c r="AN224" s="101"/>
      <c r="AO224" s="101"/>
      <c r="AP224" s="101"/>
      <c r="AQ224" s="101"/>
      <c r="AR224" s="101"/>
      <c r="AS224" s="101"/>
      <c r="AT224" s="101"/>
      <c r="AU224" s="101"/>
      <c r="AV224" s="101"/>
      <c r="AW224" s="101"/>
      <c r="AX224" s="101"/>
      <c r="AY224" s="101"/>
      <c r="AZ224" s="101"/>
      <c r="BA224" s="101"/>
      <c r="BB224" s="101"/>
      <c r="BC224" s="101"/>
      <c r="BD224" s="101"/>
      <c r="BE224" s="101"/>
      <c r="BF224" s="101"/>
      <c r="BG224" s="100">
        <v>1</v>
      </c>
      <c r="BH224" s="100">
        <v>0</v>
      </c>
      <c r="BI224" s="101"/>
      <c r="BJ224" s="101"/>
      <c r="BK224" s="101"/>
      <c r="BL224" s="101"/>
      <c r="BM224" s="101"/>
      <c r="BN224" s="101"/>
      <c r="BO224" s="101"/>
      <c r="BP224" s="101"/>
      <c r="BQ224" s="101"/>
    </row>
    <row r="225" spans="9:69">
      <c r="I225" s="108" t="s">
        <v>7</v>
      </c>
      <c r="J225" s="108" t="s">
        <v>971</v>
      </c>
      <c r="K225" s="109" t="s">
        <v>1657</v>
      </c>
      <c r="L225" s="109"/>
      <c r="M225" s="109"/>
      <c r="N225" s="109"/>
      <c r="O225" s="109"/>
      <c r="P225" s="109"/>
      <c r="Q225" s="109"/>
      <c r="R225" s="109"/>
      <c r="S225" s="109"/>
      <c r="T225" s="109"/>
      <c r="U225" s="110"/>
      <c r="V225" s="110"/>
      <c r="W225" s="109"/>
      <c r="X225" s="109"/>
      <c r="Y225" s="109"/>
      <c r="Z225" s="109"/>
      <c r="AA225" s="109"/>
      <c r="AB225" s="109"/>
      <c r="AC225" s="109"/>
      <c r="AD225" s="109"/>
      <c r="AE225" s="109"/>
      <c r="AF225" s="109"/>
      <c r="AG225" s="109"/>
      <c r="AH225" s="109"/>
      <c r="AI225" s="109"/>
      <c r="AJ225" s="109"/>
      <c r="AK225" s="109"/>
      <c r="AL225" s="109"/>
      <c r="AM225" s="109"/>
      <c r="AN225" s="109"/>
      <c r="AO225" s="109"/>
      <c r="AP225" s="109"/>
      <c r="AQ225" s="109"/>
      <c r="AR225" s="109"/>
      <c r="AS225" s="109"/>
      <c r="AT225" s="109"/>
      <c r="AU225" s="109"/>
      <c r="AV225" s="109"/>
      <c r="AW225" s="109"/>
      <c r="AX225" s="109"/>
      <c r="AY225" s="109"/>
      <c r="AZ225" s="109"/>
      <c r="BA225" s="109"/>
      <c r="BB225" s="109"/>
      <c r="BC225" s="109"/>
      <c r="BD225" s="109"/>
      <c r="BE225" s="109"/>
      <c r="BF225" s="109"/>
      <c r="BG225" s="109"/>
      <c r="BH225" s="109"/>
      <c r="BI225" s="109"/>
      <c r="BJ225" s="109"/>
      <c r="BK225" s="109"/>
      <c r="BL225" s="109"/>
      <c r="BM225" s="109"/>
      <c r="BN225" s="109"/>
      <c r="BO225" s="109"/>
      <c r="BP225" s="109"/>
      <c r="BQ225" s="109"/>
    </row>
    <row r="226" spans="9:69">
      <c r="I226" s="220" t="s">
        <v>48</v>
      </c>
      <c r="J226" s="220" t="s">
        <v>1345</v>
      </c>
      <c r="K226" s="100">
        <v>30</v>
      </c>
      <c r="L226" s="100">
        <v>16</v>
      </c>
      <c r="M226" s="100">
        <v>13</v>
      </c>
      <c r="N226" s="101"/>
      <c r="O226" s="101"/>
      <c r="P226" s="101"/>
      <c r="Q226" s="101"/>
      <c r="R226" s="101"/>
      <c r="S226" s="101"/>
      <c r="T226" s="94" t="s">
        <v>209</v>
      </c>
      <c r="U226" s="100" t="e">
        <f>IF(FLAG_Country&lt;&gt;"USA","설정 온도 22 degC, AUTO ON (SYNC ON) 선택 상태 설정","설정 온도 72 degF, AUTO ON (SYNC ON) 선택 상태 설정")</f>
        <v>#NAME?</v>
      </c>
      <c r="V226" s="99">
        <v>10</v>
      </c>
      <c r="W226" s="101"/>
      <c r="X226" s="101"/>
      <c r="Y226" s="101"/>
      <c r="Z226" s="101"/>
      <c r="AA226" s="101"/>
      <c r="AB226" s="101"/>
      <c r="AC226" s="101"/>
      <c r="AD226" s="101"/>
      <c r="AE226" s="101"/>
      <c r="AF226" s="101"/>
      <c r="AG226" s="101"/>
      <c r="AH226" s="101"/>
      <c r="AI226" s="101"/>
      <c r="AJ226" s="101"/>
      <c r="AK226" s="101"/>
      <c r="AL226" s="101"/>
      <c r="AM226" s="101"/>
      <c r="AN226" s="101"/>
      <c r="AO226" s="101"/>
      <c r="AP226" s="101"/>
      <c r="AQ226" s="101"/>
      <c r="AR226" s="101"/>
      <c r="AS226" s="101"/>
      <c r="AT226" s="101"/>
      <c r="AU226" s="101"/>
      <c r="AV226" s="101"/>
      <c r="AW226" s="101"/>
      <c r="AX226" s="101"/>
      <c r="AY226" s="101"/>
      <c r="AZ226" s="101"/>
      <c r="BA226" s="101"/>
      <c r="BB226" s="101"/>
      <c r="BC226" s="101"/>
      <c r="BD226" s="101"/>
      <c r="BE226" s="101"/>
      <c r="BF226" s="101"/>
      <c r="BG226" s="100">
        <v>0</v>
      </c>
      <c r="BH226" s="100">
        <v>0</v>
      </c>
      <c r="BI226" s="101"/>
      <c r="BJ226" s="101"/>
      <c r="BK226" s="101"/>
      <c r="BL226" s="101"/>
      <c r="BM226" s="101"/>
      <c r="BN226" s="101"/>
      <c r="BO226" s="101"/>
      <c r="BP226" s="101"/>
      <c r="BQ226" s="101"/>
    </row>
    <row r="227" spans="9:69">
      <c r="I227" s="220" t="s">
        <v>901</v>
      </c>
      <c r="J227" s="220" t="s">
        <v>977</v>
      </c>
      <c r="K227" s="221">
        <f t="shared" ref="K227:M227" si="126">K226</f>
        <v>30</v>
      </c>
      <c r="L227" s="221">
        <f t="shared" si="126"/>
        <v>16</v>
      </c>
      <c r="M227" s="221">
        <f t="shared" si="126"/>
        <v>13</v>
      </c>
      <c r="N227" s="101"/>
      <c r="O227" s="101"/>
      <c r="P227" s="101"/>
      <c r="Q227" s="101"/>
      <c r="R227" s="101"/>
      <c r="S227" s="101"/>
      <c r="T227" s="111" t="s">
        <v>246</v>
      </c>
      <c r="U227" s="99">
        <v>1</v>
      </c>
      <c r="V227" s="99">
        <v>2</v>
      </c>
      <c r="W227" s="101"/>
      <c r="X227" s="101"/>
      <c r="Y227" s="101"/>
      <c r="Z227" s="101"/>
      <c r="AA227" s="101"/>
      <c r="AB227" s="101"/>
      <c r="AC227" s="101"/>
      <c r="AD227" s="101"/>
      <c r="AE227" s="101"/>
      <c r="AF227" s="101"/>
      <c r="AG227" s="101"/>
      <c r="AH227" s="101"/>
      <c r="AI227" s="101"/>
      <c r="AJ227" s="101"/>
      <c r="AK227" s="101"/>
      <c r="AL227" s="101"/>
      <c r="AM227" s="101"/>
      <c r="AN227" s="101"/>
      <c r="AO227" s="101"/>
      <c r="AP227" s="101"/>
      <c r="AQ227" s="101"/>
      <c r="AR227" s="101"/>
      <c r="AS227" s="101"/>
      <c r="AT227" s="101"/>
      <c r="AU227" s="101"/>
      <c r="AV227" s="101"/>
      <c r="AW227" s="101"/>
      <c r="AX227" s="101"/>
      <c r="AY227" s="101"/>
      <c r="AZ227" s="101"/>
      <c r="BA227" s="101"/>
      <c r="BB227" s="101"/>
      <c r="BC227" s="101"/>
      <c r="BD227" s="101"/>
      <c r="BE227" s="101"/>
      <c r="BF227" s="101"/>
      <c r="BG227" s="100">
        <v>0</v>
      </c>
      <c r="BH227" s="100">
        <v>1</v>
      </c>
      <c r="BI227" s="101"/>
      <c r="BJ227" s="101"/>
      <c r="BK227" s="101"/>
      <c r="BL227" s="101"/>
      <c r="BM227" s="101"/>
      <c r="BN227" s="101"/>
      <c r="BO227" s="101"/>
      <c r="BP227" s="101"/>
      <c r="BQ227" s="101"/>
    </row>
    <row r="228" spans="9:69">
      <c r="I228" s="255">
        <f>COUNTIF(I229:I233,"&lt;&gt;TS")</f>
        <v>4</v>
      </c>
      <c r="J228" s="106" t="s">
        <v>550</v>
      </c>
      <c r="K228" s="106" t="s">
        <v>810</v>
      </c>
      <c r="L228" s="106"/>
      <c r="M228" s="106"/>
      <c r="N228" s="106"/>
      <c r="O228" s="106"/>
      <c r="P228" s="106"/>
      <c r="Q228" s="106"/>
      <c r="R228" s="106"/>
      <c r="S228" s="106"/>
      <c r="T228" s="106"/>
      <c r="U228" s="107"/>
      <c r="V228" s="107"/>
      <c r="W228" s="106"/>
      <c r="X228" s="106"/>
      <c r="Y228" s="106"/>
      <c r="Z228" s="106"/>
      <c r="AA228" s="106"/>
      <c r="AB228" s="106"/>
      <c r="AC228" s="106"/>
      <c r="AD228" s="106"/>
      <c r="AE228" s="106"/>
      <c r="AF228" s="106"/>
      <c r="AG228" s="106"/>
      <c r="AH228" s="106"/>
      <c r="AI228" s="106"/>
      <c r="AJ228" s="106"/>
      <c r="AK228" s="106"/>
      <c r="AL228" s="106"/>
      <c r="AM228" s="106"/>
      <c r="AN228" s="106"/>
      <c r="AO228" s="106"/>
      <c r="AP228" s="106"/>
      <c r="AQ228" s="106"/>
      <c r="AR228" s="106"/>
      <c r="AS228" s="106"/>
      <c r="AT228" s="106"/>
      <c r="AU228" s="106"/>
      <c r="AV228" s="106"/>
      <c r="AW228" s="106"/>
      <c r="AX228" s="106"/>
      <c r="AY228" s="106"/>
      <c r="AZ228" s="106"/>
      <c r="BA228" s="106"/>
      <c r="BB228" s="106"/>
      <c r="BC228" s="106"/>
      <c r="BD228" s="106"/>
      <c r="BE228" s="106"/>
      <c r="BF228" s="106"/>
      <c r="BG228" s="106"/>
      <c r="BH228" s="106"/>
      <c r="BI228" s="106"/>
      <c r="BJ228" s="106"/>
      <c r="BK228" s="106"/>
      <c r="BL228" s="106"/>
      <c r="BM228" s="106"/>
      <c r="BN228" s="106"/>
      <c r="BO228" s="106"/>
      <c r="BP228" s="106"/>
      <c r="BQ228" s="106"/>
    </row>
    <row r="229" spans="9:69">
      <c r="I229" s="108" t="s">
        <v>7</v>
      </c>
      <c r="J229" s="108" t="s">
        <v>982</v>
      </c>
      <c r="K229" s="109" t="s">
        <v>1658</v>
      </c>
      <c r="L229" s="109"/>
      <c r="M229" s="109"/>
      <c r="N229" s="109"/>
      <c r="O229" s="109"/>
      <c r="P229" s="109"/>
      <c r="Q229" s="109"/>
      <c r="R229" s="109"/>
      <c r="S229" s="109"/>
      <c r="T229" s="109"/>
      <c r="U229" s="110"/>
      <c r="V229" s="110"/>
      <c r="W229" s="109"/>
      <c r="X229" s="109"/>
      <c r="Y229" s="109"/>
      <c r="Z229" s="109"/>
      <c r="AA229" s="109"/>
      <c r="AB229" s="109"/>
      <c r="AC229" s="109"/>
      <c r="AD229" s="109"/>
      <c r="AE229" s="109"/>
      <c r="AF229" s="109"/>
      <c r="AG229" s="109"/>
      <c r="AH229" s="109"/>
      <c r="AI229" s="109"/>
      <c r="AJ229" s="109"/>
      <c r="AK229" s="109"/>
      <c r="AL229" s="109"/>
      <c r="AM229" s="109"/>
      <c r="AN229" s="109"/>
      <c r="AO229" s="109"/>
      <c r="AP229" s="109"/>
      <c r="AQ229" s="109"/>
      <c r="AR229" s="109"/>
      <c r="AS229" s="109"/>
      <c r="AT229" s="109"/>
      <c r="AU229" s="109"/>
      <c r="AV229" s="109"/>
      <c r="AW229" s="109"/>
      <c r="AX229" s="109"/>
      <c r="AY229" s="109"/>
      <c r="AZ229" s="109"/>
      <c r="BA229" s="109"/>
      <c r="BB229" s="109"/>
      <c r="BC229" s="109"/>
      <c r="BD229" s="109"/>
      <c r="BE229" s="109"/>
      <c r="BF229" s="109"/>
      <c r="BG229" s="109"/>
      <c r="BH229" s="109"/>
      <c r="BI229" s="109"/>
      <c r="BJ229" s="109"/>
      <c r="BK229" s="109"/>
      <c r="BL229" s="109"/>
      <c r="BM229" s="109"/>
      <c r="BN229" s="109"/>
      <c r="BO229" s="109"/>
      <c r="BP229" s="109"/>
      <c r="BQ229" s="109"/>
    </row>
    <row r="230" spans="9:69">
      <c r="I230" s="220" t="s">
        <v>48</v>
      </c>
      <c r="J230" s="220" t="s">
        <v>983</v>
      </c>
      <c r="K230" s="100">
        <v>10</v>
      </c>
      <c r="L230" s="100">
        <v>5</v>
      </c>
      <c r="M230" s="100">
        <v>13</v>
      </c>
      <c r="N230" s="100">
        <v>64.5</v>
      </c>
      <c r="O230" s="101"/>
      <c r="P230" s="101"/>
      <c r="Q230" s="101"/>
      <c r="R230" s="101"/>
      <c r="S230" s="101"/>
      <c r="T230" s="94" t="s">
        <v>209</v>
      </c>
      <c r="U230" s="100" t="e">
        <f>IF(FLAG_Country&lt;&gt;"USA","설정 온도 22 degC, AUTO ON (SYNC ON) + OFF 선택 상태 설정","설정 온도 72 degF, AUTO ON (SYNC ON) + OFF 선택 상태 설정")</f>
        <v>#NAME?</v>
      </c>
      <c r="V230" s="99">
        <v>10</v>
      </c>
      <c r="W230" s="101"/>
      <c r="X230" s="101"/>
      <c r="Y230" s="101"/>
      <c r="Z230" s="101"/>
      <c r="AA230" s="101"/>
      <c r="AB230" s="101"/>
      <c r="AC230" s="101"/>
      <c r="AD230" s="101"/>
      <c r="AE230" s="101"/>
      <c r="AF230" s="101"/>
      <c r="AG230" s="101"/>
      <c r="AH230" s="101"/>
      <c r="AI230" s="101"/>
      <c r="AJ230" s="101"/>
      <c r="AK230" s="101"/>
      <c r="AL230" s="101"/>
      <c r="AM230" s="101"/>
      <c r="AN230" s="101"/>
      <c r="AO230" s="101"/>
      <c r="AP230" s="101"/>
      <c r="AQ230" s="101"/>
      <c r="AR230" s="101"/>
      <c r="AS230" s="101"/>
      <c r="AT230" s="101"/>
      <c r="AU230" s="101"/>
      <c r="AV230" s="101"/>
      <c r="AW230" s="101"/>
      <c r="AX230" s="101"/>
      <c r="AY230" s="101"/>
      <c r="AZ230" s="101"/>
      <c r="BA230" s="101"/>
      <c r="BB230" s="101"/>
      <c r="BC230" s="101"/>
      <c r="BD230" s="101"/>
      <c r="BE230" s="101"/>
      <c r="BF230" s="101"/>
      <c r="BG230" s="101"/>
      <c r="BH230" s="101"/>
      <c r="BI230" s="101"/>
      <c r="BJ230" s="101"/>
      <c r="BK230" s="100">
        <v>0</v>
      </c>
      <c r="BL230" s="101"/>
      <c r="BM230" s="101"/>
      <c r="BN230" s="101"/>
      <c r="BO230" s="101"/>
      <c r="BP230" s="101"/>
      <c r="BQ230" s="101"/>
    </row>
    <row r="231" spans="9:69">
      <c r="I231" s="220" t="s">
        <v>901</v>
      </c>
      <c r="J231" s="220" t="s">
        <v>984</v>
      </c>
      <c r="K231" s="221">
        <f t="shared" ref="K231:L231" si="127">K230</f>
        <v>10</v>
      </c>
      <c r="L231" s="221">
        <f t="shared" si="127"/>
        <v>5</v>
      </c>
      <c r="M231" s="221">
        <f t="shared" ref="M231:N232" si="128">M230</f>
        <v>13</v>
      </c>
      <c r="N231" s="221">
        <f t="shared" si="128"/>
        <v>64.5</v>
      </c>
      <c r="O231" s="101"/>
      <c r="P231" s="101"/>
      <c r="Q231" s="101"/>
      <c r="R231" s="101"/>
      <c r="S231" s="101"/>
      <c r="T231" s="111" t="s">
        <v>1048</v>
      </c>
      <c r="U231" s="99">
        <v>1</v>
      </c>
      <c r="V231" s="99">
        <v>15</v>
      </c>
      <c r="W231" s="101"/>
      <c r="X231" s="101"/>
      <c r="Y231" s="101"/>
      <c r="Z231" s="101"/>
      <c r="AA231" s="101"/>
      <c r="AB231" s="101"/>
      <c r="AC231" s="101"/>
      <c r="AD231" s="101"/>
      <c r="AE231" s="101"/>
      <c r="AF231" s="101"/>
      <c r="AG231" s="101"/>
      <c r="AH231" s="101"/>
      <c r="AI231" s="101"/>
      <c r="AJ231" s="101"/>
      <c r="AK231" s="101"/>
      <c r="AL231" s="101"/>
      <c r="AM231" s="101"/>
      <c r="AN231" s="101"/>
      <c r="AO231" s="101"/>
      <c r="AP231" s="101"/>
      <c r="AQ231" s="101"/>
      <c r="AR231" s="101"/>
      <c r="AS231" s="101"/>
      <c r="AT231" s="101"/>
      <c r="AU231" s="101"/>
      <c r="AV231" s="101"/>
      <c r="AW231" s="101"/>
      <c r="AX231" s="101"/>
      <c r="AY231" s="101"/>
      <c r="AZ231" s="101"/>
      <c r="BA231" s="101"/>
      <c r="BB231" s="101"/>
      <c r="BC231" s="101"/>
      <c r="BD231" s="101"/>
      <c r="BE231" s="101"/>
      <c r="BF231" s="101"/>
      <c r="BG231" s="101"/>
      <c r="BH231" s="101"/>
      <c r="BI231" s="101"/>
      <c r="BJ231" s="101"/>
      <c r="BK231" s="100">
        <v>1</v>
      </c>
      <c r="BL231" s="101"/>
      <c r="BM231" s="101"/>
      <c r="BN231" s="101"/>
      <c r="BO231" s="101"/>
      <c r="BP231" s="101"/>
      <c r="BQ231" s="101"/>
    </row>
    <row r="232" spans="9:69">
      <c r="I232" s="220" t="s">
        <v>901</v>
      </c>
      <c r="J232" s="220" t="s">
        <v>1344</v>
      </c>
      <c r="K232" s="221">
        <f t="shared" ref="K232:M233" si="129">K230</f>
        <v>10</v>
      </c>
      <c r="L232" s="221">
        <f t="shared" si="129"/>
        <v>5</v>
      </c>
      <c r="M232" s="221">
        <f t="shared" si="129"/>
        <v>13</v>
      </c>
      <c r="N232" s="221">
        <f t="shared" si="128"/>
        <v>64.5</v>
      </c>
      <c r="O232" s="101"/>
      <c r="P232" s="101"/>
      <c r="Q232" s="101"/>
      <c r="R232" s="101"/>
      <c r="S232" s="101"/>
      <c r="T232" s="111" t="s">
        <v>214</v>
      </c>
      <c r="U232" s="99">
        <v>1</v>
      </c>
      <c r="V232" s="99">
        <v>15</v>
      </c>
      <c r="W232" s="101"/>
      <c r="X232" s="101"/>
      <c r="Y232" s="101"/>
      <c r="Z232" s="101"/>
      <c r="AA232" s="101"/>
      <c r="AB232" s="101"/>
      <c r="AC232" s="101"/>
      <c r="AD232" s="101"/>
      <c r="AE232" s="101"/>
      <c r="AF232" s="101"/>
      <c r="AG232" s="101"/>
      <c r="AH232" s="101"/>
      <c r="AI232" s="101"/>
      <c r="AJ232" s="101"/>
      <c r="AK232" s="101"/>
      <c r="AL232" s="101"/>
      <c r="AM232" s="101"/>
      <c r="AN232" s="101"/>
      <c r="AO232" s="101"/>
      <c r="AP232" s="101"/>
      <c r="AQ232" s="101"/>
      <c r="AR232" s="101"/>
      <c r="AS232" s="101"/>
      <c r="AT232" s="101"/>
      <c r="AU232" s="101"/>
      <c r="AV232" s="101"/>
      <c r="AW232" s="101"/>
      <c r="AX232" s="101"/>
      <c r="AY232" s="101"/>
      <c r="AZ232" s="101"/>
      <c r="BA232" s="101"/>
      <c r="BB232" s="101"/>
      <c r="BC232" s="101"/>
      <c r="BD232" s="101"/>
      <c r="BE232" s="101"/>
      <c r="BF232" s="101"/>
      <c r="BG232" s="101"/>
      <c r="BH232" s="101"/>
      <c r="BI232" s="101"/>
      <c r="BJ232" s="101"/>
      <c r="BK232" s="100">
        <v>1</v>
      </c>
      <c r="BL232" s="101"/>
      <c r="BM232" s="101"/>
      <c r="BN232" s="101"/>
      <c r="BO232" s="101"/>
      <c r="BP232" s="101"/>
      <c r="BQ232" s="101"/>
    </row>
    <row r="233" spans="9:69">
      <c r="I233" s="220" t="s">
        <v>901</v>
      </c>
      <c r="J233" s="220" t="s">
        <v>1478</v>
      </c>
      <c r="K233" s="221">
        <f t="shared" si="129"/>
        <v>10</v>
      </c>
      <c r="L233" s="221">
        <f t="shared" si="129"/>
        <v>5</v>
      </c>
      <c r="M233" s="221">
        <f t="shared" si="129"/>
        <v>13</v>
      </c>
      <c r="N233" s="225">
        <v>80.25</v>
      </c>
      <c r="O233" s="101"/>
      <c r="P233" s="101"/>
      <c r="Q233" s="101"/>
      <c r="R233" s="101"/>
      <c r="S233" s="101"/>
      <c r="T233" s="111" t="e">
        <f>EngColTemp</f>
        <v>#NAME?</v>
      </c>
      <c r="U233" s="225">
        <f>N233</f>
        <v>80.25</v>
      </c>
      <c r="V233" s="99">
        <v>15</v>
      </c>
      <c r="W233" s="101"/>
      <c r="X233" s="101"/>
      <c r="Y233" s="101"/>
      <c r="Z233" s="101"/>
      <c r="AA233" s="101"/>
      <c r="AB233" s="101"/>
      <c r="AC233" s="101"/>
      <c r="AD233" s="101"/>
      <c r="AE233" s="101"/>
      <c r="AF233" s="101"/>
      <c r="AG233" s="101"/>
      <c r="AH233" s="101"/>
      <c r="AI233" s="101"/>
      <c r="AJ233" s="101"/>
      <c r="AK233" s="101"/>
      <c r="AL233" s="101"/>
      <c r="AM233" s="101"/>
      <c r="AN233" s="101"/>
      <c r="AO233" s="101"/>
      <c r="AP233" s="101"/>
      <c r="AQ233" s="101"/>
      <c r="AR233" s="101"/>
      <c r="AS233" s="101"/>
      <c r="AT233" s="101"/>
      <c r="AU233" s="101"/>
      <c r="AV233" s="101"/>
      <c r="AW233" s="101"/>
      <c r="AX233" s="101"/>
      <c r="AY233" s="101"/>
      <c r="AZ233" s="101"/>
      <c r="BA233" s="101"/>
      <c r="BB233" s="101"/>
      <c r="BC233" s="101"/>
      <c r="BD233" s="101"/>
      <c r="BE233" s="101"/>
      <c r="BF233" s="101"/>
      <c r="BG233" s="101"/>
      <c r="BH233" s="101"/>
      <c r="BI233" s="101"/>
      <c r="BJ233" s="101"/>
      <c r="BK233" s="100">
        <v>0</v>
      </c>
      <c r="BL233" s="101"/>
      <c r="BM233" s="101"/>
      <c r="BN233" s="101"/>
      <c r="BO233" s="101"/>
      <c r="BP233" s="101"/>
      <c r="BQ233" s="101"/>
    </row>
    <row r="234" spans="9:69">
      <c r="I234" s="255">
        <f>COUNTIF(I235:I239,"&lt;&gt;TS")</f>
        <v>4</v>
      </c>
      <c r="J234" s="106" t="s">
        <v>551</v>
      </c>
      <c r="K234" s="106" t="s">
        <v>811</v>
      </c>
      <c r="L234" s="106"/>
      <c r="M234" s="106"/>
      <c r="N234" s="106"/>
      <c r="O234" s="106"/>
      <c r="P234" s="106"/>
      <c r="Q234" s="106"/>
      <c r="R234" s="106"/>
      <c r="S234" s="106"/>
      <c r="T234" s="106"/>
      <c r="U234" s="107"/>
      <c r="V234" s="107"/>
      <c r="W234" s="106"/>
      <c r="X234" s="106"/>
      <c r="Y234" s="106"/>
      <c r="Z234" s="106"/>
      <c r="AA234" s="106"/>
      <c r="AB234" s="106"/>
      <c r="AC234" s="106"/>
      <c r="AD234" s="106"/>
      <c r="AE234" s="106"/>
      <c r="AF234" s="106"/>
      <c r="AG234" s="106"/>
      <c r="AH234" s="106"/>
      <c r="AI234" s="106"/>
      <c r="AJ234" s="106"/>
      <c r="AK234" s="106"/>
      <c r="AL234" s="106"/>
      <c r="AM234" s="106"/>
      <c r="AN234" s="106"/>
      <c r="AO234" s="106"/>
      <c r="AP234" s="106"/>
      <c r="AQ234" s="106"/>
      <c r="AR234" s="106"/>
      <c r="AS234" s="106"/>
      <c r="AT234" s="106"/>
      <c r="AU234" s="106"/>
      <c r="AV234" s="106"/>
      <c r="AW234" s="106"/>
      <c r="AX234" s="106"/>
      <c r="AY234" s="106"/>
      <c r="AZ234" s="106"/>
      <c r="BA234" s="106"/>
      <c r="BB234" s="106"/>
      <c r="BC234" s="106"/>
      <c r="BD234" s="106"/>
      <c r="BE234" s="106"/>
      <c r="BF234" s="106"/>
      <c r="BG234" s="106"/>
      <c r="BH234" s="106"/>
      <c r="BI234" s="106"/>
      <c r="BJ234" s="106"/>
      <c r="BK234" s="106"/>
      <c r="BL234" s="106"/>
      <c r="BM234" s="106"/>
      <c r="BN234" s="106"/>
      <c r="BO234" s="106"/>
      <c r="BP234" s="106"/>
      <c r="BQ234" s="106"/>
    </row>
    <row r="235" spans="9:69">
      <c r="I235" s="108" t="s">
        <v>7</v>
      </c>
      <c r="J235" s="108" t="s">
        <v>1055</v>
      </c>
      <c r="K235" s="109" t="s">
        <v>1659</v>
      </c>
      <c r="L235" s="109"/>
      <c r="M235" s="109"/>
      <c r="N235" s="109"/>
      <c r="O235" s="109"/>
      <c r="P235" s="109"/>
      <c r="Q235" s="109"/>
      <c r="R235" s="109"/>
      <c r="S235" s="109"/>
      <c r="T235" s="109"/>
      <c r="U235" s="110"/>
      <c r="V235" s="110"/>
      <c r="W235" s="109"/>
      <c r="X235" s="109"/>
      <c r="Y235" s="109"/>
      <c r="Z235" s="109"/>
      <c r="AA235" s="109"/>
      <c r="AB235" s="109"/>
      <c r="AC235" s="109"/>
      <c r="AD235" s="109"/>
      <c r="AE235" s="109"/>
      <c r="AF235" s="109"/>
      <c r="AG235" s="109"/>
      <c r="AH235" s="109"/>
      <c r="AI235" s="109"/>
      <c r="AJ235" s="109"/>
      <c r="AK235" s="109"/>
      <c r="AL235" s="109"/>
      <c r="AM235" s="109"/>
      <c r="AN235" s="109"/>
      <c r="AO235" s="109"/>
      <c r="AP235" s="109"/>
      <c r="AQ235" s="109"/>
      <c r="AR235" s="109"/>
      <c r="AS235" s="109"/>
      <c r="AT235" s="109"/>
      <c r="AU235" s="109"/>
      <c r="AV235" s="109"/>
      <c r="AW235" s="109"/>
      <c r="AX235" s="109"/>
      <c r="AY235" s="109"/>
      <c r="AZ235" s="109"/>
      <c r="BA235" s="109"/>
      <c r="BB235" s="109"/>
      <c r="BC235" s="109"/>
      <c r="BD235" s="109"/>
      <c r="BE235" s="109"/>
      <c r="BF235" s="109"/>
      <c r="BG235" s="109"/>
      <c r="BH235" s="109"/>
      <c r="BI235" s="109"/>
      <c r="BJ235" s="109"/>
      <c r="BK235" s="109"/>
      <c r="BL235" s="109"/>
      <c r="BM235" s="109"/>
      <c r="BN235" s="109"/>
      <c r="BO235" s="109"/>
      <c r="BP235" s="109"/>
      <c r="BQ235" s="109"/>
    </row>
    <row r="236" spans="9:69">
      <c r="I236" s="220" t="s">
        <v>48</v>
      </c>
      <c r="J236" s="220" t="s">
        <v>1056</v>
      </c>
      <c r="K236" s="100">
        <v>20</v>
      </c>
      <c r="L236" s="100">
        <v>20</v>
      </c>
      <c r="M236" s="100">
        <v>13</v>
      </c>
      <c r="N236" s="101"/>
      <c r="O236" s="101"/>
      <c r="P236" s="101"/>
      <c r="Q236" s="101"/>
      <c r="R236" s="101"/>
      <c r="S236" s="101"/>
      <c r="T236" s="111" t="s">
        <v>205</v>
      </c>
      <c r="U236" s="99" t="s">
        <v>420</v>
      </c>
      <c r="V236" s="99">
        <v>10</v>
      </c>
      <c r="W236" s="101"/>
      <c r="X236" s="101"/>
      <c r="Y236" s="101"/>
      <c r="Z236" s="101"/>
      <c r="AA236" s="101"/>
      <c r="AB236" s="101"/>
      <c r="AC236" s="101"/>
      <c r="AD236" s="101"/>
      <c r="AE236" s="101"/>
      <c r="AF236" s="101"/>
      <c r="AG236" s="101"/>
      <c r="AH236" s="101"/>
      <c r="AI236" s="101"/>
      <c r="AJ236" s="101"/>
      <c r="AK236" s="101"/>
      <c r="AL236" s="101"/>
      <c r="AM236" s="101"/>
      <c r="AN236" s="100" t="s">
        <v>49</v>
      </c>
      <c r="AO236" s="100" t="s">
        <v>49</v>
      </c>
      <c r="AP236" s="101"/>
      <c r="AQ236" s="101"/>
      <c r="AR236" s="101"/>
      <c r="AS236" s="101"/>
      <c r="AT236" s="101"/>
      <c r="AU236" s="101"/>
      <c r="AV236" s="101"/>
      <c r="AW236" s="101"/>
      <c r="AX236" s="101"/>
      <c r="AY236" s="101"/>
      <c r="AZ236" s="101"/>
      <c r="BA236" s="101"/>
      <c r="BB236" s="101"/>
      <c r="BC236" s="101"/>
      <c r="BD236" s="101"/>
      <c r="BE236" s="101"/>
      <c r="BF236" s="101"/>
      <c r="BG236" s="101"/>
      <c r="BH236" s="101"/>
      <c r="BI236" s="101"/>
      <c r="BJ236" s="101"/>
      <c r="BK236" s="101"/>
      <c r="BL236" s="101"/>
      <c r="BM236" s="101"/>
      <c r="BN236" s="101"/>
      <c r="BO236" s="101"/>
      <c r="BP236" s="101"/>
      <c r="BQ236" s="101"/>
    </row>
    <row r="237" spans="9:69">
      <c r="I237" s="220" t="s">
        <v>901</v>
      </c>
      <c r="J237" s="220" t="s">
        <v>1342</v>
      </c>
      <c r="K237" s="221">
        <f>K236</f>
        <v>20</v>
      </c>
      <c r="L237" s="221">
        <f>L236</f>
        <v>20</v>
      </c>
      <c r="M237" s="221">
        <f>M236</f>
        <v>13</v>
      </c>
      <c r="N237" s="101"/>
      <c r="O237" s="101"/>
      <c r="P237" s="101"/>
      <c r="Q237" s="101"/>
      <c r="R237" s="101"/>
      <c r="S237" s="101"/>
      <c r="T237" s="111" t="e">
        <f>DrvngModSwSta</f>
        <v>#NAME?</v>
      </c>
      <c r="U237" s="99">
        <v>2</v>
      </c>
      <c r="V237" s="99">
        <v>2</v>
      </c>
      <c r="W237" s="101"/>
      <c r="X237" s="101"/>
      <c r="Y237" s="101"/>
      <c r="Z237" s="101"/>
      <c r="AA237" s="101"/>
      <c r="AB237" s="101"/>
      <c r="AC237" s="101"/>
      <c r="AD237" s="101"/>
      <c r="AE237" s="101"/>
      <c r="AF237" s="101"/>
      <c r="AG237" s="101"/>
      <c r="AH237" s="101"/>
      <c r="AI237" s="101"/>
      <c r="AJ237" s="101"/>
      <c r="AK237" s="101"/>
      <c r="AL237" s="101"/>
      <c r="AM237" s="101"/>
      <c r="AN237" s="100" t="s">
        <v>49</v>
      </c>
      <c r="AO237" s="100" t="s">
        <v>49</v>
      </c>
      <c r="AP237" s="101"/>
      <c r="AQ237" s="101"/>
      <c r="AR237" s="101"/>
      <c r="AS237" s="101"/>
      <c r="AT237" s="101"/>
      <c r="AU237" s="101"/>
      <c r="AV237" s="101"/>
      <c r="AW237" s="101"/>
      <c r="AX237" s="101"/>
      <c r="AY237" s="101"/>
      <c r="AZ237" s="101"/>
      <c r="BA237" s="101"/>
      <c r="BB237" s="101"/>
      <c r="BC237" s="101"/>
      <c r="BD237" s="101"/>
      <c r="BE237" s="101"/>
      <c r="BF237" s="101"/>
      <c r="BG237" s="101"/>
      <c r="BH237" s="101"/>
      <c r="BI237" s="101"/>
      <c r="BJ237" s="101"/>
      <c r="BK237" s="101"/>
      <c r="BL237" s="101"/>
      <c r="BM237" s="101"/>
      <c r="BN237" s="101"/>
      <c r="BO237" s="101"/>
      <c r="BP237" s="101"/>
      <c r="BQ237" s="101"/>
    </row>
    <row r="238" spans="9:69">
      <c r="I238" s="220" t="s">
        <v>901</v>
      </c>
      <c r="J238" s="220" t="s">
        <v>1343</v>
      </c>
      <c r="K238" s="221">
        <f t="shared" ref="K238:M239" si="130">K236</f>
        <v>20</v>
      </c>
      <c r="L238" s="221">
        <f t="shared" si="130"/>
        <v>20</v>
      </c>
      <c r="M238" s="221">
        <f t="shared" si="130"/>
        <v>13</v>
      </c>
      <c r="N238" s="101"/>
      <c r="O238" s="101"/>
      <c r="P238" s="101"/>
      <c r="Q238" s="101"/>
      <c r="R238" s="101"/>
      <c r="S238" s="101"/>
      <c r="T238" s="111" t="e">
        <f>DrvngModSwSta</f>
        <v>#NAME?</v>
      </c>
      <c r="U238" s="99">
        <v>1</v>
      </c>
      <c r="V238" s="99">
        <v>2</v>
      </c>
      <c r="W238" s="101"/>
      <c r="X238" s="101"/>
      <c r="Y238" s="101"/>
      <c r="Z238" s="101"/>
      <c r="AA238" s="101"/>
      <c r="AB238" s="101"/>
      <c r="AC238" s="101"/>
      <c r="AD238" s="101"/>
      <c r="AE238" s="101"/>
      <c r="AF238" s="101"/>
      <c r="AG238" s="101"/>
      <c r="AH238" s="101"/>
      <c r="AI238" s="101"/>
      <c r="AJ238" s="101"/>
      <c r="AK238" s="101"/>
      <c r="AL238" s="101"/>
      <c r="AM238" s="101"/>
      <c r="AN238" s="100" t="s">
        <v>49</v>
      </c>
      <c r="AO238" s="100" t="s">
        <v>49</v>
      </c>
      <c r="AP238" s="101"/>
      <c r="AQ238" s="101"/>
      <c r="AR238" s="101"/>
      <c r="AS238" s="101"/>
      <c r="AT238" s="101"/>
      <c r="AU238" s="101"/>
      <c r="AV238" s="101"/>
      <c r="AW238" s="101"/>
      <c r="AX238" s="101"/>
      <c r="AY238" s="101"/>
      <c r="AZ238" s="101"/>
      <c r="BA238" s="101"/>
      <c r="BB238" s="101"/>
      <c r="BC238" s="101"/>
      <c r="BD238" s="101"/>
      <c r="BE238" s="101"/>
      <c r="BF238" s="101"/>
      <c r="BG238" s="101"/>
      <c r="BH238" s="101"/>
      <c r="BI238" s="101"/>
      <c r="BJ238" s="101"/>
      <c r="BK238" s="101"/>
      <c r="BL238" s="101"/>
      <c r="BM238" s="101"/>
      <c r="BN238" s="101"/>
      <c r="BO238" s="101"/>
      <c r="BP238" s="101"/>
      <c r="BQ238" s="101"/>
    </row>
    <row r="239" spans="9:69">
      <c r="I239" s="220" t="s">
        <v>901</v>
      </c>
      <c r="J239" s="220" t="s">
        <v>1071</v>
      </c>
      <c r="K239" s="221">
        <f t="shared" si="130"/>
        <v>20</v>
      </c>
      <c r="L239" s="221">
        <f t="shared" si="130"/>
        <v>20</v>
      </c>
      <c r="M239" s="221">
        <f t="shared" si="130"/>
        <v>13</v>
      </c>
      <c r="N239" s="101"/>
      <c r="O239" s="101"/>
      <c r="P239" s="101"/>
      <c r="Q239" s="101"/>
      <c r="R239" s="101"/>
      <c r="S239" s="101"/>
      <c r="T239" s="94" t="s">
        <v>209</v>
      </c>
      <c r="U239" s="100" t="s">
        <v>1172</v>
      </c>
      <c r="V239" s="95">
        <v>1</v>
      </c>
      <c r="W239" s="101"/>
      <c r="X239" s="101"/>
      <c r="Y239" s="101"/>
      <c r="Z239" s="101"/>
      <c r="AA239" s="101"/>
      <c r="AB239" s="101"/>
      <c r="AC239" s="101"/>
      <c r="AD239" s="101"/>
      <c r="AE239" s="101"/>
      <c r="AF239" s="101"/>
      <c r="AG239" s="101"/>
      <c r="AH239" s="101"/>
      <c r="AI239" s="101"/>
      <c r="AJ239" s="101"/>
      <c r="AK239" s="101"/>
      <c r="AL239" s="101"/>
      <c r="AM239" s="101"/>
      <c r="AN239" s="100" t="s">
        <v>49</v>
      </c>
      <c r="AO239" s="100" t="s">
        <v>49</v>
      </c>
      <c r="AP239" s="101"/>
      <c r="AQ239" s="101"/>
      <c r="AR239" s="101"/>
      <c r="AS239" s="101"/>
      <c r="AT239" s="101"/>
      <c r="AU239" s="101"/>
      <c r="AV239" s="101"/>
      <c r="AW239" s="101"/>
      <c r="AX239" s="101"/>
      <c r="AY239" s="101"/>
      <c r="AZ239" s="101"/>
      <c r="BA239" s="101"/>
      <c r="BB239" s="101"/>
      <c r="BC239" s="101"/>
      <c r="BD239" s="101"/>
      <c r="BE239" s="101"/>
      <c r="BF239" s="101"/>
      <c r="BG239" s="101"/>
      <c r="BH239" s="101"/>
      <c r="BI239" s="101"/>
      <c r="BJ239" s="101"/>
      <c r="BK239" s="101"/>
      <c r="BL239" s="101"/>
      <c r="BM239" s="101"/>
      <c r="BN239" s="101"/>
      <c r="BO239" s="101"/>
      <c r="BP239" s="101"/>
      <c r="BQ239" s="101"/>
    </row>
    <row r="240" spans="9:69">
      <c r="I240" s="255">
        <f>COUNTIF(I241:I244,"&lt;&gt;TS")</f>
        <v>3</v>
      </c>
      <c r="J240" s="106" t="s">
        <v>552</v>
      </c>
      <c r="K240" s="106" t="s">
        <v>812</v>
      </c>
      <c r="L240" s="106"/>
      <c r="M240" s="106"/>
      <c r="N240" s="106"/>
      <c r="O240" s="106"/>
      <c r="P240" s="106"/>
      <c r="Q240" s="106"/>
      <c r="R240" s="106"/>
      <c r="S240" s="106"/>
      <c r="T240" s="106"/>
      <c r="U240" s="107"/>
      <c r="V240" s="107"/>
      <c r="W240" s="106"/>
      <c r="X240" s="106"/>
      <c r="Y240" s="106"/>
      <c r="Z240" s="106"/>
      <c r="AA240" s="106"/>
      <c r="AB240" s="106"/>
      <c r="AC240" s="106"/>
      <c r="AD240" s="106"/>
      <c r="AE240" s="106"/>
      <c r="AF240" s="106"/>
      <c r="AG240" s="106"/>
      <c r="AH240" s="106"/>
      <c r="AI240" s="106"/>
      <c r="AJ240" s="106"/>
      <c r="AK240" s="106"/>
      <c r="AL240" s="106"/>
      <c r="AM240" s="106"/>
      <c r="AN240" s="106"/>
      <c r="AO240" s="106"/>
      <c r="AP240" s="106"/>
      <c r="AQ240" s="106"/>
      <c r="AR240" s="106"/>
      <c r="AS240" s="106"/>
      <c r="AT240" s="106"/>
      <c r="AU240" s="106"/>
      <c r="AV240" s="106"/>
      <c r="AW240" s="106"/>
      <c r="AX240" s="106"/>
      <c r="AY240" s="106"/>
      <c r="AZ240" s="106"/>
      <c r="BA240" s="106"/>
      <c r="BB240" s="106"/>
      <c r="BC240" s="106"/>
      <c r="BD240" s="106"/>
      <c r="BE240" s="106"/>
      <c r="BF240" s="106"/>
      <c r="BG240" s="106"/>
      <c r="BH240" s="106"/>
      <c r="BI240" s="106"/>
      <c r="BJ240" s="106"/>
      <c r="BK240" s="106"/>
      <c r="BL240" s="106"/>
      <c r="BM240" s="106"/>
      <c r="BN240" s="106"/>
      <c r="BO240" s="106"/>
      <c r="BP240" s="106"/>
      <c r="BQ240" s="106"/>
    </row>
    <row r="241" spans="3:69">
      <c r="C241" s="4"/>
      <c r="I241" s="108" t="s">
        <v>7</v>
      </c>
      <c r="J241" s="108" t="s">
        <v>1060</v>
      </c>
      <c r="K241" s="109" t="s">
        <v>1660</v>
      </c>
      <c r="L241" s="109"/>
      <c r="M241" s="109"/>
      <c r="N241" s="109"/>
      <c r="O241" s="109"/>
      <c r="P241" s="109"/>
      <c r="Q241" s="109"/>
      <c r="R241" s="109"/>
      <c r="S241" s="109"/>
      <c r="T241" s="109"/>
      <c r="U241" s="110"/>
      <c r="V241" s="110"/>
      <c r="W241" s="109"/>
      <c r="X241" s="109"/>
      <c r="Y241" s="109"/>
      <c r="Z241" s="109"/>
      <c r="AA241" s="109"/>
      <c r="AB241" s="109"/>
      <c r="AC241" s="109"/>
      <c r="AD241" s="109"/>
      <c r="AE241" s="109"/>
      <c r="AF241" s="109"/>
      <c r="AG241" s="109"/>
      <c r="AH241" s="109"/>
      <c r="AI241" s="109"/>
      <c r="AJ241" s="109"/>
      <c r="AK241" s="109"/>
      <c r="AL241" s="109"/>
      <c r="AM241" s="109"/>
      <c r="AN241" s="109"/>
      <c r="AO241" s="109"/>
      <c r="AP241" s="109"/>
      <c r="AQ241" s="109"/>
      <c r="AR241" s="109"/>
      <c r="AS241" s="109"/>
      <c r="AT241" s="109"/>
      <c r="AU241" s="109"/>
      <c r="AV241" s="109"/>
      <c r="AW241" s="109"/>
      <c r="AX241" s="109"/>
      <c r="AY241" s="109"/>
      <c r="AZ241" s="109"/>
      <c r="BA241" s="109"/>
      <c r="BB241" s="109"/>
      <c r="BC241" s="109"/>
      <c r="BD241" s="109"/>
      <c r="BE241" s="109"/>
      <c r="BF241" s="109"/>
      <c r="BG241" s="109"/>
      <c r="BH241" s="109"/>
      <c r="BI241" s="109"/>
      <c r="BJ241" s="109"/>
      <c r="BK241" s="109"/>
      <c r="BL241" s="109"/>
      <c r="BM241" s="109"/>
      <c r="BN241" s="109"/>
      <c r="BO241" s="109"/>
      <c r="BP241" s="109"/>
      <c r="BQ241" s="109"/>
    </row>
    <row r="242" spans="3:69" ht="13.5">
      <c r="I242" s="220" t="s">
        <v>48</v>
      </c>
      <c r="J242" s="220" t="s">
        <v>1061</v>
      </c>
      <c r="K242" s="100">
        <v>10</v>
      </c>
      <c r="L242" s="100">
        <v>5</v>
      </c>
      <c r="M242" s="100">
        <v>13</v>
      </c>
      <c r="N242" s="101"/>
      <c r="O242" s="101"/>
      <c r="P242" s="101"/>
      <c r="Q242" s="101"/>
      <c r="R242" s="101"/>
      <c r="S242" s="101"/>
      <c r="T242" s="94" t="s">
        <v>209</v>
      </c>
      <c r="U242" s="100" t="s">
        <v>1627</v>
      </c>
      <c r="V242" s="99">
        <v>10</v>
      </c>
      <c r="W242" s="101"/>
      <c r="X242" s="101"/>
      <c r="Y242" s="101"/>
      <c r="Z242" s="101"/>
      <c r="AA242" s="101"/>
      <c r="AB242" s="101"/>
      <c r="AC242" s="101"/>
      <c r="AD242" s="101"/>
      <c r="AE242" s="101"/>
      <c r="AF242" s="100">
        <v>7</v>
      </c>
      <c r="AG242" s="101"/>
      <c r="AH242" s="101"/>
      <c r="AI242" s="101"/>
      <c r="AJ242" s="101"/>
      <c r="AK242" s="101"/>
      <c r="AL242" s="101"/>
      <c r="AM242" s="101"/>
      <c r="AN242" s="101"/>
      <c r="AO242" s="101"/>
      <c r="AP242" s="101"/>
      <c r="AQ242" s="101"/>
      <c r="AR242" s="101"/>
      <c r="AS242" s="101"/>
      <c r="AT242" s="101"/>
      <c r="AU242" s="101"/>
      <c r="AV242" s="101"/>
      <c r="AW242" s="101"/>
      <c r="AX242" s="101"/>
      <c r="AY242" s="101"/>
      <c r="AZ242" s="101"/>
      <c r="BA242" s="101"/>
      <c r="BB242" s="101"/>
      <c r="BC242" s="101"/>
      <c r="BD242" s="101"/>
      <c r="BE242" s="101"/>
      <c r="BF242" s="101"/>
      <c r="BG242" s="101"/>
      <c r="BH242" s="101"/>
      <c r="BI242" s="101"/>
      <c r="BJ242" s="101"/>
      <c r="BK242" s="101"/>
      <c r="BL242" s="101"/>
      <c r="BM242" s="101"/>
      <c r="BN242" s="101"/>
      <c r="BO242" s="101"/>
      <c r="BP242" s="101"/>
      <c r="BQ242" s="101"/>
    </row>
    <row r="243" spans="3:69">
      <c r="I243" s="220" t="s">
        <v>901</v>
      </c>
      <c r="J243" s="220" t="s">
        <v>1062</v>
      </c>
      <c r="K243" s="221">
        <f t="shared" ref="K243:M244" si="131">K242</f>
        <v>10</v>
      </c>
      <c r="L243" s="221">
        <f t="shared" si="131"/>
        <v>5</v>
      </c>
      <c r="M243" s="221">
        <f t="shared" si="131"/>
        <v>13</v>
      </c>
      <c r="N243" s="101"/>
      <c r="O243" s="101"/>
      <c r="P243" s="101"/>
      <c r="Q243" s="101"/>
      <c r="R243" s="101"/>
      <c r="S243" s="101"/>
      <c r="T243" s="111" t="s">
        <v>244</v>
      </c>
      <c r="U243" s="99">
        <v>1</v>
      </c>
      <c r="V243" s="99">
        <v>2</v>
      </c>
      <c r="W243" s="101"/>
      <c r="X243" s="101"/>
      <c r="Y243" s="101"/>
      <c r="Z243" s="101"/>
      <c r="AA243" s="101"/>
      <c r="AB243" s="101"/>
      <c r="AC243" s="101"/>
      <c r="AD243" s="101"/>
      <c r="AE243" s="101"/>
      <c r="AF243" s="100">
        <v>8</v>
      </c>
      <c r="AG243" s="101"/>
      <c r="AH243" s="101"/>
      <c r="AI243" s="101"/>
      <c r="AJ243" s="101"/>
      <c r="AK243" s="101"/>
      <c r="AL243" s="101"/>
      <c r="AM243" s="101"/>
      <c r="AN243" s="101"/>
      <c r="AO243" s="101"/>
      <c r="AP243" s="101"/>
      <c r="AQ243" s="101"/>
      <c r="AR243" s="101"/>
      <c r="AS243" s="101"/>
      <c r="AT243" s="101"/>
      <c r="AU243" s="101"/>
      <c r="AV243" s="101"/>
      <c r="AW243" s="101"/>
      <c r="AX243" s="101"/>
      <c r="AY243" s="101"/>
      <c r="AZ243" s="101"/>
      <c r="BA243" s="101"/>
      <c r="BB243" s="101"/>
      <c r="BC243" s="101"/>
      <c r="BD243" s="101"/>
      <c r="BE243" s="101"/>
      <c r="BF243" s="101"/>
      <c r="BG243" s="101"/>
      <c r="BH243" s="101"/>
      <c r="BI243" s="101"/>
      <c r="BJ243" s="101"/>
      <c r="BK243" s="101"/>
      <c r="BL243" s="101"/>
      <c r="BM243" s="101"/>
      <c r="BN243" s="101"/>
      <c r="BO243" s="101"/>
      <c r="BP243" s="101"/>
      <c r="BQ243" s="101"/>
    </row>
    <row r="244" spans="3:69">
      <c r="I244" s="220" t="s">
        <v>901</v>
      </c>
      <c r="J244" s="220" t="s">
        <v>1074</v>
      </c>
      <c r="K244" s="221">
        <f t="shared" si="131"/>
        <v>10</v>
      </c>
      <c r="L244" s="221">
        <f t="shared" si="131"/>
        <v>5</v>
      </c>
      <c r="M244" s="221">
        <f t="shared" si="131"/>
        <v>13</v>
      </c>
      <c r="N244" s="101"/>
      <c r="O244" s="101"/>
      <c r="P244" s="101"/>
      <c r="Q244" s="101"/>
      <c r="R244" s="101"/>
      <c r="S244" s="101"/>
      <c r="T244" s="111" t="s">
        <v>245</v>
      </c>
      <c r="U244" s="99">
        <v>1</v>
      </c>
      <c r="V244" s="99">
        <v>2</v>
      </c>
      <c r="W244" s="101"/>
      <c r="X244" s="101"/>
      <c r="Y244" s="101"/>
      <c r="Z244" s="101"/>
      <c r="AA244" s="101"/>
      <c r="AB244" s="101"/>
      <c r="AC244" s="101"/>
      <c r="AD244" s="101"/>
      <c r="AE244" s="101"/>
      <c r="AF244" s="100">
        <v>7</v>
      </c>
      <c r="AG244" s="101"/>
      <c r="AH244" s="101"/>
      <c r="AI244" s="101"/>
      <c r="AJ244" s="101"/>
      <c r="AK244" s="101"/>
      <c r="AL244" s="101"/>
      <c r="AM244" s="101"/>
      <c r="AN244" s="101"/>
      <c r="AO244" s="101"/>
      <c r="AP244" s="101"/>
      <c r="AQ244" s="101"/>
      <c r="AR244" s="101"/>
      <c r="AS244" s="101"/>
      <c r="AT244" s="101"/>
      <c r="AU244" s="101"/>
      <c r="AV244" s="101"/>
      <c r="AW244" s="101"/>
      <c r="AX244" s="101"/>
      <c r="AY244" s="101"/>
      <c r="AZ244" s="101"/>
      <c r="BA244" s="101"/>
      <c r="BB244" s="101"/>
      <c r="BC244" s="101"/>
      <c r="BD244" s="101"/>
      <c r="BE244" s="101"/>
      <c r="BF244" s="101"/>
      <c r="BG244" s="101"/>
      <c r="BH244" s="101"/>
      <c r="BI244" s="101"/>
      <c r="BJ244" s="101"/>
      <c r="BK244" s="101"/>
      <c r="BL244" s="101"/>
      <c r="BM244" s="101"/>
      <c r="BN244" s="101"/>
      <c r="BO244" s="101"/>
      <c r="BP244" s="101"/>
      <c r="BQ244" s="101"/>
    </row>
    <row r="245" spans="3:69">
      <c r="I245" s="255">
        <f>COUNTIF(I246:I249,"&lt;&gt;TS")</f>
        <v>3</v>
      </c>
      <c r="J245" s="106" t="s">
        <v>553</v>
      </c>
      <c r="K245" s="106" t="s">
        <v>1171</v>
      </c>
      <c r="L245" s="106"/>
      <c r="M245" s="106"/>
      <c r="N245" s="106"/>
      <c r="O245" s="106"/>
      <c r="P245" s="106"/>
      <c r="Q245" s="106"/>
      <c r="R245" s="106"/>
      <c r="S245" s="106"/>
      <c r="T245" s="106"/>
      <c r="U245" s="107"/>
      <c r="V245" s="107"/>
      <c r="W245" s="106"/>
      <c r="X245" s="106"/>
      <c r="Y245" s="106"/>
      <c r="Z245" s="106"/>
      <c r="AA245" s="106"/>
      <c r="AB245" s="106"/>
      <c r="AC245" s="106"/>
      <c r="AD245" s="106"/>
      <c r="AE245" s="106"/>
      <c r="AF245" s="106"/>
      <c r="AG245" s="106"/>
      <c r="AH245" s="106"/>
      <c r="AI245" s="106"/>
      <c r="AJ245" s="106"/>
      <c r="AK245" s="106"/>
      <c r="AL245" s="106"/>
      <c r="AM245" s="106"/>
      <c r="AN245" s="106"/>
      <c r="AO245" s="106"/>
      <c r="AP245" s="106"/>
      <c r="AQ245" s="106"/>
      <c r="AR245" s="106"/>
      <c r="AS245" s="106"/>
      <c r="AT245" s="106"/>
      <c r="AU245" s="106"/>
      <c r="AV245" s="106"/>
      <c r="AW245" s="106"/>
      <c r="AX245" s="106"/>
      <c r="AY245" s="106"/>
      <c r="AZ245" s="106"/>
      <c r="BA245" s="106"/>
      <c r="BB245" s="106"/>
      <c r="BC245" s="106"/>
      <c r="BD245" s="106"/>
      <c r="BE245" s="106"/>
      <c r="BF245" s="106"/>
      <c r="BG245" s="106"/>
      <c r="BH245" s="106"/>
      <c r="BI245" s="106"/>
      <c r="BJ245" s="106"/>
      <c r="BK245" s="106"/>
      <c r="BL245" s="106"/>
      <c r="BM245" s="106"/>
      <c r="BN245" s="106"/>
      <c r="BO245" s="106"/>
      <c r="BP245" s="106"/>
      <c r="BQ245" s="106"/>
    </row>
    <row r="246" spans="3:69">
      <c r="C246" s="4"/>
      <c r="I246" s="108" t="s">
        <v>7</v>
      </c>
      <c r="J246" s="108" t="s">
        <v>1168</v>
      </c>
      <c r="K246" s="109" t="s">
        <v>1661</v>
      </c>
      <c r="L246" s="109"/>
      <c r="M246" s="109"/>
      <c r="N246" s="109"/>
      <c r="O246" s="109"/>
      <c r="P246" s="109"/>
      <c r="Q246" s="109"/>
      <c r="R246" s="109"/>
      <c r="S246" s="109"/>
      <c r="T246" s="109"/>
      <c r="U246" s="110"/>
      <c r="V246" s="110"/>
      <c r="W246" s="109"/>
      <c r="X246" s="109"/>
      <c r="Y246" s="109"/>
      <c r="Z246" s="109"/>
      <c r="AA246" s="109"/>
      <c r="AB246" s="109"/>
      <c r="AC246" s="109"/>
      <c r="AD246" s="109"/>
      <c r="AE246" s="109"/>
      <c r="AF246" s="109"/>
      <c r="AG246" s="109"/>
      <c r="AH246" s="109"/>
      <c r="AI246" s="109"/>
      <c r="AJ246" s="109"/>
      <c r="AK246" s="109"/>
      <c r="AL246" s="109"/>
      <c r="AM246" s="109"/>
      <c r="AN246" s="109"/>
      <c r="AO246" s="109"/>
      <c r="AP246" s="109"/>
      <c r="AQ246" s="109"/>
      <c r="AR246" s="109"/>
      <c r="AS246" s="109"/>
      <c r="AT246" s="109"/>
      <c r="AU246" s="109"/>
      <c r="AV246" s="109"/>
      <c r="AW246" s="109"/>
      <c r="AX246" s="109"/>
      <c r="AY246" s="109"/>
      <c r="AZ246" s="109"/>
      <c r="BA246" s="109"/>
      <c r="BB246" s="109"/>
      <c r="BC246" s="109"/>
      <c r="BD246" s="109"/>
      <c r="BE246" s="109"/>
      <c r="BF246" s="109"/>
      <c r="BG246" s="109"/>
      <c r="BH246" s="109"/>
      <c r="BI246" s="109"/>
      <c r="BJ246" s="109"/>
      <c r="BK246" s="109"/>
      <c r="BL246" s="109"/>
      <c r="BM246" s="109"/>
      <c r="BN246" s="109"/>
      <c r="BO246" s="109"/>
      <c r="BP246" s="109"/>
      <c r="BQ246" s="109"/>
    </row>
    <row r="247" spans="3:69">
      <c r="I247" s="220" t="s">
        <v>48</v>
      </c>
      <c r="J247" s="220" t="s">
        <v>1339</v>
      </c>
      <c r="K247" s="100">
        <v>25</v>
      </c>
      <c r="L247" s="100">
        <v>25</v>
      </c>
      <c r="M247" s="100">
        <v>13</v>
      </c>
      <c r="N247" s="101"/>
      <c r="O247" s="101"/>
      <c r="P247" s="101"/>
      <c r="Q247" s="101"/>
      <c r="R247" s="101"/>
      <c r="S247" s="101"/>
      <c r="T247" s="94" t="s">
        <v>209</v>
      </c>
      <c r="U247" s="100" t="e">
        <f>IF(FLAG_Country&lt;&gt;"USA","설정 온도 22 degC, AUTO ON (SYNC ON) 선택 상태 설정","설정 온도 72 degF, AUTO ON (SYNC ON) 선택 상태 설정")</f>
        <v>#NAME?</v>
      </c>
      <c r="V247" s="99">
        <v>10</v>
      </c>
      <c r="W247" s="101"/>
      <c r="X247" s="101"/>
      <c r="Y247" s="101"/>
      <c r="Z247" s="101"/>
      <c r="AA247" s="101"/>
      <c r="AB247" s="101"/>
      <c r="AC247" s="101"/>
      <c r="AD247" s="101"/>
      <c r="AE247" s="101"/>
      <c r="AF247" s="101"/>
      <c r="AG247" s="101"/>
      <c r="AH247" s="101"/>
      <c r="AI247" s="101"/>
      <c r="AJ247" s="101"/>
      <c r="AK247" s="101"/>
      <c r="AL247" s="101"/>
      <c r="AM247" s="101"/>
      <c r="AN247" s="101"/>
      <c r="AO247" s="100" t="s">
        <v>49</v>
      </c>
      <c r="AP247" s="101"/>
      <c r="AQ247" s="101"/>
      <c r="AR247" s="101"/>
      <c r="AS247" s="101"/>
      <c r="AT247" s="101"/>
      <c r="AU247" s="101"/>
      <c r="AV247" s="101"/>
      <c r="AW247" s="101"/>
      <c r="AX247" s="101"/>
      <c r="AY247" s="101"/>
      <c r="AZ247" s="101"/>
      <c r="BA247" s="101"/>
      <c r="BB247" s="101"/>
      <c r="BC247" s="101"/>
      <c r="BD247" s="101"/>
      <c r="BE247" s="101"/>
      <c r="BF247" s="101"/>
      <c r="BG247" s="101"/>
      <c r="BH247" s="101"/>
      <c r="BI247" s="101"/>
      <c r="BJ247" s="101"/>
      <c r="BK247" s="101"/>
      <c r="BL247" s="101"/>
      <c r="BM247" s="101"/>
      <c r="BN247" s="101"/>
      <c r="BO247" s="101"/>
      <c r="BP247" s="101"/>
      <c r="BQ247" s="101"/>
    </row>
    <row r="248" spans="3:69">
      <c r="I248" s="220" t="s">
        <v>901</v>
      </c>
      <c r="J248" s="220" t="s">
        <v>1340</v>
      </c>
      <c r="K248" s="221">
        <f t="shared" ref="K248:M249" si="132">K247</f>
        <v>25</v>
      </c>
      <c r="L248" s="221">
        <f t="shared" si="132"/>
        <v>25</v>
      </c>
      <c r="M248" s="221">
        <f t="shared" si="132"/>
        <v>13</v>
      </c>
      <c r="N248" s="101"/>
      <c r="O248" s="101"/>
      <c r="P248" s="101"/>
      <c r="Q248" s="101"/>
      <c r="R248" s="101"/>
      <c r="S248" s="101"/>
      <c r="T248" s="94" t="s">
        <v>209</v>
      </c>
      <c r="U248" s="100" t="s">
        <v>1646</v>
      </c>
      <c r="V248" s="99">
        <v>2</v>
      </c>
      <c r="W248" s="101"/>
      <c r="X248" s="101"/>
      <c r="Y248" s="101"/>
      <c r="Z248" s="101"/>
      <c r="AA248" s="101"/>
      <c r="AB248" s="101"/>
      <c r="AC248" s="101"/>
      <c r="AD248" s="101"/>
      <c r="AE248" s="101"/>
      <c r="AF248" s="101"/>
      <c r="AG248" s="101"/>
      <c r="AH248" s="101"/>
      <c r="AI248" s="101"/>
      <c r="AJ248" s="101"/>
      <c r="AK248" s="101"/>
      <c r="AL248" s="101"/>
      <c r="AM248" s="101"/>
      <c r="AN248" s="101"/>
      <c r="AO248" s="100" t="s">
        <v>49</v>
      </c>
      <c r="AP248" s="101"/>
      <c r="AQ248" s="101"/>
      <c r="AR248" s="101"/>
      <c r="AS248" s="101"/>
      <c r="AT248" s="101"/>
      <c r="AU248" s="101"/>
      <c r="AV248" s="101"/>
      <c r="AW248" s="101"/>
      <c r="AX248" s="101"/>
      <c r="AY248" s="101"/>
      <c r="AZ248" s="101"/>
      <c r="BA248" s="101"/>
      <c r="BB248" s="101"/>
      <c r="BC248" s="101"/>
      <c r="BD248" s="101"/>
      <c r="BE248" s="101"/>
      <c r="BF248" s="101"/>
      <c r="BG248" s="101"/>
      <c r="BH248" s="101"/>
      <c r="BI248" s="101"/>
      <c r="BJ248" s="101"/>
      <c r="BK248" s="101"/>
      <c r="BL248" s="101"/>
      <c r="BM248" s="101"/>
      <c r="BN248" s="101"/>
      <c r="BO248" s="101"/>
      <c r="BP248" s="101"/>
      <c r="BQ248" s="101"/>
    </row>
    <row r="249" spans="3:69">
      <c r="C249" s="4"/>
      <c r="I249" s="220" t="s">
        <v>901</v>
      </c>
      <c r="J249" s="220" t="s">
        <v>1341</v>
      </c>
      <c r="K249" s="221">
        <f t="shared" si="132"/>
        <v>25</v>
      </c>
      <c r="L249" s="221">
        <f t="shared" si="132"/>
        <v>25</v>
      </c>
      <c r="M249" s="221">
        <f t="shared" si="132"/>
        <v>13</v>
      </c>
      <c r="N249" s="101"/>
      <c r="O249" s="101"/>
      <c r="P249" s="101"/>
      <c r="Q249" s="101"/>
      <c r="R249" s="101"/>
      <c r="S249" s="101"/>
      <c r="T249" s="94" t="s">
        <v>209</v>
      </c>
      <c r="U249" s="100" t="s">
        <v>1172</v>
      </c>
      <c r="V249" s="95">
        <v>1</v>
      </c>
      <c r="W249" s="101"/>
      <c r="X249" s="101"/>
      <c r="Y249" s="101"/>
      <c r="Z249" s="101"/>
      <c r="AA249" s="101"/>
      <c r="AB249" s="101"/>
      <c r="AC249" s="101"/>
      <c r="AD249" s="101"/>
      <c r="AE249" s="101"/>
      <c r="AF249" s="101"/>
      <c r="AG249" s="101"/>
      <c r="AH249" s="101"/>
      <c r="AI249" s="101"/>
      <c r="AJ249" s="101"/>
      <c r="AK249" s="101"/>
      <c r="AL249" s="101"/>
      <c r="AM249" s="101"/>
      <c r="AN249" s="101"/>
      <c r="AO249" s="100" t="s">
        <v>49</v>
      </c>
      <c r="AP249" s="101"/>
      <c r="AQ249" s="101"/>
      <c r="AR249" s="101"/>
      <c r="AS249" s="101"/>
      <c r="AT249" s="101"/>
      <c r="AU249" s="101"/>
      <c r="AV249" s="101"/>
      <c r="AW249" s="101"/>
      <c r="AX249" s="101"/>
      <c r="AY249" s="101"/>
      <c r="AZ249" s="101"/>
      <c r="BA249" s="101"/>
      <c r="BB249" s="101"/>
      <c r="BC249" s="101"/>
      <c r="BD249" s="101"/>
      <c r="BE249" s="101"/>
      <c r="BF249" s="101"/>
      <c r="BG249" s="101"/>
      <c r="BH249" s="101"/>
      <c r="BI249" s="101"/>
      <c r="BJ249" s="101"/>
      <c r="BK249" s="101"/>
      <c r="BL249" s="101"/>
      <c r="BM249" s="101"/>
      <c r="BN249" s="101"/>
      <c r="BO249" s="101"/>
      <c r="BP249" s="101"/>
      <c r="BQ249" s="101"/>
    </row>
    <row r="250" spans="3:69">
      <c r="I250" s="255">
        <f>COUNTIF(I251:I254,"&lt;&gt;TS")</f>
        <v>3</v>
      </c>
      <c r="J250" s="106" t="s">
        <v>554</v>
      </c>
      <c r="K250" s="106" t="s">
        <v>1662</v>
      </c>
      <c r="L250" s="106"/>
      <c r="M250" s="106"/>
      <c r="N250" s="106"/>
      <c r="O250" s="106"/>
      <c r="P250" s="106"/>
      <c r="Q250" s="106"/>
      <c r="R250" s="106"/>
      <c r="S250" s="106"/>
      <c r="T250" s="106"/>
      <c r="U250" s="107"/>
      <c r="V250" s="107"/>
      <c r="W250" s="106"/>
      <c r="X250" s="106"/>
      <c r="Y250" s="106"/>
      <c r="Z250" s="106"/>
      <c r="AA250" s="106"/>
      <c r="AB250" s="106"/>
      <c r="AC250" s="106"/>
      <c r="AD250" s="106"/>
      <c r="AE250" s="106"/>
      <c r="AF250" s="106"/>
      <c r="AG250" s="106"/>
      <c r="AH250" s="106"/>
      <c r="AI250" s="106"/>
      <c r="AJ250" s="106"/>
      <c r="AK250" s="106"/>
      <c r="AL250" s="106"/>
      <c r="AM250" s="106"/>
      <c r="AN250" s="106"/>
      <c r="AO250" s="106"/>
      <c r="AP250" s="106"/>
      <c r="AQ250" s="106"/>
      <c r="AR250" s="106"/>
      <c r="AS250" s="106"/>
      <c r="AT250" s="106"/>
      <c r="AU250" s="106"/>
      <c r="AV250" s="106"/>
      <c r="AW250" s="106"/>
      <c r="AX250" s="106"/>
      <c r="AY250" s="106"/>
      <c r="AZ250" s="106"/>
      <c r="BA250" s="106"/>
      <c r="BB250" s="106"/>
      <c r="BC250" s="106"/>
      <c r="BD250" s="106"/>
      <c r="BE250" s="106"/>
      <c r="BF250" s="106"/>
      <c r="BG250" s="106"/>
      <c r="BH250" s="106"/>
      <c r="BI250" s="106"/>
      <c r="BJ250" s="106"/>
      <c r="BK250" s="106"/>
      <c r="BL250" s="106"/>
      <c r="BM250" s="106"/>
      <c r="BN250" s="106"/>
      <c r="BO250" s="106"/>
      <c r="BP250" s="106"/>
      <c r="BQ250" s="106"/>
    </row>
    <row r="251" spans="3:69">
      <c r="I251" s="108" t="s">
        <v>7</v>
      </c>
      <c r="J251" s="108" t="s">
        <v>1221</v>
      </c>
      <c r="K251" s="109" t="s">
        <v>1663</v>
      </c>
      <c r="L251" s="109"/>
      <c r="M251" s="109"/>
      <c r="N251" s="109"/>
      <c r="O251" s="109"/>
      <c r="P251" s="109"/>
      <c r="Q251" s="109"/>
      <c r="R251" s="109"/>
      <c r="S251" s="109"/>
      <c r="T251" s="109"/>
      <c r="U251" s="110"/>
      <c r="V251" s="110"/>
      <c r="W251" s="109"/>
      <c r="X251" s="109"/>
      <c r="Y251" s="109"/>
      <c r="Z251" s="109"/>
      <c r="AA251" s="109"/>
      <c r="AB251" s="109"/>
      <c r="AC251" s="109"/>
      <c r="AD251" s="109"/>
      <c r="AE251" s="109"/>
      <c r="AF251" s="109"/>
      <c r="AG251" s="109"/>
      <c r="AH251" s="109"/>
      <c r="AI251" s="109"/>
      <c r="AJ251" s="109"/>
      <c r="AK251" s="109"/>
      <c r="AL251" s="109"/>
      <c r="AM251" s="109"/>
      <c r="AN251" s="109"/>
      <c r="AO251" s="109"/>
      <c r="AP251" s="109"/>
      <c r="AQ251" s="109"/>
      <c r="AR251" s="109"/>
      <c r="AS251" s="109"/>
      <c r="AT251" s="109"/>
      <c r="AU251" s="109"/>
      <c r="AV251" s="109"/>
      <c r="AW251" s="109"/>
      <c r="AX251" s="109"/>
      <c r="AY251" s="109"/>
      <c r="AZ251" s="109"/>
      <c r="BA251" s="109"/>
      <c r="BB251" s="109"/>
      <c r="BC251" s="109"/>
      <c r="BD251" s="109"/>
      <c r="BE251" s="109"/>
      <c r="BF251" s="109"/>
      <c r="BG251" s="109"/>
      <c r="BH251" s="109"/>
      <c r="BI251" s="109"/>
      <c r="BJ251" s="109"/>
      <c r="BK251" s="109"/>
      <c r="BL251" s="109"/>
      <c r="BM251" s="109"/>
      <c r="BN251" s="109"/>
      <c r="BO251" s="109"/>
      <c r="BP251" s="109"/>
      <c r="BQ251" s="109"/>
    </row>
    <row r="252" spans="3:69">
      <c r="I252" s="220" t="s">
        <v>48</v>
      </c>
      <c r="J252" s="220" t="s">
        <v>1222</v>
      </c>
      <c r="K252" s="100">
        <v>60</v>
      </c>
      <c r="L252" s="100">
        <v>30</v>
      </c>
      <c r="M252" s="100">
        <v>13</v>
      </c>
      <c r="N252" s="101"/>
      <c r="O252" s="101"/>
      <c r="P252" s="101"/>
      <c r="Q252" s="101"/>
      <c r="R252" s="101"/>
      <c r="S252" s="101"/>
      <c r="T252" s="111" t="s">
        <v>205</v>
      </c>
      <c r="U252" s="99" t="s">
        <v>420</v>
      </c>
      <c r="V252" s="99">
        <v>10</v>
      </c>
      <c r="W252" s="101"/>
      <c r="X252" s="101"/>
      <c r="Y252" s="101"/>
      <c r="Z252" s="101"/>
      <c r="AA252" s="101"/>
      <c r="AB252" s="101"/>
      <c r="AC252" s="101"/>
      <c r="AD252" s="101"/>
      <c r="AE252" s="101"/>
      <c r="AF252" s="100">
        <v>8</v>
      </c>
      <c r="AG252" s="100">
        <v>8</v>
      </c>
      <c r="AH252" s="101"/>
      <c r="AI252" s="101"/>
      <c r="AJ252" s="101"/>
      <c r="AK252" s="101"/>
      <c r="AL252" s="101"/>
      <c r="AM252" s="101"/>
      <c r="AN252" s="100" t="s">
        <v>49</v>
      </c>
      <c r="AO252" s="100" t="s">
        <v>49</v>
      </c>
      <c r="AP252" s="101"/>
      <c r="AQ252" s="101"/>
      <c r="AR252" s="101"/>
      <c r="AS252" s="101"/>
      <c r="AT252" s="101"/>
      <c r="AU252" s="101"/>
      <c r="AV252" s="101"/>
      <c r="AW252" s="101"/>
      <c r="AX252" s="101"/>
      <c r="AY252" s="101"/>
      <c r="AZ252" s="101"/>
      <c r="BA252" s="101"/>
      <c r="BB252" s="101"/>
      <c r="BC252" s="101"/>
      <c r="BD252" s="101"/>
      <c r="BE252" s="101"/>
      <c r="BF252" s="101"/>
      <c r="BG252" s="101"/>
      <c r="BH252" s="101"/>
      <c r="BI252" s="101"/>
      <c r="BJ252" s="101"/>
      <c r="BK252" s="101"/>
      <c r="BL252" s="101"/>
      <c r="BM252" s="101"/>
      <c r="BN252" s="101"/>
      <c r="BO252" s="101"/>
      <c r="BP252" s="101"/>
      <c r="BQ252" s="101"/>
    </row>
    <row r="253" spans="3:69">
      <c r="I253" s="220" t="s">
        <v>901</v>
      </c>
      <c r="J253" s="220" t="s">
        <v>1223</v>
      </c>
      <c r="K253" s="221">
        <f t="shared" ref="K253:M254" si="133">K252</f>
        <v>60</v>
      </c>
      <c r="L253" s="221">
        <f t="shared" si="133"/>
        <v>30</v>
      </c>
      <c r="M253" s="221">
        <f t="shared" si="133"/>
        <v>13</v>
      </c>
      <c r="N253" s="101"/>
      <c r="O253" s="101"/>
      <c r="P253" s="101"/>
      <c r="Q253" s="101"/>
      <c r="R253" s="101"/>
      <c r="S253" s="101"/>
      <c r="T253" s="111" t="e">
        <f>VS_VehSpd_Kmh</f>
        <v>#NAME?</v>
      </c>
      <c r="U253" s="99">
        <v>0</v>
      </c>
      <c r="V253" s="99">
        <v>2</v>
      </c>
      <c r="W253" s="101"/>
      <c r="X253" s="101"/>
      <c r="Y253" s="101"/>
      <c r="Z253" s="101"/>
      <c r="AA253" s="101"/>
      <c r="AB253" s="101"/>
      <c r="AC253" s="101"/>
      <c r="AD253" s="101"/>
      <c r="AE253" s="101"/>
      <c r="AF253" s="101"/>
      <c r="AG253" s="101"/>
      <c r="AH253" s="101"/>
      <c r="AI253" s="101"/>
      <c r="AJ253" s="101"/>
      <c r="AK253" s="101"/>
      <c r="AL253" s="101"/>
      <c r="AM253" s="101"/>
      <c r="AN253" s="101"/>
      <c r="AO253" s="101"/>
      <c r="AP253" s="101"/>
      <c r="AQ253" s="101"/>
      <c r="AR253" s="101"/>
      <c r="AS253" s="101"/>
      <c r="AT253" s="101"/>
      <c r="AU253" s="101"/>
      <c r="AV253" s="101"/>
      <c r="AW253" s="101"/>
      <c r="AX253" s="101"/>
      <c r="AY253" s="101"/>
      <c r="AZ253" s="101"/>
      <c r="BA253" s="101"/>
      <c r="BB253" s="101"/>
      <c r="BC253" s="101"/>
      <c r="BD253" s="101"/>
      <c r="BE253" s="101"/>
      <c r="BF253" s="101"/>
      <c r="BG253" s="101"/>
      <c r="BH253" s="101"/>
      <c r="BI253" s="101"/>
      <c r="BJ253" s="101"/>
      <c r="BK253" s="101"/>
      <c r="BL253" s="101"/>
      <c r="BM253" s="101"/>
      <c r="BN253" s="101"/>
      <c r="BO253" s="101"/>
      <c r="BP253" s="101"/>
      <c r="BQ253" s="101"/>
    </row>
    <row r="254" spans="3:69">
      <c r="C254" s="4"/>
      <c r="I254" s="220" t="s">
        <v>901</v>
      </c>
      <c r="J254" s="220" t="s">
        <v>1224</v>
      </c>
      <c r="K254" s="221">
        <f t="shared" si="133"/>
        <v>60</v>
      </c>
      <c r="L254" s="221">
        <f t="shared" si="133"/>
        <v>30</v>
      </c>
      <c r="M254" s="221">
        <f t="shared" si="133"/>
        <v>13</v>
      </c>
      <c r="N254" s="101"/>
      <c r="O254" s="101"/>
      <c r="P254" s="101"/>
      <c r="Q254" s="101"/>
      <c r="R254" s="101"/>
      <c r="S254" s="101"/>
      <c r="T254" s="111" t="e">
        <f>VS_VehSpd_Kmh</f>
        <v>#NAME?</v>
      </c>
      <c r="U254" s="99">
        <v>35</v>
      </c>
      <c r="V254" s="99">
        <v>2</v>
      </c>
      <c r="W254" s="101"/>
      <c r="X254" s="101"/>
      <c r="Y254" s="101"/>
      <c r="Z254" s="101"/>
      <c r="AA254" s="101"/>
      <c r="AB254" s="101"/>
      <c r="AC254" s="101"/>
      <c r="AD254" s="101"/>
      <c r="AE254" s="101"/>
      <c r="AF254" s="101"/>
      <c r="AG254" s="101"/>
      <c r="AH254" s="101"/>
      <c r="AI254" s="101"/>
      <c r="AJ254" s="101"/>
      <c r="AK254" s="101"/>
      <c r="AL254" s="101"/>
      <c r="AM254" s="101"/>
      <c r="AN254" s="101"/>
      <c r="AO254" s="101"/>
      <c r="AP254" s="101"/>
      <c r="AQ254" s="101"/>
      <c r="AR254" s="101"/>
      <c r="AS254" s="101"/>
      <c r="AT254" s="101"/>
      <c r="AU254" s="101"/>
      <c r="AV254" s="101"/>
      <c r="AW254" s="101"/>
      <c r="AX254" s="101"/>
      <c r="AY254" s="101"/>
      <c r="AZ254" s="101"/>
      <c r="BA254" s="101"/>
      <c r="BB254" s="101"/>
      <c r="BC254" s="101"/>
      <c r="BD254" s="101"/>
      <c r="BE254" s="101"/>
      <c r="BF254" s="101"/>
      <c r="BG254" s="101"/>
      <c r="BH254" s="101"/>
      <c r="BI254" s="101"/>
      <c r="BJ254" s="101"/>
      <c r="BK254" s="101"/>
      <c r="BL254" s="101"/>
      <c r="BM254" s="101"/>
      <c r="BN254" s="101"/>
      <c r="BO254" s="101"/>
      <c r="BP254" s="101"/>
      <c r="BQ254" s="101"/>
    </row>
    <row r="255" spans="3:69">
      <c r="I255" s="255">
        <f>COUNTIF(I256:I257,"&lt;&gt;TS")</f>
        <v>1</v>
      </c>
      <c r="J255" s="106" t="s">
        <v>555</v>
      </c>
      <c r="K255" s="106" t="s">
        <v>1664</v>
      </c>
      <c r="L255" s="106"/>
      <c r="M255" s="106"/>
      <c r="N255" s="106"/>
      <c r="O255" s="106"/>
      <c r="P255" s="106"/>
      <c r="Q255" s="106"/>
      <c r="R255" s="106"/>
      <c r="S255" s="106"/>
      <c r="T255" s="106"/>
      <c r="U255" s="107"/>
      <c r="V255" s="107"/>
      <c r="W255" s="106"/>
      <c r="X255" s="106"/>
      <c r="Y255" s="106"/>
      <c r="Z255" s="106"/>
      <c r="AA255" s="106"/>
      <c r="AB255" s="106"/>
      <c r="AC255" s="106"/>
      <c r="AD255" s="106"/>
      <c r="AE255" s="106"/>
      <c r="AF255" s="106"/>
      <c r="AG255" s="106"/>
      <c r="AH255" s="106"/>
      <c r="AI255" s="106"/>
      <c r="AJ255" s="106"/>
      <c r="AK255" s="106"/>
      <c r="AL255" s="106"/>
      <c r="AM255" s="106"/>
      <c r="AN255" s="106"/>
      <c r="AO255" s="106"/>
      <c r="AP255" s="106"/>
      <c r="AQ255" s="106"/>
      <c r="AR255" s="106"/>
      <c r="AS255" s="106"/>
      <c r="AT255" s="106"/>
      <c r="AU255" s="106"/>
      <c r="AV255" s="106"/>
      <c r="AW255" s="106"/>
      <c r="AX255" s="106"/>
      <c r="AY255" s="106"/>
      <c r="AZ255" s="106"/>
      <c r="BA255" s="106"/>
      <c r="BB255" s="106"/>
      <c r="BC255" s="106"/>
      <c r="BD255" s="106"/>
      <c r="BE255" s="106"/>
      <c r="BF255" s="106"/>
      <c r="BG255" s="106"/>
      <c r="BH255" s="106"/>
      <c r="BI255" s="106"/>
      <c r="BJ255" s="106"/>
      <c r="BK255" s="106"/>
      <c r="BL255" s="106"/>
      <c r="BM255" s="106"/>
      <c r="BN255" s="106"/>
      <c r="BO255" s="106"/>
      <c r="BP255" s="106"/>
      <c r="BQ255" s="106"/>
    </row>
    <row r="256" spans="3:69">
      <c r="I256" s="108" t="s">
        <v>7</v>
      </c>
      <c r="J256" s="108" t="s">
        <v>1225</v>
      </c>
      <c r="K256" s="109" t="s">
        <v>1665</v>
      </c>
      <c r="L256" s="109"/>
      <c r="M256" s="109"/>
      <c r="N256" s="109"/>
      <c r="O256" s="109"/>
      <c r="P256" s="109"/>
      <c r="Q256" s="109"/>
      <c r="R256" s="109"/>
      <c r="S256" s="109"/>
      <c r="T256" s="109"/>
      <c r="U256" s="110"/>
      <c r="V256" s="110"/>
      <c r="W256" s="109"/>
      <c r="X256" s="109"/>
      <c r="Y256" s="109"/>
      <c r="Z256" s="109"/>
      <c r="AA256" s="109"/>
      <c r="AB256" s="109"/>
      <c r="AC256" s="109"/>
      <c r="AD256" s="109"/>
      <c r="AE256" s="109"/>
      <c r="AF256" s="109"/>
      <c r="AG256" s="109"/>
      <c r="AH256" s="109"/>
      <c r="AI256" s="109"/>
      <c r="AJ256" s="109"/>
      <c r="AK256" s="109"/>
      <c r="AL256" s="109"/>
      <c r="AM256" s="109"/>
      <c r="AN256" s="109"/>
      <c r="AO256" s="109"/>
      <c r="AP256" s="109"/>
      <c r="AQ256" s="109"/>
      <c r="AR256" s="109"/>
      <c r="AS256" s="109"/>
      <c r="AT256" s="109"/>
      <c r="AU256" s="109"/>
      <c r="AV256" s="109"/>
      <c r="AW256" s="109"/>
      <c r="AX256" s="109"/>
      <c r="AY256" s="109"/>
      <c r="AZ256" s="109"/>
      <c r="BA256" s="109"/>
      <c r="BB256" s="109"/>
      <c r="BC256" s="109"/>
      <c r="BD256" s="109"/>
      <c r="BE256" s="109"/>
      <c r="BF256" s="109"/>
      <c r="BG256" s="109"/>
      <c r="BH256" s="109"/>
      <c r="BI256" s="109"/>
      <c r="BJ256" s="109"/>
      <c r="BK256" s="109"/>
      <c r="BL256" s="109"/>
      <c r="BM256" s="109"/>
      <c r="BN256" s="109"/>
      <c r="BO256" s="109"/>
      <c r="BP256" s="109"/>
      <c r="BQ256" s="109"/>
    </row>
    <row r="257" spans="3:69">
      <c r="I257" s="220" t="s">
        <v>48</v>
      </c>
      <c r="J257" s="220" t="s">
        <v>1226</v>
      </c>
      <c r="K257" s="100">
        <v>10</v>
      </c>
      <c r="L257" s="100">
        <v>5</v>
      </c>
      <c r="M257" s="100">
        <v>13</v>
      </c>
      <c r="N257" s="101"/>
      <c r="O257" s="101"/>
      <c r="P257" s="101"/>
      <c r="Q257" s="101"/>
      <c r="R257" s="101"/>
      <c r="S257" s="101"/>
      <c r="T257" s="111" t="s">
        <v>205</v>
      </c>
      <c r="U257" s="99" t="s">
        <v>420</v>
      </c>
      <c r="V257" s="99">
        <v>10</v>
      </c>
      <c r="W257" s="101"/>
      <c r="X257" s="101"/>
      <c r="Y257" s="101"/>
      <c r="Z257" s="101"/>
      <c r="AA257" s="101"/>
      <c r="AB257" s="101"/>
      <c r="AC257" s="101"/>
      <c r="AD257" s="101"/>
      <c r="AE257" s="101"/>
      <c r="AF257" s="101"/>
      <c r="AG257" s="101"/>
      <c r="AH257" s="101"/>
      <c r="AI257" s="101"/>
      <c r="AJ257" s="101"/>
      <c r="AK257" s="101"/>
      <c r="AL257" s="101"/>
      <c r="AM257" s="101"/>
      <c r="AN257" s="101"/>
      <c r="AO257" s="101"/>
      <c r="AP257" s="101"/>
      <c r="AQ257" s="101"/>
      <c r="AR257" s="101"/>
      <c r="AS257" s="101"/>
      <c r="AT257" s="101"/>
      <c r="AU257" s="101"/>
      <c r="AV257" s="101"/>
      <c r="AW257" s="101"/>
      <c r="AX257" s="101"/>
      <c r="AY257" s="101"/>
      <c r="AZ257" s="101"/>
      <c r="BA257" s="101"/>
      <c r="BB257" s="101"/>
      <c r="BC257" s="101"/>
      <c r="BD257" s="101"/>
      <c r="BE257" s="101"/>
      <c r="BF257" s="101"/>
      <c r="BG257" s="101"/>
      <c r="BH257" s="101"/>
      <c r="BI257" s="101"/>
      <c r="BJ257" s="101"/>
      <c r="BK257" s="101"/>
      <c r="BL257" s="101"/>
      <c r="BM257" s="101"/>
      <c r="BN257" s="101"/>
      <c r="BO257" s="101"/>
      <c r="BP257" s="101"/>
      <c r="BQ257" s="101"/>
    </row>
    <row r="258" spans="3:69">
      <c r="I258" s="255">
        <f>COUNTIF(I259:I262,"&lt;&gt;TS")</f>
        <v>3</v>
      </c>
      <c r="J258" s="106" t="s">
        <v>556</v>
      </c>
      <c r="K258" s="106" t="s">
        <v>1666</v>
      </c>
      <c r="L258" s="106"/>
      <c r="M258" s="106"/>
      <c r="N258" s="106"/>
      <c r="O258" s="106"/>
      <c r="P258" s="106"/>
      <c r="Q258" s="106"/>
      <c r="R258" s="106"/>
      <c r="S258" s="106"/>
      <c r="T258" s="106"/>
      <c r="U258" s="107"/>
      <c r="V258" s="107"/>
      <c r="W258" s="106"/>
      <c r="X258" s="106"/>
      <c r="Y258" s="106"/>
      <c r="Z258" s="106"/>
      <c r="AA258" s="106"/>
      <c r="AB258" s="106"/>
      <c r="AC258" s="106"/>
      <c r="AD258" s="106"/>
      <c r="AE258" s="106"/>
      <c r="AF258" s="106"/>
      <c r="AG258" s="106"/>
      <c r="AH258" s="106"/>
      <c r="AI258" s="106"/>
      <c r="AJ258" s="106"/>
      <c r="AK258" s="106"/>
      <c r="AL258" s="106"/>
      <c r="AM258" s="106"/>
      <c r="AN258" s="106"/>
      <c r="AO258" s="106"/>
      <c r="AP258" s="106"/>
      <c r="AQ258" s="106"/>
      <c r="AR258" s="106"/>
      <c r="AS258" s="106"/>
      <c r="AT258" s="106"/>
      <c r="AU258" s="106"/>
      <c r="AV258" s="106"/>
      <c r="AW258" s="106"/>
      <c r="AX258" s="106"/>
      <c r="AY258" s="106"/>
      <c r="AZ258" s="106"/>
      <c r="BA258" s="106"/>
      <c r="BB258" s="106"/>
      <c r="BC258" s="106"/>
      <c r="BD258" s="106"/>
      <c r="BE258" s="106"/>
      <c r="BF258" s="106"/>
      <c r="BG258" s="106"/>
      <c r="BH258" s="106"/>
      <c r="BI258" s="106"/>
      <c r="BJ258" s="106"/>
      <c r="BK258" s="106"/>
      <c r="BL258" s="106"/>
      <c r="BM258" s="106"/>
      <c r="BN258" s="106"/>
      <c r="BO258" s="106"/>
      <c r="BP258" s="106"/>
      <c r="BQ258" s="106"/>
    </row>
    <row r="259" spans="3:69">
      <c r="C259" s="4"/>
      <c r="I259" s="108" t="s">
        <v>7</v>
      </c>
      <c r="J259" s="108" t="s">
        <v>1227</v>
      </c>
      <c r="K259" s="109" t="s">
        <v>1667</v>
      </c>
      <c r="L259" s="109"/>
      <c r="M259" s="109"/>
      <c r="N259" s="109"/>
      <c r="O259" s="109"/>
      <c r="P259" s="109"/>
      <c r="Q259" s="109"/>
      <c r="R259" s="109"/>
      <c r="S259" s="109"/>
      <c r="T259" s="109"/>
      <c r="U259" s="110"/>
      <c r="V259" s="110"/>
      <c r="W259" s="109"/>
      <c r="X259" s="109"/>
      <c r="Y259" s="109"/>
      <c r="Z259" s="109"/>
      <c r="AA259" s="109"/>
      <c r="AB259" s="109"/>
      <c r="AC259" s="109"/>
      <c r="AD259" s="109"/>
      <c r="AE259" s="109"/>
      <c r="AF259" s="109"/>
      <c r="AG259" s="109"/>
      <c r="AH259" s="109"/>
      <c r="AI259" s="109"/>
      <c r="AJ259" s="109"/>
      <c r="AK259" s="109"/>
      <c r="AL259" s="109"/>
      <c r="AM259" s="109"/>
      <c r="AN259" s="109"/>
      <c r="AO259" s="109"/>
      <c r="AP259" s="109"/>
      <c r="AQ259" s="109"/>
      <c r="AR259" s="109"/>
      <c r="AS259" s="109"/>
      <c r="AT259" s="109"/>
      <c r="AU259" s="109"/>
      <c r="AV259" s="109"/>
      <c r="AW259" s="109"/>
      <c r="AX259" s="109"/>
      <c r="AY259" s="109"/>
      <c r="AZ259" s="109"/>
      <c r="BA259" s="109"/>
      <c r="BB259" s="109"/>
      <c r="BC259" s="109"/>
      <c r="BD259" s="109"/>
      <c r="BE259" s="109"/>
      <c r="BF259" s="109"/>
      <c r="BG259" s="109"/>
      <c r="BH259" s="109"/>
      <c r="BI259" s="109"/>
      <c r="BJ259" s="109"/>
      <c r="BK259" s="109"/>
      <c r="BL259" s="109"/>
      <c r="BM259" s="109"/>
      <c r="BN259" s="109"/>
      <c r="BO259" s="109"/>
      <c r="BP259" s="109"/>
      <c r="BQ259" s="109"/>
    </row>
    <row r="260" spans="3:69" ht="13.5">
      <c r="I260" s="220" t="s">
        <v>48</v>
      </c>
      <c r="J260" s="220" t="s">
        <v>1337</v>
      </c>
      <c r="K260" s="221">
        <f>K257</f>
        <v>10</v>
      </c>
      <c r="L260" s="221">
        <f t="shared" ref="L260:M260" si="134">L257</f>
        <v>5</v>
      </c>
      <c r="M260" s="221">
        <f t="shared" si="134"/>
        <v>13</v>
      </c>
      <c r="N260" s="101"/>
      <c r="O260" s="101"/>
      <c r="P260" s="101"/>
      <c r="Q260" s="101"/>
      <c r="R260" s="101"/>
      <c r="S260" s="101"/>
      <c r="T260" s="94" t="s">
        <v>209</v>
      </c>
      <c r="U260" s="100" t="s">
        <v>1626</v>
      </c>
      <c r="V260" s="99">
        <v>10</v>
      </c>
      <c r="W260" s="101"/>
      <c r="X260" s="101"/>
      <c r="Y260" s="101"/>
      <c r="Z260" s="101"/>
      <c r="AA260" s="101"/>
      <c r="AB260" s="101"/>
      <c r="AC260" s="101"/>
      <c r="AD260" s="101"/>
      <c r="AE260" s="101"/>
      <c r="AF260" s="100">
        <v>1</v>
      </c>
      <c r="AG260" s="100" t="e">
        <f>VLOOKUP(AF260,Tbl_Blower_Volt,2,FALSE)</f>
        <v>#NAME?</v>
      </c>
      <c r="AH260" s="101"/>
      <c r="AI260" s="101"/>
      <c r="AJ260" s="101"/>
      <c r="AK260" s="101"/>
      <c r="AL260" s="101"/>
      <c r="AM260" s="101"/>
      <c r="AN260" s="100" t="s">
        <v>49</v>
      </c>
      <c r="AO260" s="101"/>
      <c r="AP260" s="100" t="s">
        <v>49</v>
      </c>
      <c r="AQ260" s="101"/>
      <c r="AR260" s="101"/>
      <c r="AS260" s="101"/>
      <c r="AT260" s="101"/>
      <c r="AU260" s="101"/>
      <c r="AV260" s="101"/>
      <c r="AW260" s="101"/>
      <c r="AX260" s="101"/>
      <c r="AY260" s="101"/>
      <c r="AZ260" s="101"/>
      <c r="BA260" s="101"/>
      <c r="BB260" s="101"/>
      <c r="BC260" s="101"/>
      <c r="BD260" s="101"/>
      <c r="BE260" s="101"/>
      <c r="BF260" s="101"/>
      <c r="BG260" s="101"/>
      <c r="BH260" s="101"/>
      <c r="BI260" s="101"/>
      <c r="BJ260" s="101"/>
      <c r="BK260" s="101"/>
      <c r="BL260" s="101"/>
      <c r="BM260" s="101"/>
      <c r="BN260" s="101"/>
      <c r="BO260" s="101"/>
      <c r="BP260" s="101"/>
      <c r="BQ260" s="101"/>
    </row>
    <row r="261" spans="3:69">
      <c r="I261" s="220" t="s">
        <v>901</v>
      </c>
      <c r="J261" s="220" t="s">
        <v>1338</v>
      </c>
      <c r="K261" s="221">
        <f t="shared" ref="K261:M262" si="135">K260</f>
        <v>10</v>
      </c>
      <c r="L261" s="221">
        <f t="shared" si="135"/>
        <v>5</v>
      </c>
      <c r="M261" s="221">
        <f t="shared" si="135"/>
        <v>13</v>
      </c>
      <c r="N261" s="101"/>
      <c r="O261" s="101"/>
      <c r="P261" s="101"/>
      <c r="Q261" s="101"/>
      <c r="R261" s="101"/>
      <c r="S261" s="101"/>
      <c r="T261" s="111" t="e">
        <f>BLW_IS_IN</f>
        <v>#NAME?</v>
      </c>
      <c r="U261" s="99">
        <v>0.5</v>
      </c>
      <c r="V261" s="99">
        <v>2</v>
      </c>
      <c r="W261" s="101"/>
      <c r="X261" s="101"/>
      <c r="Y261" s="101"/>
      <c r="Z261" s="101"/>
      <c r="AA261" s="101"/>
      <c r="AB261" s="101"/>
      <c r="AC261" s="101"/>
      <c r="AD261" s="101"/>
      <c r="AE261" s="101"/>
      <c r="AF261" s="101"/>
      <c r="AG261" s="101"/>
      <c r="AH261" s="101"/>
      <c r="AI261" s="101"/>
      <c r="AJ261" s="101"/>
      <c r="AK261" s="101"/>
      <c r="AL261" s="101"/>
      <c r="AM261" s="101"/>
      <c r="AN261" s="100" t="s">
        <v>49</v>
      </c>
      <c r="AO261" s="101"/>
      <c r="AP261" s="100" t="s">
        <v>89</v>
      </c>
      <c r="AQ261" s="101"/>
      <c r="AR261" s="101"/>
      <c r="AS261" s="101"/>
      <c r="AT261" s="101"/>
      <c r="AU261" s="101"/>
      <c r="AV261" s="101"/>
      <c r="AW261" s="101"/>
      <c r="AX261" s="101"/>
      <c r="AY261" s="101"/>
      <c r="AZ261" s="101"/>
      <c r="BA261" s="101"/>
      <c r="BB261" s="101"/>
      <c r="BC261" s="101"/>
      <c r="BD261" s="101"/>
      <c r="BE261" s="101"/>
      <c r="BF261" s="101"/>
      <c r="BG261" s="101"/>
      <c r="BH261" s="101"/>
      <c r="BI261" s="101"/>
      <c r="BJ261" s="101"/>
      <c r="BK261" s="101"/>
      <c r="BL261" s="101"/>
      <c r="BM261" s="101"/>
      <c r="BN261" s="101"/>
      <c r="BO261" s="101"/>
      <c r="BP261" s="101"/>
      <c r="BQ261" s="101"/>
    </row>
    <row r="262" spans="3:69">
      <c r="I262" s="220" t="s">
        <v>901</v>
      </c>
      <c r="J262" s="220" t="s">
        <v>1230</v>
      </c>
      <c r="K262" s="221">
        <f t="shared" si="135"/>
        <v>10</v>
      </c>
      <c r="L262" s="221">
        <f t="shared" si="135"/>
        <v>5</v>
      </c>
      <c r="M262" s="221">
        <f t="shared" si="135"/>
        <v>13</v>
      </c>
      <c r="N262" s="101"/>
      <c r="O262" s="101"/>
      <c r="P262" s="101"/>
      <c r="Q262" s="101"/>
      <c r="R262" s="101"/>
      <c r="S262" s="101"/>
      <c r="T262" s="111" t="e">
        <f>BLW_IS_IN</f>
        <v>#NAME?</v>
      </c>
      <c r="U262" s="99">
        <v>0</v>
      </c>
      <c r="V262" s="99">
        <v>2</v>
      </c>
      <c r="W262" s="101"/>
      <c r="X262" s="101"/>
      <c r="Y262" s="101"/>
      <c r="Z262" s="101"/>
      <c r="AA262" s="101"/>
      <c r="AB262" s="101"/>
      <c r="AC262" s="101"/>
      <c r="AD262" s="101"/>
      <c r="AE262" s="101"/>
      <c r="AF262" s="101"/>
      <c r="AG262" s="101"/>
      <c r="AH262" s="101"/>
      <c r="AI262" s="101"/>
      <c r="AJ262" s="101"/>
      <c r="AK262" s="101"/>
      <c r="AL262" s="101"/>
      <c r="AM262" s="101"/>
      <c r="AN262" s="100" t="s">
        <v>49</v>
      </c>
      <c r="AO262" s="101"/>
      <c r="AP262" s="100" t="s">
        <v>49</v>
      </c>
      <c r="AQ262" s="101"/>
      <c r="AR262" s="101"/>
      <c r="AS262" s="101"/>
      <c r="AT262" s="101"/>
      <c r="AU262" s="101"/>
      <c r="AV262" s="101"/>
      <c r="AW262" s="101"/>
      <c r="AX262" s="101"/>
      <c r="AY262" s="101"/>
      <c r="AZ262" s="101"/>
      <c r="BA262" s="101"/>
      <c r="BB262" s="101"/>
      <c r="BC262" s="101"/>
      <c r="BD262" s="101"/>
      <c r="BE262" s="101"/>
      <c r="BF262" s="101"/>
      <c r="BG262" s="101"/>
      <c r="BH262" s="101"/>
      <c r="BI262" s="101"/>
      <c r="BJ262" s="101"/>
      <c r="BK262" s="101"/>
      <c r="BL262" s="101"/>
      <c r="BM262" s="101"/>
      <c r="BN262" s="101"/>
      <c r="BO262" s="101"/>
      <c r="BP262" s="101"/>
      <c r="BQ262" s="101"/>
    </row>
    <row r="263" spans="3:69">
      <c r="I263" s="255">
        <f>COUNTIF(I264:I267,"&lt;&gt;TS")</f>
        <v>3</v>
      </c>
      <c r="J263" s="106" t="s">
        <v>557</v>
      </c>
      <c r="K263" s="106" t="s">
        <v>1668</v>
      </c>
      <c r="L263" s="106"/>
      <c r="M263" s="106"/>
      <c r="N263" s="106"/>
      <c r="O263" s="106"/>
      <c r="P263" s="106"/>
      <c r="Q263" s="106"/>
      <c r="R263" s="106"/>
      <c r="S263" s="106"/>
      <c r="T263" s="106"/>
      <c r="U263" s="107"/>
      <c r="V263" s="107"/>
      <c r="W263" s="106"/>
      <c r="X263" s="106"/>
      <c r="Y263" s="106"/>
      <c r="Z263" s="106"/>
      <c r="AA263" s="106"/>
      <c r="AB263" s="106"/>
      <c r="AC263" s="106"/>
      <c r="AD263" s="106"/>
      <c r="AE263" s="106"/>
      <c r="AF263" s="106"/>
      <c r="AG263" s="106"/>
      <c r="AH263" s="106"/>
      <c r="AI263" s="106"/>
      <c r="AJ263" s="106"/>
      <c r="AK263" s="106"/>
      <c r="AL263" s="106"/>
      <c r="AM263" s="106"/>
      <c r="AN263" s="106"/>
      <c r="AO263" s="106"/>
      <c r="AP263" s="106"/>
      <c r="AQ263" s="106"/>
      <c r="AR263" s="106"/>
      <c r="AS263" s="106"/>
      <c r="AT263" s="106"/>
      <c r="AU263" s="106"/>
      <c r="AV263" s="106"/>
      <c r="AW263" s="106"/>
      <c r="AX263" s="106"/>
      <c r="AY263" s="106"/>
      <c r="AZ263" s="106"/>
      <c r="BA263" s="106"/>
      <c r="BB263" s="106"/>
      <c r="BC263" s="106"/>
      <c r="BD263" s="106"/>
      <c r="BE263" s="106"/>
      <c r="BF263" s="106"/>
      <c r="BG263" s="106"/>
      <c r="BH263" s="106"/>
      <c r="BI263" s="106"/>
      <c r="BJ263" s="106"/>
      <c r="BK263" s="106"/>
      <c r="BL263" s="106"/>
      <c r="BM263" s="106"/>
      <c r="BN263" s="106"/>
      <c r="BO263" s="106"/>
      <c r="BP263" s="106"/>
      <c r="BQ263" s="106"/>
    </row>
    <row r="264" spans="3:69">
      <c r="C264" s="4"/>
      <c r="I264" s="108" t="s">
        <v>7</v>
      </c>
      <c r="J264" s="108" t="s">
        <v>1231</v>
      </c>
      <c r="K264" s="109" t="s">
        <v>1669</v>
      </c>
      <c r="L264" s="109"/>
      <c r="M264" s="109"/>
      <c r="N264" s="109"/>
      <c r="O264" s="109"/>
      <c r="P264" s="109"/>
      <c r="Q264" s="109"/>
      <c r="R264" s="109"/>
      <c r="S264" s="109"/>
      <c r="T264" s="109"/>
      <c r="U264" s="110"/>
      <c r="V264" s="110"/>
      <c r="W264" s="109"/>
      <c r="X264" s="109"/>
      <c r="Y264" s="109"/>
      <c r="Z264" s="109"/>
      <c r="AA264" s="109"/>
      <c r="AB264" s="109"/>
      <c r="AC264" s="109"/>
      <c r="AD264" s="109"/>
      <c r="AE264" s="109"/>
      <c r="AF264" s="109"/>
      <c r="AG264" s="109"/>
      <c r="AH264" s="109"/>
      <c r="AI264" s="109"/>
      <c r="AJ264" s="109"/>
      <c r="AK264" s="109"/>
      <c r="AL264" s="109"/>
      <c r="AM264" s="109"/>
      <c r="AN264" s="109"/>
      <c r="AO264" s="109"/>
      <c r="AP264" s="109"/>
      <c r="AQ264" s="109"/>
      <c r="AR264" s="109"/>
      <c r="AS264" s="109"/>
      <c r="AT264" s="109"/>
      <c r="AU264" s="109"/>
      <c r="AV264" s="109"/>
      <c r="AW264" s="109"/>
      <c r="AX264" s="109"/>
      <c r="AY264" s="109"/>
      <c r="AZ264" s="109"/>
      <c r="BA264" s="109"/>
      <c r="BB264" s="109"/>
      <c r="BC264" s="109"/>
      <c r="BD264" s="109"/>
      <c r="BE264" s="109"/>
      <c r="BF264" s="109"/>
      <c r="BG264" s="109"/>
      <c r="BH264" s="109"/>
      <c r="BI264" s="109"/>
      <c r="BJ264" s="109"/>
      <c r="BK264" s="109"/>
      <c r="BL264" s="109"/>
      <c r="BM264" s="109"/>
      <c r="BN264" s="109"/>
      <c r="BO264" s="109"/>
      <c r="BP264" s="109"/>
      <c r="BQ264" s="109"/>
    </row>
    <row r="265" spans="3:69" ht="13.5">
      <c r="I265" s="220" t="s">
        <v>48</v>
      </c>
      <c r="J265" s="220" t="s">
        <v>1334</v>
      </c>
      <c r="K265" s="100">
        <v>10</v>
      </c>
      <c r="L265" s="100">
        <v>0</v>
      </c>
      <c r="M265" s="100">
        <v>13</v>
      </c>
      <c r="N265" s="101"/>
      <c r="O265" s="101"/>
      <c r="P265" s="101"/>
      <c r="Q265" s="101"/>
      <c r="R265" s="101"/>
      <c r="S265" s="101"/>
      <c r="T265" s="94" t="s">
        <v>209</v>
      </c>
      <c r="U265" s="100" t="s">
        <v>1625</v>
      </c>
      <c r="V265" s="99">
        <v>10</v>
      </c>
      <c r="W265" s="101"/>
      <c r="X265" s="101"/>
      <c r="Y265" s="101"/>
      <c r="Z265" s="101"/>
      <c r="AA265" s="101"/>
      <c r="AB265" s="101"/>
      <c r="AC265" s="101"/>
      <c r="AD265" s="101"/>
      <c r="AE265" s="101"/>
      <c r="AF265" s="101"/>
      <c r="AG265" s="101"/>
      <c r="AH265" s="101"/>
      <c r="AI265" s="101"/>
      <c r="AJ265" s="101"/>
      <c r="AK265" s="101"/>
      <c r="AL265" s="101"/>
      <c r="AM265" s="101"/>
      <c r="AN265" s="100" t="s">
        <v>49</v>
      </c>
      <c r="AO265" s="100" t="s">
        <v>49</v>
      </c>
      <c r="AP265" s="100" t="s">
        <v>49</v>
      </c>
      <c r="AQ265" s="101"/>
      <c r="AR265" s="101"/>
      <c r="AS265" s="101"/>
      <c r="AT265" s="101"/>
      <c r="AU265" s="101"/>
      <c r="AV265" s="101"/>
      <c r="AW265" s="101"/>
      <c r="AX265" s="101"/>
      <c r="AY265" s="101"/>
      <c r="AZ265" s="101"/>
      <c r="BA265" s="101"/>
      <c r="BB265" s="101"/>
      <c r="BC265" s="101"/>
      <c r="BD265" s="101"/>
      <c r="BE265" s="101"/>
      <c r="BF265" s="101"/>
      <c r="BG265" s="101"/>
      <c r="BH265" s="101"/>
      <c r="BI265" s="101"/>
      <c r="BJ265" s="101"/>
      <c r="BK265" s="101"/>
      <c r="BL265" s="101"/>
      <c r="BM265" s="101"/>
      <c r="BN265" s="101"/>
      <c r="BO265" s="101"/>
      <c r="BP265" s="101"/>
      <c r="BQ265" s="101"/>
    </row>
    <row r="266" spans="3:69">
      <c r="I266" s="220" t="s">
        <v>901</v>
      </c>
      <c r="J266" s="220" t="s">
        <v>1335</v>
      </c>
      <c r="K266" s="221">
        <f t="shared" ref="K266:M267" si="136">K265</f>
        <v>10</v>
      </c>
      <c r="L266" s="100">
        <v>-5</v>
      </c>
      <c r="M266" s="221">
        <f t="shared" si="136"/>
        <v>13</v>
      </c>
      <c r="N266" s="101"/>
      <c r="O266" s="101"/>
      <c r="P266" s="101"/>
      <c r="Q266" s="101"/>
      <c r="R266" s="101"/>
      <c r="S266" s="101"/>
      <c r="T266" s="111" t="e">
        <f>Amb_IN</f>
        <v>#NAME?</v>
      </c>
      <c r="U266" s="99">
        <v>-5</v>
      </c>
      <c r="V266" s="99">
        <v>10</v>
      </c>
      <c r="W266" s="101"/>
      <c r="X266" s="101"/>
      <c r="Y266" s="101"/>
      <c r="Z266" s="101"/>
      <c r="AA266" s="101"/>
      <c r="AB266" s="101"/>
      <c r="AC266" s="101"/>
      <c r="AD266" s="101"/>
      <c r="AE266" s="101"/>
      <c r="AF266" s="101"/>
      <c r="AG266" s="101"/>
      <c r="AH266" s="101"/>
      <c r="AI266" s="101"/>
      <c r="AJ266" s="101"/>
      <c r="AK266" s="101"/>
      <c r="AL266" s="101"/>
      <c r="AM266" s="101"/>
      <c r="AN266" s="100" t="s">
        <v>49</v>
      </c>
      <c r="AO266" s="100" t="s">
        <v>89</v>
      </c>
      <c r="AP266" s="100" t="s">
        <v>89</v>
      </c>
      <c r="AQ266" s="101"/>
      <c r="AR266" s="101"/>
      <c r="AS266" s="101"/>
      <c r="AT266" s="101"/>
      <c r="AU266" s="101"/>
      <c r="AV266" s="101"/>
      <c r="AW266" s="101"/>
      <c r="AX266" s="101"/>
      <c r="AY266" s="101"/>
      <c r="AZ266" s="101"/>
      <c r="BA266" s="101"/>
      <c r="BB266" s="101"/>
      <c r="BC266" s="101"/>
      <c r="BD266" s="101"/>
      <c r="BE266" s="101"/>
      <c r="BF266" s="101"/>
      <c r="BG266" s="101"/>
      <c r="BH266" s="101"/>
      <c r="BI266" s="101"/>
      <c r="BJ266" s="101"/>
      <c r="BK266" s="101"/>
      <c r="BL266" s="101"/>
      <c r="BM266" s="101"/>
      <c r="BN266" s="101"/>
      <c r="BO266" s="101"/>
      <c r="BP266" s="101"/>
      <c r="BQ266" s="101"/>
    </row>
    <row r="267" spans="3:69">
      <c r="I267" s="220" t="s">
        <v>901</v>
      </c>
      <c r="J267" s="220" t="s">
        <v>1336</v>
      </c>
      <c r="K267" s="221">
        <f t="shared" si="136"/>
        <v>10</v>
      </c>
      <c r="L267" s="100">
        <v>-2</v>
      </c>
      <c r="M267" s="221">
        <f t="shared" si="136"/>
        <v>13</v>
      </c>
      <c r="N267" s="101"/>
      <c r="O267" s="101"/>
      <c r="P267" s="101"/>
      <c r="Q267" s="101"/>
      <c r="R267" s="101"/>
      <c r="S267" s="101"/>
      <c r="T267" s="111" t="e">
        <f>Amb_IN</f>
        <v>#NAME?</v>
      </c>
      <c r="U267" s="99">
        <v>-2</v>
      </c>
      <c r="V267" s="99">
        <v>10</v>
      </c>
      <c r="W267" s="101"/>
      <c r="X267" s="101"/>
      <c r="Y267" s="101"/>
      <c r="Z267" s="101"/>
      <c r="AA267" s="101"/>
      <c r="AB267" s="101"/>
      <c r="AC267" s="101"/>
      <c r="AD267" s="101"/>
      <c r="AE267" s="101"/>
      <c r="AF267" s="101"/>
      <c r="AG267" s="101"/>
      <c r="AH267" s="101"/>
      <c r="AI267" s="101"/>
      <c r="AJ267" s="101"/>
      <c r="AK267" s="101"/>
      <c r="AL267" s="101"/>
      <c r="AM267" s="101"/>
      <c r="AN267" s="100" t="s">
        <v>49</v>
      </c>
      <c r="AO267" s="100" t="s">
        <v>49</v>
      </c>
      <c r="AP267" s="100" t="s">
        <v>49</v>
      </c>
      <c r="AQ267" s="101"/>
      <c r="AR267" s="101"/>
      <c r="AS267" s="101"/>
      <c r="AT267" s="101"/>
      <c r="AU267" s="101"/>
      <c r="AV267" s="101"/>
      <c r="AW267" s="101"/>
      <c r="AX267" s="101"/>
      <c r="AY267" s="101"/>
      <c r="AZ267" s="101"/>
      <c r="BA267" s="101"/>
      <c r="BB267" s="101"/>
      <c r="BC267" s="101"/>
      <c r="BD267" s="101"/>
      <c r="BE267" s="101"/>
      <c r="BF267" s="101"/>
      <c r="BG267" s="101"/>
      <c r="BH267" s="101"/>
      <c r="BI267" s="101"/>
      <c r="BJ267" s="101"/>
      <c r="BK267" s="101"/>
      <c r="BL267" s="101"/>
      <c r="BM267" s="101"/>
      <c r="BN267" s="101"/>
      <c r="BO267" s="101"/>
      <c r="BP267" s="101"/>
      <c r="BQ267" s="101"/>
    </row>
    <row r="268" spans="3:69">
      <c r="I268" s="255">
        <f>COUNTIF(I269:I272,"&lt;&gt;TS")</f>
        <v>3</v>
      </c>
      <c r="J268" s="106" t="s">
        <v>558</v>
      </c>
      <c r="K268" s="106" t="s">
        <v>1670</v>
      </c>
      <c r="L268" s="106"/>
      <c r="M268" s="106"/>
      <c r="N268" s="106"/>
      <c r="O268" s="106"/>
      <c r="P268" s="106"/>
      <c r="Q268" s="106"/>
      <c r="R268" s="106"/>
      <c r="S268" s="106"/>
      <c r="T268" s="106"/>
      <c r="U268" s="107"/>
      <c r="V268" s="107"/>
      <c r="W268" s="106"/>
      <c r="X268" s="106"/>
      <c r="Y268" s="106"/>
      <c r="Z268" s="106"/>
      <c r="AA268" s="106"/>
      <c r="AB268" s="106"/>
      <c r="AC268" s="106"/>
      <c r="AD268" s="106"/>
      <c r="AE268" s="106"/>
      <c r="AF268" s="106"/>
      <c r="AG268" s="106"/>
      <c r="AH268" s="106"/>
      <c r="AI268" s="106"/>
      <c r="AJ268" s="106"/>
      <c r="AK268" s="106"/>
      <c r="AL268" s="106"/>
      <c r="AM268" s="106"/>
      <c r="AN268" s="106"/>
      <c r="AO268" s="106"/>
      <c r="AP268" s="106"/>
      <c r="AQ268" s="106"/>
      <c r="AR268" s="106"/>
      <c r="AS268" s="106"/>
      <c r="AT268" s="106"/>
      <c r="AU268" s="106"/>
      <c r="AV268" s="106"/>
      <c r="AW268" s="106"/>
      <c r="AX268" s="106"/>
      <c r="AY268" s="106"/>
      <c r="AZ268" s="106"/>
      <c r="BA268" s="106"/>
      <c r="BB268" s="106"/>
      <c r="BC268" s="106"/>
      <c r="BD268" s="106"/>
      <c r="BE268" s="106"/>
      <c r="BF268" s="106"/>
      <c r="BG268" s="106"/>
      <c r="BH268" s="106"/>
      <c r="BI268" s="106"/>
      <c r="BJ268" s="106"/>
      <c r="BK268" s="106"/>
      <c r="BL268" s="106"/>
      <c r="BM268" s="106"/>
      <c r="BN268" s="106"/>
      <c r="BO268" s="106"/>
      <c r="BP268" s="106"/>
      <c r="BQ268" s="106"/>
    </row>
    <row r="269" spans="3:69">
      <c r="I269" s="108" t="s">
        <v>7</v>
      </c>
      <c r="J269" s="108" t="s">
        <v>1234</v>
      </c>
      <c r="K269" s="109" t="s">
        <v>1671</v>
      </c>
      <c r="L269" s="109"/>
      <c r="M269" s="109"/>
      <c r="N269" s="109"/>
      <c r="O269" s="109"/>
      <c r="P269" s="109"/>
      <c r="Q269" s="109"/>
      <c r="R269" s="109"/>
      <c r="S269" s="109"/>
      <c r="T269" s="109"/>
      <c r="U269" s="110"/>
      <c r="V269" s="110"/>
      <c r="W269" s="109"/>
      <c r="X269" s="109"/>
      <c r="Y269" s="109"/>
      <c r="Z269" s="109"/>
      <c r="AA269" s="109"/>
      <c r="AB269" s="109"/>
      <c r="AC269" s="109"/>
      <c r="AD269" s="109"/>
      <c r="AE269" s="109"/>
      <c r="AF269" s="109"/>
      <c r="AG269" s="109"/>
      <c r="AH269" s="109"/>
      <c r="AI269" s="109"/>
      <c r="AJ269" s="109"/>
      <c r="AK269" s="109"/>
      <c r="AL269" s="109"/>
      <c r="AM269" s="109"/>
      <c r="AN269" s="109"/>
      <c r="AO269" s="109"/>
      <c r="AP269" s="109"/>
      <c r="AQ269" s="109"/>
      <c r="AR269" s="109"/>
      <c r="AS269" s="109"/>
      <c r="AT269" s="109"/>
      <c r="AU269" s="109"/>
      <c r="AV269" s="109"/>
      <c r="AW269" s="109"/>
      <c r="AX269" s="109"/>
      <c r="AY269" s="109"/>
      <c r="AZ269" s="109"/>
      <c r="BA269" s="109"/>
      <c r="BB269" s="109"/>
      <c r="BC269" s="109"/>
      <c r="BD269" s="109"/>
      <c r="BE269" s="109"/>
      <c r="BF269" s="109"/>
      <c r="BG269" s="109"/>
      <c r="BH269" s="109"/>
      <c r="BI269" s="109"/>
      <c r="BJ269" s="109"/>
      <c r="BK269" s="109"/>
      <c r="BL269" s="109"/>
      <c r="BM269" s="109"/>
      <c r="BN269" s="109"/>
      <c r="BO269" s="109"/>
      <c r="BP269" s="109"/>
      <c r="BQ269" s="109"/>
    </row>
    <row r="270" spans="3:69" ht="13.5">
      <c r="I270" s="220" t="s">
        <v>48</v>
      </c>
      <c r="J270" s="220" t="s">
        <v>1235</v>
      </c>
      <c r="K270" s="100">
        <v>10</v>
      </c>
      <c r="L270" s="100">
        <v>5</v>
      </c>
      <c r="M270" s="100">
        <v>13</v>
      </c>
      <c r="N270" s="101"/>
      <c r="O270" s="101"/>
      <c r="P270" s="101"/>
      <c r="Q270" s="101"/>
      <c r="R270" s="101"/>
      <c r="S270" s="101"/>
      <c r="T270" s="94" t="s">
        <v>209</v>
      </c>
      <c r="U270" s="100" t="s">
        <v>1624</v>
      </c>
      <c r="V270" s="99">
        <v>10</v>
      </c>
      <c r="W270" s="101"/>
      <c r="X270" s="101"/>
      <c r="Y270" s="101"/>
      <c r="Z270" s="101"/>
      <c r="AA270" s="101"/>
      <c r="AB270" s="101"/>
      <c r="AC270" s="101"/>
      <c r="AD270" s="101"/>
      <c r="AE270" s="101"/>
      <c r="AF270" s="101"/>
      <c r="AG270" s="101"/>
      <c r="AH270" s="101"/>
      <c r="AI270" s="101"/>
      <c r="AJ270" s="101"/>
      <c r="AK270" s="101"/>
      <c r="AL270" s="101"/>
      <c r="AM270" s="101"/>
      <c r="AN270" s="101"/>
      <c r="AO270" s="101"/>
      <c r="AP270" s="101"/>
      <c r="AQ270" s="100" t="s">
        <v>51</v>
      </c>
      <c r="AR270" s="100" t="s">
        <v>51</v>
      </c>
      <c r="AS270" s="101"/>
      <c r="AT270" s="101"/>
      <c r="AU270" s="101"/>
      <c r="AV270" s="101"/>
      <c r="AW270" s="101"/>
      <c r="AX270" s="101"/>
      <c r="AY270" s="101"/>
      <c r="AZ270" s="101"/>
      <c r="BA270" s="101"/>
      <c r="BB270" s="101"/>
      <c r="BC270" s="101"/>
      <c r="BD270" s="101"/>
      <c r="BE270" s="101"/>
      <c r="BF270" s="101"/>
      <c r="BG270" s="101"/>
      <c r="BH270" s="101"/>
      <c r="BI270" s="101"/>
      <c r="BJ270" s="101"/>
      <c r="BK270" s="101"/>
      <c r="BL270" s="101"/>
      <c r="BM270" s="101"/>
      <c r="BN270" s="101"/>
      <c r="BO270" s="101"/>
      <c r="BP270" s="101"/>
      <c r="BQ270" s="101"/>
    </row>
    <row r="271" spans="3:69">
      <c r="I271" s="220" t="s">
        <v>901</v>
      </c>
      <c r="J271" s="220" t="s">
        <v>1236</v>
      </c>
      <c r="K271" s="221">
        <f t="shared" ref="K271:M272" si="137">K270</f>
        <v>10</v>
      </c>
      <c r="L271" s="221">
        <f t="shared" si="137"/>
        <v>5</v>
      </c>
      <c r="M271" s="221">
        <f t="shared" si="137"/>
        <v>13</v>
      </c>
      <c r="N271" s="101"/>
      <c r="O271" s="101"/>
      <c r="P271" s="101"/>
      <c r="Q271" s="101"/>
      <c r="R271" s="101"/>
      <c r="S271" s="101"/>
      <c r="T271" s="111" t="e">
        <f>VS_VehSpd_Kmh</f>
        <v>#NAME?</v>
      </c>
      <c r="U271" s="99">
        <v>250</v>
      </c>
      <c r="V271" s="99">
        <v>2</v>
      </c>
      <c r="W271" s="101"/>
      <c r="X271" s="101"/>
      <c r="Y271" s="101"/>
      <c r="Z271" s="101"/>
      <c r="AA271" s="101"/>
      <c r="AB271" s="101"/>
      <c r="AC271" s="101"/>
      <c r="AD271" s="101"/>
      <c r="AE271" s="101"/>
      <c r="AF271" s="101"/>
      <c r="AG271" s="101"/>
      <c r="AH271" s="101"/>
      <c r="AI271" s="101"/>
      <c r="AJ271" s="101"/>
      <c r="AK271" s="101"/>
      <c r="AL271" s="101"/>
      <c r="AM271" s="101"/>
      <c r="AN271" s="101"/>
      <c r="AO271" s="101"/>
      <c r="AP271" s="101"/>
      <c r="AQ271" s="100" t="s">
        <v>51</v>
      </c>
      <c r="AR271" s="100" t="s">
        <v>1403</v>
      </c>
      <c r="AS271" s="101"/>
      <c r="AT271" s="101"/>
      <c r="AU271" s="101"/>
      <c r="AV271" s="101"/>
      <c r="AW271" s="101"/>
      <c r="AX271" s="101"/>
      <c r="AY271" s="101"/>
      <c r="AZ271" s="101"/>
      <c r="BA271" s="101"/>
      <c r="BB271" s="101"/>
      <c r="BC271" s="101"/>
      <c r="BD271" s="101"/>
      <c r="BE271" s="101"/>
      <c r="BF271" s="101"/>
      <c r="BG271" s="101"/>
      <c r="BH271" s="101"/>
      <c r="BI271" s="101"/>
      <c r="BJ271" s="101"/>
      <c r="BK271" s="101"/>
      <c r="BL271" s="101"/>
      <c r="BM271" s="101"/>
      <c r="BN271" s="101"/>
      <c r="BO271" s="101"/>
      <c r="BP271" s="101"/>
      <c r="BQ271" s="101"/>
    </row>
    <row r="272" spans="3:69">
      <c r="I272" s="220" t="s">
        <v>901</v>
      </c>
      <c r="J272" s="220" t="s">
        <v>1237</v>
      </c>
      <c r="K272" s="221">
        <f t="shared" si="137"/>
        <v>10</v>
      </c>
      <c r="L272" s="221">
        <f t="shared" si="137"/>
        <v>5</v>
      </c>
      <c r="M272" s="221">
        <f t="shared" si="137"/>
        <v>13</v>
      </c>
      <c r="N272" s="101"/>
      <c r="O272" s="101"/>
      <c r="P272" s="101"/>
      <c r="Q272" s="101"/>
      <c r="R272" s="101"/>
      <c r="S272" s="101"/>
      <c r="T272" s="111" t="e">
        <f>VS_VehSpd_Kmh</f>
        <v>#NAME?</v>
      </c>
      <c r="U272" s="99">
        <v>35</v>
      </c>
      <c r="V272" s="99">
        <v>2</v>
      </c>
      <c r="W272" s="101"/>
      <c r="X272" s="101"/>
      <c r="Y272" s="101"/>
      <c r="Z272" s="101"/>
      <c r="AA272" s="101"/>
      <c r="AB272" s="101"/>
      <c r="AC272" s="101"/>
      <c r="AD272" s="101"/>
      <c r="AE272" s="101"/>
      <c r="AF272" s="101"/>
      <c r="AG272" s="101"/>
      <c r="AH272" s="101"/>
      <c r="AI272" s="101"/>
      <c r="AJ272" s="101"/>
      <c r="AK272" s="101"/>
      <c r="AL272" s="101"/>
      <c r="AM272" s="101"/>
      <c r="AN272" s="101"/>
      <c r="AO272" s="101"/>
      <c r="AP272" s="101"/>
      <c r="AQ272" s="100" t="s">
        <v>51</v>
      </c>
      <c r="AR272" s="100" t="s">
        <v>51</v>
      </c>
      <c r="AS272" s="101"/>
      <c r="AT272" s="101"/>
      <c r="AU272" s="101"/>
      <c r="AV272" s="101"/>
      <c r="AW272" s="101"/>
      <c r="AX272" s="101"/>
      <c r="AY272" s="101"/>
      <c r="AZ272" s="101"/>
      <c r="BA272" s="101"/>
      <c r="BB272" s="101"/>
      <c r="BC272" s="101"/>
      <c r="BD272" s="101"/>
      <c r="BE272" s="101"/>
      <c r="BF272" s="101"/>
      <c r="BG272" s="101"/>
      <c r="BH272" s="101"/>
      <c r="BI272" s="101"/>
      <c r="BJ272" s="101"/>
      <c r="BK272" s="101"/>
      <c r="BL272" s="101"/>
      <c r="BM272" s="101"/>
      <c r="BN272" s="101"/>
      <c r="BO272" s="101"/>
      <c r="BP272" s="101"/>
      <c r="BQ272" s="101"/>
    </row>
    <row r="273" spans="9:69">
      <c r="I273" s="255">
        <f>COUNTIF(I274:I289,"&lt;&gt;TS")</f>
        <v>13</v>
      </c>
      <c r="J273" s="106" t="s">
        <v>559</v>
      </c>
      <c r="K273" s="106" t="s">
        <v>1672</v>
      </c>
      <c r="L273" s="106"/>
      <c r="M273" s="106"/>
      <c r="N273" s="106"/>
      <c r="O273" s="106"/>
      <c r="P273" s="106"/>
      <c r="Q273" s="106"/>
      <c r="R273" s="106"/>
      <c r="S273" s="106"/>
      <c r="T273" s="106"/>
      <c r="U273" s="107"/>
      <c r="V273" s="107"/>
      <c r="W273" s="106"/>
      <c r="X273" s="106"/>
      <c r="Y273" s="106"/>
      <c r="Z273" s="106"/>
      <c r="AA273" s="106"/>
      <c r="AB273" s="106"/>
      <c r="AC273" s="106"/>
      <c r="AD273" s="106"/>
      <c r="AE273" s="106"/>
      <c r="AF273" s="106"/>
      <c r="AG273" s="106"/>
      <c r="AH273" s="106"/>
      <c r="AI273" s="106"/>
      <c r="AJ273" s="106"/>
      <c r="AK273" s="106"/>
      <c r="AL273" s="106"/>
      <c r="AM273" s="106"/>
      <c r="AN273" s="106"/>
      <c r="AO273" s="106"/>
      <c r="AP273" s="106"/>
      <c r="AQ273" s="106"/>
      <c r="AR273" s="106"/>
      <c r="AS273" s="106"/>
      <c r="AT273" s="106"/>
      <c r="AU273" s="106"/>
      <c r="AV273" s="106"/>
      <c r="AW273" s="106"/>
      <c r="AX273" s="106"/>
      <c r="AY273" s="106"/>
      <c r="AZ273" s="106"/>
      <c r="BA273" s="106"/>
      <c r="BB273" s="106"/>
      <c r="BC273" s="106"/>
      <c r="BD273" s="106"/>
      <c r="BE273" s="106"/>
      <c r="BF273" s="106"/>
      <c r="BG273" s="106"/>
      <c r="BH273" s="106"/>
      <c r="BI273" s="106"/>
      <c r="BJ273" s="106"/>
      <c r="BK273" s="106"/>
      <c r="BL273" s="106"/>
      <c r="BM273" s="106"/>
      <c r="BN273" s="106"/>
      <c r="BO273" s="106"/>
      <c r="BP273" s="106"/>
      <c r="BQ273" s="106"/>
    </row>
    <row r="274" spans="9:69">
      <c r="I274" s="108" t="s">
        <v>7</v>
      </c>
      <c r="J274" s="108" t="s">
        <v>1238</v>
      </c>
      <c r="K274" s="109" t="s">
        <v>1673</v>
      </c>
      <c r="L274" s="109"/>
      <c r="M274" s="109"/>
      <c r="N274" s="109"/>
      <c r="O274" s="109"/>
      <c r="P274" s="109"/>
      <c r="Q274" s="109"/>
      <c r="R274" s="109"/>
      <c r="S274" s="109"/>
      <c r="T274" s="109"/>
      <c r="U274" s="110"/>
      <c r="V274" s="110"/>
      <c r="W274" s="109"/>
      <c r="X274" s="109"/>
      <c r="Y274" s="109"/>
      <c r="Z274" s="109"/>
      <c r="AA274" s="109"/>
      <c r="AB274" s="109"/>
      <c r="AC274" s="109"/>
      <c r="AD274" s="109"/>
      <c r="AE274" s="109"/>
      <c r="AF274" s="109"/>
      <c r="AG274" s="109"/>
      <c r="AH274" s="109"/>
      <c r="AI274" s="109"/>
      <c r="AJ274" s="109"/>
      <c r="AK274" s="109"/>
      <c r="AL274" s="109"/>
      <c r="AM274" s="109"/>
      <c r="AN274" s="109"/>
      <c r="AO274" s="109"/>
      <c r="AP274" s="109"/>
      <c r="AQ274" s="109"/>
      <c r="AR274" s="109"/>
      <c r="AS274" s="109"/>
      <c r="AT274" s="109"/>
      <c r="AU274" s="109"/>
      <c r="AV274" s="109"/>
      <c r="AW274" s="109"/>
      <c r="AX274" s="109"/>
      <c r="AY274" s="109"/>
      <c r="AZ274" s="109"/>
      <c r="BA274" s="109"/>
      <c r="BB274" s="109"/>
      <c r="BC274" s="109"/>
      <c r="BD274" s="109"/>
      <c r="BE274" s="109"/>
      <c r="BF274" s="109"/>
      <c r="BG274" s="109"/>
      <c r="BH274" s="109"/>
      <c r="BI274" s="109"/>
      <c r="BJ274" s="109"/>
      <c r="BK274" s="109"/>
      <c r="BL274" s="109"/>
      <c r="BM274" s="109"/>
      <c r="BN274" s="109"/>
      <c r="BO274" s="109"/>
      <c r="BP274" s="109"/>
      <c r="BQ274" s="109"/>
    </row>
    <row r="275" spans="9:69" ht="13.5">
      <c r="I275" s="220" t="s">
        <v>48</v>
      </c>
      <c r="J275" s="220" t="s">
        <v>1331</v>
      </c>
      <c r="K275" s="221">
        <f>K272</f>
        <v>10</v>
      </c>
      <c r="L275" s="221">
        <f t="shared" ref="L275:M275" si="138">L272</f>
        <v>5</v>
      </c>
      <c r="M275" s="221">
        <f t="shared" si="138"/>
        <v>13</v>
      </c>
      <c r="N275" s="101"/>
      <c r="O275" s="101"/>
      <c r="P275" s="101"/>
      <c r="Q275" s="101"/>
      <c r="R275" s="101"/>
      <c r="S275" s="101"/>
      <c r="T275" s="94" t="s">
        <v>209</v>
      </c>
      <c r="U275" s="100" t="s">
        <v>1624</v>
      </c>
      <c r="V275" s="99">
        <v>10</v>
      </c>
      <c r="W275" s="101"/>
      <c r="X275" s="101"/>
      <c r="Y275" s="101"/>
      <c r="Z275" s="101"/>
      <c r="AA275" s="101"/>
      <c r="AB275" s="101"/>
      <c r="AC275" s="101"/>
      <c r="AD275" s="101"/>
      <c r="AE275" s="101"/>
      <c r="AF275" s="101"/>
      <c r="AG275" s="101"/>
      <c r="AH275" s="101"/>
      <c r="AI275" s="101"/>
      <c r="AJ275" s="101"/>
      <c r="AK275" s="101"/>
      <c r="AL275" s="101"/>
      <c r="AM275" s="101"/>
      <c r="AN275" s="101"/>
      <c r="AO275" s="101"/>
      <c r="AP275" s="101"/>
      <c r="AQ275" s="100" t="s">
        <v>51</v>
      </c>
      <c r="AR275" s="100" t="s">
        <v>51</v>
      </c>
      <c r="AS275" s="101"/>
      <c r="AT275" s="101"/>
      <c r="AU275" s="101"/>
      <c r="AV275" s="101"/>
      <c r="AW275" s="101"/>
      <c r="AX275" s="101"/>
      <c r="AY275" s="101"/>
      <c r="AZ275" s="101"/>
      <c r="BA275" s="101"/>
      <c r="BB275" s="101"/>
      <c r="BC275" s="101"/>
      <c r="BD275" s="101"/>
      <c r="BE275" s="101"/>
      <c r="BF275" s="101"/>
      <c r="BG275" s="101"/>
      <c r="BH275" s="101"/>
      <c r="BI275" s="101"/>
      <c r="BJ275" s="101"/>
      <c r="BK275" s="101"/>
      <c r="BL275" s="101"/>
      <c r="BM275" s="101"/>
      <c r="BN275" s="101"/>
      <c r="BO275" s="101"/>
      <c r="BP275" s="101"/>
      <c r="BQ275" s="101"/>
    </row>
    <row r="276" spans="9:69">
      <c r="I276" s="220" t="s">
        <v>901</v>
      </c>
      <c r="J276" s="220" t="s">
        <v>1332</v>
      </c>
      <c r="K276" s="221">
        <f t="shared" ref="K276:M277" si="139">K275</f>
        <v>10</v>
      </c>
      <c r="L276" s="221">
        <f t="shared" si="139"/>
        <v>5</v>
      </c>
      <c r="M276" s="221">
        <f t="shared" si="139"/>
        <v>13</v>
      </c>
      <c r="N276" s="101"/>
      <c r="O276" s="101"/>
      <c r="P276" s="101"/>
      <c r="Q276" s="101"/>
      <c r="R276" s="101"/>
      <c r="S276" s="101"/>
      <c r="T276" s="111" t="e">
        <f>SunRoof_Open</f>
        <v>#NAME?</v>
      </c>
      <c r="U276" s="99">
        <v>1</v>
      </c>
      <c r="V276" s="99">
        <v>5</v>
      </c>
      <c r="W276" s="101"/>
      <c r="X276" s="101"/>
      <c r="Y276" s="101"/>
      <c r="Z276" s="101"/>
      <c r="AA276" s="101"/>
      <c r="AB276" s="101"/>
      <c r="AC276" s="101"/>
      <c r="AD276" s="101"/>
      <c r="AE276" s="101"/>
      <c r="AF276" s="101"/>
      <c r="AG276" s="101"/>
      <c r="AH276" s="101"/>
      <c r="AI276" s="101"/>
      <c r="AJ276" s="101"/>
      <c r="AK276" s="101"/>
      <c r="AL276" s="101"/>
      <c r="AM276" s="101"/>
      <c r="AN276" s="101"/>
      <c r="AO276" s="101"/>
      <c r="AP276" s="101"/>
      <c r="AQ276" s="100" t="s">
        <v>50</v>
      </c>
      <c r="AR276" s="100" t="s">
        <v>50</v>
      </c>
      <c r="AS276" s="101"/>
      <c r="AT276" s="101"/>
      <c r="AU276" s="101"/>
      <c r="AV276" s="101"/>
      <c r="AW276" s="101"/>
      <c r="AX276" s="101"/>
      <c r="AY276" s="101"/>
      <c r="AZ276" s="101"/>
      <c r="BA276" s="101"/>
      <c r="BB276" s="101"/>
      <c r="BC276" s="101"/>
      <c r="BD276" s="101"/>
      <c r="BE276" s="101"/>
      <c r="BF276" s="101"/>
      <c r="BG276" s="101"/>
      <c r="BH276" s="101"/>
      <c r="BI276" s="101"/>
      <c r="BJ276" s="101"/>
      <c r="BK276" s="101"/>
      <c r="BL276" s="101"/>
      <c r="BM276" s="101"/>
      <c r="BN276" s="101"/>
      <c r="BO276" s="101"/>
      <c r="BP276" s="101"/>
      <c r="BQ276" s="101"/>
    </row>
    <row r="277" spans="9:69">
      <c r="I277" s="220" t="s">
        <v>901</v>
      </c>
      <c r="J277" s="220" t="s">
        <v>1333</v>
      </c>
      <c r="K277" s="221">
        <f t="shared" si="139"/>
        <v>10</v>
      </c>
      <c r="L277" s="221">
        <f t="shared" si="139"/>
        <v>5</v>
      </c>
      <c r="M277" s="221">
        <f t="shared" si="139"/>
        <v>13</v>
      </c>
      <c r="N277" s="101"/>
      <c r="O277" s="101"/>
      <c r="P277" s="101"/>
      <c r="Q277" s="101"/>
      <c r="R277" s="101"/>
      <c r="S277" s="101"/>
      <c r="T277" s="111" t="e">
        <f>SunRoof_Open</f>
        <v>#NAME?</v>
      </c>
      <c r="U277" s="99">
        <v>0</v>
      </c>
      <c r="V277" s="99">
        <v>5</v>
      </c>
      <c r="W277" s="101"/>
      <c r="X277" s="101"/>
      <c r="Y277" s="101"/>
      <c r="Z277" s="101"/>
      <c r="AA277" s="101"/>
      <c r="AB277" s="101"/>
      <c r="AC277" s="101"/>
      <c r="AD277" s="101"/>
      <c r="AE277" s="101"/>
      <c r="AF277" s="101"/>
      <c r="AG277" s="101"/>
      <c r="AH277" s="101"/>
      <c r="AI277" s="101"/>
      <c r="AJ277" s="101"/>
      <c r="AK277" s="101"/>
      <c r="AL277" s="101"/>
      <c r="AM277" s="101"/>
      <c r="AN277" s="101"/>
      <c r="AO277" s="101"/>
      <c r="AP277" s="101"/>
      <c r="AQ277" s="100" t="s">
        <v>51</v>
      </c>
      <c r="AR277" s="100" t="s">
        <v>51</v>
      </c>
      <c r="AS277" s="101"/>
      <c r="AT277" s="101"/>
      <c r="AU277" s="101"/>
      <c r="AV277" s="101"/>
      <c r="AW277" s="101"/>
      <c r="AX277" s="101"/>
      <c r="AY277" s="101"/>
      <c r="AZ277" s="101"/>
      <c r="BA277" s="101"/>
      <c r="BB277" s="101"/>
      <c r="BC277" s="101"/>
      <c r="BD277" s="101"/>
      <c r="BE277" s="101"/>
      <c r="BF277" s="101"/>
      <c r="BG277" s="101"/>
      <c r="BH277" s="101"/>
      <c r="BI277" s="101"/>
      <c r="BJ277" s="101"/>
      <c r="BK277" s="101"/>
      <c r="BL277" s="101"/>
      <c r="BM277" s="101"/>
      <c r="BN277" s="101"/>
      <c r="BO277" s="101"/>
      <c r="BP277" s="101"/>
      <c r="BQ277" s="101"/>
    </row>
    <row r="278" spans="9:69">
      <c r="I278" s="255">
        <f>COUNTIF(I279:I284,"&lt;&gt;TS")</f>
        <v>5</v>
      </c>
      <c r="J278" s="106" t="s">
        <v>560</v>
      </c>
      <c r="K278" s="106" t="s">
        <v>813</v>
      </c>
      <c r="L278" s="106"/>
      <c r="M278" s="106"/>
      <c r="N278" s="106"/>
      <c r="O278" s="106"/>
      <c r="P278" s="106"/>
      <c r="Q278" s="106"/>
      <c r="R278" s="106"/>
      <c r="S278" s="106"/>
      <c r="T278" s="106"/>
      <c r="U278" s="107"/>
      <c r="V278" s="107"/>
      <c r="W278" s="106"/>
      <c r="X278" s="106"/>
      <c r="Y278" s="106"/>
      <c r="Z278" s="106"/>
      <c r="AA278" s="106"/>
      <c r="AB278" s="106"/>
      <c r="AC278" s="106"/>
      <c r="AD278" s="106"/>
      <c r="AE278" s="106"/>
      <c r="AF278" s="106"/>
      <c r="AG278" s="106"/>
      <c r="AH278" s="106"/>
      <c r="AI278" s="106"/>
      <c r="AJ278" s="106"/>
      <c r="AK278" s="106"/>
      <c r="AL278" s="106"/>
      <c r="AM278" s="106"/>
      <c r="AN278" s="106"/>
      <c r="AO278" s="106"/>
      <c r="AP278" s="106"/>
      <c r="AQ278" s="106"/>
      <c r="AR278" s="106"/>
      <c r="AS278" s="106"/>
      <c r="AT278" s="106"/>
      <c r="AU278" s="106"/>
      <c r="AV278" s="106"/>
      <c r="AW278" s="106"/>
      <c r="AX278" s="106"/>
      <c r="AY278" s="106"/>
      <c r="AZ278" s="106"/>
      <c r="BA278" s="106"/>
      <c r="BB278" s="106"/>
      <c r="BC278" s="106"/>
      <c r="BD278" s="106"/>
      <c r="BE278" s="106"/>
      <c r="BF278" s="106"/>
      <c r="BG278" s="106"/>
      <c r="BH278" s="106"/>
      <c r="BI278" s="106"/>
      <c r="BJ278" s="106"/>
      <c r="BK278" s="106"/>
      <c r="BL278" s="106"/>
      <c r="BM278" s="106"/>
      <c r="BN278" s="106"/>
      <c r="BO278" s="106"/>
      <c r="BP278" s="106"/>
      <c r="BQ278" s="106"/>
    </row>
    <row r="279" spans="9:69" ht="13.5">
      <c r="I279" s="108" t="s">
        <v>7</v>
      </c>
      <c r="J279" s="108" t="s">
        <v>633</v>
      </c>
      <c r="K279" s="109" t="s">
        <v>814</v>
      </c>
      <c r="L279" s="109"/>
      <c r="M279" s="109"/>
      <c r="N279" s="109"/>
      <c r="O279" s="109"/>
      <c r="P279" s="109"/>
      <c r="Q279" s="109"/>
      <c r="R279" s="109"/>
      <c r="S279" s="109"/>
      <c r="T279" s="109"/>
      <c r="U279" s="110"/>
      <c r="V279" s="110"/>
      <c r="W279" s="109"/>
      <c r="X279" s="109"/>
      <c r="Y279" s="109"/>
      <c r="Z279" s="109"/>
      <c r="AA279" s="109"/>
      <c r="AB279" s="109"/>
      <c r="AC279" s="109"/>
      <c r="AD279" s="109"/>
      <c r="AE279" s="109"/>
      <c r="AF279" s="109"/>
      <c r="AG279" s="109"/>
      <c r="AH279" s="109"/>
      <c r="AI279" s="109"/>
      <c r="AJ279" s="109"/>
      <c r="AK279" s="109"/>
      <c r="AL279" s="109"/>
      <c r="AM279" s="109"/>
      <c r="AN279" s="109"/>
      <c r="AO279" s="109"/>
      <c r="AP279" s="109"/>
      <c r="AQ279" s="109"/>
      <c r="AR279" s="109"/>
      <c r="AS279" s="109"/>
      <c r="AT279" s="109"/>
      <c r="AU279" s="109"/>
      <c r="AV279" s="109"/>
      <c r="AW279" s="109"/>
      <c r="AX279" s="109"/>
      <c r="AY279" s="109"/>
      <c r="AZ279" s="109"/>
      <c r="BA279" s="109"/>
      <c r="BB279" s="109"/>
      <c r="BC279" s="109"/>
      <c r="BD279" s="109"/>
      <c r="BE279" s="109"/>
      <c r="BF279" s="109"/>
      <c r="BG279" s="109"/>
      <c r="BH279" s="109"/>
      <c r="BI279" s="109"/>
      <c r="BJ279" s="109"/>
      <c r="BK279" s="109"/>
      <c r="BL279" s="109"/>
      <c r="BM279" s="109"/>
      <c r="BN279" s="109"/>
      <c r="BO279" s="109"/>
      <c r="BP279" s="109"/>
      <c r="BQ279" s="109"/>
    </row>
    <row r="280" spans="9:69">
      <c r="I280" s="96" t="s">
        <v>48</v>
      </c>
      <c r="J280" s="96" t="s">
        <v>634</v>
      </c>
      <c r="K280" s="100">
        <v>25</v>
      </c>
      <c r="L280" s="100">
        <v>10</v>
      </c>
      <c r="M280" s="100">
        <v>13</v>
      </c>
      <c r="N280" s="101"/>
      <c r="O280" s="101"/>
      <c r="P280" s="101"/>
      <c r="Q280" s="101"/>
      <c r="R280" s="101"/>
      <c r="S280" s="101"/>
      <c r="T280" s="94" t="s">
        <v>209</v>
      </c>
      <c r="U280" s="100" t="e">
        <f>CONCATENATE("원격공조 Signal 설정 : DEF = On, 설정온도 = ",const_Tset_default_1+(const_Tset_resolution_1*4),", 온도단위 = ",const_TempUnit_2," 설정")</f>
        <v>#NAME?</v>
      </c>
      <c r="V280" s="95">
        <v>10</v>
      </c>
      <c r="W280" s="100" t="s">
        <v>49</v>
      </c>
      <c r="X280" s="100" t="s">
        <v>49</v>
      </c>
      <c r="Y280" s="100" t="s">
        <v>235</v>
      </c>
      <c r="Z280" s="101"/>
      <c r="AA280" s="101"/>
      <c r="AB280" s="100" t="s">
        <v>235</v>
      </c>
      <c r="AC280" s="101"/>
      <c r="AD280" s="101"/>
      <c r="AE280" s="100" t="s">
        <v>235</v>
      </c>
      <c r="AF280" s="100" t="s">
        <v>250</v>
      </c>
      <c r="AG280" s="100" t="s">
        <v>236</v>
      </c>
      <c r="AH280" s="100" t="e">
        <f t="shared" ref="AH280:AH284" si="140">IF(const_TempUnit_1="degC",0,1)</f>
        <v>#NAME?</v>
      </c>
      <c r="AI280" s="100" t="e">
        <f t="shared" ref="AI280:AJ282" si="141">const_Tset_default_1</f>
        <v>#NAME?</v>
      </c>
      <c r="AJ280" s="100" t="e">
        <f t="shared" si="141"/>
        <v>#NAME?</v>
      </c>
      <c r="AK280" s="100" t="e">
        <f t="shared" ref="AK280:AL282" si="142">IF(온도단위_동기화="O",const_Tset_default_2,const_Tset_invalid_2)</f>
        <v>#NAME?</v>
      </c>
      <c r="AL280" s="100" t="e">
        <f t="shared" si="142"/>
        <v>#NAME?</v>
      </c>
      <c r="AM280" s="101"/>
      <c r="AN280" s="100" t="s">
        <v>89</v>
      </c>
      <c r="AO280" s="101"/>
      <c r="AP280" s="100" t="s">
        <v>89</v>
      </c>
      <c r="AQ280" s="100" t="s">
        <v>50</v>
      </c>
      <c r="AR280" s="100" t="s">
        <v>417</v>
      </c>
      <c r="AS280" s="100" t="s">
        <v>89</v>
      </c>
      <c r="AT280" s="101"/>
      <c r="AU280" s="101"/>
      <c r="AV280" s="101"/>
      <c r="AW280" s="101"/>
      <c r="AX280" s="101"/>
      <c r="AY280" s="101"/>
      <c r="AZ280" s="101"/>
      <c r="BA280" s="101"/>
      <c r="BB280" s="101"/>
      <c r="BC280" s="101"/>
      <c r="BD280" s="101"/>
      <c r="BE280" s="101"/>
      <c r="BF280" s="101"/>
      <c r="BG280" s="101"/>
      <c r="BH280" s="101"/>
      <c r="BI280" s="101"/>
      <c r="BJ280" s="101"/>
      <c r="BK280" s="101"/>
      <c r="BL280" s="101"/>
      <c r="BM280" s="101"/>
      <c r="BN280" s="101"/>
      <c r="BO280" s="101"/>
      <c r="BP280" s="101"/>
      <c r="BQ280" s="101"/>
    </row>
    <row r="281" spans="9:69">
      <c r="I281" s="220" t="s">
        <v>155</v>
      </c>
      <c r="J281" s="220" t="s">
        <v>1750</v>
      </c>
      <c r="K281" s="221">
        <f t="shared" ref="K281:M281" si="143">K280</f>
        <v>25</v>
      </c>
      <c r="L281" s="221">
        <f t="shared" si="143"/>
        <v>10</v>
      </c>
      <c r="M281" s="221">
        <f t="shared" si="143"/>
        <v>13</v>
      </c>
      <c r="N281" s="101"/>
      <c r="O281" s="101"/>
      <c r="P281" s="101"/>
      <c r="Q281" s="101"/>
      <c r="R281" s="101"/>
      <c r="S281" s="101"/>
      <c r="T281" s="94" t="e">
        <f>RAC_AcnCtrlReq</f>
        <v>#NAME?</v>
      </c>
      <c r="U281" s="100">
        <v>1</v>
      </c>
      <c r="V281" s="95">
        <v>1</v>
      </c>
      <c r="W281" s="100" t="s">
        <v>89</v>
      </c>
      <c r="X281" s="100" t="s">
        <v>49</v>
      </c>
      <c r="Y281" s="100" t="s">
        <v>492</v>
      </c>
      <c r="Z281" s="101"/>
      <c r="AA281" s="101"/>
      <c r="AB281" s="100" t="s">
        <v>492</v>
      </c>
      <c r="AC281" s="101"/>
      <c r="AD281" s="101"/>
      <c r="AE281" s="100" t="s">
        <v>492</v>
      </c>
      <c r="AF281" s="100">
        <v>3</v>
      </c>
      <c r="AG281" s="100" t="s">
        <v>491</v>
      </c>
      <c r="AH281" s="100" t="e">
        <f t="shared" si="140"/>
        <v>#NAME?</v>
      </c>
      <c r="AI281" s="100" t="e">
        <f t="shared" si="141"/>
        <v>#NAME?</v>
      </c>
      <c r="AJ281" s="100" t="e">
        <f t="shared" si="141"/>
        <v>#NAME?</v>
      </c>
      <c r="AK281" s="100" t="e">
        <f t="shared" si="142"/>
        <v>#NAME?</v>
      </c>
      <c r="AL281" s="100" t="e">
        <f t="shared" si="142"/>
        <v>#NAME?</v>
      </c>
      <c r="AM281" s="101"/>
      <c r="AN281" s="100" t="s">
        <v>49</v>
      </c>
      <c r="AO281" s="101"/>
      <c r="AP281" s="100" t="s">
        <v>49</v>
      </c>
      <c r="AQ281" s="100" t="s">
        <v>51</v>
      </c>
      <c r="AR281" s="100" t="s">
        <v>51</v>
      </c>
      <c r="AS281" s="100" t="s">
        <v>49</v>
      </c>
      <c r="AT281" s="101"/>
      <c r="AU281" s="101"/>
      <c r="AV281" s="101"/>
      <c r="AW281" s="101"/>
      <c r="AX281" s="101"/>
      <c r="AY281" s="101"/>
      <c r="AZ281" s="101"/>
      <c r="BA281" s="101"/>
      <c r="BB281" s="101"/>
      <c r="BC281" s="101"/>
      <c r="BD281" s="101"/>
      <c r="BE281" s="101"/>
      <c r="BF281" s="101"/>
      <c r="BG281" s="101"/>
      <c r="BH281" s="101"/>
      <c r="BI281" s="101"/>
      <c r="BJ281" s="101"/>
      <c r="BK281" s="101"/>
      <c r="BL281" s="101"/>
      <c r="BM281" s="101"/>
      <c r="BN281" s="101"/>
      <c r="BO281" s="101"/>
      <c r="BP281" s="101"/>
      <c r="BQ281" s="101"/>
    </row>
    <row r="282" spans="9:69">
      <c r="I282" s="220" t="s">
        <v>155</v>
      </c>
      <c r="J282" s="220" t="s">
        <v>1751</v>
      </c>
      <c r="K282" s="221">
        <f t="shared" ref="K282:M282" si="144">K281</f>
        <v>25</v>
      </c>
      <c r="L282" s="221">
        <f t="shared" si="144"/>
        <v>10</v>
      </c>
      <c r="M282" s="221">
        <f t="shared" si="144"/>
        <v>13</v>
      </c>
      <c r="N282" s="101"/>
      <c r="O282" s="101"/>
      <c r="P282" s="101"/>
      <c r="Q282" s="101"/>
      <c r="R282" s="101"/>
      <c r="S282" s="101"/>
      <c r="T282" s="94" t="e">
        <f>RAC_DfrstCtrlReq</f>
        <v>#NAME?</v>
      </c>
      <c r="U282" s="100">
        <v>0</v>
      </c>
      <c r="V282" s="95">
        <v>1</v>
      </c>
      <c r="W282" s="100" t="s">
        <v>89</v>
      </c>
      <c r="X282" s="100" t="s">
        <v>49</v>
      </c>
      <c r="Y282" s="100" t="s">
        <v>1748</v>
      </c>
      <c r="Z282" s="101"/>
      <c r="AA282" s="101"/>
      <c r="AB282" s="100" t="s">
        <v>1748</v>
      </c>
      <c r="AC282" s="101"/>
      <c r="AD282" s="101"/>
      <c r="AE282" s="100" t="s">
        <v>1748</v>
      </c>
      <c r="AF282" s="100" t="s">
        <v>250</v>
      </c>
      <c r="AG282" s="100" t="s">
        <v>236</v>
      </c>
      <c r="AH282" s="100" t="e">
        <f t="shared" si="140"/>
        <v>#NAME?</v>
      </c>
      <c r="AI282" s="100" t="e">
        <f t="shared" si="141"/>
        <v>#NAME?</v>
      </c>
      <c r="AJ282" s="100" t="e">
        <f t="shared" si="141"/>
        <v>#NAME?</v>
      </c>
      <c r="AK282" s="100" t="e">
        <f t="shared" si="142"/>
        <v>#NAME?</v>
      </c>
      <c r="AL282" s="100" t="e">
        <f t="shared" si="142"/>
        <v>#NAME?</v>
      </c>
      <c r="AM282" s="101"/>
      <c r="AN282" s="100" t="s">
        <v>89</v>
      </c>
      <c r="AO282" s="101"/>
      <c r="AP282" s="100" t="s">
        <v>89</v>
      </c>
      <c r="AQ282" s="100" t="s">
        <v>51</v>
      </c>
      <c r="AR282" s="100" t="s">
        <v>51</v>
      </c>
      <c r="AS282" s="100" t="s">
        <v>89</v>
      </c>
      <c r="AT282" s="101"/>
      <c r="AU282" s="101"/>
      <c r="AV282" s="101"/>
      <c r="AW282" s="101"/>
      <c r="AX282" s="101"/>
      <c r="AY282" s="101"/>
      <c r="AZ282" s="101"/>
      <c r="BA282" s="101"/>
      <c r="BB282" s="101"/>
      <c r="BC282" s="101"/>
      <c r="BD282" s="101"/>
      <c r="BE282" s="101"/>
      <c r="BF282" s="101"/>
      <c r="BG282" s="101"/>
      <c r="BH282" s="101"/>
      <c r="BI282" s="101"/>
      <c r="BJ282" s="101"/>
      <c r="BK282" s="101"/>
      <c r="BL282" s="101"/>
      <c r="BM282" s="101"/>
      <c r="BN282" s="101"/>
      <c r="BO282" s="101"/>
      <c r="BP282" s="101"/>
      <c r="BQ282" s="101"/>
    </row>
    <row r="283" spans="9:69">
      <c r="I283" s="220" t="s">
        <v>155</v>
      </c>
      <c r="J283" s="220" t="s">
        <v>635</v>
      </c>
      <c r="K283" s="221">
        <f t="shared" ref="K283:M283" si="145">K282</f>
        <v>25</v>
      </c>
      <c r="L283" s="221">
        <f t="shared" si="145"/>
        <v>10</v>
      </c>
      <c r="M283" s="221">
        <f t="shared" si="145"/>
        <v>13</v>
      </c>
      <c r="N283" s="101"/>
      <c r="O283" s="101"/>
      <c r="P283" s="101"/>
      <c r="Q283" s="101"/>
      <c r="R283" s="101"/>
      <c r="S283" s="101"/>
      <c r="T283" s="94" t="e">
        <f>RAC_TempModTyp</f>
        <v>#NAME?</v>
      </c>
      <c r="U283" s="100" t="e">
        <f>IF(const_TempUnit="degC",0,1)</f>
        <v>#NAME?</v>
      </c>
      <c r="V283" s="95">
        <v>1</v>
      </c>
      <c r="W283" s="100" t="s">
        <v>89</v>
      </c>
      <c r="X283" s="100" t="s">
        <v>49</v>
      </c>
      <c r="Y283" s="100" t="s">
        <v>1748</v>
      </c>
      <c r="Z283" s="101"/>
      <c r="AA283" s="101"/>
      <c r="AB283" s="100" t="s">
        <v>1748</v>
      </c>
      <c r="AC283" s="101"/>
      <c r="AD283" s="101"/>
      <c r="AE283" s="100" t="s">
        <v>1748</v>
      </c>
      <c r="AF283" s="100" t="s">
        <v>250</v>
      </c>
      <c r="AG283" s="100" t="s">
        <v>236</v>
      </c>
      <c r="AH283" s="100" t="e">
        <f t="shared" si="140"/>
        <v>#NAME?</v>
      </c>
      <c r="AI283" s="100" t="e">
        <f t="shared" ref="AI283:AJ284" si="146">const_Tset_default_1+(const_Tset_resolution_1*4)</f>
        <v>#NAME?</v>
      </c>
      <c r="AJ283" s="100" t="e">
        <f t="shared" si="146"/>
        <v>#NAME?</v>
      </c>
      <c r="AK283" s="100" t="e">
        <f>IF(온도단위_동기화="O",const_Tset_default_2+(const_Tset_resolution_2*4),const_Tset_invalid_2)</f>
        <v>#NAME?</v>
      </c>
      <c r="AL283" s="100" t="e">
        <f>IF(온도단위_동기화="O",const_Tset_default_2+(const_Tset_resolution_2*4),const_Tset_invalid_2)</f>
        <v>#NAME?</v>
      </c>
      <c r="AM283" s="101"/>
      <c r="AN283" s="100" t="s">
        <v>89</v>
      </c>
      <c r="AO283" s="101"/>
      <c r="AP283" s="100" t="s">
        <v>89</v>
      </c>
      <c r="AQ283" s="100" t="s">
        <v>51</v>
      </c>
      <c r="AR283" s="100" t="s">
        <v>51</v>
      </c>
      <c r="AS283" s="100" t="s">
        <v>89</v>
      </c>
      <c r="AT283" s="101"/>
      <c r="AU283" s="101"/>
      <c r="AV283" s="101"/>
      <c r="AW283" s="101"/>
      <c r="AX283" s="101"/>
      <c r="AY283" s="101"/>
      <c r="AZ283" s="101"/>
      <c r="BA283" s="101"/>
      <c r="BB283" s="101"/>
      <c r="BC283" s="101"/>
      <c r="BD283" s="101"/>
      <c r="BE283" s="101"/>
      <c r="BF283" s="101"/>
      <c r="BG283" s="101"/>
      <c r="BH283" s="101"/>
      <c r="BI283" s="101"/>
      <c r="BJ283" s="101"/>
      <c r="BK283" s="101"/>
      <c r="BL283" s="101"/>
      <c r="BM283" s="101"/>
      <c r="BN283" s="101"/>
      <c r="BO283" s="101"/>
      <c r="BP283" s="101"/>
      <c r="BQ283" s="101"/>
    </row>
    <row r="284" spans="9:69">
      <c r="I284" s="220" t="s">
        <v>155</v>
      </c>
      <c r="J284" s="220" t="s">
        <v>636</v>
      </c>
      <c r="K284" s="221">
        <f t="shared" ref="K284:M284" si="147">K283</f>
        <v>25</v>
      </c>
      <c r="L284" s="221">
        <f t="shared" si="147"/>
        <v>10</v>
      </c>
      <c r="M284" s="221">
        <f t="shared" si="147"/>
        <v>13</v>
      </c>
      <c r="N284" s="101"/>
      <c r="O284" s="101"/>
      <c r="P284" s="101"/>
      <c r="Q284" s="101"/>
      <c r="R284" s="101"/>
      <c r="S284" s="101"/>
      <c r="T284" s="94" t="e">
        <f>RAC_AcnCtrlReq</f>
        <v>#NAME?</v>
      </c>
      <c r="U284" s="100">
        <v>0</v>
      </c>
      <c r="V284" s="95">
        <v>1</v>
      </c>
      <c r="W284" s="100" t="s">
        <v>49</v>
      </c>
      <c r="X284" s="100" t="s">
        <v>49</v>
      </c>
      <c r="Y284" s="100" t="s">
        <v>235</v>
      </c>
      <c r="Z284" s="101"/>
      <c r="AA284" s="101"/>
      <c r="AB284" s="100" t="s">
        <v>235</v>
      </c>
      <c r="AC284" s="101"/>
      <c r="AD284" s="101"/>
      <c r="AE284" s="100" t="s">
        <v>235</v>
      </c>
      <c r="AF284" s="100" t="s">
        <v>250</v>
      </c>
      <c r="AG284" s="100" t="s">
        <v>236</v>
      </c>
      <c r="AH284" s="100" t="e">
        <f t="shared" si="140"/>
        <v>#NAME?</v>
      </c>
      <c r="AI284" s="100" t="e">
        <f t="shared" si="146"/>
        <v>#NAME?</v>
      </c>
      <c r="AJ284" s="100" t="e">
        <f t="shared" si="146"/>
        <v>#NAME?</v>
      </c>
      <c r="AK284" s="100" t="e">
        <f>IF(온도단위_동기화="O",const_Tset_default_2+(const_Tset_resolution_2*4),const_Tset_invalid_2)</f>
        <v>#NAME?</v>
      </c>
      <c r="AL284" s="100" t="e">
        <f>IF(온도단위_동기화="O",const_Tset_default_2+(const_Tset_resolution_2*4),const_Tset_invalid_2)</f>
        <v>#NAME?</v>
      </c>
      <c r="AM284" s="101"/>
      <c r="AN284" s="100" t="s">
        <v>89</v>
      </c>
      <c r="AO284" s="101"/>
      <c r="AP284" s="100" t="s">
        <v>89</v>
      </c>
      <c r="AQ284" s="100" t="s">
        <v>50</v>
      </c>
      <c r="AR284" s="100" t="s">
        <v>417</v>
      </c>
      <c r="AS284" s="100" t="s">
        <v>89</v>
      </c>
      <c r="AT284" s="101"/>
      <c r="AU284" s="101"/>
      <c r="AV284" s="101"/>
      <c r="AW284" s="101"/>
      <c r="AX284" s="101"/>
      <c r="AY284" s="101"/>
      <c r="AZ284" s="101"/>
      <c r="BA284" s="101"/>
      <c r="BB284" s="101"/>
      <c r="BC284" s="101"/>
      <c r="BD284" s="101"/>
      <c r="BE284" s="101"/>
      <c r="BF284" s="101"/>
      <c r="BG284" s="101"/>
      <c r="BH284" s="101"/>
      <c r="BI284" s="101"/>
      <c r="BJ284" s="101"/>
      <c r="BK284" s="101"/>
      <c r="BL284" s="101"/>
      <c r="BM284" s="101"/>
      <c r="BN284" s="101"/>
      <c r="BO284" s="101"/>
      <c r="BP284" s="101"/>
      <c r="BQ284" s="101"/>
    </row>
    <row r="285" spans="9:69">
      <c r="I285" s="255">
        <f>COUNTIF(I286:I293,"&lt;&gt;TS")</f>
        <v>6</v>
      </c>
      <c r="J285" s="106" t="s">
        <v>561</v>
      </c>
      <c r="K285" s="106" t="s">
        <v>580</v>
      </c>
      <c r="L285" s="106"/>
      <c r="M285" s="106"/>
      <c r="N285" s="106"/>
      <c r="O285" s="106"/>
      <c r="P285" s="106"/>
      <c r="Q285" s="106"/>
      <c r="R285" s="106"/>
      <c r="S285" s="106"/>
      <c r="T285" s="106"/>
      <c r="U285" s="107"/>
      <c r="V285" s="107"/>
      <c r="W285" s="106"/>
      <c r="X285" s="106"/>
      <c r="Y285" s="106"/>
      <c r="Z285" s="106"/>
      <c r="AA285" s="106"/>
      <c r="AB285" s="106"/>
      <c r="AC285" s="106"/>
      <c r="AD285" s="106"/>
      <c r="AE285" s="106"/>
      <c r="AF285" s="106"/>
      <c r="AG285" s="106"/>
      <c r="AH285" s="106"/>
      <c r="AI285" s="106"/>
      <c r="AJ285" s="106"/>
      <c r="AK285" s="106"/>
      <c r="AL285" s="106"/>
      <c r="AM285" s="106"/>
      <c r="AN285" s="106"/>
      <c r="AO285" s="106"/>
      <c r="AP285" s="106"/>
      <c r="AQ285" s="106"/>
      <c r="AR285" s="106"/>
      <c r="AS285" s="106"/>
      <c r="AT285" s="106"/>
      <c r="AU285" s="106"/>
      <c r="AV285" s="106"/>
      <c r="AW285" s="106"/>
      <c r="AX285" s="106"/>
      <c r="AY285" s="106"/>
      <c r="AZ285" s="106"/>
      <c r="BA285" s="106"/>
      <c r="BB285" s="106"/>
      <c r="BC285" s="106"/>
      <c r="BD285" s="106"/>
      <c r="BE285" s="106"/>
      <c r="BF285" s="106"/>
      <c r="BG285" s="106"/>
      <c r="BH285" s="106"/>
      <c r="BI285" s="106"/>
      <c r="BJ285" s="106"/>
      <c r="BK285" s="106"/>
      <c r="BL285" s="106"/>
      <c r="BM285" s="106"/>
      <c r="BN285" s="106"/>
      <c r="BO285" s="106"/>
      <c r="BP285" s="106"/>
      <c r="BQ285" s="106"/>
    </row>
    <row r="286" spans="9:69">
      <c r="I286" s="108" t="s">
        <v>7</v>
      </c>
      <c r="J286" s="108" t="s">
        <v>625</v>
      </c>
      <c r="K286" s="109" t="s">
        <v>815</v>
      </c>
      <c r="L286" s="109"/>
      <c r="M286" s="109"/>
      <c r="N286" s="109"/>
      <c r="O286" s="109"/>
      <c r="P286" s="109"/>
      <c r="Q286" s="109"/>
      <c r="R286" s="109"/>
      <c r="S286" s="109"/>
      <c r="T286" s="109"/>
      <c r="U286" s="110"/>
      <c r="V286" s="110"/>
      <c r="W286" s="109"/>
      <c r="X286" s="109"/>
      <c r="Y286" s="109"/>
      <c r="Z286" s="109"/>
      <c r="AA286" s="109"/>
      <c r="AB286" s="109"/>
      <c r="AC286" s="109"/>
      <c r="AD286" s="109"/>
      <c r="AE286" s="109"/>
      <c r="AF286" s="109"/>
      <c r="AG286" s="109"/>
      <c r="AH286" s="109"/>
      <c r="AI286" s="109"/>
      <c r="AJ286" s="109"/>
      <c r="AK286" s="109"/>
      <c r="AL286" s="109"/>
      <c r="AM286" s="109"/>
      <c r="AN286" s="109"/>
      <c r="AO286" s="109"/>
      <c r="AP286" s="109"/>
      <c r="AQ286" s="109"/>
      <c r="AR286" s="109"/>
      <c r="AS286" s="109"/>
      <c r="AT286" s="109"/>
      <c r="AU286" s="109"/>
      <c r="AV286" s="109"/>
      <c r="AW286" s="109"/>
      <c r="AX286" s="109"/>
      <c r="AY286" s="109"/>
      <c r="AZ286" s="109"/>
      <c r="BA286" s="109"/>
      <c r="BB286" s="109"/>
      <c r="BC286" s="109"/>
      <c r="BD286" s="109"/>
      <c r="BE286" s="109"/>
      <c r="BF286" s="109"/>
      <c r="BG286" s="109"/>
      <c r="BH286" s="109"/>
      <c r="BI286" s="109"/>
      <c r="BJ286" s="109"/>
      <c r="BK286" s="109"/>
      <c r="BL286" s="109"/>
      <c r="BM286" s="109"/>
      <c r="BN286" s="109"/>
      <c r="BO286" s="109"/>
      <c r="BP286" s="109"/>
      <c r="BQ286" s="109"/>
    </row>
    <row r="287" spans="9:69" ht="13.5">
      <c r="I287" s="96" t="s">
        <v>48</v>
      </c>
      <c r="J287" s="96" t="s">
        <v>626</v>
      </c>
      <c r="K287" s="100">
        <v>25</v>
      </c>
      <c r="L287" s="100">
        <v>4</v>
      </c>
      <c r="M287" s="100">
        <v>13</v>
      </c>
      <c r="N287" s="101"/>
      <c r="O287" s="101"/>
      <c r="P287" s="101"/>
      <c r="Q287" s="101"/>
      <c r="R287" s="101"/>
      <c r="S287" s="101"/>
      <c r="T287" s="94" t="s">
        <v>209</v>
      </c>
      <c r="U287" s="100" t="s">
        <v>490</v>
      </c>
      <c r="V287" s="95">
        <v>10</v>
      </c>
      <c r="W287" s="101"/>
      <c r="X287" s="101"/>
      <c r="Y287" s="100" t="s">
        <v>235</v>
      </c>
      <c r="Z287" s="101"/>
      <c r="AA287" s="101"/>
      <c r="AB287" s="100" t="s">
        <v>235</v>
      </c>
      <c r="AC287" s="101"/>
      <c r="AD287" s="101"/>
      <c r="AE287" s="100" t="s">
        <v>235</v>
      </c>
      <c r="AF287" s="100" t="s">
        <v>250</v>
      </c>
      <c r="AG287" s="100" t="s">
        <v>236</v>
      </c>
      <c r="AH287" s="101"/>
      <c r="AI287" s="101"/>
      <c r="AJ287" s="101"/>
      <c r="AK287" s="101"/>
      <c r="AL287" s="101"/>
      <c r="AM287" s="101"/>
      <c r="AN287" s="101"/>
      <c r="AO287" s="101"/>
      <c r="AP287" s="101"/>
      <c r="AQ287" s="101"/>
      <c r="AR287" s="101"/>
      <c r="AS287" s="101"/>
      <c r="AT287" s="101"/>
      <c r="AU287" s="101"/>
      <c r="AV287" s="101"/>
      <c r="AW287" s="101"/>
      <c r="AX287" s="101"/>
      <c r="AY287" s="101"/>
      <c r="AZ287" s="101"/>
      <c r="BA287" s="101"/>
      <c r="BB287" s="101"/>
      <c r="BC287" s="101"/>
      <c r="BD287" s="101"/>
      <c r="BE287" s="101"/>
      <c r="BF287" s="101"/>
      <c r="BG287" s="101"/>
      <c r="BH287" s="101"/>
      <c r="BI287" s="101"/>
      <c r="BJ287" s="101"/>
      <c r="BK287" s="101"/>
      <c r="BL287" s="101"/>
      <c r="BM287" s="101"/>
      <c r="BN287" s="101"/>
      <c r="BO287" s="101"/>
      <c r="BP287" s="101"/>
      <c r="BQ287" s="101"/>
    </row>
    <row r="288" spans="9:69" ht="13.5">
      <c r="I288" s="220" t="s">
        <v>155</v>
      </c>
      <c r="J288" s="220" t="s">
        <v>627</v>
      </c>
      <c r="K288" s="221">
        <f>K287</f>
        <v>25</v>
      </c>
      <c r="L288" s="221">
        <f t="shared" ref="L288:M289" si="148">L287</f>
        <v>4</v>
      </c>
      <c r="M288" s="221">
        <f t="shared" si="148"/>
        <v>13</v>
      </c>
      <c r="N288" s="101"/>
      <c r="O288" s="101"/>
      <c r="P288" s="101"/>
      <c r="Q288" s="101"/>
      <c r="R288" s="101"/>
      <c r="S288" s="101"/>
      <c r="T288" s="94" t="s">
        <v>209</v>
      </c>
      <c r="U288" s="100" t="s">
        <v>1623</v>
      </c>
      <c r="V288" s="95">
        <v>2</v>
      </c>
      <c r="W288" s="101"/>
      <c r="X288" s="101"/>
      <c r="Y288" s="100" t="s">
        <v>745</v>
      </c>
      <c r="Z288" s="101"/>
      <c r="AA288" s="101"/>
      <c r="AB288" s="100" t="s">
        <v>745</v>
      </c>
      <c r="AC288" s="101"/>
      <c r="AD288" s="101"/>
      <c r="AE288" s="100" t="s">
        <v>745</v>
      </c>
      <c r="AF288" s="100">
        <v>8</v>
      </c>
      <c r="AG288" s="100">
        <v>8</v>
      </c>
      <c r="AH288" s="101"/>
      <c r="AI288" s="101"/>
      <c r="AJ288" s="101"/>
      <c r="AK288" s="101"/>
      <c r="AL288" s="101"/>
      <c r="AM288" s="101"/>
      <c r="AN288" s="101"/>
      <c r="AO288" s="101"/>
      <c r="AP288" s="101"/>
      <c r="AQ288" s="101"/>
      <c r="AR288" s="101"/>
      <c r="AS288" s="101"/>
      <c r="AT288" s="101"/>
      <c r="AU288" s="101"/>
      <c r="AV288" s="101"/>
      <c r="AW288" s="101"/>
      <c r="AX288" s="101"/>
      <c r="AY288" s="101"/>
      <c r="AZ288" s="101"/>
      <c r="BA288" s="101"/>
      <c r="BB288" s="101"/>
      <c r="BC288" s="101"/>
      <c r="BD288" s="101"/>
      <c r="BE288" s="101"/>
      <c r="BF288" s="101"/>
      <c r="BG288" s="101"/>
      <c r="BH288" s="101"/>
      <c r="BI288" s="101"/>
      <c r="BJ288" s="101"/>
      <c r="BK288" s="101"/>
      <c r="BL288" s="101"/>
      <c r="BM288" s="101"/>
      <c r="BN288" s="101"/>
      <c r="BO288" s="101"/>
      <c r="BP288" s="101"/>
      <c r="BQ288" s="101"/>
    </row>
    <row r="289" spans="9:69">
      <c r="I289" s="220" t="s">
        <v>155</v>
      </c>
      <c r="J289" s="220" t="s">
        <v>628</v>
      </c>
      <c r="K289" s="221">
        <f>K288</f>
        <v>25</v>
      </c>
      <c r="L289" s="221">
        <f t="shared" si="148"/>
        <v>4</v>
      </c>
      <c r="M289" s="221">
        <f t="shared" si="148"/>
        <v>13</v>
      </c>
      <c r="N289" s="101"/>
      <c r="O289" s="101"/>
      <c r="P289" s="101"/>
      <c r="Q289" s="101"/>
      <c r="R289" s="101"/>
      <c r="S289" s="101"/>
      <c r="T289" s="94" t="s">
        <v>419</v>
      </c>
      <c r="U289" s="95" t="s">
        <v>420</v>
      </c>
      <c r="V289" s="95">
        <v>10</v>
      </c>
      <c r="W289" s="101"/>
      <c r="X289" s="101"/>
      <c r="Y289" s="100" t="s">
        <v>745</v>
      </c>
      <c r="Z289" s="101"/>
      <c r="AA289" s="101"/>
      <c r="AB289" s="100" t="s">
        <v>411</v>
      </c>
      <c r="AC289" s="101"/>
      <c r="AD289" s="101"/>
      <c r="AE289" s="100" t="s">
        <v>411</v>
      </c>
      <c r="AF289" s="100">
        <v>1</v>
      </c>
      <c r="AG289" s="100">
        <v>1</v>
      </c>
      <c r="AH289" s="101"/>
      <c r="AI289" s="101"/>
      <c r="AJ289" s="101"/>
      <c r="AK289" s="101"/>
      <c r="AL289" s="101"/>
      <c r="AM289" s="101"/>
      <c r="AN289" s="101"/>
      <c r="AO289" s="101"/>
      <c r="AP289" s="101"/>
      <c r="AQ289" s="101"/>
      <c r="AR289" s="101"/>
      <c r="AS289" s="101"/>
      <c r="AT289" s="101"/>
      <c r="AU289" s="101"/>
      <c r="AV289" s="101"/>
      <c r="AW289" s="101"/>
      <c r="AX289" s="101"/>
      <c r="AY289" s="101"/>
      <c r="AZ289" s="101"/>
      <c r="BA289" s="101"/>
      <c r="BB289" s="101"/>
      <c r="BC289" s="101"/>
      <c r="BD289" s="101"/>
      <c r="BE289" s="101"/>
      <c r="BF289" s="101"/>
      <c r="BG289" s="101"/>
      <c r="BH289" s="101"/>
      <c r="BI289" s="101"/>
      <c r="BJ289" s="101"/>
      <c r="BK289" s="101"/>
      <c r="BL289" s="101"/>
      <c r="BM289" s="101"/>
      <c r="BN289" s="101"/>
      <c r="BO289" s="101"/>
      <c r="BP289" s="101"/>
      <c r="BQ289" s="101"/>
    </row>
    <row r="290" spans="9:69">
      <c r="I290" s="112" t="s">
        <v>7</v>
      </c>
      <c r="J290" s="112" t="s">
        <v>629</v>
      </c>
      <c r="K290" s="109" t="s">
        <v>816</v>
      </c>
      <c r="L290" s="109"/>
      <c r="M290" s="109"/>
      <c r="N290" s="109"/>
      <c r="O290" s="109"/>
      <c r="P290" s="109"/>
      <c r="Q290" s="109"/>
      <c r="R290" s="109"/>
      <c r="S290" s="109"/>
      <c r="T290" s="109"/>
      <c r="U290" s="110"/>
      <c r="V290" s="110"/>
      <c r="W290" s="109"/>
      <c r="X290" s="109"/>
      <c r="Y290" s="109"/>
      <c r="Z290" s="109"/>
      <c r="AA290" s="109"/>
      <c r="AB290" s="109"/>
      <c r="AC290" s="109"/>
      <c r="AD290" s="109"/>
      <c r="AE290" s="109"/>
      <c r="AF290" s="109"/>
      <c r="AG290" s="109"/>
      <c r="AH290" s="109"/>
      <c r="AI290" s="109"/>
      <c r="AJ290" s="109"/>
      <c r="AK290" s="109"/>
      <c r="AL290" s="109"/>
      <c r="AM290" s="109"/>
      <c r="AN290" s="109"/>
      <c r="AO290" s="109"/>
      <c r="AP290" s="109"/>
      <c r="AQ290" s="109"/>
      <c r="AR290" s="109"/>
      <c r="AS290" s="109"/>
      <c r="AT290" s="109"/>
      <c r="AU290" s="109"/>
      <c r="AV290" s="109"/>
      <c r="AW290" s="109"/>
      <c r="AX290" s="109"/>
      <c r="AY290" s="109"/>
      <c r="AZ290" s="109"/>
      <c r="BA290" s="109"/>
      <c r="BB290" s="109"/>
      <c r="BC290" s="109"/>
      <c r="BD290" s="109"/>
      <c r="BE290" s="109"/>
      <c r="BF290" s="109"/>
      <c r="BG290" s="109"/>
      <c r="BH290" s="109"/>
      <c r="BI290" s="109"/>
      <c r="BJ290" s="109"/>
      <c r="BK290" s="109"/>
      <c r="BL290" s="109"/>
      <c r="BM290" s="109"/>
      <c r="BN290" s="109"/>
      <c r="BO290" s="109"/>
      <c r="BP290" s="109"/>
      <c r="BQ290" s="109"/>
    </row>
    <row r="291" spans="9:69">
      <c r="I291" s="220" t="s">
        <v>155</v>
      </c>
      <c r="J291" s="220" t="s">
        <v>630</v>
      </c>
      <c r="K291" s="221">
        <f>K288</f>
        <v>25</v>
      </c>
      <c r="L291" s="221">
        <f t="shared" ref="L291:M291" si="149">L288</f>
        <v>4</v>
      </c>
      <c r="M291" s="221">
        <f t="shared" si="149"/>
        <v>13</v>
      </c>
      <c r="N291" s="101"/>
      <c r="O291" s="101"/>
      <c r="P291" s="101"/>
      <c r="Q291" s="101"/>
      <c r="R291" s="101"/>
      <c r="S291" s="101"/>
      <c r="T291" s="94" t="s">
        <v>214</v>
      </c>
      <c r="U291" s="95">
        <v>1</v>
      </c>
      <c r="V291" s="95">
        <v>2</v>
      </c>
      <c r="W291" s="101"/>
      <c r="X291" s="101"/>
      <c r="Y291" s="100" t="e">
        <f>IF(SystemOff_ModeDisp_On_Off="O",AB291,"Off")</f>
        <v>#NAME?</v>
      </c>
      <c r="Z291" s="101"/>
      <c r="AA291" s="101"/>
      <c r="AB291" s="100" t="s">
        <v>745</v>
      </c>
      <c r="AC291" s="101"/>
      <c r="AD291" s="101"/>
      <c r="AE291" s="100" t="s">
        <v>745</v>
      </c>
      <c r="AF291" s="100" t="s">
        <v>89</v>
      </c>
      <c r="AG291" s="100" t="s">
        <v>89</v>
      </c>
      <c r="AH291" s="101"/>
      <c r="AI291" s="101"/>
      <c r="AJ291" s="101"/>
      <c r="AK291" s="101"/>
      <c r="AL291" s="101"/>
      <c r="AM291" s="101"/>
      <c r="AN291" s="101"/>
      <c r="AO291" s="101"/>
      <c r="AP291" s="101"/>
      <c r="AQ291" s="101"/>
      <c r="AR291" s="101"/>
      <c r="AS291" s="101"/>
      <c r="AT291" s="101"/>
      <c r="AU291" s="101"/>
      <c r="AV291" s="101"/>
      <c r="AW291" s="101"/>
      <c r="AX291" s="101"/>
      <c r="AY291" s="101"/>
      <c r="AZ291" s="101"/>
      <c r="BA291" s="101"/>
      <c r="BB291" s="101"/>
      <c r="BC291" s="101"/>
      <c r="BD291" s="101"/>
      <c r="BE291" s="101"/>
      <c r="BF291" s="101"/>
      <c r="BG291" s="101"/>
      <c r="BH291" s="101"/>
      <c r="BI291" s="101"/>
      <c r="BJ291" s="101"/>
      <c r="BK291" s="101"/>
      <c r="BL291" s="101"/>
      <c r="BM291" s="101"/>
      <c r="BN291" s="101"/>
      <c r="BO291" s="101"/>
      <c r="BP291" s="101"/>
      <c r="BQ291" s="101"/>
    </row>
    <row r="292" spans="9:69">
      <c r="I292" s="220" t="s">
        <v>155</v>
      </c>
      <c r="J292" s="220" t="s">
        <v>631</v>
      </c>
      <c r="K292" s="221">
        <f t="shared" ref="K292:M292" si="150">K291</f>
        <v>25</v>
      </c>
      <c r="L292" s="221">
        <f t="shared" si="150"/>
        <v>4</v>
      </c>
      <c r="M292" s="221">
        <f t="shared" si="150"/>
        <v>13</v>
      </c>
      <c r="N292" s="101"/>
      <c r="O292" s="101"/>
      <c r="P292" s="101"/>
      <c r="Q292" s="101"/>
      <c r="R292" s="101"/>
      <c r="S292" s="101"/>
      <c r="T292" s="94" t="s">
        <v>419</v>
      </c>
      <c r="U292" s="95" t="s">
        <v>420</v>
      </c>
      <c r="V292" s="95">
        <v>10</v>
      </c>
      <c r="W292" s="101"/>
      <c r="X292" s="101"/>
      <c r="Y292" s="100" t="e">
        <f>Y291</f>
        <v>#NAME?</v>
      </c>
      <c r="Z292" s="101"/>
      <c r="AA292" s="101"/>
      <c r="AB292" s="100" t="s">
        <v>411</v>
      </c>
      <c r="AC292" s="101"/>
      <c r="AD292" s="101"/>
      <c r="AE292" s="100" t="s">
        <v>411</v>
      </c>
      <c r="AF292" s="100" t="s">
        <v>89</v>
      </c>
      <c r="AG292" s="100" t="s">
        <v>89</v>
      </c>
      <c r="AH292" s="101"/>
      <c r="AI292" s="101"/>
      <c r="AJ292" s="101"/>
      <c r="AK292" s="101"/>
      <c r="AL292" s="101"/>
      <c r="AM292" s="101"/>
      <c r="AN292" s="101"/>
      <c r="AO292" s="101"/>
      <c r="AP292" s="101"/>
      <c r="AQ292" s="101"/>
      <c r="AR292" s="101"/>
      <c r="AS292" s="101"/>
      <c r="AT292" s="101"/>
      <c r="AU292" s="101"/>
      <c r="AV292" s="101"/>
      <c r="AW292" s="101"/>
      <c r="AX292" s="101"/>
      <c r="AY292" s="101"/>
      <c r="AZ292" s="101"/>
      <c r="BA292" s="101"/>
      <c r="BB292" s="101"/>
      <c r="BC292" s="101"/>
      <c r="BD292" s="101"/>
      <c r="BE292" s="101"/>
      <c r="BF292" s="101"/>
      <c r="BG292" s="101"/>
      <c r="BH292" s="101"/>
      <c r="BI292" s="101"/>
      <c r="BJ292" s="101"/>
      <c r="BK292" s="101"/>
      <c r="BL292" s="101"/>
      <c r="BM292" s="101"/>
      <c r="BN292" s="101"/>
      <c r="BO292" s="101"/>
      <c r="BP292" s="101"/>
      <c r="BQ292" s="101"/>
    </row>
    <row r="293" spans="9:69">
      <c r="I293" s="220" t="s">
        <v>155</v>
      </c>
      <c r="J293" s="220" t="s">
        <v>632</v>
      </c>
      <c r="K293" s="221">
        <f t="shared" ref="K293:M293" si="151">K292</f>
        <v>25</v>
      </c>
      <c r="L293" s="221">
        <f t="shared" si="151"/>
        <v>4</v>
      </c>
      <c r="M293" s="221">
        <f t="shared" si="151"/>
        <v>13</v>
      </c>
      <c r="N293" s="101"/>
      <c r="O293" s="101"/>
      <c r="P293" s="101"/>
      <c r="Q293" s="101"/>
      <c r="R293" s="101"/>
      <c r="S293" s="101"/>
      <c r="T293" s="94" t="s">
        <v>378</v>
      </c>
      <c r="U293" s="95">
        <v>1</v>
      </c>
      <c r="V293" s="95">
        <v>20</v>
      </c>
      <c r="W293" s="101"/>
      <c r="X293" s="101"/>
      <c r="Y293" s="100" t="s">
        <v>745</v>
      </c>
      <c r="Z293" s="101"/>
      <c r="AA293" s="101"/>
      <c r="AB293" s="100" t="s">
        <v>745</v>
      </c>
      <c r="AC293" s="101"/>
      <c r="AD293" s="101"/>
      <c r="AE293" s="100" t="s">
        <v>745</v>
      </c>
      <c r="AF293" s="100">
        <v>1</v>
      </c>
      <c r="AG293" s="100">
        <v>1</v>
      </c>
      <c r="AH293" s="101"/>
      <c r="AI293" s="101"/>
      <c r="AJ293" s="101"/>
      <c r="AK293" s="101"/>
      <c r="AL293" s="101"/>
      <c r="AM293" s="101"/>
      <c r="AN293" s="101"/>
      <c r="AO293" s="101"/>
      <c r="AP293" s="101"/>
      <c r="AQ293" s="101"/>
      <c r="AR293" s="101"/>
      <c r="AS293" s="101"/>
      <c r="AT293" s="101"/>
      <c r="AU293" s="101"/>
      <c r="AV293" s="101"/>
      <c r="AW293" s="101"/>
      <c r="AX293" s="101"/>
      <c r="AY293" s="101"/>
      <c r="AZ293" s="101"/>
      <c r="BA293" s="101"/>
      <c r="BB293" s="101"/>
      <c r="BC293" s="101"/>
      <c r="BD293" s="101"/>
      <c r="BE293" s="101"/>
      <c r="BF293" s="101"/>
      <c r="BG293" s="101"/>
      <c r="BH293" s="101"/>
      <c r="BI293" s="101"/>
      <c r="BJ293" s="101"/>
      <c r="BK293" s="101"/>
      <c r="BL293" s="101"/>
      <c r="BM293" s="101"/>
      <c r="BN293" s="101"/>
      <c r="BO293" s="101"/>
      <c r="BP293" s="101"/>
      <c r="BQ293" s="101"/>
    </row>
    <row r="294" spans="9:69">
      <c r="I294" s="255">
        <f>COUNTIF(I295:I300,"&lt;&gt;TS")</f>
        <v>5</v>
      </c>
      <c r="J294" s="106" t="s">
        <v>562</v>
      </c>
      <c r="K294" s="106" t="s">
        <v>581</v>
      </c>
      <c r="L294" s="106"/>
      <c r="M294" s="106"/>
      <c r="N294" s="106"/>
      <c r="O294" s="106"/>
      <c r="P294" s="106"/>
      <c r="Q294" s="106"/>
      <c r="R294" s="106"/>
      <c r="S294" s="106"/>
      <c r="T294" s="106"/>
      <c r="U294" s="107"/>
      <c r="V294" s="107"/>
      <c r="W294" s="106"/>
      <c r="X294" s="106"/>
      <c r="Y294" s="106"/>
      <c r="Z294" s="106"/>
      <c r="AA294" s="106"/>
      <c r="AB294" s="106"/>
      <c r="AC294" s="106"/>
      <c r="AD294" s="106"/>
      <c r="AE294" s="106"/>
      <c r="AF294" s="106"/>
      <c r="AG294" s="106"/>
      <c r="AH294" s="106"/>
      <c r="AI294" s="106"/>
      <c r="AJ294" s="106"/>
      <c r="AK294" s="106"/>
      <c r="AL294" s="106"/>
      <c r="AM294" s="106"/>
      <c r="AN294" s="106"/>
      <c r="AO294" s="106"/>
      <c r="AP294" s="106"/>
      <c r="AQ294" s="106"/>
      <c r="AR294" s="106"/>
      <c r="AS294" s="106"/>
      <c r="AT294" s="106"/>
      <c r="AU294" s="106"/>
      <c r="AV294" s="106"/>
      <c r="AW294" s="106"/>
      <c r="AX294" s="106"/>
      <c r="AY294" s="106"/>
      <c r="AZ294" s="106"/>
      <c r="BA294" s="106"/>
      <c r="BB294" s="106"/>
      <c r="BC294" s="106"/>
      <c r="BD294" s="106"/>
      <c r="BE294" s="106"/>
      <c r="BF294" s="106"/>
      <c r="BG294" s="106"/>
      <c r="BH294" s="106"/>
      <c r="BI294" s="106"/>
      <c r="BJ294" s="106"/>
      <c r="BK294" s="106"/>
      <c r="BL294" s="106"/>
      <c r="BM294" s="106"/>
      <c r="BN294" s="106"/>
      <c r="BO294" s="106"/>
      <c r="BP294" s="106"/>
      <c r="BQ294" s="106"/>
    </row>
    <row r="295" spans="9:69" ht="13.5">
      <c r="I295" s="108" t="s">
        <v>7</v>
      </c>
      <c r="J295" s="108" t="s">
        <v>622</v>
      </c>
      <c r="K295" s="109" t="s">
        <v>817</v>
      </c>
      <c r="L295" s="109"/>
      <c r="M295" s="109"/>
      <c r="N295" s="109"/>
      <c r="O295" s="109"/>
      <c r="P295" s="109"/>
      <c r="Q295" s="109"/>
      <c r="R295" s="109"/>
      <c r="S295" s="109"/>
      <c r="T295" s="109"/>
      <c r="U295" s="110"/>
      <c r="V295" s="110"/>
      <c r="W295" s="109"/>
      <c r="X295" s="109"/>
      <c r="Y295" s="109"/>
      <c r="Z295" s="109"/>
      <c r="AA295" s="109"/>
      <c r="AB295" s="109"/>
      <c r="AC295" s="109"/>
      <c r="AD295" s="109"/>
      <c r="AE295" s="109"/>
      <c r="AF295" s="109"/>
      <c r="AG295" s="109"/>
      <c r="AH295" s="109"/>
      <c r="AI295" s="109"/>
      <c r="AJ295" s="109"/>
      <c r="AK295" s="109"/>
      <c r="AL295" s="109"/>
      <c r="AM295" s="109"/>
      <c r="AN295" s="109"/>
      <c r="AO295" s="109"/>
      <c r="AP295" s="109"/>
      <c r="AQ295" s="109"/>
      <c r="AR295" s="109"/>
      <c r="AS295" s="109"/>
      <c r="AT295" s="109"/>
      <c r="AU295" s="109"/>
      <c r="AV295" s="109"/>
      <c r="AW295" s="109"/>
      <c r="AX295" s="109"/>
      <c r="AY295" s="109"/>
      <c r="AZ295" s="109"/>
      <c r="BA295" s="109"/>
      <c r="BB295" s="109"/>
      <c r="BC295" s="109"/>
      <c r="BD295" s="109"/>
      <c r="BE295" s="109"/>
      <c r="BF295" s="109"/>
      <c r="BG295" s="109"/>
      <c r="BH295" s="109"/>
      <c r="BI295" s="109"/>
      <c r="BJ295" s="109"/>
      <c r="BK295" s="109"/>
      <c r="BL295" s="109"/>
      <c r="BM295" s="109"/>
      <c r="BN295" s="109"/>
      <c r="BO295" s="109"/>
      <c r="BP295" s="109"/>
      <c r="BQ295" s="109"/>
    </row>
    <row r="296" spans="9:69" ht="13.5">
      <c r="I296" s="96" t="s">
        <v>48</v>
      </c>
      <c r="J296" s="96" t="s">
        <v>623</v>
      </c>
      <c r="K296" s="221">
        <f>K293</f>
        <v>25</v>
      </c>
      <c r="L296" s="221">
        <f t="shared" ref="L296:M296" si="152">L293</f>
        <v>4</v>
      </c>
      <c r="M296" s="221">
        <f t="shared" si="152"/>
        <v>13</v>
      </c>
      <c r="N296" s="101"/>
      <c r="O296" s="101"/>
      <c r="P296" s="101"/>
      <c r="Q296" s="101"/>
      <c r="R296" s="101"/>
      <c r="S296" s="101"/>
      <c r="T296" s="94" t="s">
        <v>209</v>
      </c>
      <c r="U296" s="205" t="s">
        <v>1758</v>
      </c>
      <c r="V296" s="95">
        <v>10</v>
      </c>
      <c r="W296" s="101"/>
      <c r="X296" s="101"/>
      <c r="Y296" s="100" t="s">
        <v>237</v>
      </c>
      <c r="Z296" s="101"/>
      <c r="AA296" s="101"/>
      <c r="AB296" s="100" t="s">
        <v>237</v>
      </c>
      <c r="AC296" s="101"/>
      <c r="AD296" s="101"/>
      <c r="AE296" s="100" t="s">
        <v>237</v>
      </c>
      <c r="AF296" s="100">
        <v>1</v>
      </c>
      <c r="AG296" s="101"/>
      <c r="AH296" s="101"/>
      <c r="AI296" s="100" t="e">
        <f>const_Tset_min_1</f>
        <v>#NAME?</v>
      </c>
      <c r="AJ296" s="101"/>
      <c r="AK296" s="101"/>
      <c r="AL296" s="101"/>
      <c r="AM296" s="101"/>
      <c r="AN296" s="101"/>
      <c r="AO296" s="101"/>
      <c r="AP296" s="101"/>
      <c r="AQ296" s="100" t="s">
        <v>51</v>
      </c>
      <c r="AR296" s="100" t="s">
        <v>51</v>
      </c>
      <c r="AS296" s="101"/>
      <c r="AT296" s="101"/>
      <c r="AU296" s="101"/>
      <c r="AV296" s="100" t="s">
        <v>405</v>
      </c>
      <c r="AW296" s="100" t="s">
        <v>405</v>
      </c>
      <c r="AX296" s="101"/>
      <c r="AY296" s="101"/>
      <c r="AZ296" s="101"/>
      <c r="BA296" s="101"/>
      <c r="BB296" s="101"/>
      <c r="BC296" s="101"/>
      <c r="BD296" s="101"/>
      <c r="BE296" s="101"/>
      <c r="BF296" s="101"/>
      <c r="BG296" s="101"/>
      <c r="BH296" s="101"/>
      <c r="BI296" s="101"/>
      <c r="BJ296" s="101"/>
      <c r="BK296" s="101"/>
      <c r="BL296" s="101"/>
      <c r="BM296" s="101"/>
      <c r="BN296" s="101"/>
      <c r="BO296" s="101"/>
      <c r="BP296" s="101"/>
      <c r="BQ296" s="101"/>
    </row>
    <row r="297" spans="9:69">
      <c r="I297" s="220" t="s">
        <v>155</v>
      </c>
      <c r="J297" s="220" t="s">
        <v>1760</v>
      </c>
      <c r="K297" s="221">
        <f t="shared" ref="K297:M297" si="153">K296</f>
        <v>25</v>
      </c>
      <c r="L297" s="221">
        <f t="shared" si="153"/>
        <v>4</v>
      </c>
      <c r="M297" s="221">
        <f t="shared" si="153"/>
        <v>13</v>
      </c>
      <c r="N297" s="101"/>
      <c r="O297" s="101"/>
      <c r="P297" s="101"/>
      <c r="Q297" s="101"/>
      <c r="R297" s="101"/>
      <c r="S297" s="101"/>
      <c r="T297" s="94" t="s">
        <v>419</v>
      </c>
      <c r="U297" s="95" t="s">
        <v>420</v>
      </c>
      <c r="V297" s="95">
        <v>10</v>
      </c>
      <c r="W297" s="101"/>
      <c r="X297" s="101"/>
      <c r="Y297" s="100" t="e">
        <f>IF(SystemOff_ModeDisp_On_Off="O",Y296,"Off")</f>
        <v>#NAME?</v>
      </c>
      <c r="Z297" s="101"/>
      <c r="AA297" s="101"/>
      <c r="AB297" s="100" t="s">
        <v>411</v>
      </c>
      <c r="AC297" s="101"/>
      <c r="AD297" s="101"/>
      <c r="AE297" s="100" t="s">
        <v>411</v>
      </c>
      <c r="AF297" s="100" t="s">
        <v>89</v>
      </c>
      <c r="AG297" s="101"/>
      <c r="AH297" s="101"/>
      <c r="AI297" s="100" t="e">
        <f>const_Tset_off_1</f>
        <v>#NAME?</v>
      </c>
      <c r="AJ297" s="101"/>
      <c r="AK297" s="101"/>
      <c r="AL297" s="101"/>
      <c r="AM297" s="101"/>
      <c r="AN297" s="101"/>
      <c r="AO297" s="101"/>
      <c r="AP297" s="101"/>
      <c r="AQ297" s="100" t="s">
        <v>50</v>
      </c>
      <c r="AR297" s="100" t="s">
        <v>50</v>
      </c>
      <c r="AS297" s="101"/>
      <c r="AT297" s="101"/>
      <c r="AU297" s="101"/>
      <c r="AV297" s="100" t="s">
        <v>80</v>
      </c>
      <c r="AW297" s="100" t="s">
        <v>80</v>
      </c>
      <c r="AX297" s="101"/>
      <c r="AY297" s="101"/>
      <c r="AZ297" s="101"/>
      <c r="BA297" s="101"/>
      <c r="BB297" s="101"/>
      <c r="BC297" s="101"/>
      <c r="BD297" s="101"/>
      <c r="BE297" s="101"/>
      <c r="BF297" s="101"/>
      <c r="BG297" s="101"/>
      <c r="BH297" s="101"/>
      <c r="BI297" s="101"/>
      <c r="BJ297" s="101"/>
      <c r="BK297" s="101"/>
      <c r="BL297" s="101"/>
      <c r="BM297" s="101"/>
      <c r="BN297" s="101"/>
      <c r="BO297" s="101"/>
      <c r="BP297" s="101"/>
      <c r="BQ297" s="101"/>
    </row>
    <row r="298" spans="9:69" ht="13.5">
      <c r="I298" s="220" t="s">
        <v>155</v>
      </c>
      <c r="J298" s="220" t="s">
        <v>746</v>
      </c>
      <c r="K298" s="221">
        <f t="shared" ref="K298:M298" si="154">K297</f>
        <v>25</v>
      </c>
      <c r="L298" s="221">
        <f t="shared" si="154"/>
        <v>4</v>
      </c>
      <c r="M298" s="221">
        <f t="shared" si="154"/>
        <v>13</v>
      </c>
      <c r="N298" s="101"/>
      <c r="O298" s="101"/>
      <c r="P298" s="101"/>
      <c r="Q298" s="101"/>
      <c r="R298" s="101"/>
      <c r="S298" s="101"/>
      <c r="T298" s="94" t="s">
        <v>424</v>
      </c>
      <c r="U298" s="95" t="s">
        <v>420</v>
      </c>
      <c r="V298" s="95">
        <v>18</v>
      </c>
      <c r="W298" s="101"/>
      <c r="X298" s="101"/>
      <c r="Y298" s="100" t="s">
        <v>237</v>
      </c>
      <c r="Z298" s="101"/>
      <c r="AA298" s="101"/>
      <c r="AB298" s="100" t="s">
        <v>237</v>
      </c>
      <c r="AC298" s="101"/>
      <c r="AD298" s="101"/>
      <c r="AE298" s="100" t="s">
        <v>237</v>
      </c>
      <c r="AF298" s="100">
        <v>1</v>
      </c>
      <c r="AG298" s="101"/>
      <c r="AH298" s="101"/>
      <c r="AI298" s="100" t="e">
        <f>const_Tset_min_1</f>
        <v>#NAME?</v>
      </c>
      <c r="AJ298" s="101"/>
      <c r="AK298" s="101"/>
      <c r="AL298" s="101"/>
      <c r="AM298" s="101"/>
      <c r="AN298" s="101"/>
      <c r="AO298" s="101"/>
      <c r="AP298" s="101"/>
      <c r="AQ298" s="100" t="s">
        <v>51</v>
      </c>
      <c r="AR298" s="100" t="s">
        <v>51</v>
      </c>
      <c r="AS298" s="101"/>
      <c r="AT298" s="101"/>
      <c r="AU298" s="101"/>
      <c r="AV298" s="100" t="s">
        <v>405</v>
      </c>
      <c r="AW298" s="100" t="s">
        <v>405</v>
      </c>
      <c r="AX298" s="101"/>
      <c r="AY298" s="101"/>
      <c r="AZ298" s="101"/>
      <c r="BA298" s="101"/>
      <c r="BB298" s="101"/>
      <c r="BC298" s="101"/>
      <c r="BD298" s="101"/>
      <c r="BE298" s="101"/>
      <c r="BF298" s="101"/>
      <c r="BG298" s="101"/>
      <c r="BH298" s="101"/>
      <c r="BI298" s="101"/>
      <c r="BJ298" s="101"/>
      <c r="BK298" s="101"/>
      <c r="BL298" s="101"/>
      <c r="BM298" s="101"/>
      <c r="BN298" s="101"/>
      <c r="BO298" s="101"/>
      <c r="BP298" s="101"/>
      <c r="BQ298" s="101"/>
    </row>
    <row r="299" spans="9:69">
      <c r="I299" s="220" t="s">
        <v>155</v>
      </c>
      <c r="J299" s="220" t="s">
        <v>624</v>
      </c>
      <c r="K299" s="221">
        <f t="shared" ref="K299:M300" si="155">K298</f>
        <v>25</v>
      </c>
      <c r="L299" s="221">
        <f t="shared" si="155"/>
        <v>4</v>
      </c>
      <c r="M299" s="221">
        <f t="shared" si="155"/>
        <v>13</v>
      </c>
      <c r="N299" s="101"/>
      <c r="O299" s="101"/>
      <c r="P299" s="101"/>
      <c r="Q299" s="101"/>
      <c r="R299" s="101"/>
      <c r="S299" s="101"/>
      <c r="T299" s="94" t="s">
        <v>214</v>
      </c>
      <c r="U299" s="95">
        <v>1</v>
      </c>
      <c r="V299" s="95">
        <v>10</v>
      </c>
      <c r="W299" s="101"/>
      <c r="X299" s="101"/>
      <c r="Y299" s="100" t="e">
        <f>Y297</f>
        <v>#NAME?</v>
      </c>
      <c r="Z299" s="101"/>
      <c r="AA299" s="101"/>
      <c r="AB299" s="100" t="s">
        <v>411</v>
      </c>
      <c r="AC299" s="101"/>
      <c r="AD299" s="101"/>
      <c r="AE299" s="100" t="s">
        <v>411</v>
      </c>
      <c r="AF299" s="100" t="s">
        <v>89</v>
      </c>
      <c r="AG299" s="101"/>
      <c r="AH299" s="101"/>
      <c r="AI299" s="100" t="e">
        <f>const_Tset_off_1</f>
        <v>#NAME?</v>
      </c>
      <c r="AJ299" s="101"/>
      <c r="AK299" s="101"/>
      <c r="AL299" s="101"/>
      <c r="AM299" s="101"/>
      <c r="AN299" s="101"/>
      <c r="AO299" s="101"/>
      <c r="AP299" s="101"/>
      <c r="AQ299" s="100" t="s">
        <v>50</v>
      </c>
      <c r="AR299" s="100" t="s">
        <v>50</v>
      </c>
      <c r="AS299" s="101"/>
      <c r="AT299" s="101"/>
      <c r="AU299" s="101"/>
      <c r="AV299" s="100" t="s">
        <v>80</v>
      </c>
      <c r="AW299" s="100" t="s">
        <v>80</v>
      </c>
      <c r="AX299" s="101"/>
      <c r="AY299" s="101"/>
      <c r="AZ299" s="101"/>
      <c r="BA299" s="101"/>
      <c r="BB299" s="101"/>
      <c r="BC299" s="101"/>
      <c r="BD299" s="101"/>
      <c r="BE299" s="101"/>
      <c r="BF299" s="101"/>
      <c r="BG299" s="101"/>
      <c r="BH299" s="101"/>
      <c r="BI299" s="101"/>
      <c r="BJ299" s="101"/>
      <c r="BK299" s="101"/>
      <c r="BL299" s="101"/>
      <c r="BM299" s="101"/>
      <c r="BN299" s="101"/>
      <c r="BO299" s="101"/>
      <c r="BP299" s="101"/>
      <c r="BQ299" s="101"/>
    </row>
    <row r="300" spans="9:69">
      <c r="I300" s="220" t="s">
        <v>155</v>
      </c>
      <c r="J300" s="220" t="s">
        <v>1759</v>
      </c>
      <c r="K300" s="221">
        <f t="shared" si="155"/>
        <v>25</v>
      </c>
      <c r="L300" s="221">
        <f t="shared" si="155"/>
        <v>4</v>
      </c>
      <c r="M300" s="221">
        <f t="shared" si="155"/>
        <v>13</v>
      </c>
      <c r="N300" s="101"/>
      <c r="O300" s="101"/>
      <c r="P300" s="101"/>
      <c r="Q300" s="101"/>
      <c r="R300" s="101"/>
      <c r="S300" s="101"/>
      <c r="T300" s="94" t="s">
        <v>424</v>
      </c>
      <c r="U300" s="95" t="s">
        <v>420</v>
      </c>
      <c r="V300" s="95">
        <v>18</v>
      </c>
      <c r="W300" s="101"/>
      <c r="X300" s="101"/>
      <c r="Y300" s="100" t="e">
        <f>Y297</f>
        <v>#NAME?</v>
      </c>
      <c r="Z300" s="101"/>
      <c r="AA300" s="101"/>
      <c r="AB300" s="100" t="s">
        <v>237</v>
      </c>
      <c r="AC300" s="101"/>
      <c r="AD300" s="101"/>
      <c r="AE300" s="100" t="s">
        <v>237</v>
      </c>
      <c r="AF300" s="100" t="s">
        <v>89</v>
      </c>
      <c r="AG300" s="101"/>
      <c r="AH300" s="101"/>
      <c r="AI300" s="100" t="e">
        <f>const_Tset_off_1</f>
        <v>#NAME?</v>
      </c>
      <c r="AJ300" s="101"/>
      <c r="AK300" s="101"/>
      <c r="AL300" s="101"/>
      <c r="AM300" s="101"/>
      <c r="AN300" s="101"/>
      <c r="AO300" s="101"/>
      <c r="AP300" s="101"/>
      <c r="AQ300" s="100" t="s">
        <v>51</v>
      </c>
      <c r="AR300" s="100" t="s">
        <v>51</v>
      </c>
      <c r="AS300" s="101"/>
      <c r="AT300" s="101"/>
      <c r="AU300" s="101"/>
      <c r="AV300" s="100" t="s">
        <v>80</v>
      </c>
      <c r="AW300" s="100" t="s">
        <v>80</v>
      </c>
      <c r="AX300" s="101"/>
      <c r="AY300" s="101"/>
      <c r="AZ300" s="101"/>
      <c r="BA300" s="101"/>
      <c r="BB300" s="101"/>
      <c r="BC300" s="101"/>
      <c r="BD300" s="101"/>
      <c r="BE300" s="101"/>
      <c r="BF300" s="101"/>
      <c r="BG300" s="101"/>
      <c r="BH300" s="101"/>
      <c r="BI300" s="101"/>
      <c r="BJ300" s="101"/>
      <c r="BK300" s="101"/>
      <c r="BL300" s="101"/>
      <c r="BM300" s="101"/>
      <c r="BN300" s="101"/>
      <c r="BO300" s="101"/>
      <c r="BP300" s="101"/>
      <c r="BQ300" s="101"/>
    </row>
    <row r="301" spans="9:69" ht="13.5">
      <c r="I301" s="108" t="s">
        <v>7</v>
      </c>
      <c r="J301" s="112" t="s">
        <v>641</v>
      </c>
      <c r="K301" s="112" t="s">
        <v>818</v>
      </c>
      <c r="L301" s="112"/>
      <c r="M301" s="112"/>
      <c r="N301" s="112"/>
      <c r="O301" s="112"/>
      <c r="P301" s="112"/>
      <c r="Q301" s="112"/>
      <c r="R301" s="112"/>
      <c r="S301" s="112"/>
      <c r="T301" s="112"/>
      <c r="U301" s="113"/>
      <c r="V301" s="113"/>
      <c r="W301" s="112"/>
      <c r="X301" s="112"/>
      <c r="Y301" s="112"/>
      <c r="Z301" s="112"/>
      <c r="AA301" s="112"/>
      <c r="AB301" s="112"/>
      <c r="AC301" s="112"/>
      <c r="AD301" s="112"/>
      <c r="AE301" s="112"/>
      <c r="AF301" s="112"/>
      <c r="AG301" s="112"/>
      <c r="AH301" s="112"/>
      <c r="AI301" s="112"/>
      <c r="AJ301" s="112"/>
      <c r="AK301" s="112"/>
      <c r="AL301" s="112"/>
      <c r="AM301" s="112"/>
      <c r="AN301" s="112"/>
      <c r="AO301" s="112"/>
      <c r="AP301" s="112"/>
      <c r="AQ301" s="112"/>
      <c r="AR301" s="112"/>
      <c r="AS301" s="112"/>
      <c r="AT301" s="112"/>
      <c r="AU301" s="112"/>
      <c r="AV301" s="112"/>
      <c r="AW301" s="112"/>
      <c r="AX301" s="112"/>
      <c r="AY301" s="112"/>
      <c r="AZ301" s="112"/>
      <c r="BA301" s="112"/>
      <c r="BB301" s="112"/>
      <c r="BC301" s="112"/>
      <c r="BD301" s="112"/>
      <c r="BE301" s="112"/>
      <c r="BF301" s="112"/>
      <c r="BG301" s="112"/>
      <c r="BH301" s="112"/>
      <c r="BI301" s="112"/>
      <c r="BJ301" s="112"/>
      <c r="BK301" s="112"/>
      <c r="BL301" s="112"/>
      <c r="BM301" s="112"/>
      <c r="BN301" s="112"/>
      <c r="BO301" s="112"/>
      <c r="BP301" s="112"/>
      <c r="BQ301" s="112"/>
    </row>
    <row r="302" spans="9:69">
      <c r="I302" s="255">
        <f>COUNTIF(I303:I306,"&lt;&gt;TS")</f>
        <v>3</v>
      </c>
      <c r="J302" s="106" t="s">
        <v>563</v>
      </c>
      <c r="K302" s="106" t="s">
        <v>819</v>
      </c>
      <c r="L302" s="106"/>
      <c r="M302" s="106"/>
      <c r="N302" s="106"/>
      <c r="O302" s="106"/>
      <c r="P302" s="106"/>
      <c r="Q302" s="106"/>
      <c r="R302" s="106"/>
      <c r="S302" s="106"/>
      <c r="T302" s="106"/>
      <c r="U302" s="107"/>
      <c r="V302" s="107"/>
      <c r="W302" s="106"/>
      <c r="X302" s="106"/>
      <c r="Y302" s="106"/>
      <c r="Z302" s="106"/>
      <c r="AA302" s="106"/>
      <c r="AB302" s="106"/>
      <c r="AC302" s="106"/>
      <c r="AD302" s="106"/>
      <c r="AE302" s="106"/>
      <c r="AF302" s="106"/>
      <c r="AG302" s="106"/>
      <c r="AH302" s="106"/>
      <c r="AI302" s="106"/>
      <c r="AJ302" s="106"/>
      <c r="AK302" s="106"/>
      <c r="AL302" s="106"/>
      <c r="AM302" s="106"/>
      <c r="AN302" s="106"/>
      <c r="AO302" s="106"/>
      <c r="AP302" s="106"/>
      <c r="AQ302" s="106"/>
      <c r="AR302" s="106"/>
      <c r="AS302" s="106"/>
      <c r="AT302" s="106"/>
      <c r="AU302" s="106"/>
      <c r="AV302" s="106"/>
      <c r="AW302" s="106"/>
      <c r="AX302" s="106"/>
      <c r="AY302" s="106"/>
      <c r="AZ302" s="106"/>
      <c r="BA302" s="106"/>
      <c r="BB302" s="106"/>
      <c r="BC302" s="106"/>
      <c r="BD302" s="106"/>
      <c r="BE302" s="106"/>
      <c r="BF302" s="106"/>
      <c r="BG302" s="106"/>
      <c r="BH302" s="106"/>
      <c r="BI302" s="106"/>
      <c r="BJ302" s="106"/>
      <c r="BK302" s="106"/>
      <c r="BL302" s="106"/>
      <c r="BM302" s="106"/>
      <c r="BN302" s="106"/>
      <c r="BO302" s="106"/>
      <c r="BP302" s="106"/>
      <c r="BQ302" s="106"/>
    </row>
    <row r="303" spans="9:69">
      <c r="I303" s="108" t="s">
        <v>7</v>
      </c>
      <c r="J303" s="108" t="s">
        <v>908</v>
      </c>
      <c r="K303" s="109" t="s">
        <v>1854</v>
      </c>
      <c r="L303" s="109"/>
      <c r="M303" s="109"/>
      <c r="N303" s="109"/>
      <c r="O303" s="109"/>
      <c r="P303" s="109"/>
      <c r="Q303" s="109"/>
      <c r="R303" s="109"/>
      <c r="S303" s="109"/>
      <c r="T303" s="109"/>
      <c r="U303" s="110"/>
      <c r="V303" s="110"/>
      <c r="W303" s="109"/>
      <c r="X303" s="109"/>
      <c r="Y303" s="109"/>
      <c r="Z303" s="109"/>
      <c r="AA303" s="109"/>
      <c r="AB303" s="109"/>
      <c r="AC303" s="109"/>
      <c r="AD303" s="109"/>
      <c r="AE303" s="109"/>
      <c r="AF303" s="109"/>
      <c r="AG303" s="109"/>
      <c r="AH303" s="109"/>
      <c r="AI303" s="109"/>
      <c r="AJ303" s="109"/>
      <c r="AK303" s="109"/>
      <c r="AL303" s="109"/>
      <c r="AM303" s="109"/>
      <c r="AN303" s="109"/>
      <c r="AO303" s="109"/>
      <c r="AP303" s="109"/>
      <c r="AQ303" s="109"/>
      <c r="AR303" s="109"/>
      <c r="AS303" s="109"/>
      <c r="AT303" s="109"/>
      <c r="AU303" s="109"/>
      <c r="AV303" s="109"/>
      <c r="AW303" s="109"/>
      <c r="AX303" s="109"/>
      <c r="AY303" s="109"/>
      <c r="AZ303" s="109"/>
      <c r="BA303" s="109"/>
      <c r="BB303" s="109"/>
      <c r="BC303" s="109"/>
      <c r="BD303" s="109"/>
      <c r="BE303" s="109"/>
      <c r="BF303" s="109"/>
      <c r="BG303" s="109"/>
      <c r="BH303" s="109"/>
      <c r="BI303" s="109"/>
      <c r="BJ303" s="109"/>
      <c r="BK303" s="109"/>
      <c r="BL303" s="109"/>
      <c r="BM303" s="109"/>
      <c r="BN303" s="109"/>
      <c r="BO303" s="109"/>
      <c r="BP303" s="109"/>
      <c r="BQ303" s="109"/>
    </row>
    <row r="304" spans="9:69">
      <c r="I304" s="96" t="s">
        <v>48</v>
      </c>
      <c r="J304" s="96" t="s">
        <v>909</v>
      </c>
      <c r="K304" s="100">
        <v>53</v>
      </c>
      <c r="L304" s="100">
        <v>10</v>
      </c>
      <c r="M304" s="100">
        <v>13</v>
      </c>
      <c r="N304" s="101"/>
      <c r="O304" s="101"/>
      <c r="P304" s="101"/>
      <c r="Q304" s="100">
        <v>400</v>
      </c>
      <c r="R304" s="101"/>
      <c r="S304" s="101"/>
      <c r="T304" s="94" t="s">
        <v>209</v>
      </c>
      <c r="U304" s="100" t="e">
        <f>IF(FLAG_Country&lt;&gt;"USA","설정 온도 22 degC, AUTO ON (SYNC ON) 선택 상태 설정","설정 온도 72 degF, AUTO ON (SYNC ON) 선택 상태 설정")</f>
        <v>#NAME?</v>
      </c>
      <c r="V304" s="99">
        <v>10</v>
      </c>
      <c r="W304" s="101"/>
      <c r="X304" s="101"/>
      <c r="Y304" s="101"/>
      <c r="Z304" s="101"/>
      <c r="AA304" s="101"/>
      <c r="AB304" s="101"/>
      <c r="AC304" s="101"/>
      <c r="AD304" s="101"/>
      <c r="AE304" s="101"/>
      <c r="AF304" s="100" t="e">
        <f>VLOOKUP(AG304,Tbl_BlowerUp_Display,2)</f>
        <v>#VALUE!</v>
      </c>
      <c r="AG304" s="100" t="e" cm="1">
        <f t="array" ref="AG304">VINTERPOLATION(L304,Tbl_BlowerLimit_AmbUp_Volt,2)</f>
        <v>#VALUE!</v>
      </c>
      <c r="AH304" s="101"/>
      <c r="AI304" s="100" t="e">
        <f>const_Tset_default_1</f>
        <v>#NAME?</v>
      </c>
      <c r="AJ304" s="101"/>
      <c r="AK304" s="101"/>
      <c r="AL304" s="101"/>
      <c r="AM304" s="101"/>
      <c r="AN304" s="101"/>
      <c r="AO304" s="101"/>
      <c r="AP304" s="101"/>
      <c r="AQ304" s="100" t="s">
        <v>51</v>
      </c>
      <c r="AR304" s="100" t="s">
        <v>51</v>
      </c>
      <c r="AS304" s="101"/>
      <c r="AT304" s="101"/>
      <c r="AU304" s="101"/>
      <c r="AV304" s="101"/>
      <c r="AW304" s="101"/>
      <c r="AX304" s="101"/>
      <c r="AY304" s="101"/>
      <c r="AZ304" s="101"/>
      <c r="BA304" s="101"/>
      <c r="BB304" s="101"/>
      <c r="BC304" s="101"/>
      <c r="BD304" s="101"/>
      <c r="BE304" s="100">
        <v>0</v>
      </c>
      <c r="BF304" s="100">
        <v>1</v>
      </c>
      <c r="BG304" s="101"/>
      <c r="BH304" s="101"/>
      <c r="BI304" s="101"/>
      <c r="BJ304" s="101"/>
      <c r="BK304" s="101"/>
      <c r="BL304" s="101"/>
      <c r="BM304" s="101"/>
      <c r="BN304" s="101"/>
      <c r="BO304" s="101"/>
      <c r="BP304" s="101"/>
      <c r="BQ304" s="101"/>
    </row>
    <row r="305" spans="3:69">
      <c r="I305" s="220" t="s">
        <v>155</v>
      </c>
      <c r="J305" s="220" t="s">
        <v>910</v>
      </c>
      <c r="K305" s="221">
        <f t="shared" ref="K305:M306" si="156">K304</f>
        <v>53</v>
      </c>
      <c r="L305" s="221">
        <f t="shared" si="156"/>
        <v>10</v>
      </c>
      <c r="M305" s="221">
        <f t="shared" si="156"/>
        <v>13</v>
      </c>
      <c r="N305" s="101"/>
      <c r="O305" s="101"/>
      <c r="P305" s="101"/>
      <c r="Q305" s="100">
        <v>4000</v>
      </c>
      <c r="R305" s="101"/>
      <c r="S305" s="101"/>
      <c r="T305" s="111" t="e">
        <f>CO2_PPM_V</f>
        <v>#NAME?</v>
      </c>
      <c r="U305" s="99">
        <v>4000</v>
      </c>
      <c r="V305" s="99">
        <v>10</v>
      </c>
      <c r="W305" s="101"/>
      <c r="X305" s="101"/>
      <c r="Y305" s="101"/>
      <c r="Z305" s="101"/>
      <c r="AA305" s="101"/>
      <c r="AB305" s="101"/>
      <c r="AC305" s="101"/>
      <c r="AD305" s="101"/>
      <c r="AE305" s="101"/>
      <c r="AF305" s="100" t="e">
        <f>VLOOKUP(AG305,Tbl_BlowerUp_Display,2)</f>
        <v>#VALUE!</v>
      </c>
      <c r="AG305" s="100" t="e">
        <f>AG304+(AG304*10%)</f>
        <v>#VALUE!</v>
      </c>
      <c r="AH305" s="101"/>
      <c r="AI305" s="101"/>
      <c r="AJ305" s="101"/>
      <c r="AK305" s="101"/>
      <c r="AL305" s="101"/>
      <c r="AM305" s="101"/>
      <c r="AN305" s="101"/>
      <c r="AO305" s="101"/>
      <c r="AP305" s="101"/>
      <c r="AQ305" s="100" t="s">
        <v>50</v>
      </c>
      <c r="AR305" s="100" t="s">
        <v>1853</v>
      </c>
      <c r="AS305" s="101"/>
      <c r="AT305" s="101"/>
      <c r="AU305" s="101"/>
      <c r="AV305" s="101"/>
      <c r="AW305" s="101"/>
      <c r="AX305" s="101"/>
      <c r="AY305" s="101"/>
      <c r="AZ305" s="101"/>
      <c r="BA305" s="101"/>
      <c r="BB305" s="101"/>
      <c r="BC305" s="101"/>
      <c r="BD305" s="101"/>
      <c r="BE305" s="100">
        <v>1</v>
      </c>
      <c r="BF305" s="100">
        <v>1</v>
      </c>
      <c r="BG305" s="101"/>
      <c r="BH305" s="101"/>
      <c r="BI305" s="101"/>
      <c r="BJ305" s="101"/>
      <c r="BK305" s="101"/>
      <c r="BL305" s="101"/>
      <c r="BM305" s="101"/>
      <c r="BN305" s="101"/>
      <c r="BO305" s="101"/>
      <c r="BP305" s="101"/>
      <c r="BQ305" s="101"/>
    </row>
    <row r="306" spans="3:69">
      <c r="I306" s="220" t="s">
        <v>155</v>
      </c>
      <c r="J306" s="220" t="s">
        <v>911</v>
      </c>
      <c r="K306" s="221">
        <f t="shared" si="156"/>
        <v>53</v>
      </c>
      <c r="L306" s="221">
        <f t="shared" si="156"/>
        <v>10</v>
      </c>
      <c r="M306" s="221">
        <f t="shared" si="156"/>
        <v>13</v>
      </c>
      <c r="N306" s="101"/>
      <c r="O306" s="101"/>
      <c r="P306" s="101"/>
      <c r="Q306" s="100">
        <v>400</v>
      </c>
      <c r="R306" s="101"/>
      <c r="S306" s="101"/>
      <c r="T306" s="111" t="e">
        <f>CO2_PPM_V</f>
        <v>#NAME?</v>
      </c>
      <c r="U306" s="99">
        <v>400</v>
      </c>
      <c r="V306" s="99">
        <v>10</v>
      </c>
      <c r="W306" s="101"/>
      <c r="X306" s="101"/>
      <c r="Y306" s="101"/>
      <c r="Z306" s="101"/>
      <c r="AA306" s="101"/>
      <c r="AB306" s="101"/>
      <c r="AC306" s="101"/>
      <c r="AD306" s="101"/>
      <c r="AE306" s="101"/>
      <c r="AF306" s="100" t="e">
        <f>VLOOKUP(AG306,Tbl_BlowerUp_Display,2)</f>
        <v>#VALUE!</v>
      </c>
      <c r="AG306" s="100" t="e" cm="1">
        <f t="array" ref="AG306">VINTERPOLATION(L306,Tbl_BlowerLimit_AmbUp_Volt,2)</f>
        <v>#VALUE!</v>
      </c>
      <c r="AH306" s="101"/>
      <c r="AI306" s="101"/>
      <c r="AJ306" s="101"/>
      <c r="AK306" s="101"/>
      <c r="AL306" s="101"/>
      <c r="AM306" s="101"/>
      <c r="AN306" s="101"/>
      <c r="AO306" s="101"/>
      <c r="AP306" s="101"/>
      <c r="AQ306" s="100" t="s">
        <v>51</v>
      </c>
      <c r="AR306" s="100" t="s">
        <v>51</v>
      </c>
      <c r="AS306" s="101"/>
      <c r="AT306" s="101"/>
      <c r="AU306" s="101"/>
      <c r="AV306" s="101"/>
      <c r="AW306" s="101"/>
      <c r="AX306" s="101"/>
      <c r="AY306" s="101"/>
      <c r="AZ306" s="101"/>
      <c r="BA306" s="101"/>
      <c r="BB306" s="101"/>
      <c r="BC306" s="101"/>
      <c r="BD306" s="101"/>
      <c r="BE306" s="100">
        <v>0</v>
      </c>
      <c r="BF306" s="100">
        <v>1</v>
      </c>
      <c r="BG306" s="101"/>
      <c r="BH306" s="101"/>
      <c r="BI306" s="101"/>
      <c r="BJ306" s="101"/>
      <c r="BK306" s="101"/>
      <c r="BL306" s="101"/>
      <c r="BM306" s="101"/>
      <c r="BN306" s="101"/>
      <c r="BO306" s="101"/>
      <c r="BP306" s="101"/>
      <c r="BQ306" s="101"/>
    </row>
    <row r="307" spans="3:69">
      <c r="I307" s="255">
        <f>COUNTIF(I308:I314,"&lt;&gt;TS")</f>
        <v>6</v>
      </c>
      <c r="J307" s="106" t="s">
        <v>564</v>
      </c>
      <c r="K307" s="106" t="e">
        <f>IF(온도단위_동기화="O","온도단위 동기화 로직 &lt;2세대, P_CAN용&gt; &lt;외기온 표시 클러스터 &amp; 클러스터 외기온 C , 'F 변환 가능시&gt;","온도단위 동기화 로직 &lt;1세대, C_CAN용&gt; &lt;외기온 표시 클러스터 &amp; 클러스터 외기온 C , 'F 변환 가능시&gt;")</f>
        <v>#NAME?</v>
      </c>
      <c r="L307" s="106"/>
      <c r="M307" s="106"/>
      <c r="N307" s="106"/>
      <c r="O307" s="106"/>
      <c r="P307" s="106"/>
      <c r="Q307" s="106"/>
      <c r="R307" s="106"/>
      <c r="S307" s="106"/>
      <c r="T307" s="106"/>
      <c r="U307" s="107"/>
      <c r="V307" s="107"/>
      <c r="W307" s="106"/>
      <c r="X307" s="106"/>
      <c r="Y307" s="106"/>
      <c r="Z307" s="106"/>
      <c r="AA307" s="106"/>
      <c r="AB307" s="106"/>
      <c r="AC307" s="106"/>
      <c r="AD307" s="106"/>
      <c r="AE307" s="106"/>
      <c r="AF307" s="106"/>
      <c r="AG307" s="106"/>
      <c r="AH307" s="106"/>
      <c r="AI307" s="106"/>
      <c r="AJ307" s="106"/>
      <c r="AK307" s="106"/>
      <c r="AL307" s="106"/>
      <c r="AM307" s="106"/>
      <c r="AN307" s="106"/>
      <c r="AO307" s="106"/>
      <c r="AP307" s="106"/>
      <c r="AQ307" s="106"/>
      <c r="AR307" s="106"/>
      <c r="AS307" s="106"/>
      <c r="AT307" s="106"/>
      <c r="AU307" s="106"/>
      <c r="AV307" s="106"/>
      <c r="AW307" s="106"/>
      <c r="AX307" s="106"/>
      <c r="AY307" s="106"/>
      <c r="AZ307" s="106"/>
      <c r="BA307" s="106"/>
      <c r="BB307" s="106"/>
      <c r="BC307" s="106"/>
      <c r="BD307" s="106"/>
      <c r="BE307" s="106"/>
      <c r="BF307" s="106"/>
      <c r="BG307" s="106"/>
      <c r="BH307" s="106"/>
      <c r="BI307" s="106"/>
      <c r="BJ307" s="106"/>
      <c r="BK307" s="106"/>
      <c r="BL307" s="106"/>
      <c r="BM307" s="106"/>
      <c r="BN307" s="106"/>
      <c r="BO307" s="106"/>
      <c r="BP307" s="106"/>
      <c r="BQ307" s="106"/>
    </row>
    <row r="308" spans="3:69" ht="13.5">
      <c r="I308" s="108" t="s">
        <v>7</v>
      </c>
      <c r="J308" s="108" t="s">
        <v>875</v>
      </c>
      <c r="K308" s="109" t="s">
        <v>820</v>
      </c>
      <c r="L308" s="109"/>
      <c r="M308" s="109"/>
      <c r="N308" s="109"/>
      <c r="O308" s="109"/>
      <c r="P308" s="109"/>
      <c r="Q308" s="109"/>
      <c r="R308" s="109"/>
      <c r="S308" s="109"/>
      <c r="T308" s="109"/>
      <c r="U308" s="110"/>
      <c r="V308" s="110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  <c r="AI308" s="109"/>
      <c r="AJ308" s="109"/>
      <c r="AK308" s="109"/>
      <c r="AL308" s="109"/>
      <c r="AM308" s="109"/>
      <c r="AN308" s="109"/>
      <c r="AO308" s="109"/>
      <c r="AP308" s="109"/>
      <c r="AQ308" s="109"/>
      <c r="AR308" s="109"/>
      <c r="AS308" s="109"/>
      <c r="AT308" s="109"/>
      <c r="AU308" s="109"/>
      <c r="AV308" s="109"/>
      <c r="AW308" s="109"/>
      <c r="AX308" s="109"/>
      <c r="AY308" s="109"/>
      <c r="AZ308" s="109"/>
      <c r="BA308" s="109"/>
      <c r="BB308" s="109"/>
      <c r="BC308" s="109"/>
      <c r="BD308" s="109"/>
      <c r="BE308" s="109"/>
      <c r="BF308" s="109"/>
      <c r="BG308" s="109"/>
      <c r="BH308" s="109"/>
      <c r="BI308" s="109"/>
      <c r="BJ308" s="109"/>
      <c r="BK308" s="109"/>
      <c r="BL308" s="109"/>
      <c r="BM308" s="109"/>
      <c r="BN308" s="109"/>
      <c r="BO308" s="109"/>
      <c r="BP308" s="109"/>
      <c r="BQ308" s="109"/>
    </row>
    <row r="309" spans="3:69">
      <c r="I309" s="96" t="s">
        <v>48</v>
      </c>
      <c r="J309" s="96" t="s">
        <v>876</v>
      </c>
      <c r="K309" s="221">
        <f>K306</f>
        <v>53</v>
      </c>
      <c r="L309" s="221">
        <f t="shared" ref="L309:M309" si="157">L306</f>
        <v>10</v>
      </c>
      <c r="M309" s="221">
        <f t="shared" si="157"/>
        <v>13</v>
      </c>
      <c r="N309" s="101"/>
      <c r="O309" s="101"/>
      <c r="P309" s="101"/>
      <c r="Q309" s="101"/>
      <c r="R309" s="101"/>
      <c r="S309" s="101"/>
      <c r="T309" s="94" t="s">
        <v>95</v>
      </c>
      <c r="U309" s="95" t="s">
        <v>420</v>
      </c>
      <c r="V309" s="95">
        <v>10</v>
      </c>
      <c r="W309" s="101"/>
      <c r="X309" s="101"/>
      <c r="Y309" s="101"/>
      <c r="Z309" s="101"/>
      <c r="AA309" s="101"/>
      <c r="AB309" s="101"/>
      <c r="AC309" s="101"/>
      <c r="AD309" s="101"/>
      <c r="AE309" s="101"/>
      <c r="AF309" s="101"/>
      <c r="AG309" s="101"/>
      <c r="AH309" s="100" t="e">
        <f>IF(const_TempUnit_1="degC",0,1)</f>
        <v>#NAME?</v>
      </c>
      <c r="AI309" s="100" t="e">
        <f>const_Tset_default_1</f>
        <v>#NAME?</v>
      </c>
      <c r="AJ309" s="100" t="e">
        <f>const_Tset_default_1</f>
        <v>#NAME?</v>
      </c>
      <c r="AK309" s="100" t="e">
        <f>IF(온도단위_동기화="O",const_Tset_default_2,const_Tset_invalid_2)</f>
        <v>#NAME?</v>
      </c>
      <c r="AL309" s="100" t="e">
        <f>IF(온도단위_동기화="O",const_Tset_default_2,const_Tset_invalid_2)</f>
        <v>#NAME?</v>
      </c>
      <c r="AM309" s="101"/>
      <c r="AN309" s="101"/>
      <c r="AO309" s="101"/>
      <c r="AP309" s="101"/>
      <c r="AQ309" s="101"/>
      <c r="AR309" s="101"/>
      <c r="AS309" s="101"/>
      <c r="AT309" s="101"/>
      <c r="AU309" s="101"/>
      <c r="AV309" s="101"/>
      <c r="AW309" s="101"/>
      <c r="AX309" s="101"/>
      <c r="AY309" s="101"/>
      <c r="AZ309" s="101"/>
      <c r="BA309" s="101"/>
      <c r="BB309" s="101"/>
      <c r="BC309" s="101"/>
      <c r="BD309" s="101"/>
      <c r="BE309" s="101"/>
      <c r="BF309" s="101"/>
      <c r="BG309" s="101"/>
      <c r="BH309" s="101"/>
      <c r="BI309" s="101"/>
      <c r="BJ309" s="101"/>
      <c r="BK309" s="101"/>
      <c r="BL309" s="101"/>
      <c r="BM309" s="101"/>
      <c r="BN309" s="101"/>
      <c r="BO309" s="101"/>
      <c r="BP309" s="101"/>
      <c r="BQ309" s="101"/>
    </row>
    <row r="310" spans="3:69">
      <c r="I310" s="220" t="s">
        <v>155</v>
      </c>
      <c r="J310" s="220" t="s">
        <v>877</v>
      </c>
      <c r="K310" s="221">
        <f>K309</f>
        <v>53</v>
      </c>
      <c r="L310" s="221">
        <f t="shared" ref="L310:M310" si="158">L309</f>
        <v>10</v>
      </c>
      <c r="M310" s="221">
        <f t="shared" si="158"/>
        <v>13</v>
      </c>
      <c r="N310" s="101"/>
      <c r="O310" s="101"/>
      <c r="P310" s="101"/>
      <c r="Q310" s="101"/>
      <c r="R310" s="101"/>
      <c r="S310" s="101"/>
      <c r="T310" s="94" t="e">
        <f>CLU_TempUnitSetReq</f>
        <v>#NAME?</v>
      </c>
      <c r="U310" s="100">
        <v>2</v>
      </c>
      <c r="V310" s="95">
        <v>1</v>
      </c>
      <c r="W310" s="101"/>
      <c r="X310" s="101"/>
      <c r="Y310" s="101"/>
      <c r="Z310" s="101"/>
      <c r="AA310" s="101"/>
      <c r="AB310" s="101"/>
      <c r="AC310" s="101"/>
      <c r="AD310" s="101"/>
      <c r="AE310" s="101"/>
      <c r="AF310" s="101"/>
      <c r="AG310" s="101"/>
      <c r="AH310" s="100" t="e">
        <f>IF(const_TempUnit_2="degF",1,0)</f>
        <v>#NAME?</v>
      </c>
      <c r="AI310" s="100" t="e">
        <f>IF(온도단위_동기화="O",const_Tset_default_1,const_Tset_invalid_1)</f>
        <v>#NAME?</v>
      </c>
      <c r="AJ310" s="100" t="e">
        <f>IF(온도단위_동기화="O",const_Tset_default_1,const_Tset_invalid_1)</f>
        <v>#NAME?</v>
      </c>
      <c r="AK310" s="100" t="e">
        <f>const_Tset_default_2</f>
        <v>#NAME?</v>
      </c>
      <c r="AL310" s="100" t="e">
        <f>const_Tset_default_2</f>
        <v>#NAME?</v>
      </c>
      <c r="AM310" s="101"/>
      <c r="AN310" s="101"/>
      <c r="AO310" s="101"/>
      <c r="AP310" s="101"/>
      <c r="AQ310" s="101"/>
      <c r="AR310" s="101"/>
      <c r="AS310" s="101"/>
      <c r="AT310" s="101"/>
      <c r="AU310" s="101"/>
      <c r="AV310" s="101"/>
      <c r="AW310" s="101"/>
      <c r="AX310" s="101"/>
      <c r="AY310" s="101"/>
      <c r="AZ310" s="101"/>
      <c r="BA310" s="101"/>
      <c r="BB310" s="101"/>
      <c r="BC310" s="101"/>
      <c r="BD310" s="101"/>
      <c r="BE310" s="101"/>
      <c r="BF310" s="101"/>
      <c r="BG310" s="101"/>
      <c r="BH310" s="101"/>
      <c r="BI310" s="101"/>
      <c r="BJ310" s="101"/>
      <c r="BK310" s="101"/>
      <c r="BL310" s="101"/>
      <c r="BM310" s="101"/>
      <c r="BN310" s="101"/>
      <c r="BO310" s="101"/>
      <c r="BP310" s="101"/>
      <c r="BQ310" s="101"/>
    </row>
    <row r="311" spans="3:69">
      <c r="C311" s="4"/>
      <c r="I311" s="220" t="s">
        <v>155</v>
      </c>
      <c r="J311" s="220" t="s">
        <v>890</v>
      </c>
      <c r="K311" s="221">
        <f t="shared" ref="K311:K314" si="159">K310</f>
        <v>53</v>
      </c>
      <c r="L311" s="221">
        <f t="shared" ref="L311:L314" si="160">L310</f>
        <v>10</v>
      </c>
      <c r="M311" s="221">
        <f t="shared" ref="M311:M314" si="161">M310</f>
        <v>13</v>
      </c>
      <c r="N311" s="101"/>
      <c r="O311" s="101"/>
      <c r="P311" s="101"/>
      <c r="Q311" s="101"/>
      <c r="R311" s="101"/>
      <c r="S311" s="101"/>
      <c r="T311" s="94" t="e">
        <f>CLU_TempUnitSetReq</f>
        <v>#NAME?</v>
      </c>
      <c r="U311" s="100">
        <v>1</v>
      </c>
      <c r="V311" s="95">
        <v>1</v>
      </c>
      <c r="W311" s="101"/>
      <c r="X311" s="101"/>
      <c r="Y311" s="101"/>
      <c r="Z311" s="101"/>
      <c r="AA311" s="101"/>
      <c r="AB311" s="101"/>
      <c r="AC311" s="101"/>
      <c r="AD311" s="101"/>
      <c r="AE311" s="101"/>
      <c r="AF311" s="101"/>
      <c r="AG311" s="101"/>
      <c r="AH311" s="100" t="e">
        <f>IF(const_TempUnit_1="degC",0,1)</f>
        <v>#NAME?</v>
      </c>
      <c r="AI311" s="100" t="e">
        <f>const_Tset_default_1</f>
        <v>#NAME?</v>
      </c>
      <c r="AJ311" s="100" t="e">
        <f>const_Tset_default_1</f>
        <v>#NAME?</v>
      </c>
      <c r="AK311" s="100" t="e">
        <f>IF(온도단위_동기화="O",const_Tset_default_2,const_Tset_invalid_2)</f>
        <v>#NAME?</v>
      </c>
      <c r="AL311" s="100" t="e">
        <f>IF(온도단위_동기화="O",const_Tset_default_2,const_Tset_invalid_2)</f>
        <v>#NAME?</v>
      </c>
      <c r="AM311" s="101"/>
      <c r="AN311" s="101"/>
      <c r="AO311" s="101"/>
      <c r="AP311" s="101"/>
      <c r="AQ311" s="101"/>
      <c r="AR311" s="101"/>
      <c r="AS311" s="101"/>
      <c r="AT311" s="101"/>
      <c r="AU311" s="101"/>
      <c r="AV311" s="101"/>
      <c r="AW311" s="101"/>
      <c r="AX311" s="101"/>
      <c r="AY311" s="101"/>
      <c r="AZ311" s="101"/>
      <c r="BA311" s="101"/>
      <c r="BB311" s="101"/>
      <c r="BC311" s="101"/>
      <c r="BD311" s="101"/>
      <c r="BE311" s="101"/>
      <c r="BF311" s="101"/>
      <c r="BG311" s="101"/>
      <c r="BH311" s="101"/>
      <c r="BI311" s="101"/>
      <c r="BJ311" s="101"/>
      <c r="BK311" s="101"/>
      <c r="BL311" s="101"/>
      <c r="BM311" s="101"/>
      <c r="BN311" s="101"/>
      <c r="BO311" s="101"/>
      <c r="BP311" s="101"/>
      <c r="BQ311" s="101"/>
    </row>
    <row r="312" spans="3:69">
      <c r="I312" s="220" t="s">
        <v>155</v>
      </c>
      <c r="J312" s="220" t="s">
        <v>914</v>
      </c>
      <c r="K312" s="221">
        <f t="shared" si="159"/>
        <v>53</v>
      </c>
      <c r="L312" s="221">
        <f t="shared" si="160"/>
        <v>10</v>
      </c>
      <c r="M312" s="221">
        <f t="shared" si="161"/>
        <v>13</v>
      </c>
      <c r="N312" s="101"/>
      <c r="O312" s="101"/>
      <c r="P312" s="101"/>
      <c r="Q312" s="101"/>
      <c r="R312" s="101"/>
      <c r="S312" s="101"/>
      <c r="T312" s="94" t="e">
        <f>AVN_TempUnit_Set</f>
        <v>#NAME?</v>
      </c>
      <c r="U312" s="100">
        <v>2</v>
      </c>
      <c r="V312" s="95">
        <v>1</v>
      </c>
      <c r="W312" s="101"/>
      <c r="X312" s="101"/>
      <c r="Y312" s="101"/>
      <c r="Z312" s="101"/>
      <c r="AA312" s="101"/>
      <c r="AB312" s="101"/>
      <c r="AC312" s="101"/>
      <c r="AD312" s="101"/>
      <c r="AE312" s="101"/>
      <c r="AF312" s="101"/>
      <c r="AG312" s="101"/>
      <c r="AH312" s="100" t="e">
        <f>IF(const_TempUnit_2="degF",1,0)</f>
        <v>#NAME?</v>
      </c>
      <c r="AI312" s="100" t="e">
        <f>IF(온도단위_동기화="O",const_Tset_default_1,const_Tset_invalid_1)</f>
        <v>#NAME?</v>
      </c>
      <c r="AJ312" s="100" t="e">
        <f>IF(온도단위_동기화="O",const_Tset_default_1,const_Tset_invalid_1)</f>
        <v>#NAME?</v>
      </c>
      <c r="AK312" s="100" t="e">
        <f>const_Tset_default_2</f>
        <v>#NAME?</v>
      </c>
      <c r="AL312" s="100" t="e">
        <f>const_Tset_default_2</f>
        <v>#NAME?</v>
      </c>
      <c r="AM312" s="101"/>
      <c r="AN312" s="101"/>
      <c r="AO312" s="101"/>
      <c r="AP312" s="101"/>
      <c r="AQ312" s="101"/>
      <c r="AR312" s="101"/>
      <c r="AS312" s="101"/>
      <c r="AT312" s="101"/>
      <c r="AU312" s="101"/>
      <c r="AV312" s="101"/>
      <c r="AW312" s="101"/>
      <c r="AX312" s="101"/>
      <c r="AY312" s="101"/>
      <c r="AZ312" s="101"/>
      <c r="BA312" s="101"/>
      <c r="BB312" s="101"/>
      <c r="BC312" s="101"/>
      <c r="BD312" s="101"/>
      <c r="BE312" s="101"/>
      <c r="BF312" s="101"/>
      <c r="BG312" s="101"/>
      <c r="BH312" s="101"/>
      <c r="BI312" s="101"/>
      <c r="BJ312" s="101"/>
      <c r="BK312" s="101"/>
      <c r="BL312" s="101"/>
      <c r="BM312" s="101"/>
      <c r="BN312" s="101"/>
      <c r="BO312" s="101"/>
      <c r="BP312" s="101"/>
      <c r="BQ312" s="101"/>
    </row>
    <row r="313" spans="3:69">
      <c r="I313" s="220" t="s">
        <v>155</v>
      </c>
      <c r="J313" s="220" t="s">
        <v>915</v>
      </c>
      <c r="K313" s="221">
        <f t="shared" si="159"/>
        <v>53</v>
      </c>
      <c r="L313" s="221">
        <f t="shared" si="160"/>
        <v>10</v>
      </c>
      <c r="M313" s="221">
        <f t="shared" si="161"/>
        <v>13</v>
      </c>
      <c r="N313" s="101"/>
      <c r="O313" s="101"/>
      <c r="P313" s="101"/>
      <c r="Q313" s="101"/>
      <c r="R313" s="101"/>
      <c r="S313" s="101"/>
      <c r="T313" s="94" t="e">
        <f>AVN_TempUnit_Set</f>
        <v>#NAME?</v>
      </c>
      <c r="U313" s="100">
        <v>1</v>
      </c>
      <c r="V313" s="95">
        <v>1</v>
      </c>
      <c r="W313" s="101"/>
      <c r="X313" s="101"/>
      <c r="Y313" s="101"/>
      <c r="Z313" s="101"/>
      <c r="AA313" s="101"/>
      <c r="AB313" s="101"/>
      <c r="AC313" s="101"/>
      <c r="AD313" s="101"/>
      <c r="AE313" s="101"/>
      <c r="AF313" s="101"/>
      <c r="AG313" s="101"/>
      <c r="AH313" s="100" t="e">
        <f>IF(const_TempUnit_1="degC",0,1)</f>
        <v>#NAME?</v>
      </c>
      <c r="AI313" s="100" t="e">
        <f>const_Tset_default_1</f>
        <v>#NAME?</v>
      </c>
      <c r="AJ313" s="100" t="e">
        <f>const_Tset_default_1</f>
        <v>#NAME?</v>
      </c>
      <c r="AK313" s="100" t="e">
        <f>IF(온도단위_동기화="O",const_Tset_default_2,const_Tset_invalid_2)</f>
        <v>#NAME?</v>
      </c>
      <c r="AL313" s="100" t="e">
        <f>IF(온도단위_동기화="O",const_Tset_default_2,const_Tset_invalid_2)</f>
        <v>#NAME?</v>
      </c>
      <c r="AM313" s="101"/>
      <c r="AN313" s="101"/>
      <c r="AO313" s="101"/>
      <c r="AP313" s="101"/>
      <c r="AQ313" s="101"/>
      <c r="AR313" s="101"/>
      <c r="AS313" s="101"/>
      <c r="AT313" s="101"/>
      <c r="AU313" s="101"/>
      <c r="AV313" s="101"/>
      <c r="AW313" s="101"/>
      <c r="AX313" s="101"/>
      <c r="AY313" s="101"/>
      <c r="AZ313" s="101"/>
      <c r="BA313" s="101"/>
      <c r="BB313" s="101"/>
      <c r="BC313" s="101"/>
      <c r="BD313" s="101"/>
      <c r="BE313" s="101"/>
      <c r="BF313" s="101"/>
      <c r="BG313" s="101"/>
      <c r="BH313" s="101"/>
      <c r="BI313" s="101"/>
      <c r="BJ313" s="101"/>
      <c r="BK313" s="101"/>
      <c r="BL313" s="101"/>
      <c r="BM313" s="101"/>
      <c r="BN313" s="101"/>
      <c r="BO313" s="101"/>
      <c r="BP313" s="101"/>
      <c r="BQ313" s="101"/>
    </row>
    <row r="314" spans="3:69">
      <c r="I314" s="220" t="s">
        <v>155</v>
      </c>
      <c r="J314" s="220" t="s">
        <v>916</v>
      </c>
      <c r="K314" s="221">
        <f t="shared" si="159"/>
        <v>53</v>
      </c>
      <c r="L314" s="221">
        <f t="shared" si="160"/>
        <v>10</v>
      </c>
      <c r="M314" s="221">
        <f t="shared" si="161"/>
        <v>13</v>
      </c>
      <c r="N314" s="101"/>
      <c r="O314" s="101"/>
      <c r="P314" s="101"/>
      <c r="Q314" s="101"/>
      <c r="R314" s="101"/>
      <c r="S314" s="101"/>
      <c r="T314" s="94" t="s">
        <v>90</v>
      </c>
      <c r="U314" s="100" t="s">
        <v>479</v>
      </c>
      <c r="V314" s="95">
        <v>1</v>
      </c>
      <c r="W314" s="101"/>
      <c r="X314" s="101"/>
      <c r="Y314" s="101"/>
      <c r="Z314" s="101"/>
      <c r="AA314" s="101"/>
      <c r="AB314" s="101"/>
      <c r="AC314" s="101"/>
      <c r="AD314" s="101"/>
      <c r="AE314" s="101"/>
      <c r="AF314" s="101"/>
      <c r="AG314" s="101"/>
      <c r="AH314" s="100" t="e">
        <f>IF(const_TempUnit_1="degC",0,1)</f>
        <v>#NAME?</v>
      </c>
      <c r="AI314" s="100" t="e">
        <f>const_Tset_default_1</f>
        <v>#NAME?</v>
      </c>
      <c r="AJ314" s="100" t="e">
        <f>const_Tset_default_1</f>
        <v>#NAME?</v>
      </c>
      <c r="AK314" s="100" t="e">
        <f>IF(온도단위_동기화="O",const_Tset_default_2,const_Tset_invalid_2)</f>
        <v>#NAME?</v>
      </c>
      <c r="AL314" s="100" t="e">
        <f>IF(온도단위_동기화="O",const_Tset_default_2,const_Tset_invalid_2)</f>
        <v>#NAME?</v>
      </c>
      <c r="AM314" s="101"/>
      <c r="AN314" s="101"/>
      <c r="AO314" s="101"/>
      <c r="AP314" s="101"/>
      <c r="AQ314" s="101"/>
      <c r="AR314" s="101"/>
      <c r="AS314" s="101"/>
      <c r="AT314" s="101"/>
      <c r="AU314" s="101"/>
      <c r="AV314" s="101"/>
      <c r="AW314" s="101"/>
      <c r="AX314" s="101"/>
      <c r="AY314" s="101"/>
      <c r="AZ314" s="101"/>
      <c r="BA314" s="101"/>
      <c r="BB314" s="101"/>
      <c r="BC314" s="101"/>
      <c r="BD314" s="101"/>
      <c r="BE314" s="101"/>
      <c r="BF314" s="101"/>
      <c r="BG314" s="101"/>
      <c r="BH314" s="101"/>
      <c r="BI314" s="101"/>
      <c r="BJ314" s="101"/>
      <c r="BK314" s="101"/>
      <c r="BL314" s="101"/>
      <c r="BM314" s="101"/>
      <c r="BN314" s="101"/>
      <c r="BO314" s="101"/>
      <c r="BP314" s="101"/>
      <c r="BQ314" s="101"/>
    </row>
    <row r="315" spans="3:69">
      <c r="I315" s="255">
        <f>COUNTIF(I316:I318,"&lt;&gt;TS")</f>
        <v>2</v>
      </c>
      <c r="J315" s="106" t="s">
        <v>918</v>
      </c>
      <c r="K315" s="106" t="s">
        <v>821</v>
      </c>
      <c r="L315" s="106"/>
      <c r="M315" s="106"/>
      <c r="N315" s="106"/>
      <c r="O315" s="106"/>
      <c r="P315" s="106"/>
      <c r="Q315" s="106"/>
      <c r="R315" s="106"/>
      <c r="S315" s="106"/>
      <c r="T315" s="106"/>
      <c r="U315" s="107"/>
      <c r="V315" s="107"/>
      <c r="W315" s="106"/>
      <c r="X315" s="106"/>
      <c r="Y315" s="106"/>
      <c r="Z315" s="106"/>
      <c r="AA315" s="106"/>
      <c r="AB315" s="106"/>
      <c r="AC315" s="106"/>
      <c r="AD315" s="106"/>
      <c r="AE315" s="106"/>
      <c r="AF315" s="106"/>
      <c r="AG315" s="106"/>
      <c r="AH315" s="106"/>
      <c r="AI315" s="106"/>
      <c r="AJ315" s="106"/>
      <c r="AK315" s="106"/>
      <c r="AL315" s="106"/>
      <c r="AM315" s="106"/>
      <c r="AN315" s="106"/>
      <c r="AO315" s="106"/>
      <c r="AP315" s="106"/>
      <c r="AQ315" s="106"/>
      <c r="AR315" s="106"/>
      <c r="AS315" s="106"/>
      <c r="AT315" s="106"/>
      <c r="AU315" s="106"/>
      <c r="AV315" s="106"/>
      <c r="AW315" s="106"/>
      <c r="AX315" s="106"/>
      <c r="AY315" s="106"/>
      <c r="AZ315" s="106"/>
      <c r="BA315" s="106"/>
      <c r="BB315" s="106"/>
      <c r="BC315" s="106"/>
      <c r="BD315" s="106"/>
      <c r="BE315" s="106"/>
      <c r="BF315" s="106"/>
      <c r="BG315" s="106"/>
      <c r="BH315" s="106"/>
      <c r="BI315" s="106"/>
      <c r="BJ315" s="106"/>
      <c r="BK315" s="106"/>
      <c r="BL315" s="106"/>
      <c r="BM315" s="106"/>
      <c r="BN315" s="106"/>
      <c r="BO315" s="106"/>
      <c r="BP315" s="106"/>
      <c r="BQ315" s="106"/>
    </row>
    <row r="316" spans="3:69">
      <c r="I316" s="108" t="s">
        <v>7</v>
      </c>
      <c r="J316" s="108" t="s">
        <v>1241</v>
      </c>
      <c r="K316" s="109" t="s">
        <v>1674</v>
      </c>
      <c r="L316" s="109"/>
      <c r="M316" s="109"/>
      <c r="N316" s="109"/>
      <c r="O316" s="109"/>
      <c r="P316" s="109"/>
      <c r="Q316" s="109"/>
      <c r="R316" s="109"/>
      <c r="S316" s="109"/>
      <c r="T316" s="109"/>
      <c r="U316" s="110"/>
      <c r="V316" s="110"/>
      <c r="W316" s="109"/>
      <c r="X316" s="109"/>
      <c r="Y316" s="109"/>
      <c r="Z316" s="109"/>
      <c r="AA316" s="109"/>
      <c r="AB316" s="109"/>
      <c r="AC316" s="109"/>
      <c r="AD316" s="109"/>
      <c r="AE316" s="109"/>
      <c r="AF316" s="109"/>
      <c r="AG316" s="109"/>
      <c r="AH316" s="109"/>
      <c r="AI316" s="109"/>
      <c r="AJ316" s="109"/>
      <c r="AK316" s="109"/>
      <c r="AL316" s="109"/>
      <c r="AM316" s="109"/>
      <c r="AN316" s="109"/>
      <c r="AO316" s="109"/>
      <c r="AP316" s="109"/>
      <c r="AQ316" s="109"/>
      <c r="AR316" s="109"/>
      <c r="AS316" s="109"/>
      <c r="AT316" s="109"/>
      <c r="AU316" s="109"/>
      <c r="AV316" s="109"/>
      <c r="AW316" s="109"/>
      <c r="AX316" s="109"/>
      <c r="AY316" s="109"/>
      <c r="AZ316" s="109"/>
      <c r="BA316" s="109"/>
      <c r="BB316" s="109"/>
      <c r="BC316" s="109"/>
      <c r="BD316" s="109"/>
      <c r="BE316" s="109"/>
      <c r="BF316" s="109"/>
      <c r="BG316" s="109"/>
      <c r="BH316" s="109"/>
      <c r="BI316" s="109"/>
      <c r="BJ316" s="109"/>
      <c r="BK316" s="109"/>
      <c r="BL316" s="109"/>
      <c r="BM316" s="109"/>
      <c r="BN316" s="109"/>
      <c r="BO316" s="109"/>
      <c r="BP316" s="109"/>
      <c r="BQ316" s="109"/>
    </row>
    <row r="317" spans="3:69">
      <c r="I317" s="220" t="s">
        <v>48</v>
      </c>
      <c r="J317" s="220" t="s">
        <v>1329</v>
      </c>
      <c r="K317" s="100">
        <v>10</v>
      </c>
      <c r="L317" s="100">
        <v>-5</v>
      </c>
      <c r="M317" s="100">
        <v>13</v>
      </c>
      <c r="N317" s="101"/>
      <c r="O317" s="101"/>
      <c r="P317" s="101"/>
      <c r="Q317" s="101"/>
      <c r="R317" s="101"/>
      <c r="S317" s="101"/>
      <c r="T317" s="94" t="s">
        <v>209</v>
      </c>
      <c r="U317" s="100" t="e">
        <f>IF(FLAG_Country&lt;&gt;"USA","설정 온도 22 degC, AUTO ON (SYNC ON) 선택 상태 설정","설정 온도 72 degF, AUTO ON (SYNC ON) 선택 상태 설정")</f>
        <v>#NAME?</v>
      </c>
      <c r="V317" s="99">
        <v>10</v>
      </c>
      <c r="W317" s="101"/>
      <c r="X317" s="101"/>
      <c r="Y317" s="101"/>
      <c r="Z317" s="101"/>
      <c r="AA317" s="101"/>
      <c r="AB317" s="101"/>
      <c r="AC317" s="101"/>
      <c r="AD317" s="101"/>
      <c r="AE317" s="101"/>
      <c r="AF317" s="101"/>
      <c r="AG317" s="101"/>
      <c r="AH317" s="101"/>
      <c r="AI317" s="101"/>
      <c r="AJ317" s="101"/>
      <c r="AK317" s="101"/>
      <c r="AL317" s="101"/>
      <c r="AM317" s="101"/>
      <c r="AN317" s="101"/>
      <c r="AO317" s="101"/>
      <c r="AP317" s="101"/>
      <c r="AQ317" s="100" t="s">
        <v>50</v>
      </c>
      <c r="AR317" s="100" t="s">
        <v>50</v>
      </c>
      <c r="AS317" s="101"/>
      <c r="AT317" s="101"/>
      <c r="AU317" s="101"/>
      <c r="AV317" s="101"/>
      <c r="AW317" s="101"/>
      <c r="AX317" s="101"/>
      <c r="AY317" s="101"/>
      <c r="AZ317" s="101"/>
      <c r="BA317" s="101"/>
      <c r="BB317" s="101"/>
      <c r="BC317" s="101"/>
      <c r="BD317" s="101"/>
      <c r="BE317" s="101"/>
      <c r="BF317" s="101"/>
      <c r="BG317" s="101"/>
      <c r="BH317" s="101"/>
      <c r="BI317" s="101"/>
      <c r="BJ317" s="101"/>
      <c r="BK317" s="101"/>
      <c r="BL317" s="101"/>
      <c r="BM317" s="101"/>
      <c r="BN317" s="101"/>
      <c r="BO317" s="101"/>
      <c r="BP317" s="101"/>
      <c r="BQ317" s="101"/>
    </row>
    <row r="318" spans="3:69">
      <c r="I318" s="220" t="s">
        <v>901</v>
      </c>
      <c r="J318" s="220" t="s">
        <v>1330</v>
      </c>
      <c r="K318" s="221">
        <f t="shared" ref="K318" si="162">K317</f>
        <v>10</v>
      </c>
      <c r="L318" s="221">
        <f t="shared" ref="L318:M318" si="163">L317</f>
        <v>-5</v>
      </c>
      <c r="M318" s="221">
        <f t="shared" si="163"/>
        <v>13</v>
      </c>
      <c r="N318" s="101"/>
      <c r="O318" s="101"/>
      <c r="P318" s="101"/>
      <c r="Q318" s="101"/>
      <c r="R318" s="101"/>
      <c r="S318" s="101"/>
      <c r="T318" s="111" t="s">
        <v>1399</v>
      </c>
      <c r="U318" s="99">
        <v>1</v>
      </c>
      <c r="V318" s="99">
        <v>5</v>
      </c>
      <c r="W318" s="101"/>
      <c r="X318" s="101"/>
      <c r="Y318" s="101"/>
      <c r="Z318" s="101"/>
      <c r="AA318" s="101"/>
      <c r="AB318" s="101"/>
      <c r="AC318" s="101"/>
      <c r="AD318" s="101"/>
      <c r="AE318" s="101"/>
      <c r="AF318" s="101"/>
      <c r="AG318" s="101"/>
      <c r="AH318" s="101"/>
      <c r="AI318" s="101"/>
      <c r="AJ318" s="101"/>
      <c r="AK318" s="101"/>
      <c r="AL318" s="101"/>
      <c r="AM318" s="101"/>
      <c r="AN318" s="101"/>
      <c r="AO318" s="101"/>
      <c r="AP318" s="101"/>
      <c r="AQ318" s="100" t="s">
        <v>51</v>
      </c>
      <c r="AR318" s="100" t="s">
        <v>51</v>
      </c>
      <c r="AS318" s="101"/>
      <c r="AT318" s="101"/>
      <c r="AU318" s="101"/>
      <c r="AV318" s="101"/>
      <c r="AW318" s="101"/>
      <c r="AX318" s="101"/>
      <c r="AY318" s="101"/>
      <c r="AZ318" s="101"/>
      <c r="BA318" s="101"/>
      <c r="BB318" s="101"/>
      <c r="BC318" s="101"/>
      <c r="BD318" s="101"/>
      <c r="BE318" s="101"/>
      <c r="BF318" s="101"/>
      <c r="BG318" s="101"/>
      <c r="BH318" s="101"/>
      <c r="BI318" s="101"/>
      <c r="BJ318" s="101"/>
      <c r="BK318" s="101"/>
      <c r="BL318" s="101"/>
      <c r="BM318" s="101"/>
      <c r="BN318" s="101"/>
      <c r="BO318" s="101"/>
      <c r="BP318" s="101"/>
      <c r="BQ318" s="101"/>
    </row>
    <row r="319" spans="3:69">
      <c r="I319" s="255">
        <f>COUNTIF(I320:I330,"&lt;&gt;TS")</f>
        <v>9</v>
      </c>
      <c r="J319" s="106" t="s">
        <v>872</v>
      </c>
      <c r="K319" s="106" t="s">
        <v>822</v>
      </c>
      <c r="L319" s="106"/>
      <c r="M319" s="106"/>
      <c r="N319" s="106"/>
      <c r="O319" s="106"/>
      <c r="P319" s="106"/>
      <c r="Q319" s="106"/>
      <c r="R319" s="106"/>
      <c r="S319" s="106"/>
      <c r="T319" s="106"/>
      <c r="U319" s="107"/>
      <c r="V319" s="107"/>
      <c r="W319" s="106"/>
      <c r="X319" s="106"/>
      <c r="Y319" s="106"/>
      <c r="Z319" s="106"/>
      <c r="AA319" s="106"/>
      <c r="AB319" s="106"/>
      <c r="AC319" s="106"/>
      <c r="AD319" s="106"/>
      <c r="AE319" s="106"/>
      <c r="AF319" s="106"/>
      <c r="AG319" s="106"/>
      <c r="AH319" s="106"/>
      <c r="AI319" s="106"/>
      <c r="AJ319" s="106"/>
      <c r="AK319" s="106"/>
      <c r="AL319" s="106"/>
      <c r="AM319" s="106"/>
      <c r="AN319" s="106"/>
      <c r="AO319" s="106"/>
      <c r="AP319" s="106"/>
      <c r="AQ319" s="106"/>
      <c r="AR319" s="106"/>
      <c r="AS319" s="106"/>
      <c r="AT319" s="106"/>
      <c r="AU319" s="106"/>
      <c r="AV319" s="106"/>
      <c r="AW319" s="106"/>
      <c r="AX319" s="106"/>
      <c r="AY319" s="106"/>
      <c r="AZ319" s="106"/>
      <c r="BA319" s="106"/>
      <c r="BB319" s="106"/>
      <c r="BC319" s="106"/>
      <c r="BD319" s="106"/>
      <c r="BE319" s="106"/>
      <c r="BF319" s="106"/>
      <c r="BG319" s="106"/>
      <c r="BH319" s="106"/>
      <c r="BI319" s="106"/>
      <c r="BJ319" s="106"/>
      <c r="BK319" s="106"/>
      <c r="BL319" s="106"/>
      <c r="BM319" s="106"/>
      <c r="BN319" s="106"/>
      <c r="BO319" s="106"/>
      <c r="BP319" s="106"/>
      <c r="BQ319" s="106"/>
    </row>
    <row r="320" spans="3:69">
      <c r="I320" s="112" t="s">
        <v>7</v>
      </c>
      <c r="J320" s="112" t="s">
        <v>919</v>
      </c>
      <c r="K320" s="109" t="s">
        <v>823</v>
      </c>
      <c r="L320" s="109"/>
      <c r="M320" s="109"/>
      <c r="N320" s="109"/>
      <c r="O320" s="109"/>
      <c r="P320" s="109"/>
      <c r="Q320" s="109"/>
      <c r="R320" s="109"/>
      <c r="S320" s="109"/>
      <c r="T320" s="109"/>
      <c r="U320" s="110"/>
      <c r="V320" s="110"/>
      <c r="W320" s="109"/>
      <c r="X320" s="109"/>
      <c r="Y320" s="109"/>
      <c r="Z320" s="109"/>
      <c r="AA320" s="109"/>
      <c r="AB320" s="109"/>
      <c r="AC320" s="109"/>
      <c r="AD320" s="109"/>
      <c r="AE320" s="109"/>
      <c r="AF320" s="109"/>
      <c r="AG320" s="109"/>
      <c r="AH320" s="109"/>
      <c r="AI320" s="109"/>
      <c r="AJ320" s="109"/>
      <c r="AK320" s="109"/>
      <c r="AL320" s="109"/>
      <c r="AM320" s="109"/>
      <c r="AN320" s="109"/>
      <c r="AO320" s="109"/>
      <c r="AP320" s="109"/>
      <c r="AQ320" s="109"/>
      <c r="AR320" s="109"/>
      <c r="AS320" s="109"/>
      <c r="AT320" s="109"/>
      <c r="AU320" s="109"/>
      <c r="AV320" s="109"/>
      <c r="AW320" s="109"/>
      <c r="AX320" s="109"/>
      <c r="AY320" s="109"/>
      <c r="AZ320" s="109"/>
      <c r="BA320" s="109"/>
      <c r="BB320" s="109"/>
      <c r="BC320" s="109"/>
      <c r="BD320" s="109"/>
      <c r="BE320" s="109"/>
      <c r="BF320" s="109"/>
      <c r="BG320" s="109"/>
      <c r="BH320" s="109"/>
      <c r="BI320" s="109"/>
      <c r="BJ320" s="109"/>
      <c r="BK320" s="109"/>
      <c r="BL320" s="109"/>
      <c r="BM320" s="109"/>
      <c r="BN320" s="109"/>
      <c r="BO320" s="109"/>
      <c r="BP320" s="109"/>
      <c r="BQ320" s="109"/>
    </row>
    <row r="321" spans="3:69">
      <c r="I321" s="96" t="s">
        <v>48</v>
      </c>
      <c r="J321" s="96" t="s">
        <v>920</v>
      </c>
      <c r="K321" s="221">
        <f>K318</f>
        <v>10</v>
      </c>
      <c r="L321" s="221">
        <f t="shared" ref="L321:M321" si="164">L318</f>
        <v>-5</v>
      </c>
      <c r="M321" s="221">
        <f t="shared" si="164"/>
        <v>13</v>
      </c>
      <c r="N321" s="101"/>
      <c r="O321" s="101"/>
      <c r="P321" s="101"/>
      <c r="Q321" s="101"/>
      <c r="R321" s="101"/>
      <c r="S321" s="101"/>
      <c r="T321" s="94" t="s">
        <v>209</v>
      </c>
      <c r="U321" s="100" t="e">
        <f>IF(FLAG_Country&lt;&gt;"USA","설정 온도 22 degC, AUTO ON (SYNC ON) 선택 상태 설정","설정 온도 72 degF, AUTO ON (SYNC ON) 선택 상태 설정")</f>
        <v>#NAME?</v>
      </c>
      <c r="V321" s="95">
        <v>10</v>
      </c>
      <c r="W321" s="101"/>
      <c r="X321" s="101"/>
      <c r="Y321" s="101"/>
      <c r="Z321" s="101"/>
      <c r="AA321" s="101"/>
      <c r="AB321" s="101"/>
      <c r="AC321" s="101"/>
      <c r="AD321" s="101"/>
      <c r="AE321" s="101"/>
      <c r="AF321" s="101"/>
      <c r="AG321" s="101"/>
      <c r="AH321" s="101"/>
      <c r="AI321" s="101"/>
      <c r="AJ321" s="101"/>
      <c r="AK321" s="101"/>
      <c r="AL321" s="101"/>
      <c r="AM321" s="101"/>
      <c r="AN321" s="101"/>
      <c r="AO321" s="101"/>
      <c r="AP321" s="101"/>
      <c r="AQ321" s="100" t="s">
        <v>50</v>
      </c>
      <c r="AR321" s="101"/>
      <c r="AS321" s="101"/>
      <c r="AT321" s="101"/>
      <c r="AU321" s="101"/>
      <c r="AV321" s="101"/>
      <c r="AW321" s="101"/>
      <c r="AX321" s="101"/>
      <c r="AY321" s="100">
        <v>2</v>
      </c>
      <c r="AZ321" s="101"/>
      <c r="BA321" s="101"/>
      <c r="BB321" s="101"/>
      <c r="BC321" s="101"/>
      <c r="BD321" s="101"/>
      <c r="BE321" s="101"/>
      <c r="BF321" s="101"/>
      <c r="BG321" s="101"/>
      <c r="BH321" s="101"/>
      <c r="BI321" s="101"/>
      <c r="BJ321" s="101"/>
      <c r="BK321" s="101"/>
      <c r="BL321" s="101"/>
      <c r="BM321" s="101"/>
      <c r="BN321" s="101"/>
      <c r="BO321" s="101"/>
      <c r="BP321" s="101"/>
      <c r="BQ321" s="101"/>
    </row>
    <row r="322" spans="3:69" ht="13.5">
      <c r="I322" s="220" t="s">
        <v>155</v>
      </c>
      <c r="J322" s="220" t="s">
        <v>921</v>
      </c>
      <c r="K322" s="221">
        <f>K321</f>
        <v>10</v>
      </c>
      <c r="L322" s="221">
        <f t="shared" ref="L322:M322" si="165">L321</f>
        <v>-5</v>
      </c>
      <c r="M322" s="221">
        <f t="shared" si="165"/>
        <v>13</v>
      </c>
      <c r="N322" s="101"/>
      <c r="O322" s="101"/>
      <c r="P322" s="101"/>
      <c r="Q322" s="101"/>
      <c r="R322" s="101"/>
      <c r="S322" s="101"/>
      <c r="T322" s="94" t="s">
        <v>209</v>
      </c>
      <c r="U322" s="100" t="e">
        <f>AutoFre_EN_DIS</f>
        <v>#NAME?</v>
      </c>
      <c r="V322" s="95">
        <v>1</v>
      </c>
      <c r="W322" s="101"/>
      <c r="X322" s="101"/>
      <c r="Y322" s="101"/>
      <c r="Z322" s="101"/>
      <c r="AA322" s="101"/>
      <c r="AB322" s="101"/>
      <c r="AC322" s="101"/>
      <c r="AD322" s="101"/>
      <c r="AE322" s="101"/>
      <c r="AF322" s="101"/>
      <c r="AG322" s="101"/>
      <c r="AH322" s="101"/>
      <c r="AI322" s="101"/>
      <c r="AJ322" s="101"/>
      <c r="AK322" s="101"/>
      <c r="AL322" s="101"/>
      <c r="AM322" s="101"/>
      <c r="AN322" s="101"/>
      <c r="AO322" s="101"/>
      <c r="AP322" s="101"/>
      <c r="AQ322" s="100" t="s">
        <v>887</v>
      </c>
      <c r="AR322" s="101"/>
      <c r="AS322" s="101"/>
      <c r="AT322" s="101"/>
      <c r="AU322" s="101"/>
      <c r="AV322" s="101"/>
      <c r="AW322" s="101"/>
      <c r="AX322" s="101"/>
      <c r="AY322" s="100">
        <v>1</v>
      </c>
      <c r="AZ322" s="101"/>
      <c r="BA322" s="101"/>
      <c r="BB322" s="101"/>
      <c r="BC322" s="101"/>
      <c r="BD322" s="101"/>
      <c r="BE322" s="101"/>
      <c r="BF322" s="101"/>
      <c r="BG322" s="101"/>
      <c r="BH322" s="101"/>
      <c r="BI322" s="101"/>
      <c r="BJ322" s="101"/>
      <c r="BK322" s="101"/>
      <c r="BL322" s="101"/>
      <c r="BM322" s="101"/>
      <c r="BN322" s="101"/>
      <c r="BO322" s="101"/>
      <c r="BP322" s="101"/>
      <c r="BQ322" s="101"/>
    </row>
    <row r="323" spans="3:69">
      <c r="I323" s="220" t="s">
        <v>155</v>
      </c>
      <c r="J323" s="220" t="s">
        <v>922</v>
      </c>
      <c r="K323" s="221">
        <f t="shared" ref="K323:M325" si="166">K322</f>
        <v>10</v>
      </c>
      <c r="L323" s="221">
        <f t="shared" si="166"/>
        <v>-5</v>
      </c>
      <c r="M323" s="221">
        <f t="shared" si="166"/>
        <v>13</v>
      </c>
      <c r="N323" s="101"/>
      <c r="O323" s="101"/>
      <c r="P323" s="101"/>
      <c r="Q323" s="101"/>
      <c r="R323" s="101"/>
      <c r="S323" s="101"/>
      <c r="T323" s="94" t="s">
        <v>253</v>
      </c>
      <c r="U323" s="95">
        <v>1</v>
      </c>
      <c r="V323" s="100">
        <f>60*30</f>
        <v>1800</v>
      </c>
      <c r="W323" s="101"/>
      <c r="X323" s="101"/>
      <c r="Y323" s="101"/>
      <c r="Z323" s="101"/>
      <c r="AA323" s="101"/>
      <c r="AB323" s="101"/>
      <c r="AC323" s="101"/>
      <c r="AD323" s="101"/>
      <c r="AE323" s="101"/>
      <c r="AF323" s="101"/>
      <c r="AG323" s="101"/>
      <c r="AH323" s="101"/>
      <c r="AI323" s="101"/>
      <c r="AJ323" s="101"/>
      <c r="AK323" s="101"/>
      <c r="AL323" s="101"/>
      <c r="AM323" s="101"/>
      <c r="AN323" s="101"/>
      <c r="AO323" s="101"/>
      <c r="AP323" s="101"/>
      <c r="AQ323" s="100" t="s">
        <v>51</v>
      </c>
      <c r="AR323" s="101"/>
      <c r="AS323" s="101"/>
      <c r="AT323" s="101"/>
      <c r="AU323" s="101"/>
      <c r="AV323" s="101"/>
      <c r="AW323" s="101"/>
      <c r="AX323" s="101"/>
      <c r="AY323" s="100">
        <v>1</v>
      </c>
      <c r="AZ323" s="101"/>
      <c r="BA323" s="101"/>
      <c r="BB323" s="101"/>
      <c r="BC323" s="101"/>
      <c r="BD323" s="101"/>
      <c r="BE323" s="101"/>
      <c r="BF323" s="101"/>
      <c r="BG323" s="101"/>
      <c r="BH323" s="101"/>
      <c r="BI323" s="101"/>
      <c r="BJ323" s="101"/>
      <c r="BK323" s="101"/>
      <c r="BL323" s="101"/>
      <c r="BM323" s="101"/>
      <c r="BN323" s="101"/>
      <c r="BO323" s="101"/>
      <c r="BP323" s="101"/>
      <c r="BQ323" s="101"/>
    </row>
    <row r="324" spans="3:69" ht="13.5">
      <c r="I324" s="220" t="s">
        <v>155</v>
      </c>
      <c r="J324" s="220" t="s">
        <v>923</v>
      </c>
      <c r="K324" s="221">
        <f t="shared" si="166"/>
        <v>10</v>
      </c>
      <c r="L324" s="221">
        <f t="shared" si="166"/>
        <v>-5</v>
      </c>
      <c r="M324" s="221">
        <f t="shared" si="166"/>
        <v>13</v>
      </c>
      <c r="N324" s="101"/>
      <c r="O324" s="101"/>
      <c r="P324" s="101"/>
      <c r="Q324" s="101"/>
      <c r="R324" s="101"/>
      <c r="S324" s="101"/>
      <c r="T324" s="94" t="s">
        <v>209</v>
      </c>
      <c r="U324" s="100" t="e">
        <f>AutoFre_EN_DIS</f>
        <v>#NAME?</v>
      </c>
      <c r="V324" s="95">
        <v>1</v>
      </c>
      <c r="W324" s="101"/>
      <c r="X324" s="101"/>
      <c r="Y324" s="101"/>
      <c r="Z324" s="101"/>
      <c r="AA324" s="101"/>
      <c r="AB324" s="101"/>
      <c r="AC324" s="101"/>
      <c r="AD324" s="101"/>
      <c r="AE324" s="101"/>
      <c r="AF324" s="101"/>
      <c r="AG324" s="101"/>
      <c r="AH324" s="101"/>
      <c r="AI324" s="101"/>
      <c r="AJ324" s="101"/>
      <c r="AK324" s="101"/>
      <c r="AL324" s="101"/>
      <c r="AM324" s="101"/>
      <c r="AN324" s="101"/>
      <c r="AO324" s="101"/>
      <c r="AP324" s="101"/>
      <c r="AQ324" s="100" t="s">
        <v>888</v>
      </c>
      <c r="AR324" s="101"/>
      <c r="AS324" s="101"/>
      <c r="AT324" s="101"/>
      <c r="AU324" s="101"/>
      <c r="AV324" s="101"/>
      <c r="AW324" s="101"/>
      <c r="AX324" s="101"/>
      <c r="AY324" s="100">
        <v>2</v>
      </c>
      <c r="AZ324" s="101"/>
      <c r="BA324" s="101"/>
      <c r="BB324" s="101"/>
      <c r="BC324" s="101"/>
      <c r="BD324" s="101"/>
      <c r="BE324" s="101"/>
      <c r="BF324" s="101"/>
      <c r="BG324" s="101"/>
      <c r="BH324" s="101"/>
      <c r="BI324" s="101"/>
      <c r="BJ324" s="101"/>
      <c r="BK324" s="101"/>
      <c r="BL324" s="101"/>
      <c r="BM324" s="101"/>
      <c r="BN324" s="101"/>
      <c r="BO324" s="101"/>
      <c r="BP324" s="101"/>
      <c r="BQ324" s="101"/>
    </row>
    <row r="325" spans="3:69">
      <c r="I325" s="220" t="s">
        <v>155</v>
      </c>
      <c r="J325" s="220" t="s">
        <v>924</v>
      </c>
      <c r="K325" s="221">
        <f t="shared" si="166"/>
        <v>10</v>
      </c>
      <c r="L325" s="221">
        <f t="shared" si="166"/>
        <v>-5</v>
      </c>
      <c r="M325" s="221">
        <f t="shared" si="166"/>
        <v>13</v>
      </c>
      <c r="N325" s="101"/>
      <c r="O325" s="101"/>
      <c r="P325" s="101"/>
      <c r="Q325" s="101"/>
      <c r="R325" s="101"/>
      <c r="S325" s="101"/>
      <c r="T325" s="94" t="s">
        <v>253</v>
      </c>
      <c r="U325" s="95">
        <v>1</v>
      </c>
      <c r="V325" s="100">
        <f>60*30</f>
        <v>1800</v>
      </c>
      <c r="W325" s="101"/>
      <c r="X325" s="101"/>
      <c r="Y325" s="101"/>
      <c r="Z325" s="101"/>
      <c r="AA325" s="101"/>
      <c r="AB325" s="101"/>
      <c r="AC325" s="101"/>
      <c r="AD325" s="101"/>
      <c r="AE325" s="101"/>
      <c r="AF325" s="101"/>
      <c r="AG325" s="101"/>
      <c r="AH325" s="101"/>
      <c r="AI325" s="101"/>
      <c r="AJ325" s="101"/>
      <c r="AK325" s="101"/>
      <c r="AL325" s="101"/>
      <c r="AM325" s="101"/>
      <c r="AN325" s="101"/>
      <c r="AO325" s="101"/>
      <c r="AP325" s="101"/>
      <c r="AQ325" s="100" t="s">
        <v>50</v>
      </c>
      <c r="AR325" s="101"/>
      <c r="AS325" s="101"/>
      <c r="AT325" s="101"/>
      <c r="AU325" s="101"/>
      <c r="AV325" s="101"/>
      <c r="AW325" s="101"/>
      <c r="AX325" s="101"/>
      <c r="AY325" s="100">
        <v>2</v>
      </c>
      <c r="AZ325" s="101"/>
      <c r="BA325" s="101"/>
      <c r="BB325" s="101"/>
      <c r="BC325" s="101"/>
      <c r="BD325" s="101"/>
      <c r="BE325" s="101"/>
      <c r="BF325" s="101"/>
      <c r="BG325" s="101"/>
      <c r="BH325" s="101"/>
      <c r="BI325" s="101"/>
      <c r="BJ325" s="101"/>
      <c r="BK325" s="101"/>
      <c r="BL325" s="101"/>
      <c r="BM325" s="101"/>
      <c r="BN325" s="101"/>
      <c r="BO325" s="101"/>
      <c r="BP325" s="101"/>
      <c r="BQ325" s="101"/>
    </row>
    <row r="326" spans="3:69">
      <c r="I326" s="108" t="s">
        <v>7</v>
      </c>
      <c r="J326" s="108" t="s">
        <v>925</v>
      </c>
      <c r="K326" s="109" t="s">
        <v>824</v>
      </c>
      <c r="L326" s="109"/>
      <c r="M326" s="109"/>
      <c r="N326" s="109"/>
      <c r="O326" s="109"/>
      <c r="P326" s="109"/>
      <c r="Q326" s="109"/>
      <c r="R326" s="109"/>
      <c r="S326" s="109"/>
      <c r="T326" s="109"/>
      <c r="U326" s="110"/>
      <c r="V326" s="110"/>
      <c r="W326" s="109"/>
      <c r="X326" s="109"/>
      <c r="Y326" s="109"/>
      <c r="Z326" s="109"/>
      <c r="AA326" s="109"/>
      <c r="AB326" s="109"/>
      <c r="AC326" s="109"/>
      <c r="AD326" s="109"/>
      <c r="AE326" s="109"/>
      <c r="AF326" s="109"/>
      <c r="AG326" s="109"/>
      <c r="AH326" s="109"/>
      <c r="AI326" s="109"/>
      <c r="AJ326" s="109"/>
      <c r="AK326" s="109"/>
      <c r="AL326" s="109"/>
      <c r="AM326" s="109"/>
      <c r="AN326" s="109"/>
      <c r="AO326" s="109"/>
      <c r="AP326" s="109"/>
      <c r="AQ326" s="109"/>
      <c r="AR326" s="109"/>
      <c r="AS326" s="109"/>
      <c r="AT326" s="109"/>
      <c r="AU326" s="109"/>
      <c r="AV326" s="109"/>
      <c r="AW326" s="109"/>
      <c r="AX326" s="109"/>
      <c r="AY326" s="109"/>
      <c r="AZ326" s="109"/>
      <c r="BA326" s="109"/>
      <c r="BB326" s="109"/>
      <c r="BC326" s="109"/>
      <c r="BD326" s="109"/>
      <c r="BE326" s="109"/>
      <c r="BF326" s="109"/>
      <c r="BG326" s="109"/>
      <c r="BH326" s="109"/>
      <c r="BI326" s="109"/>
      <c r="BJ326" s="109"/>
      <c r="BK326" s="109"/>
      <c r="BL326" s="109"/>
      <c r="BM326" s="109"/>
      <c r="BN326" s="109"/>
      <c r="BO326" s="109"/>
      <c r="BP326" s="109"/>
      <c r="BQ326" s="109"/>
    </row>
    <row r="327" spans="3:69">
      <c r="I327" s="96" t="s">
        <v>48</v>
      </c>
      <c r="J327" s="96" t="s">
        <v>926</v>
      </c>
      <c r="K327" s="221">
        <f>K324</f>
        <v>10</v>
      </c>
      <c r="L327" s="221">
        <f t="shared" ref="L327:M327" si="167">L324</f>
        <v>-5</v>
      </c>
      <c r="M327" s="221">
        <f t="shared" si="167"/>
        <v>13</v>
      </c>
      <c r="N327" s="101"/>
      <c r="O327" s="101"/>
      <c r="P327" s="101"/>
      <c r="Q327" s="101"/>
      <c r="R327" s="101"/>
      <c r="S327" s="101"/>
      <c r="T327" s="94" t="s">
        <v>209</v>
      </c>
      <c r="U327" s="100" t="e">
        <f>IF(FLAG_Country&lt;&gt;"USA","설정 온도 22 degC, AUTO ON (SYNC ON) 선택 상태 설정","설정 온도 72 degF, AUTO ON (SYNC ON) 선택 상태 설정")</f>
        <v>#NAME?</v>
      </c>
      <c r="V327" s="95">
        <v>10</v>
      </c>
      <c r="W327" s="101"/>
      <c r="X327" s="101"/>
      <c r="Y327" s="101"/>
      <c r="Z327" s="101"/>
      <c r="AA327" s="101"/>
      <c r="AB327" s="101"/>
      <c r="AC327" s="101"/>
      <c r="AD327" s="101"/>
      <c r="AE327" s="101"/>
      <c r="AF327" s="101"/>
      <c r="AG327" s="101"/>
      <c r="AH327" s="101"/>
      <c r="AI327" s="101"/>
      <c r="AJ327" s="101"/>
      <c r="AK327" s="101"/>
      <c r="AL327" s="101"/>
      <c r="AM327" s="101"/>
      <c r="AN327" s="101"/>
      <c r="AO327" s="101"/>
      <c r="AP327" s="101"/>
      <c r="AQ327" s="100" t="s">
        <v>50</v>
      </c>
      <c r="AR327" s="101"/>
      <c r="AS327" s="101"/>
      <c r="AT327" s="101"/>
      <c r="AU327" s="101"/>
      <c r="AV327" s="101"/>
      <c r="AW327" s="101"/>
      <c r="AX327" s="101"/>
      <c r="AY327" s="100">
        <v>2</v>
      </c>
      <c r="AZ327" s="101"/>
      <c r="BA327" s="101"/>
      <c r="BB327" s="101"/>
      <c r="BC327" s="101"/>
      <c r="BD327" s="101"/>
      <c r="BE327" s="101"/>
      <c r="BF327" s="101"/>
      <c r="BG327" s="101"/>
      <c r="BH327" s="101"/>
      <c r="BI327" s="101"/>
      <c r="BJ327" s="101"/>
      <c r="BK327" s="101"/>
      <c r="BL327" s="101"/>
      <c r="BM327" s="101"/>
      <c r="BN327" s="101"/>
      <c r="BO327" s="101"/>
      <c r="BP327" s="101"/>
      <c r="BQ327" s="101"/>
    </row>
    <row r="328" spans="3:69">
      <c r="I328" s="220" t="s">
        <v>155</v>
      </c>
      <c r="J328" s="220" t="s">
        <v>927</v>
      </c>
      <c r="K328" s="221">
        <f>K327</f>
        <v>10</v>
      </c>
      <c r="L328" s="221">
        <f t="shared" ref="L328:M328" si="168">L327</f>
        <v>-5</v>
      </c>
      <c r="M328" s="221">
        <f t="shared" si="168"/>
        <v>13</v>
      </c>
      <c r="N328" s="101"/>
      <c r="O328" s="101"/>
      <c r="P328" s="101"/>
      <c r="Q328" s="101"/>
      <c r="R328" s="101"/>
      <c r="S328" s="101"/>
      <c r="T328" s="94" t="e">
        <f>AutoFresh_USM_Set</f>
        <v>#NAME?</v>
      </c>
      <c r="U328" s="100">
        <v>1</v>
      </c>
      <c r="V328" s="95">
        <v>1</v>
      </c>
      <c r="W328" s="101"/>
      <c r="X328" s="101"/>
      <c r="Y328" s="101"/>
      <c r="Z328" s="101"/>
      <c r="AA328" s="101"/>
      <c r="AB328" s="101"/>
      <c r="AC328" s="101"/>
      <c r="AD328" s="101"/>
      <c r="AE328" s="101"/>
      <c r="AF328" s="101"/>
      <c r="AG328" s="101"/>
      <c r="AH328" s="101"/>
      <c r="AI328" s="101"/>
      <c r="AJ328" s="101"/>
      <c r="AK328" s="101"/>
      <c r="AL328" s="101"/>
      <c r="AM328" s="101"/>
      <c r="AN328" s="101"/>
      <c r="AO328" s="101"/>
      <c r="AP328" s="101"/>
      <c r="AQ328" s="100" t="s">
        <v>50</v>
      </c>
      <c r="AR328" s="101"/>
      <c r="AS328" s="101"/>
      <c r="AT328" s="101"/>
      <c r="AU328" s="101"/>
      <c r="AV328" s="101"/>
      <c r="AW328" s="101"/>
      <c r="AX328" s="101"/>
      <c r="AY328" s="100">
        <v>1</v>
      </c>
      <c r="AZ328" s="101"/>
      <c r="BA328" s="101"/>
      <c r="BB328" s="101"/>
      <c r="BC328" s="101"/>
      <c r="BD328" s="101"/>
      <c r="BE328" s="101"/>
      <c r="BF328" s="101"/>
      <c r="BG328" s="101"/>
      <c r="BH328" s="101"/>
      <c r="BI328" s="101"/>
      <c r="BJ328" s="101"/>
      <c r="BK328" s="101"/>
      <c r="BL328" s="101"/>
      <c r="BM328" s="101"/>
      <c r="BN328" s="101"/>
      <c r="BO328" s="101"/>
      <c r="BP328" s="101"/>
      <c r="BQ328" s="101"/>
    </row>
    <row r="329" spans="3:69">
      <c r="C329" s="4"/>
      <c r="I329" s="220" t="s">
        <v>155</v>
      </c>
      <c r="J329" s="220" t="s">
        <v>1766</v>
      </c>
      <c r="K329" s="221">
        <f t="shared" ref="K329:M330" si="169">K328</f>
        <v>10</v>
      </c>
      <c r="L329" s="221">
        <f t="shared" si="169"/>
        <v>-5</v>
      </c>
      <c r="M329" s="221">
        <f t="shared" si="169"/>
        <v>13</v>
      </c>
      <c r="N329" s="101"/>
      <c r="O329" s="101"/>
      <c r="P329" s="101"/>
      <c r="Q329" s="101"/>
      <c r="R329" s="101"/>
      <c r="S329" s="101"/>
      <c r="T329" s="94" t="e">
        <f>AutoFresh_USM_Set</f>
        <v>#NAME?</v>
      </c>
      <c r="U329" s="100">
        <v>2</v>
      </c>
      <c r="V329" s="95">
        <v>1</v>
      </c>
      <c r="W329" s="101"/>
      <c r="X329" s="101"/>
      <c r="Y329" s="101"/>
      <c r="Z329" s="101"/>
      <c r="AA329" s="101"/>
      <c r="AB329" s="101"/>
      <c r="AC329" s="101"/>
      <c r="AD329" s="101"/>
      <c r="AE329" s="101"/>
      <c r="AF329" s="101"/>
      <c r="AG329" s="101"/>
      <c r="AH329" s="101"/>
      <c r="AI329" s="101"/>
      <c r="AJ329" s="101"/>
      <c r="AK329" s="101"/>
      <c r="AL329" s="101"/>
      <c r="AM329" s="101"/>
      <c r="AN329" s="101"/>
      <c r="AO329" s="101"/>
      <c r="AP329" s="101"/>
      <c r="AQ329" s="100" t="s">
        <v>50</v>
      </c>
      <c r="AR329" s="101"/>
      <c r="AS329" s="101"/>
      <c r="AT329" s="101"/>
      <c r="AU329" s="101"/>
      <c r="AV329" s="101"/>
      <c r="AW329" s="101"/>
      <c r="AX329" s="101"/>
      <c r="AY329" s="100">
        <v>2</v>
      </c>
      <c r="AZ329" s="101"/>
      <c r="BA329" s="101"/>
      <c r="BB329" s="101"/>
      <c r="BC329" s="101"/>
      <c r="BD329" s="101"/>
      <c r="BE329" s="101"/>
      <c r="BF329" s="101"/>
      <c r="BG329" s="101"/>
      <c r="BH329" s="101"/>
      <c r="BI329" s="101"/>
      <c r="BJ329" s="101"/>
      <c r="BK329" s="101"/>
      <c r="BL329" s="101"/>
      <c r="BM329" s="101"/>
      <c r="BN329" s="101"/>
      <c r="BO329" s="101"/>
      <c r="BP329" s="101"/>
      <c r="BQ329" s="101"/>
    </row>
    <row r="330" spans="3:69">
      <c r="I330" s="220" t="s">
        <v>155</v>
      </c>
      <c r="J330" s="220" t="s">
        <v>1765</v>
      </c>
      <c r="K330" s="221">
        <f t="shared" si="169"/>
        <v>10</v>
      </c>
      <c r="L330" s="221">
        <f t="shared" si="169"/>
        <v>-5</v>
      </c>
      <c r="M330" s="221">
        <f t="shared" si="169"/>
        <v>13</v>
      </c>
      <c r="N330" s="101"/>
      <c r="O330" s="101"/>
      <c r="P330" s="101"/>
      <c r="Q330" s="101"/>
      <c r="R330" s="101"/>
      <c r="S330" s="101"/>
      <c r="T330" s="94" t="s">
        <v>209</v>
      </c>
      <c r="U330" s="100" t="s">
        <v>527</v>
      </c>
      <c r="V330" s="95">
        <v>1</v>
      </c>
      <c r="W330" s="101"/>
      <c r="X330" s="101"/>
      <c r="Y330" s="101"/>
      <c r="Z330" s="101"/>
      <c r="AA330" s="101"/>
      <c r="AB330" s="101"/>
      <c r="AC330" s="101"/>
      <c r="AD330" s="101"/>
      <c r="AE330" s="101"/>
      <c r="AF330" s="101"/>
      <c r="AG330" s="101"/>
      <c r="AH330" s="101"/>
      <c r="AI330" s="101"/>
      <c r="AJ330" s="101"/>
      <c r="AK330" s="101"/>
      <c r="AL330" s="101"/>
      <c r="AM330" s="101"/>
      <c r="AN330" s="101"/>
      <c r="AO330" s="101"/>
      <c r="AP330" s="101"/>
      <c r="AQ330" s="101"/>
      <c r="AR330" s="101"/>
      <c r="AS330" s="101"/>
      <c r="AT330" s="101"/>
      <c r="AU330" s="101"/>
      <c r="AV330" s="101"/>
      <c r="AW330" s="101"/>
      <c r="AX330" s="101"/>
      <c r="AY330" s="100">
        <v>2</v>
      </c>
      <c r="AZ330" s="101"/>
      <c r="BA330" s="101"/>
      <c r="BB330" s="101"/>
      <c r="BC330" s="101"/>
      <c r="BD330" s="101"/>
      <c r="BE330" s="101"/>
      <c r="BF330" s="101"/>
      <c r="BG330" s="101"/>
      <c r="BH330" s="101"/>
      <c r="BI330" s="101"/>
      <c r="BJ330" s="101"/>
      <c r="BK330" s="101"/>
      <c r="BL330" s="101"/>
      <c r="BM330" s="101"/>
      <c r="BN330" s="101"/>
      <c r="BO330" s="101"/>
      <c r="BP330" s="101"/>
      <c r="BQ330" s="101"/>
    </row>
    <row r="331" spans="3:69">
      <c r="I331" s="255">
        <f>COUNTIF(I332:I335,"&lt;&gt;TS")</f>
        <v>3</v>
      </c>
      <c r="J331" s="106" t="s">
        <v>1244</v>
      </c>
      <c r="K331" s="106" t="s">
        <v>1675</v>
      </c>
      <c r="L331" s="106"/>
      <c r="M331" s="106"/>
      <c r="N331" s="106"/>
      <c r="O331" s="106"/>
      <c r="P331" s="106"/>
      <c r="Q331" s="106"/>
      <c r="R331" s="106"/>
      <c r="S331" s="106"/>
      <c r="T331" s="106"/>
      <c r="U331" s="107"/>
      <c r="V331" s="107"/>
      <c r="W331" s="106"/>
      <c r="X331" s="106"/>
      <c r="Y331" s="106"/>
      <c r="Z331" s="106"/>
      <c r="AA331" s="106"/>
      <c r="AB331" s="106"/>
      <c r="AC331" s="106"/>
      <c r="AD331" s="106"/>
      <c r="AE331" s="106"/>
      <c r="AF331" s="106"/>
      <c r="AG331" s="106"/>
      <c r="AH331" s="106"/>
      <c r="AI331" s="106"/>
      <c r="AJ331" s="106"/>
      <c r="AK331" s="106"/>
      <c r="AL331" s="106"/>
      <c r="AM331" s="106"/>
      <c r="AN331" s="106"/>
      <c r="AO331" s="106"/>
      <c r="AP331" s="106"/>
      <c r="AQ331" s="106"/>
      <c r="AR331" s="106"/>
      <c r="AS331" s="106"/>
      <c r="AT331" s="106"/>
      <c r="AU331" s="106"/>
      <c r="AV331" s="106"/>
      <c r="AW331" s="106"/>
      <c r="AX331" s="106"/>
      <c r="AY331" s="106"/>
      <c r="AZ331" s="106"/>
      <c r="BA331" s="106"/>
      <c r="BB331" s="106"/>
      <c r="BC331" s="106"/>
      <c r="BD331" s="106"/>
      <c r="BE331" s="106"/>
      <c r="BF331" s="106"/>
      <c r="BG331" s="106"/>
      <c r="BH331" s="106"/>
      <c r="BI331" s="106"/>
      <c r="BJ331" s="106"/>
      <c r="BK331" s="106"/>
      <c r="BL331" s="106"/>
      <c r="BM331" s="106"/>
      <c r="BN331" s="106"/>
      <c r="BO331" s="106"/>
      <c r="BP331" s="106"/>
      <c r="BQ331" s="106"/>
    </row>
    <row r="332" spans="3:69">
      <c r="I332" s="108" t="s">
        <v>7</v>
      </c>
      <c r="J332" s="108" t="s">
        <v>1245</v>
      </c>
      <c r="K332" s="109" t="s">
        <v>1676</v>
      </c>
      <c r="L332" s="109"/>
      <c r="M332" s="109"/>
      <c r="N332" s="109"/>
      <c r="O332" s="109"/>
      <c r="P332" s="109"/>
      <c r="Q332" s="109"/>
      <c r="R332" s="109"/>
      <c r="S332" s="109"/>
      <c r="T332" s="109"/>
      <c r="U332" s="110"/>
      <c r="V332" s="110"/>
      <c r="W332" s="109"/>
      <c r="X332" s="109"/>
      <c r="Y332" s="109"/>
      <c r="Z332" s="109"/>
      <c r="AA332" s="109"/>
      <c r="AB332" s="109"/>
      <c r="AC332" s="109"/>
      <c r="AD332" s="109"/>
      <c r="AE332" s="109"/>
      <c r="AF332" s="109"/>
      <c r="AG332" s="109"/>
      <c r="AH332" s="109"/>
      <c r="AI332" s="109"/>
      <c r="AJ332" s="109"/>
      <c r="AK332" s="109"/>
      <c r="AL332" s="109"/>
      <c r="AM332" s="109"/>
      <c r="AN332" s="109"/>
      <c r="AO332" s="109"/>
      <c r="AP332" s="109"/>
      <c r="AQ332" s="109"/>
      <c r="AR332" s="109"/>
      <c r="AS332" s="109"/>
      <c r="AT332" s="109"/>
      <c r="AU332" s="109"/>
      <c r="AV332" s="109"/>
      <c r="AW332" s="109"/>
      <c r="AX332" s="109"/>
      <c r="AY332" s="109"/>
      <c r="AZ332" s="109"/>
      <c r="BA332" s="109"/>
      <c r="BB332" s="109"/>
      <c r="BC332" s="109"/>
      <c r="BD332" s="109"/>
      <c r="BE332" s="109"/>
      <c r="BF332" s="109"/>
      <c r="BG332" s="109"/>
      <c r="BH332" s="109"/>
      <c r="BI332" s="109"/>
      <c r="BJ332" s="109"/>
      <c r="BK332" s="109"/>
      <c r="BL332" s="109"/>
      <c r="BM332" s="109"/>
      <c r="BN332" s="109"/>
      <c r="BO332" s="109"/>
      <c r="BP332" s="109"/>
      <c r="BQ332" s="109"/>
    </row>
    <row r="333" spans="3:69">
      <c r="I333" s="220" t="s">
        <v>48</v>
      </c>
      <c r="J333" s="220" t="s">
        <v>1326</v>
      </c>
      <c r="K333" s="100">
        <v>10</v>
      </c>
      <c r="L333" s="100">
        <v>1</v>
      </c>
      <c r="M333" s="100">
        <v>13</v>
      </c>
      <c r="N333" s="101"/>
      <c r="O333" s="101"/>
      <c r="P333" s="100">
        <v>0</v>
      </c>
      <c r="Q333" s="101"/>
      <c r="R333" s="101"/>
      <c r="S333" s="101"/>
      <c r="T333" s="94" t="s">
        <v>209</v>
      </c>
      <c r="U333" s="100" t="e">
        <f>IF(FLAG_Country&lt;&gt;"USA","설정 온도 22 degC, AUTO ON (SYNC ON) + OFF 선택 상태 설정","설정 온도 72 degF, AUTO ON (SYNC ON) + OFF 선택 상태 설정")</f>
        <v>#NAME?</v>
      </c>
      <c r="V333" s="99">
        <v>10</v>
      </c>
      <c r="W333" s="101"/>
      <c r="X333" s="101"/>
      <c r="Y333" s="100" t="e">
        <f>IF(SystemOff_ModeDisp_On_Off="O",AB333,"Off")</f>
        <v>#NAME?</v>
      </c>
      <c r="Z333" s="101"/>
      <c r="AA333" s="101"/>
      <c r="AB333" s="100" t="s">
        <v>235</v>
      </c>
      <c r="AC333" s="101"/>
      <c r="AD333" s="101"/>
      <c r="AE333" s="100" t="s">
        <v>235</v>
      </c>
      <c r="AF333" s="100" t="s">
        <v>89</v>
      </c>
      <c r="AG333" s="100" t="s">
        <v>89</v>
      </c>
      <c r="AH333" s="101"/>
      <c r="AI333" s="101"/>
      <c r="AJ333" s="101"/>
      <c r="AK333" s="101"/>
      <c r="AL333" s="101"/>
      <c r="AM333" s="101"/>
      <c r="AN333" s="101"/>
      <c r="AO333" s="101"/>
      <c r="AP333" s="101"/>
      <c r="AQ333" s="100" t="s">
        <v>51</v>
      </c>
      <c r="AR333" s="100" t="s">
        <v>51</v>
      </c>
      <c r="AS333" s="101"/>
      <c r="AT333" s="101"/>
      <c r="AU333" s="101"/>
      <c r="AV333" s="101"/>
      <c r="AW333" s="101"/>
      <c r="AX333" s="101"/>
      <c r="AY333" s="101"/>
      <c r="AZ333" s="101"/>
      <c r="BA333" s="101"/>
      <c r="BB333" s="101"/>
      <c r="BC333" s="101"/>
      <c r="BD333" s="101"/>
      <c r="BE333" s="101"/>
      <c r="BF333" s="101"/>
      <c r="BG333" s="101"/>
      <c r="BH333" s="101"/>
      <c r="BI333" s="101"/>
      <c r="BJ333" s="101"/>
      <c r="BK333" s="101"/>
      <c r="BL333" s="101"/>
      <c r="BM333" s="101"/>
      <c r="BN333" s="101"/>
      <c r="BO333" s="101"/>
      <c r="BP333" s="101"/>
      <c r="BQ333" s="101"/>
    </row>
    <row r="334" spans="3:69">
      <c r="C334" s="4"/>
      <c r="I334" s="220" t="s">
        <v>901</v>
      </c>
      <c r="J334" s="220" t="s">
        <v>1327</v>
      </c>
      <c r="K334" s="221">
        <f t="shared" ref="K334:M335" si="170">K333</f>
        <v>10</v>
      </c>
      <c r="L334" s="221">
        <f t="shared" si="170"/>
        <v>1</v>
      </c>
      <c r="M334" s="221">
        <f t="shared" si="170"/>
        <v>13</v>
      </c>
      <c r="N334" s="101"/>
      <c r="O334" s="101"/>
      <c r="P334" s="221">
        <f t="shared" ref="P334:P335" si="171">P333</f>
        <v>0</v>
      </c>
      <c r="Q334" s="101"/>
      <c r="R334" s="101"/>
      <c r="S334" s="101"/>
      <c r="T334" s="111" t="e">
        <f>SmartVent_Set</f>
        <v>#NAME?</v>
      </c>
      <c r="U334" s="99">
        <v>1</v>
      </c>
      <c r="V334" s="99">
        <v>10</v>
      </c>
      <c r="W334" s="101"/>
      <c r="X334" s="101"/>
      <c r="Y334" s="100" t="s">
        <v>235</v>
      </c>
      <c r="Z334" s="101"/>
      <c r="AA334" s="101"/>
      <c r="AB334" s="100" t="s">
        <v>235</v>
      </c>
      <c r="AC334" s="101"/>
      <c r="AD334" s="101"/>
      <c r="AE334" s="100" t="s">
        <v>1438</v>
      </c>
      <c r="AF334" s="100">
        <v>1</v>
      </c>
      <c r="AG334" s="100">
        <v>3</v>
      </c>
      <c r="AH334" s="101"/>
      <c r="AI334" s="101"/>
      <c r="AJ334" s="101"/>
      <c r="AK334" s="101"/>
      <c r="AL334" s="101"/>
      <c r="AM334" s="101"/>
      <c r="AN334" s="101"/>
      <c r="AO334" s="101"/>
      <c r="AP334" s="101"/>
      <c r="AQ334" s="100" t="s">
        <v>50</v>
      </c>
      <c r="AR334" s="100" t="s">
        <v>50</v>
      </c>
      <c r="AS334" s="101"/>
      <c r="AT334" s="101"/>
      <c r="AU334" s="101"/>
      <c r="AV334" s="101"/>
      <c r="AW334" s="101"/>
      <c r="AX334" s="101"/>
      <c r="AY334" s="101"/>
      <c r="AZ334" s="101"/>
      <c r="BA334" s="101"/>
      <c r="BB334" s="101"/>
      <c r="BC334" s="101"/>
      <c r="BD334" s="101"/>
      <c r="BE334" s="101"/>
      <c r="BF334" s="101"/>
      <c r="BG334" s="101"/>
      <c r="BH334" s="101"/>
      <c r="BI334" s="101"/>
      <c r="BJ334" s="101"/>
      <c r="BK334" s="101"/>
      <c r="BL334" s="101"/>
      <c r="BM334" s="101"/>
      <c r="BN334" s="101"/>
      <c r="BO334" s="101"/>
      <c r="BP334" s="101"/>
      <c r="BQ334" s="101"/>
    </row>
    <row r="335" spans="3:69">
      <c r="I335" s="220" t="s">
        <v>901</v>
      </c>
      <c r="J335" s="220" t="s">
        <v>1328</v>
      </c>
      <c r="K335" s="221">
        <f t="shared" si="170"/>
        <v>10</v>
      </c>
      <c r="L335" s="221">
        <f t="shared" si="170"/>
        <v>1</v>
      </c>
      <c r="M335" s="221">
        <f t="shared" si="170"/>
        <v>13</v>
      </c>
      <c r="N335" s="101"/>
      <c r="O335" s="101"/>
      <c r="P335" s="221">
        <f t="shared" si="171"/>
        <v>0</v>
      </c>
      <c r="Q335" s="101"/>
      <c r="R335" s="101"/>
      <c r="S335" s="101"/>
      <c r="T335" s="111" t="e">
        <f>SmartVent_Set</f>
        <v>#NAME?</v>
      </c>
      <c r="U335" s="99">
        <v>0</v>
      </c>
      <c r="V335" s="99">
        <v>10</v>
      </c>
      <c r="W335" s="101"/>
      <c r="X335" s="101"/>
      <c r="Y335" s="100" t="e">
        <f>IF(SystemOff_ModeDisp_On_Off="O",AB335,"Off")</f>
        <v>#NAME?</v>
      </c>
      <c r="Z335" s="101"/>
      <c r="AA335" s="101"/>
      <c r="AB335" s="100" t="s">
        <v>235</v>
      </c>
      <c r="AC335" s="101"/>
      <c r="AD335" s="101"/>
      <c r="AE335" s="100" t="s">
        <v>235</v>
      </c>
      <c r="AF335" s="100" t="s">
        <v>89</v>
      </c>
      <c r="AG335" s="100" t="s">
        <v>89</v>
      </c>
      <c r="AH335" s="101"/>
      <c r="AI335" s="101"/>
      <c r="AJ335" s="101"/>
      <c r="AK335" s="101"/>
      <c r="AL335" s="101"/>
      <c r="AM335" s="101"/>
      <c r="AN335" s="101"/>
      <c r="AO335" s="101"/>
      <c r="AP335" s="101"/>
      <c r="AQ335" s="100" t="s">
        <v>51</v>
      </c>
      <c r="AR335" s="100" t="s">
        <v>51</v>
      </c>
      <c r="AS335" s="101"/>
      <c r="AT335" s="101"/>
      <c r="AU335" s="101"/>
      <c r="AV335" s="101"/>
      <c r="AW335" s="101"/>
      <c r="AX335" s="101"/>
      <c r="AY335" s="101"/>
      <c r="AZ335" s="101"/>
      <c r="BA335" s="101"/>
      <c r="BB335" s="101"/>
      <c r="BC335" s="101"/>
      <c r="BD335" s="101"/>
      <c r="BE335" s="101"/>
      <c r="BF335" s="101"/>
      <c r="BG335" s="101"/>
      <c r="BH335" s="101"/>
      <c r="BI335" s="101"/>
      <c r="BJ335" s="101"/>
      <c r="BK335" s="101"/>
      <c r="BL335" s="101"/>
      <c r="BM335" s="101"/>
      <c r="BN335" s="101"/>
      <c r="BO335" s="101"/>
      <c r="BP335" s="101"/>
      <c r="BQ335" s="101"/>
    </row>
    <row r="336" spans="3:69">
      <c r="C336" s="4"/>
      <c r="I336" s="255">
        <f>COUNTIF(I337:I341,"&lt;&gt;TS")</f>
        <v>4</v>
      </c>
      <c r="J336" s="106" t="s">
        <v>1249</v>
      </c>
      <c r="K336" s="106" t="s">
        <v>1677</v>
      </c>
      <c r="L336" s="106"/>
      <c r="M336" s="106"/>
      <c r="N336" s="106"/>
      <c r="O336" s="106"/>
      <c r="P336" s="106"/>
      <c r="Q336" s="106"/>
      <c r="R336" s="106"/>
      <c r="S336" s="106"/>
      <c r="T336" s="106"/>
      <c r="U336" s="107"/>
      <c r="V336" s="107"/>
      <c r="W336" s="106"/>
      <c r="X336" s="106"/>
      <c r="Y336" s="106"/>
      <c r="Z336" s="106"/>
      <c r="AA336" s="106"/>
      <c r="AB336" s="106"/>
      <c r="AC336" s="106"/>
      <c r="AD336" s="106"/>
      <c r="AE336" s="106"/>
      <c r="AF336" s="106"/>
      <c r="AG336" s="106"/>
      <c r="AH336" s="106"/>
      <c r="AI336" s="106"/>
      <c r="AJ336" s="106"/>
      <c r="AK336" s="106"/>
      <c r="AL336" s="106"/>
      <c r="AM336" s="106"/>
      <c r="AN336" s="106"/>
      <c r="AO336" s="106"/>
      <c r="AP336" s="106"/>
      <c r="AQ336" s="106"/>
      <c r="AR336" s="106"/>
      <c r="AS336" s="106"/>
      <c r="AT336" s="106"/>
      <c r="AU336" s="106"/>
      <c r="AV336" s="106"/>
      <c r="AW336" s="106"/>
      <c r="AX336" s="106"/>
      <c r="AY336" s="106"/>
      <c r="AZ336" s="106"/>
      <c r="BA336" s="106"/>
      <c r="BB336" s="106"/>
      <c r="BC336" s="106"/>
      <c r="BD336" s="106"/>
      <c r="BE336" s="106"/>
      <c r="BF336" s="106"/>
      <c r="BG336" s="106"/>
      <c r="BH336" s="106"/>
      <c r="BI336" s="106"/>
      <c r="BJ336" s="106"/>
      <c r="BK336" s="106"/>
      <c r="BL336" s="106"/>
      <c r="BM336" s="106"/>
      <c r="BN336" s="106"/>
      <c r="BO336" s="106"/>
      <c r="BP336" s="106"/>
      <c r="BQ336" s="106"/>
    </row>
    <row r="337" spans="3:69">
      <c r="I337" s="108" t="s">
        <v>7</v>
      </c>
      <c r="J337" s="108" t="s">
        <v>1250</v>
      </c>
      <c r="K337" s="109" t="s">
        <v>1678</v>
      </c>
      <c r="L337" s="109"/>
      <c r="M337" s="109"/>
      <c r="N337" s="109"/>
      <c r="O337" s="109"/>
      <c r="P337" s="109"/>
      <c r="Q337" s="109"/>
      <c r="R337" s="109"/>
      <c r="S337" s="109"/>
      <c r="T337" s="109"/>
      <c r="U337" s="110"/>
      <c r="V337" s="110"/>
      <c r="W337" s="109"/>
      <c r="X337" s="109"/>
      <c r="Y337" s="109"/>
      <c r="Z337" s="109"/>
      <c r="AA337" s="109"/>
      <c r="AB337" s="109"/>
      <c r="AC337" s="109"/>
      <c r="AD337" s="109"/>
      <c r="AE337" s="109"/>
      <c r="AF337" s="109"/>
      <c r="AG337" s="109"/>
      <c r="AH337" s="109"/>
      <c r="AI337" s="109"/>
      <c r="AJ337" s="109"/>
      <c r="AK337" s="109"/>
      <c r="AL337" s="109"/>
      <c r="AM337" s="109"/>
      <c r="AN337" s="109"/>
      <c r="AO337" s="109"/>
      <c r="AP337" s="109"/>
      <c r="AQ337" s="109"/>
      <c r="AR337" s="109"/>
      <c r="AS337" s="109"/>
      <c r="AT337" s="109"/>
      <c r="AU337" s="109"/>
      <c r="AV337" s="109"/>
      <c r="AW337" s="109"/>
      <c r="AX337" s="109"/>
      <c r="AY337" s="109"/>
      <c r="AZ337" s="109"/>
      <c r="BA337" s="109"/>
      <c r="BB337" s="109"/>
      <c r="BC337" s="109"/>
      <c r="BD337" s="109"/>
      <c r="BE337" s="109"/>
      <c r="BF337" s="109"/>
      <c r="BG337" s="109"/>
      <c r="BH337" s="109"/>
      <c r="BI337" s="109"/>
      <c r="BJ337" s="109"/>
      <c r="BK337" s="109"/>
      <c r="BL337" s="109"/>
      <c r="BM337" s="109"/>
      <c r="BN337" s="109"/>
      <c r="BO337" s="109"/>
      <c r="BP337" s="109"/>
      <c r="BQ337" s="109"/>
    </row>
    <row r="338" spans="3:69" ht="13.5">
      <c r="I338" s="220" t="s">
        <v>48</v>
      </c>
      <c r="J338" s="220" t="s">
        <v>1323</v>
      </c>
      <c r="K338" s="221">
        <f>K335</f>
        <v>10</v>
      </c>
      <c r="L338" s="221">
        <f t="shared" ref="L338:M338" si="172">L335</f>
        <v>1</v>
      </c>
      <c r="M338" s="221">
        <f t="shared" si="172"/>
        <v>13</v>
      </c>
      <c r="N338" s="101"/>
      <c r="O338" s="101"/>
      <c r="P338" s="100">
        <v>50</v>
      </c>
      <c r="Q338" s="101"/>
      <c r="R338" s="101"/>
      <c r="S338" s="101"/>
      <c r="T338" s="94" t="s">
        <v>209</v>
      </c>
      <c r="U338" s="100" t="s">
        <v>1647</v>
      </c>
      <c r="V338" s="99">
        <v>10</v>
      </c>
      <c r="W338" s="101"/>
      <c r="X338" s="101"/>
      <c r="Y338" s="100" t="s">
        <v>235</v>
      </c>
      <c r="Z338" s="101"/>
      <c r="AA338" s="101"/>
      <c r="AB338" s="100" t="s">
        <v>235</v>
      </c>
      <c r="AC338" s="101"/>
      <c r="AD338" s="101"/>
      <c r="AE338" s="101"/>
      <c r="AF338" s="101"/>
      <c r="AG338" s="101"/>
      <c r="AH338" s="101"/>
      <c r="AI338" s="100" t="e">
        <f>const_Tset_max</f>
        <v>#NAME?</v>
      </c>
      <c r="AJ338" s="101" t="s">
        <v>420</v>
      </c>
      <c r="AK338" s="101" t="s">
        <v>420</v>
      </c>
      <c r="AL338" s="101"/>
      <c r="AM338" s="101"/>
      <c r="AN338" s="100" t="s">
        <v>89</v>
      </c>
      <c r="AO338" s="101"/>
      <c r="AP338" s="101"/>
      <c r="AQ338" s="100" t="s">
        <v>50</v>
      </c>
      <c r="AR338" s="100" t="s">
        <v>50</v>
      </c>
      <c r="AS338" s="101"/>
      <c r="AT338" s="101"/>
      <c r="AU338" s="101"/>
      <c r="AV338" s="101"/>
      <c r="AW338" s="101"/>
      <c r="AX338" s="101"/>
      <c r="AY338" s="101"/>
      <c r="AZ338" s="101"/>
      <c r="BA338" s="101"/>
      <c r="BB338" s="101"/>
      <c r="BC338" s="101"/>
      <c r="BD338" s="101"/>
      <c r="BE338" s="101"/>
      <c r="BF338" s="101"/>
      <c r="BG338" s="101"/>
      <c r="BH338" s="101"/>
      <c r="BI338" s="101"/>
      <c r="BJ338" s="101"/>
      <c r="BK338" s="101"/>
      <c r="BL338" s="101"/>
      <c r="BM338" s="101"/>
      <c r="BN338" s="101"/>
      <c r="BO338" s="101"/>
      <c r="BP338" s="101"/>
      <c r="BQ338" s="101"/>
    </row>
    <row r="339" spans="3:69">
      <c r="I339" s="220" t="s">
        <v>901</v>
      </c>
      <c r="J339" s="220" t="s">
        <v>1324</v>
      </c>
      <c r="K339" s="221">
        <f>K338</f>
        <v>10</v>
      </c>
      <c r="L339" s="221">
        <f t="shared" ref="L339:M341" si="173">L338</f>
        <v>1</v>
      </c>
      <c r="M339" s="221">
        <f t="shared" si="173"/>
        <v>13</v>
      </c>
      <c r="N339" s="101"/>
      <c r="O339" s="101"/>
      <c r="P339" s="101"/>
      <c r="Q339" s="101"/>
      <c r="R339" s="101"/>
      <c r="S339" s="101"/>
      <c r="T339" s="111" t="s">
        <v>209</v>
      </c>
      <c r="U339" s="100" t="e">
        <f>PTC_EN_DIS</f>
        <v>#NAME?</v>
      </c>
      <c r="V339" s="99">
        <v>0.5</v>
      </c>
      <c r="W339" s="101"/>
      <c r="X339" s="101"/>
      <c r="Y339" s="100" t="e">
        <f>IF(SystemOff_ModeDisp_On_Off="O",AB339,"Off")</f>
        <v>#NAME?</v>
      </c>
      <c r="Z339" s="101"/>
      <c r="AA339" s="101"/>
      <c r="AB339" s="100" t="s">
        <v>235</v>
      </c>
      <c r="AC339" s="101"/>
      <c r="AD339" s="101"/>
      <c r="AE339" s="101"/>
      <c r="AF339" s="101"/>
      <c r="AG339" s="101"/>
      <c r="AH339" s="101"/>
      <c r="AI339" s="100" t="e">
        <f>const_Tset_off</f>
        <v>#NAME?</v>
      </c>
      <c r="AJ339" s="101" t="s">
        <v>420</v>
      </c>
      <c r="AK339" s="101"/>
      <c r="AL339" s="101"/>
      <c r="AM339" s="101"/>
      <c r="AN339" s="100" t="s">
        <v>1443</v>
      </c>
      <c r="AO339" s="101"/>
      <c r="AP339" s="101"/>
      <c r="AQ339" s="100" t="s">
        <v>1444</v>
      </c>
      <c r="AR339" s="100" t="s">
        <v>50</v>
      </c>
      <c r="AS339" s="101"/>
      <c r="AT339" s="101"/>
      <c r="AU339" s="101"/>
      <c r="AV339" s="101"/>
      <c r="AW339" s="101"/>
      <c r="AX339" s="101"/>
      <c r="AY339" s="101"/>
      <c r="AZ339" s="101"/>
      <c r="BA339" s="101"/>
      <c r="BB339" s="101"/>
      <c r="BC339" s="101"/>
      <c r="BD339" s="101"/>
      <c r="BE339" s="101"/>
      <c r="BF339" s="101"/>
      <c r="BG339" s="101"/>
      <c r="BH339" s="101"/>
      <c r="BI339" s="101"/>
      <c r="BJ339" s="101"/>
      <c r="BK339" s="101"/>
      <c r="BL339" s="101"/>
      <c r="BM339" s="101"/>
      <c r="BN339" s="101"/>
      <c r="BO339" s="101"/>
      <c r="BP339" s="101"/>
      <c r="BQ339" s="101"/>
    </row>
    <row r="340" spans="3:69">
      <c r="C340" s="4"/>
      <c r="I340" s="220" t="s">
        <v>901</v>
      </c>
      <c r="J340" s="220" t="s">
        <v>1325</v>
      </c>
      <c r="K340" s="221">
        <f>K339</f>
        <v>10</v>
      </c>
      <c r="L340" s="221">
        <f t="shared" si="173"/>
        <v>1</v>
      </c>
      <c r="M340" s="221">
        <f t="shared" si="173"/>
        <v>13</v>
      </c>
      <c r="N340" s="101"/>
      <c r="O340" s="101"/>
      <c r="P340" s="101"/>
      <c r="Q340" s="101"/>
      <c r="R340" s="101"/>
      <c r="S340" s="101"/>
      <c r="T340" s="111" t="s">
        <v>210</v>
      </c>
      <c r="U340" s="99">
        <v>1</v>
      </c>
      <c r="V340" s="99">
        <v>3</v>
      </c>
      <c r="W340" s="101"/>
      <c r="X340" s="101"/>
      <c r="Y340" s="100" t="s">
        <v>235</v>
      </c>
      <c r="Z340" s="101"/>
      <c r="AA340" s="101"/>
      <c r="AB340" s="100" t="s">
        <v>235</v>
      </c>
      <c r="AC340" s="101"/>
      <c r="AD340" s="101"/>
      <c r="AE340" s="101"/>
      <c r="AF340" s="101"/>
      <c r="AG340" s="101"/>
      <c r="AH340" s="101"/>
      <c r="AI340" s="100" t="e">
        <f>const_Tset_max</f>
        <v>#NAME?</v>
      </c>
      <c r="AJ340" s="101" t="s">
        <v>420</v>
      </c>
      <c r="AK340" s="101"/>
      <c r="AL340" s="101"/>
      <c r="AM340" s="101"/>
      <c r="AN340" s="100" t="s">
        <v>1443</v>
      </c>
      <c r="AO340" s="101"/>
      <c r="AP340" s="101"/>
      <c r="AQ340" s="100" t="s">
        <v>1444</v>
      </c>
      <c r="AR340" s="100" t="s">
        <v>50</v>
      </c>
      <c r="AS340" s="101"/>
      <c r="AT340" s="101"/>
      <c r="AU340" s="101"/>
      <c r="AV340" s="101"/>
      <c r="AW340" s="101"/>
      <c r="AX340" s="101"/>
      <c r="AY340" s="101"/>
      <c r="AZ340" s="101"/>
      <c r="BA340" s="101"/>
      <c r="BB340" s="101"/>
      <c r="BC340" s="101"/>
      <c r="BD340" s="101"/>
      <c r="BE340" s="101"/>
      <c r="BF340" s="101"/>
      <c r="BG340" s="101"/>
      <c r="BH340" s="101"/>
      <c r="BI340" s="101"/>
      <c r="BJ340" s="101"/>
      <c r="BK340" s="101"/>
      <c r="BL340" s="101"/>
      <c r="BM340" s="101"/>
      <c r="BN340" s="101"/>
      <c r="BO340" s="101"/>
      <c r="BP340" s="101"/>
      <c r="BQ340" s="101"/>
    </row>
    <row r="341" spans="3:69">
      <c r="I341" s="220" t="s">
        <v>901</v>
      </c>
      <c r="J341" s="220" t="s">
        <v>1406</v>
      </c>
      <c r="K341" s="221">
        <f>K340</f>
        <v>10</v>
      </c>
      <c r="L341" s="221">
        <f t="shared" si="173"/>
        <v>1</v>
      </c>
      <c r="M341" s="221">
        <f t="shared" si="173"/>
        <v>13</v>
      </c>
      <c r="N341" s="101"/>
      <c r="O341" s="101"/>
      <c r="P341" s="101"/>
      <c r="Q341" s="101"/>
      <c r="R341" s="101"/>
      <c r="S341" s="101"/>
      <c r="T341" s="111" t="s">
        <v>247</v>
      </c>
      <c r="U341" s="99">
        <v>1</v>
      </c>
      <c r="V341" s="99"/>
      <c r="W341" s="101"/>
      <c r="X341" s="101"/>
      <c r="Y341" s="100" t="s">
        <v>235</v>
      </c>
      <c r="Z341" s="101"/>
      <c r="AA341" s="101"/>
      <c r="AB341" s="100" t="s">
        <v>235</v>
      </c>
      <c r="AC341" s="101"/>
      <c r="AD341" s="101"/>
      <c r="AE341" s="101"/>
      <c r="AF341" s="101"/>
      <c r="AG341" s="101"/>
      <c r="AH341" s="101"/>
      <c r="AI341" s="100" t="e">
        <f>const_Tset_default</f>
        <v>#NAME?</v>
      </c>
      <c r="AJ341" s="101" t="s">
        <v>420</v>
      </c>
      <c r="AK341" s="101"/>
      <c r="AL341" s="101"/>
      <c r="AM341" s="101"/>
      <c r="AN341" s="100" t="s">
        <v>89</v>
      </c>
      <c r="AO341" s="101"/>
      <c r="AP341" s="101"/>
      <c r="AQ341" s="100" t="s">
        <v>50</v>
      </c>
      <c r="AR341" s="100" t="s">
        <v>50</v>
      </c>
      <c r="AS341" s="101"/>
      <c r="AT341" s="101"/>
      <c r="AU341" s="101"/>
      <c r="AV341" s="101"/>
      <c r="AW341" s="101"/>
      <c r="AX341" s="101"/>
      <c r="AY341" s="101"/>
      <c r="AZ341" s="101"/>
      <c r="BA341" s="101"/>
      <c r="BB341" s="101"/>
      <c r="BC341" s="101"/>
      <c r="BD341" s="101"/>
      <c r="BE341" s="101"/>
      <c r="BF341" s="101"/>
      <c r="BG341" s="101"/>
      <c r="BH341" s="101"/>
      <c r="BI341" s="101"/>
      <c r="BJ341" s="101"/>
      <c r="BK341" s="101"/>
      <c r="BL341" s="101"/>
      <c r="BM341" s="101"/>
      <c r="BN341" s="101"/>
      <c r="BO341" s="101"/>
      <c r="BP341" s="101"/>
      <c r="BQ341" s="101"/>
    </row>
    <row r="342" spans="3:69">
      <c r="C342" s="4"/>
      <c r="I342" s="255">
        <f>COUNTIF(I343:I346,"&lt;&gt;TS")</f>
        <v>3</v>
      </c>
      <c r="J342" s="106" t="s">
        <v>565</v>
      </c>
      <c r="K342" s="106" t="s">
        <v>1679</v>
      </c>
      <c r="L342" s="106"/>
      <c r="M342" s="106"/>
      <c r="N342" s="106"/>
      <c r="O342" s="106"/>
      <c r="P342" s="106"/>
      <c r="Q342" s="106"/>
      <c r="R342" s="106"/>
      <c r="S342" s="106"/>
      <c r="T342" s="106"/>
      <c r="U342" s="107"/>
      <c r="V342" s="107"/>
      <c r="W342" s="106"/>
      <c r="X342" s="106"/>
      <c r="Y342" s="106"/>
      <c r="Z342" s="106"/>
      <c r="AA342" s="106"/>
      <c r="AB342" s="106"/>
      <c r="AC342" s="106"/>
      <c r="AD342" s="106"/>
      <c r="AE342" s="106"/>
      <c r="AF342" s="106"/>
      <c r="AG342" s="106"/>
      <c r="AH342" s="106"/>
      <c r="AI342" s="106"/>
      <c r="AJ342" s="106"/>
      <c r="AK342" s="106"/>
      <c r="AL342" s="106"/>
      <c r="AM342" s="106"/>
      <c r="AN342" s="106"/>
      <c r="AO342" s="106"/>
      <c r="AP342" s="106"/>
      <c r="AQ342" s="106"/>
      <c r="AR342" s="106"/>
      <c r="AS342" s="106"/>
      <c r="AT342" s="106"/>
      <c r="AU342" s="106"/>
      <c r="AV342" s="106"/>
      <c r="AW342" s="106"/>
      <c r="AX342" s="106"/>
      <c r="AY342" s="106"/>
      <c r="AZ342" s="106"/>
      <c r="BA342" s="106"/>
      <c r="BB342" s="106"/>
      <c r="BC342" s="106"/>
      <c r="BD342" s="106"/>
      <c r="BE342" s="106"/>
      <c r="BF342" s="106"/>
      <c r="BG342" s="106"/>
      <c r="BH342" s="106"/>
      <c r="BI342" s="106"/>
      <c r="BJ342" s="106"/>
      <c r="BK342" s="106"/>
      <c r="BL342" s="106"/>
      <c r="BM342" s="106"/>
      <c r="BN342" s="106"/>
      <c r="BO342" s="106"/>
      <c r="BP342" s="106"/>
      <c r="BQ342" s="106"/>
    </row>
    <row r="343" spans="3:69">
      <c r="I343" s="108" t="s">
        <v>7</v>
      </c>
      <c r="J343" s="108" t="s">
        <v>1254</v>
      </c>
      <c r="K343" s="109" t="s">
        <v>1680</v>
      </c>
      <c r="L343" s="109"/>
      <c r="M343" s="109"/>
      <c r="N343" s="109"/>
      <c r="O343" s="109"/>
      <c r="P343" s="109"/>
      <c r="Q343" s="109"/>
      <c r="R343" s="109"/>
      <c r="S343" s="109"/>
      <c r="T343" s="109"/>
      <c r="U343" s="110"/>
      <c r="V343" s="110"/>
      <c r="W343" s="109"/>
      <c r="X343" s="109"/>
      <c r="Y343" s="109"/>
      <c r="Z343" s="109"/>
      <c r="AA343" s="109"/>
      <c r="AB343" s="109"/>
      <c r="AC343" s="109"/>
      <c r="AD343" s="109"/>
      <c r="AE343" s="109"/>
      <c r="AF343" s="109"/>
      <c r="AG343" s="109"/>
      <c r="AH343" s="109"/>
      <c r="AI343" s="109"/>
      <c r="AJ343" s="109"/>
      <c r="AK343" s="109"/>
      <c r="AL343" s="109"/>
      <c r="AM343" s="109"/>
      <c r="AN343" s="109"/>
      <c r="AO343" s="109"/>
      <c r="AP343" s="109"/>
      <c r="AQ343" s="109"/>
      <c r="AR343" s="109"/>
      <c r="AS343" s="109"/>
      <c r="AT343" s="109"/>
      <c r="AU343" s="109"/>
      <c r="AV343" s="109"/>
      <c r="AW343" s="109"/>
      <c r="AX343" s="109"/>
      <c r="AY343" s="109"/>
      <c r="AZ343" s="109"/>
      <c r="BA343" s="109"/>
      <c r="BB343" s="109"/>
      <c r="BC343" s="109"/>
      <c r="BD343" s="109"/>
      <c r="BE343" s="109"/>
      <c r="BF343" s="109"/>
      <c r="BG343" s="109"/>
      <c r="BH343" s="109"/>
      <c r="BI343" s="109"/>
      <c r="BJ343" s="109"/>
      <c r="BK343" s="109"/>
      <c r="BL343" s="109"/>
      <c r="BM343" s="109"/>
      <c r="BN343" s="109"/>
      <c r="BO343" s="109"/>
      <c r="BP343" s="109"/>
      <c r="BQ343" s="109"/>
    </row>
    <row r="344" spans="3:69">
      <c r="I344" s="220" t="s">
        <v>48</v>
      </c>
      <c r="J344" s="220" t="s">
        <v>1320</v>
      </c>
      <c r="K344" s="100">
        <v>60</v>
      </c>
      <c r="L344" s="100">
        <v>25</v>
      </c>
      <c r="M344" s="100">
        <v>9</v>
      </c>
      <c r="N344" s="101"/>
      <c r="O344" s="101"/>
      <c r="P344" s="101"/>
      <c r="Q344" s="101"/>
      <c r="R344" s="101"/>
      <c r="S344" s="101"/>
      <c r="T344" s="94" t="s">
        <v>209</v>
      </c>
      <c r="U344" s="100" t="e">
        <f>IF(FLAG_Country&lt;&gt;"USA","설정 온도 22 degC, AUTO ON (SYNC ON) 선택 상태 설정","설정 온도 72 degF, AUTO ON (SYNC ON) 선택 상태 설정")</f>
        <v>#NAME?</v>
      </c>
      <c r="V344" s="99">
        <v>10</v>
      </c>
      <c r="W344" s="101"/>
      <c r="X344" s="101"/>
      <c r="Y344" s="100" t="s">
        <v>237</v>
      </c>
      <c r="Z344" s="101"/>
      <c r="AA344" s="101"/>
      <c r="AB344" s="101"/>
      <c r="AC344" s="101"/>
      <c r="AD344" s="101"/>
      <c r="AE344" s="101"/>
      <c r="AF344" s="101"/>
      <c r="AG344" s="101"/>
      <c r="AH344" s="101"/>
      <c r="AI344" s="101"/>
      <c r="AJ344" s="101"/>
      <c r="AK344" s="101"/>
      <c r="AL344" s="101"/>
      <c r="AM344" s="101"/>
      <c r="AN344" s="100" t="s">
        <v>49</v>
      </c>
      <c r="AO344" s="100" t="s">
        <v>49</v>
      </c>
      <c r="AP344" s="101"/>
      <c r="AQ344" s="101"/>
      <c r="AR344" s="101"/>
      <c r="AS344" s="101"/>
      <c r="AT344" s="101"/>
      <c r="AU344" s="101"/>
      <c r="AV344" s="100" t="e">
        <f>IF(MAX_COOL="O","Cool",#REF!)</f>
        <v>#NAME?</v>
      </c>
      <c r="AW344" s="100" t="e">
        <f>IF(MAX_COOL="O","Cool",#REF!)</f>
        <v>#NAME?</v>
      </c>
      <c r="AX344" s="101"/>
      <c r="AY344" s="101"/>
      <c r="AZ344" s="101"/>
      <c r="BA344" s="101"/>
      <c r="BB344" s="101"/>
      <c r="BC344" s="101"/>
      <c r="BD344" s="101"/>
      <c r="BE344" s="101"/>
      <c r="BF344" s="101"/>
      <c r="BG344" s="101"/>
      <c r="BH344" s="101"/>
      <c r="BI344" s="101"/>
      <c r="BJ344" s="101"/>
      <c r="BK344" s="101"/>
      <c r="BL344" s="101"/>
      <c r="BM344" s="101"/>
      <c r="BN344" s="101"/>
      <c r="BO344" s="101"/>
      <c r="BP344" s="101"/>
      <c r="BQ344" s="101"/>
    </row>
    <row r="345" spans="3:69">
      <c r="I345" s="220" t="s">
        <v>901</v>
      </c>
      <c r="J345" s="220" t="s">
        <v>1321</v>
      </c>
      <c r="K345" s="221">
        <f t="shared" ref="K345:M346" si="174">K344</f>
        <v>60</v>
      </c>
      <c r="L345" s="221">
        <f t="shared" si="174"/>
        <v>25</v>
      </c>
      <c r="M345" s="221">
        <f t="shared" si="174"/>
        <v>9</v>
      </c>
      <c r="N345" s="101"/>
      <c r="O345" s="101"/>
      <c r="P345" s="101"/>
      <c r="Q345" s="101"/>
      <c r="R345" s="101"/>
      <c r="S345" s="101"/>
      <c r="T345" s="111" t="s">
        <v>246</v>
      </c>
      <c r="U345" s="99">
        <v>1</v>
      </c>
      <c r="V345" s="99">
        <v>2</v>
      </c>
      <c r="W345" s="101"/>
      <c r="X345" s="101"/>
      <c r="Y345" s="100" t="s">
        <v>492</v>
      </c>
      <c r="Z345" s="101"/>
      <c r="AA345" s="101"/>
      <c r="AB345" s="101"/>
      <c r="AC345" s="101"/>
      <c r="AD345" s="101"/>
      <c r="AE345" s="101"/>
      <c r="AF345" s="101"/>
      <c r="AG345" s="101"/>
      <c r="AH345" s="101"/>
      <c r="AI345" s="101"/>
      <c r="AJ345" s="101"/>
      <c r="AK345" s="101"/>
      <c r="AL345" s="101"/>
      <c r="AM345" s="101"/>
      <c r="AN345" s="101"/>
      <c r="AO345" s="101"/>
      <c r="AP345" s="101"/>
      <c r="AQ345" s="101"/>
      <c r="AR345" s="101"/>
      <c r="AS345" s="101"/>
      <c r="AT345" s="101"/>
      <c r="AU345" s="101"/>
      <c r="AV345" s="100" t="s">
        <v>1407</v>
      </c>
      <c r="AW345" s="100" t="s">
        <v>1407</v>
      </c>
      <c r="AX345" s="101"/>
      <c r="AY345" s="101"/>
      <c r="AZ345" s="101"/>
      <c r="BA345" s="101"/>
      <c r="BB345" s="101"/>
      <c r="BC345" s="101"/>
      <c r="BD345" s="101"/>
      <c r="BE345" s="101"/>
      <c r="BF345" s="101"/>
      <c r="BG345" s="101"/>
      <c r="BH345" s="101"/>
      <c r="BI345" s="101"/>
      <c r="BJ345" s="101"/>
      <c r="BK345" s="101"/>
      <c r="BL345" s="101"/>
      <c r="BM345" s="101"/>
      <c r="BN345" s="101"/>
      <c r="BO345" s="101"/>
      <c r="BP345" s="101"/>
      <c r="BQ345" s="101"/>
    </row>
    <row r="346" spans="3:69">
      <c r="I346" s="220" t="s">
        <v>901</v>
      </c>
      <c r="J346" s="220" t="s">
        <v>1322</v>
      </c>
      <c r="K346" s="221">
        <f t="shared" si="174"/>
        <v>60</v>
      </c>
      <c r="L346" s="221">
        <f t="shared" si="174"/>
        <v>25</v>
      </c>
      <c r="M346" s="221">
        <f t="shared" si="174"/>
        <v>9</v>
      </c>
      <c r="N346" s="101"/>
      <c r="O346" s="101"/>
      <c r="P346" s="101"/>
      <c r="Q346" s="101"/>
      <c r="R346" s="101"/>
      <c r="S346" s="101"/>
      <c r="T346" s="111" t="s">
        <v>246</v>
      </c>
      <c r="U346" s="99">
        <v>1</v>
      </c>
      <c r="V346" s="99">
        <v>2</v>
      </c>
      <c r="W346" s="101"/>
      <c r="X346" s="101"/>
      <c r="Y346" s="100" t="s">
        <v>237</v>
      </c>
      <c r="Z346" s="101"/>
      <c r="AA346" s="101"/>
      <c r="AB346" s="101"/>
      <c r="AC346" s="101"/>
      <c r="AD346" s="101"/>
      <c r="AE346" s="101"/>
      <c r="AF346" s="101"/>
      <c r="AG346" s="101"/>
      <c r="AH346" s="101"/>
      <c r="AI346" s="101"/>
      <c r="AJ346" s="101"/>
      <c r="AK346" s="101"/>
      <c r="AL346" s="101"/>
      <c r="AM346" s="101"/>
      <c r="AN346" s="101"/>
      <c r="AO346" s="101"/>
      <c r="AP346" s="101"/>
      <c r="AQ346" s="101"/>
      <c r="AR346" s="101"/>
      <c r="AS346" s="101"/>
      <c r="AT346" s="101"/>
      <c r="AU346" s="101"/>
      <c r="AV346" s="100" t="e">
        <f>IF(MAX_COOL="O","Cool",#REF!)</f>
        <v>#NAME?</v>
      </c>
      <c r="AW346" s="100" t="e">
        <f>IF(MAX_COOL="O","Cool",#REF!)</f>
        <v>#NAME?</v>
      </c>
      <c r="AX346" s="101"/>
      <c r="AY346" s="101"/>
      <c r="AZ346" s="101"/>
      <c r="BA346" s="101"/>
      <c r="BB346" s="101"/>
      <c r="BC346" s="101"/>
      <c r="BD346" s="101"/>
      <c r="BE346" s="101"/>
      <c r="BF346" s="101"/>
      <c r="BG346" s="101"/>
      <c r="BH346" s="101"/>
      <c r="BI346" s="101"/>
      <c r="BJ346" s="101"/>
      <c r="BK346" s="101"/>
      <c r="BL346" s="101"/>
      <c r="BM346" s="101"/>
      <c r="BN346" s="101"/>
      <c r="BO346" s="101"/>
      <c r="BP346" s="101"/>
      <c r="BQ346" s="101"/>
    </row>
    <row r="347" spans="3:69">
      <c r="C347" s="4"/>
      <c r="I347" s="255">
        <f>COUNTIF(I348:I351,"&lt;&gt;TS")</f>
        <v>3</v>
      </c>
      <c r="J347" s="106" t="s">
        <v>566</v>
      </c>
      <c r="K347" s="106" t="s">
        <v>1681</v>
      </c>
      <c r="L347" s="106"/>
      <c r="M347" s="106"/>
      <c r="N347" s="106"/>
      <c r="O347" s="106"/>
      <c r="P347" s="106"/>
      <c r="Q347" s="106"/>
      <c r="R347" s="106"/>
      <c r="S347" s="106"/>
      <c r="T347" s="106"/>
      <c r="U347" s="107"/>
      <c r="V347" s="107"/>
      <c r="W347" s="106"/>
      <c r="X347" s="106"/>
      <c r="Y347" s="106"/>
      <c r="Z347" s="106"/>
      <c r="AA347" s="106"/>
      <c r="AB347" s="106"/>
      <c r="AC347" s="106"/>
      <c r="AD347" s="106"/>
      <c r="AE347" s="106"/>
      <c r="AF347" s="106"/>
      <c r="AG347" s="106"/>
      <c r="AH347" s="106"/>
      <c r="AI347" s="106"/>
      <c r="AJ347" s="106"/>
      <c r="AK347" s="106"/>
      <c r="AL347" s="106"/>
      <c r="AM347" s="106"/>
      <c r="AN347" s="106"/>
      <c r="AO347" s="106"/>
      <c r="AP347" s="106"/>
      <c r="AQ347" s="106"/>
      <c r="AR347" s="106"/>
      <c r="AS347" s="106"/>
      <c r="AT347" s="106"/>
      <c r="AU347" s="106"/>
      <c r="AV347" s="106"/>
      <c r="AW347" s="106"/>
      <c r="AX347" s="106"/>
      <c r="AY347" s="106"/>
      <c r="AZ347" s="106"/>
      <c r="BA347" s="106"/>
      <c r="BB347" s="106"/>
      <c r="BC347" s="106"/>
      <c r="BD347" s="106"/>
      <c r="BE347" s="106"/>
      <c r="BF347" s="106"/>
      <c r="BG347" s="106"/>
      <c r="BH347" s="106"/>
      <c r="BI347" s="106"/>
      <c r="BJ347" s="106"/>
      <c r="BK347" s="106"/>
      <c r="BL347" s="106"/>
      <c r="BM347" s="106"/>
      <c r="BN347" s="106"/>
      <c r="BO347" s="106"/>
      <c r="BP347" s="106"/>
      <c r="BQ347" s="106"/>
    </row>
    <row r="348" spans="3:69">
      <c r="I348" s="108" t="s">
        <v>1258</v>
      </c>
      <c r="J348" s="108" t="s">
        <v>1259</v>
      </c>
      <c r="K348" s="109" t="s">
        <v>1682</v>
      </c>
      <c r="L348" s="109"/>
      <c r="M348" s="109"/>
      <c r="N348" s="109"/>
      <c r="O348" s="109"/>
      <c r="P348" s="109"/>
      <c r="Q348" s="109"/>
      <c r="R348" s="109"/>
      <c r="S348" s="109"/>
      <c r="T348" s="109"/>
      <c r="U348" s="110"/>
      <c r="V348" s="110"/>
      <c r="W348" s="109"/>
      <c r="X348" s="109"/>
      <c r="Y348" s="109"/>
      <c r="Z348" s="109"/>
      <c r="AA348" s="109"/>
      <c r="AB348" s="109"/>
      <c r="AC348" s="109"/>
      <c r="AD348" s="109"/>
      <c r="AE348" s="109"/>
      <c r="AF348" s="109"/>
      <c r="AG348" s="109"/>
      <c r="AH348" s="109"/>
      <c r="AI348" s="109"/>
      <c r="AJ348" s="109"/>
      <c r="AK348" s="109"/>
      <c r="AL348" s="109"/>
      <c r="AM348" s="109"/>
      <c r="AN348" s="109"/>
      <c r="AO348" s="109"/>
      <c r="AP348" s="109"/>
      <c r="AQ348" s="109"/>
      <c r="AR348" s="109"/>
      <c r="AS348" s="109"/>
      <c r="AT348" s="109"/>
      <c r="AU348" s="109"/>
      <c r="AV348" s="109"/>
      <c r="AW348" s="109"/>
      <c r="AX348" s="109"/>
      <c r="AY348" s="109"/>
      <c r="AZ348" s="109"/>
      <c r="BA348" s="109"/>
      <c r="BB348" s="109"/>
      <c r="BC348" s="109"/>
      <c r="BD348" s="109"/>
      <c r="BE348" s="109"/>
      <c r="BF348" s="109"/>
      <c r="BG348" s="109"/>
      <c r="BH348" s="109"/>
      <c r="BI348" s="109"/>
      <c r="BJ348" s="109"/>
      <c r="BK348" s="109"/>
      <c r="BL348" s="109"/>
      <c r="BM348" s="109"/>
      <c r="BN348" s="109"/>
      <c r="BO348" s="109"/>
      <c r="BP348" s="109"/>
      <c r="BQ348" s="109"/>
    </row>
    <row r="349" spans="3:69">
      <c r="I349" s="220" t="s">
        <v>48</v>
      </c>
      <c r="J349" s="220" t="s">
        <v>1319</v>
      </c>
      <c r="K349" s="100">
        <v>60</v>
      </c>
      <c r="L349" s="100">
        <v>25</v>
      </c>
      <c r="M349" s="100">
        <v>13</v>
      </c>
      <c r="N349" s="101"/>
      <c r="O349" s="101"/>
      <c r="P349" s="101"/>
      <c r="Q349" s="101"/>
      <c r="R349" s="101"/>
      <c r="S349" s="101"/>
      <c r="T349" s="111" t="s">
        <v>205</v>
      </c>
      <c r="U349" s="99" t="s">
        <v>420</v>
      </c>
      <c r="V349" s="99">
        <v>10</v>
      </c>
      <c r="W349" s="101"/>
      <c r="X349" s="101"/>
      <c r="Y349" s="100" t="s">
        <v>237</v>
      </c>
      <c r="Z349" s="101"/>
      <c r="AA349" s="101"/>
      <c r="AB349" s="100" t="s">
        <v>237</v>
      </c>
      <c r="AC349" s="101"/>
      <c r="AD349" s="101"/>
      <c r="AE349" s="100" t="s">
        <v>237</v>
      </c>
      <c r="AF349" s="101"/>
      <c r="AG349" s="101"/>
      <c r="AH349" s="101"/>
      <c r="AI349" s="101"/>
      <c r="AJ349" s="101"/>
      <c r="AK349" s="101"/>
      <c r="AL349" s="101"/>
      <c r="AM349" s="101"/>
      <c r="AN349" s="100" t="s">
        <v>49</v>
      </c>
      <c r="AO349" s="100" t="s">
        <v>49</v>
      </c>
      <c r="AP349" s="101"/>
      <c r="AQ349" s="101"/>
      <c r="AR349" s="101"/>
      <c r="AS349" s="101"/>
      <c r="AT349" s="101"/>
      <c r="AU349" s="101"/>
      <c r="AV349" s="101"/>
      <c r="AW349" s="101"/>
      <c r="AX349" s="101"/>
      <c r="AY349" s="101"/>
      <c r="AZ349" s="101"/>
      <c r="BA349" s="101"/>
      <c r="BB349" s="101"/>
      <c r="BC349" s="101"/>
      <c r="BD349" s="101"/>
      <c r="BE349" s="101"/>
      <c r="BF349" s="101"/>
      <c r="BG349" s="101"/>
      <c r="BH349" s="101"/>
      <c r="BI349" s="101"/>
      <c r="BJ349" s="101"/>
      <c r="BK349" s="101"/>
      <c r="BL349" s="101"/>
      <c r="BM349" s="101"/>
      <c r="BN349" s="101"/>
      <c r="BO349" s="101"/>
      <c r="BP349" s="101"/>
      <c r="BQ349" s="101"/>
    </row>
    <row r="350" spans="3:69">
      <c r="I350" s="220" t="s">
        <v>901</v>
      </c>
      <c r="J350" s="220" t="s">
        <v>1261</v>
      </c>
      <c r="K350" s="221">
        <f t="shared" ref="K350:M351" si="175">K349</f>
        <v>60</v>
      </c>
      <c r="L350" s="221">
        <f t="shared" si="175"/>
        <v>25</v>
      </c>
      <c r="M350" s="221">
        <f t="shared" si="175"/>
        <v>13</v>
      </c>
      <c r="N350" s="101"/>
      <c r="O350" s="101"/>
      <c r="P350" s="101"/>
      <c r="Q350" s="101"/>
      <c r="R350" s="101"/>
      <c r="S350" s="101"/>
      <c r="T350" s="111" t="s">
        <v>243</v>
      </c>
      <c r="U350" s="99">
        <v>2</v>
      </c>
      <c r="V350" s="99">
        <v>2</v>
      </c>
      <c r="W350" s="101"/>
      <c r="X350" s="101"/>
      <c r="Y350" s="100" t="s">
        <v>235</v>
      </c>
      <c r="Z350" s="101"/>
      <c r="AA350" s="101"/>
      <c r="AB350" s="100" t="s">
        <v>411</v>
      </c>
      <c r="AC350" s="101"/>
      <c r="AD350" s="101"/>
      <c r="AE350" s="100" t="s">
        <v>411</v>
      </c>
      <c r="AF350" s="101"/>
      <c r="AG350" s="101"/>
      <c r="AH350" s="101"/>
      <c r="AI350" s="101"/>
      <c r="AJ350" s="101"/>
      <c r="AK350" s="101"/>
      <c r="AL350" s="101"/>
      <c r="AM350" s="101"/>
      <c r="AN350" s="100" t="s">
        <v>49</v>
      </c>
      <c r="AO350" s="100" t="s">
        <v>49</v>
      </c>
      <c r="AP350" s="101"/>
      <c r="AQ350" s="101"/>
      <c r="AR350" s="101"/>
      <c r="AS350" s="101"/>
      <c r="AT350" s="101"/>
      <c r="AU350" s="101"/>
      <c r="AV350" s="101"/>
      <c r="AW350" s="101"/>
      <c r="AX350" s="101"/>
      <c r="AY350" s="101"/>
      <c r="AZ350" s="101"/>
      <c r="BA350" s="101"/>
      <c r="BB350" s="101"/>
      <c r="BC350" s="101"/>
      <c r="BD350" s="101"/>
      <c r="BE350" s="101"/>
      <c r="BF350" s="101"/>
      <c r="BG350" s="101"/>
      <c r="BH350" s="101"/>
      <c r="BI350" s="101"/>
      <c r="BJ350" s="101"/>
      <c r="BK350" s="101"/>
      <c r="BL350" s="101"/>
      <c r="BM350" s="101"/>
      <c r="BN350" s="101"/>
      <c r="BO350" s="101"/>
      <c r="BP350" s="101"/>
      <c r="BQ350" s="101"/>
    </row>
    <row r="351" spans="3:69">
      <c r="I351" s="220" t="s">
        <v>901</v>
      </c>
      <c r="J351" s="220" t="s">
        <v>1262</v>
      </c>
      <c r="K351" s="221">
        <f t="shared" si="175"/>
        <v>60</v>
      </c>
      <c r="L351" s="221">
        <f t="shared" si="175"/>
        <v>25</v>
      </c>
      <c r="M351" s="221">
        <f t="shared" si="175"/>
        <v>13</v>
      </c>
      <c r="N351" s="101"/>
      <c r="O351" s="101"/>
      <c r="P351" s="101"/>
      <c r="Q351" s="101"/>
      <c r="R351" s="101"/>
      <c r="S351" s="101"/>
      <c r="T351" s="111" t="s">
        <v>243</v>
      </c>
      <c r="U351" s="99">
        <v>1</v>
      </c>
      <c r="V351" s="99">
        <v>2</v>
      </c>
      <c r="W351" s="101"/>
      <c r="X351" s="101"/>
      <c r="Y351" s="100" t="s">
        <v>1409</v>
      </c>
      <c r="Z351" s="101"/>
      <c r="AA351" s="101"/>
      <c r="AB351" s="100" t="s">
        <v>1409</v>
      </c>
      <c r="AC351" s="101"/>
      <c r="AD351" s="101"/>
      <c r="AE351" s="100" t="s">
        <v>1409</v>
      </c>
      <c r="AF351" s="101"/>
      <c r="AG351" s="101"/>
      <c r="AH351" s="101"/>
      <c r="AI351" s="101"/>
      <c r="AJ351" s="101"/>
      <c r="AK351" s="101"/>
      <c r="AL351" s="101"/>
      <c r="AM351" s="101"/>
      <c r="AN351" s="100" t="s">
        <v>49</v>
      </c>
      <c r="AO351" s="100" t="s">
        <v>49</v>
      </c>
      <c r="AP351" s="101"/>
      <c r="AQ351" s="101"/>
      <c r="AR351" s="101"/>
      <c r="AS351" s="101"/>
      <c r="AT351" s="101"/>
      <c r="AU351" s="101"/>
      <c r="AV351" s="101"/>
      <c r="AW351" s="101"/>
      <c r="AX351" s="101"/>
      <c r="AY351" s="101"/>
      <c r="AZ351" s="101"/>
      <c r="BA351" s="101"/>
      <c r="BB351" s="101"/>
      <c r="BC351" s="101"/>
      <c r="BD351" s="101"/>
      <c r="BE351" s="101"/>
      <c r="BF351" s="101"/>
      <c r="BG351" s="101"/>
      <c r="BH351" s="101"/>
      <c r="BI351" s="101"/>
      <c r="BJ351" s="101"/>
      <c r="BK351" s="101"/>
      <c r="BL351" s="101"/>
      <c r="BM351" s="101"/>
      <c r="BN351" s="101"/>
      <c r="BO351" s="101"/>
      <c r="BP351" s="101"/>
      <c r="BQ351" s="101"/>
    </row>
    <row r="352" spans="3:69">
      <c r="C352" s="4"/>
      <c r="I352" s="255">
        <f>COUNTIF(I353:I356,"&lt;&gt;TS")</f>
        <v>3</v>
      </c>
      <c r="J352" s="106" t="s">
        <v>567</v>
      </c>
      <c r="K352" s="106" t="s">
        <v>1770</v>
      </c>
      <c r="L352" s="106"/>
      <c r="M352" s="106"/>
      <c r="N352" s="106"/>
      <c r="O352" s="106"/>
      <c r="P352" s="106"/>
      <c r="Q352" s="106"/>
      <c r="R352" s="106"/>
      <c r="S352" s="106"/>
      <c r="T352" s="106"/>
      <c r="U352" s="107"/>
      <c r="V352" s="107"/>
      <c r="W352" s="106"/>
      <c r="X352" s="106"/>
      <c r="Y352" s="106"/>
      <c r="Z352" s="106"/>
      <c r="AA352" s="106"/>
      <c r="AB352" s="106"/>
      <c r="AC352" s="106"/>
      <c r="AD352" s="106"/>
      <c r="AE352" s="106"/>
      <c r="AF352" s="106"/>
      <c r="AG352" s="106"/>
      <c r="AH352" s="106"/>
      <c r="AI352" s="106"/>
      <c r="AJ352" s="106"/>
      <c r="AK352" s="106"/>
      <c r="AL352" s="106"/>
      <c r="AM352" s="106"/>
      <c r="AN352" s="106"/>
      <c r="AO352" s="106"/>
      <c r="AP352" s="106"/>
      <c r="AQ352" s="106"/>
      <c r="AR352" s="106"/>
      <c r="AS352" s="106"/>
      <c r="AT352" s="106"/>
      <c r="AU352" s="106"/>
      <c r="AV352" s="106"/>
      <c r="AW352" s="106"/>
      <c r="AX352" s="106"/>
      <c r="AY352" s="106"/>
      <c r="AZ352" s="106"/>
      <c r="BA352" s="106"/>
      <c r="BB352" s="106"/>
      <c r="BC352" s="106"/>
      <c r="BD352" s="106"/>
      <c r="BE352" s="106"/>
      <c r="BF352" s="106"/>
      <c r="BG352" s="106"/>
      <c r="BH352" s="106"/>
      <c r="BI352" s="106"/>
      <c r="BJ352" s="106"/>
      <c r="BK352" s="106"/>
      <c r="BL352" s="106"/>
      <c r="BM352" s="106"/>
      <c r="BN352" s="106"/>
      <c r="BO352" s="106"/>
      <c r="BP352" s="106"/>
      <c r="BQ352" s="106"/>
    </row>
    <row r="353" spans="3:69" ht="13.5">
      <c r="I353" s="108" t="s">
        <v>1258</v>
      </c>
      <c r="J353" s="108" t="s">
        <v>1263</v>
      </c>
      <c r="K353" s="109" t="s">
        <v>1771</v>
      </c>
      <c r="L353" s="109"/>
      <c r="M353" s="109"/>
      <c r="N353" s="109"/>
      <c r="O353" s="109"/>
      <c r="P353" s="109"/>
      <c r="Q353" s="109"/>
      <c r="R353" s="109"/>
      <c r="S353" s="109"/>
      <c r="T353" s="109"/>
      <c r="U353" s="110"/>
      <c r="V353" s="110"/>
      <c r="W353" s="109"/>
      <c r="X353" s="109"/>
      <c r="Y353" s="109"/>
      <c r="Z353" s="109"/>
      <c r="AA353" s="109"/>
      <c r="AB353" s="109"/>
      <c r="AC353" s="109"/>
      <c r="AD353" s="109"/>
      <c r="AE353" s="109"/>
      <c r="AF353" s="109"/>
      <c r="AG353" s="109"/>
      <c r="AH353" s="109"/>
      <c r="AI353" s="109"/>
      <c r="AJ353" s="109"/>
      <c r="AK353" s="109"/>
      <c r="AL353" s="109"/>
      <c r="AM353" s="109"/>
      <c r="AN353" s="109"/>
      <c r="AO353" s="109"/>
      <c r="AP353" s="109"/>
      <c r="AQ353" s="109"/>
      <c r="AR353" s="109"/>
      <c r="AS353" s="109"/>
      <c r="AT353" s="109"/>
      <c r="AU353" s="109"/>
      <c r="AV353" s="109"/>
      <c r="AW353" s="109"/>
      <c r="AX353" s="109"/>
      <c r="AY353" s="109"/>
      <c r="AZ353" s="109"/>
      <c r="BA353" s="109"/>
      <c r="BB353" s="109"/>
      <c r="BC353" s="109"/>
      <c r="BD353" s="109"/>
      <c r="BE353" s="109"/>
      <c r="BF353" s="109"/>
      <c r="BG353" s="109"/>
      <c r="BH353" s="109"/>
      <c r="BI353" s="109"/>
      <c r="BJ353" s="109"/>
      <c r="BK353" s="109"/>
      <c r="BL353" s="109"/>
      <c r="BM353" s="109"/>
      <c r="BN353" s="109"/>
      <c r="BO353" s="109"/>
      <c r="BP353" s="109"/>
      <c r="BQ353" s="109"/>
    </row>
    <row r="354" spans="3:69" ht="13.5">
      <c r="I354" s="220" t="s">
        <v>48</v>
      </c>
      <c r="J354" s="220" t="s">
        <v>1264</v>
      </c>
      <c r="K354" s="100">
        <v>60</v>
      </c>
      <c r="L354" s="100">
        <v>60</v>
      </c>
      <c r="M354" s="100">
        <v>13</v>
      </c>
      <c r="N354" s="101"/>
      <c r="O354" s="101"/>
      <c r="P354" s="101"/>
      <c r="Q354" s="101"/>
      <c r="R354" s="101"/>
      <c r="S354" s="101"/>
      <c r="T354" s="94" t="s">
        <v>209</v>
      </c>
      <c r="U354" s="100" t="s">
        <v>1648</v>
      </c>
      <c r="V354" s="99">
        <v>10</v>
      </c>
      <c r="W354" s="101"/>
      <c r="X354" s="101"/>
      <c r="Y354" s="100" t="s">
        <v>1409</v>
      </c>
      <c r="Z354" s="101"/>
      <c r="AA354" s="101"/>
      <c r="AB354" s="100" t="s">
        <v>1409</v>
      </c>
      <c r="AC354" s="101"/>
      <c r="AD354" s="101"/>
      <c r="AE354" s="101"/>
      <c r="AF354" s="101"/>
      <c r="AG354" s="101"/>
      <c r="AH354" s="101"/>
      <c r="AI354" s="101"/>
      <c r="AJ354" s="101"/>
      <c r="AK354" s="101"/>
      <c r="AL354" s="101"/>
      <c r="AM354" s="101"/>
      <c r="AN354" s="100" t="s">
        <v>49</v>
      </c>
      <c r="AO354" s="100" t="s">
        <v>49</v>
      </c>
      <c r="AP354" s="101"/>
      <c r="AQ354" s="101"/>
      <c r="AR354" s="101"/>
      <c r="AS354" s="101"/>
      <c r="AT354" s="101"/>
      <c r="AU354" s="101"/>
      <c r="AV354" s="101"/>
      <c r="AW354" s="101"/>
      <c r="AX354" s="101"/>
      <c r="AY354" s="101"/>
      <c r="AZ354" s="101"/>
      <c r="BA354" s="101"/>
      <c r="BB354" s="101"/>
      <c r="BC354" s="101"/>
      <c r="BD354" s="101"/>
      <c r="BE354" s="101"/>
      <c r="BF354" s="101"/>
      <c r="BG354" s="101"/>
      <c r="BH354" s="101"/>
      <c r="BI354" s="101"/>
      <c r="BJ354" s="101"/>
      <c r="BK354" s="101"/>
      <c r="BL354" s="101"/>
      <c r="BM354" s="101"/>
      <c r="BN354" s="101"/>
      <c r="BO354" s="101"/>
      <c r="BP354" s="101"/>
      <c r="BQ354" s="101"/>
    </row>
    <row r="355" spans="3:69">
      <c r="I355" s="220" t="s">
        <v>901</v>
      </c>
      <c r="J355" s="220" t="s">
        <v>1265</v>
      </c>
      <c r="K355" s="221">
        <f t="shared" ref="K355:M356" si="176">K354</f>
        <v>60</v>
      </c>
      <c r="L355" s="221">
        <f t="shared" si="176"/>
        <v>60</v>
      </c>
      <c r="M355" s="221">
        <f t="shared" si="176"/>
        <v>13</v>
      </c>
      <c r="N355" s="101"/>
      <c r="O355" s="101"/>
      <c r="P355" s="101"/>
      <c r="Q355" s="101"/>
      <c r="R355" s="101"/>
      <c r="S355" s="101"/>
      <c r="T355" s="111" t="s">
        <v>243</v>
      </c>
      <c r="U355" s="99">
        <v>1</v>
      </c>
      <c r="V355" s="99">
        <v>2</v>
      </c>
      <c r="W355" s="101"/>
      <c r="X355" s="101"/>
      <c r="Y355" s="100" t="s">
        <v>237</v>
      </c>
      <c r="Z355" s="101"/>
      <c r="AA355" s="101"/>
      <c r="AB355" s="100" t="s">
        <v>1634</v>
      </c>
      <c r="AC355" s="101"/>
      <c r="AD355" s="101"/>
      <c r="AE355" s="101"/>
      <c r="AF355" s="101"/>
      <c r="AG355" s="101"/>
      <c r="AH355" s="101"/>
      <c r="AI355" s="101"/>
      <c r="AJ355" s="101"/>
      <c r="AK355" s="101"/>
      <c r="AL355" s="101"/>
      <c r="AM355" s="101"/>
      <c r="AN355" s="100" t="s">
        <v>49</v>
      </c>
      <c r="AO355" s="100" t="s">
        <v>49</v>
      </c>
      <c r="AP355" s="101"/>
      <c r="AQ355" s="101"/>
      <c r="AR355" s="101"/>
      <c r="AS355" s="101"/>
      <c r="AT355" s="101"/>
      <c r="AU355" s="101"/>
      <c r="AV355" s="101"/>
      <c r="AW355" s="101"/>
      <c r="AX355" s="101"/>
      <c r="AY355" s="101"/>
      <c r="AZ355" s="101"/>
      <c r="BA355" s="101"/>
      <c r="BB355" s="101"/>
      <c r="BC355" s="101"/>
      <c r="BD355" s="101"/>
      <c r="BE355" s="101"/>
      <c r="BF355" s="101"/>
      <c r="BG355" s="101"/>
      <c r="BH355" s="101"/>
      <c r="BI355" s="101"/>
      <c r="BJ355" s="101"/>
      <c r="BK355" s="101"/>
      <c r="BL355" s="101"/>
      <c r="BM355" s="101"/>
      <c r="BN355" s="101"/>
      <c r="BO355" s="101"/>
      <c r="BP355" s="101"/>
      <c r="BQ355" s="101"/>
    </row>
    <row r="356" spans="3:69">
      <c r="I356" s="220" t="s">
        <v>901</v>
      </c>
      <c r="J356" s="220" t="s">
        <v>1266</v>
      </c>
      <c r="K356" s="221">
        <f t="shared" si="176"/>
        <v>60</v>
      </c>
      <c r="L356" s="221">
        <f t="shared" si="176"/>
        <v>60</v>
      </c>
      <c r="M356" s="221">
        <f t="shared" si="176"/>
        <v>13</v>
      </c>
      <c r="N356" s="101"/>
      <c r="O356" s="101"/>
      <c r="P356" s="101"/>
      <c r="Q356" s="101"/>
      <c r="R356" s="101"/>
      <c r="S356" s="101"/>
      <c r="T356" s="111" t="s">
        <v>243</v>
      </c>
      <c r="U356" s="99">
        <v>4</v>
      </c>
      <c r="V356" s="99">
        <v>2</v>
      </c>
      <c r="W356" s="101"/>
      <c r="X356" s="101"/>
      <c r="Y356" s="100" t="s">
        <v>237</v>
      </c>
      <c r="Z356" s="101"/>
      <c r="AA356" s="101"/>
      <c r="AB356" s="100" t="s">
        <v>237</v>
      </c>
      <c r="AC356" s="101"/>
      <c r="AD356" s="101"/>
      <c r="AE356" s="101"/>
      <c r="AF356" s="101"/>
      <c r="AG356" s="101"/>
      <c r="AH356" s="101"/>
      <c r="AI356" s="101"/>
      <c r="AJ356" s="101"/>
      <c r="AK356" s="101"/>
      <c r="AL356" s="101"/>
      <c r="AM356" s="101"/>
      <c r="AN356" s="100" t="s">
        <v>49</v>
      </c>
      <c r="AO356" s="100" t="s">
        <v>49</v>
      </c>
      <c r="AP356" s="101"/>
      <c r="AQ356" s="101"/>
      <c r="AR356" s="101"/>
      <c r="AS356" s="101"/>
      <c r="AT356" s="101"/>
      <c r="AU356" s="101"/>
      <c r="AV356" s="101"/>
      <c r="AW356" s="101"/>
      <c r="AX356" s="101"/>
      <c r="AY356" s="101"/>
      <c r="AZ356" s="101"/>
      <c r="BA356" s="101"/>
      <c r="BB356" s="101"/>
      <c r="BC356" s="101"/>
      <c r="BD356" s="101"/>
      <c r="BE356" s="101"/>
      <c r="BF356" s="101"/>
      <c r="BG356" s="101"/>
      <c r="BH356" s="101"/>
      <c r="BI356" s="101"/>
      <c r="BJ356" s="101"/>
      <c r="BK356" s="101"/>
      <c r="BL356" s="101"/>
      <c r="BM356" s="101"/>
      <c r="BN356" s="101"/>
      <c r="BO356" s="101"/>
      <c r="BP356" s="101"/>
      <c r="BQ356" s="101"/>
    </row>
    <row r="357" spans="3:69">
      <c r="C357" s="4"/>
      <c r="I357" s="255">
        <f>COUNTIF(I358:I360,"&lt;&gt;TS")</f>
        <v>2</v>
      </c>
      <c r="J357" s="106" t="s">
        <v>568</v>
      </c>
      <c r="K357" s="106" t="s">
        <v>1683</v>
      </c>
      <c r="L357" s="106"/>
      <c r="M357" s="106"/>
      <c r="N357" s="106"/>
      <c r="O357" s="106"/>
      <c r="P357" s="106"/>
      <c r="Q357" s="106"/>
      <c r="R357" s="106"/>
      <c r="S357" s="106"/>
      <c r="T357" s="106"/>
      <c r="U357" s="107"/>
      <c r="V357" s="107"/>
      <c r="W357" s="106"/>
      <c r="X357" s="106"/>
      <c r="Y357" s="106"/>
      <c r="Z357" s="106"/>
      <c r="AA357" s="106"/>
      <c r="AB357" s="106"/>
      <c r="AC357" s="106"/>
      <c r="AD357" s="106"/>
      <c r="AE357" s="106"/>
      <c r="AF357" s="106"/>
      <c r="AG357" s="106"/>
      <c r="AH357" s="106"/>
      <c r="AI357" s="106"/>
      <c r="AJ357" s="106"/>
      <c r="AK357" s="106"/>
      <c r="AL357" s="106"/>
      <c r="AM357" s="106"/>
      <c r="AN357" s="106"/>
      <c r="AO357" s="106"/>
      <c r="AP357" s="106"/>
      <c r="AQ357" s="106"/>
      <c r="AR357" s="106"/>
      <c r="AS357" s="106"/>
      <c r="AT357" s="106"/>
      <c r="AU357" s="106"/>
      <c r="AV357" s="106"/>
      <c r="AW357" s="106"/>
      <c r="AX357" s="106"/>
      <c r="AY357" s="106"/>
      <c r="AZ357" s="106"/>
      <c r="BA357" s="106"/>
      <c r="BB357" s="106"/>
      <c r="BC357" s="106"/>
      <c r="BD357" s="106"/>
      <c r="BE357" s="106"/>
      <c r="BF357" s="106"/>
      <c r="BG357" s="106"/>
      <c r="BH357" s="106"/>
      <c r="BI357" s="106"/>
      <c r="BJ357" s="106"/>
      <c r="BK357" s="106"/>
      <c r="BL357" s="106"/>
      <c r="BM357" s="106"/>
      <c r="BN357" s="106"/>
      <c r="BO357" s="106"/>
      <c r="BP357" s="106"/>
      <c r="BQ357" s="106"/>
    </row>
    <row r="358" spans="3:69">
      <c r="I358" s="108" t="s">
        <v>1258</v>
      </c>
      <c r="J358" s="108" t="s">
        <v>1267</v>
      </c>
      <c r="K358" s="109" t="s">
        <v>1684</v>
      </c>
      <c r="L358" s="109"/>
      <c r="M358" s="109"/>
      <c r="N358" s="109"/>
      <c r="O358" s="109"/>
      <c r="P358" s="109"/>
      <c r="Q358" s="109"/>
      <c r="R358" s="109"/>
      <c r="S358" s="109"/>
      <c r="T358" s="109"/>
      <c r="U358" s="110"/>
      <c r="V358" s="110"/>
      <c r="W358" s="109"/>
      <c r="X358" s="109"/>
      <c r="Y358" s="109"/>
      <c r="Z358" s="109"/>
      <c r="AA358" s="109"/>
      <c r="AB358" s="109"/>
      <c r="AC358" s="109"/>
      <c r="AD358" s="109"/>
      <c r="AE358" s="109"/>
      <c r="AF358" s="109"/>
      <c r="AG358" s="109"/>
      <c r="AH358" s="109"/>
      <c r="AI358" s="109"/>
      <c r="AJ358" s="109"/>
      <c r="AK358" s="109"/>
      <c r="AL358" s="109"/>
      <c r="AM358" s="109"/>
      <c r="AN358" s="109"/>
      <c r="AO358" s="109"/>
      <c r="AP358" s="109"/>
      <c r="AQ358" s="109"/>
      <c r="AR358" s="109"/>
      <c r="AS358" s="109"/>
      <c r="AT358" s="109"/>
      <c r="AU358" s="109"/>
      <c r="AV358" s="109"/>
      <c r="AW358" s="109"/>
      <c r="AX358" s="109"/>
      <c r="AY358" s="109"/>
      <c r="AZ358" s="109"/>
      <c r="BA358" s="109"/>
      <c r="BB358" s="109"/>
      <c r="BC358" s="109"/>
      <c r="BD358" s="109"/>
      <c r="BE358" s="109"/>
      <c r="BF358" s="109"/>
      <c r="BG358" s="109"/>
      <c r="BH358" s="109"/>
      <c r="BI358" s="109"/>
      <c r="BJ358" s="109"/>
      <c r="BK358" s="109"/>
      <c r="BL358" s="109"/>
      <c r="BM358" s="109"/>
      <c r="BN358" s="109"/>
      <c r="BO358" s="109"/>
      <c r="BP358" s="109"/>
      <c r="BQ358" s="109"/>
    </row>
    <row r="359" spans="3:69">
      <c r="I359" s="220" t="s">
        <v>48</v>
      </c>
      <c r="J359" s="220" t="s">
        <v>1268</v>
      </c>
      <c r="K359" s="100">
        <v>10</v>
      </c>
      <c r="L359" s="100">
        <v>10</v>
      </c>
      <c r="M359" s="100">
        <v>13</v>
      </c>
      <c r="N359" s="101"/>
      <c r="O359" s="101"/>
      <c r="P359" s="101"/>
      <c r="Q359" s="101"/>
      <c r="R359" s="101"/>
      <c r="S359" s="101"/>
      <c r="T359" s="94" t="s">
        <v>209</v>
      </c>
      <c r="U359" s="100" t="e">
        <f>IF(FLAG_Country&lt;&gt;"USA","설정 온도 22 degC, AUTO ON (SYNC ON) 선택 상태 + AC=On 수동 설정","설정 온도 72 degF, AUTO ON (SYNC ON) 선택 상태 + AC=On 수동 설정")</f>
        <v>#NAME?</v>
      </c>
      <c r="V359" s="99">
        <v>10</v>
      </c>
      <c r="W359" s="101"/>
      <c r="X359" s="101"/>
      <c r="Y359" s="100" t="s">
        <v>235</v>
      </c>
      <c r="Z359" s="101"/>
      <c r="AA359" s="101"/>
      <c r="AB359" s="100" t="s">
        <v>235</v>
      </c>
      <c r="AC359" s="101"/>
      <c r="AD359" s="101"/>
      <c r="AE359" s="100" t="s">
        <v>235</v>
      </c>
      <c r="AF359" s="101"/>
      <c r="AG359" s="101"/>
      <c r="AH359" s="101"/>
      <c r="AI359" s="101"/>
      <c r="AJ359" s="101"/>
      <c r="AK359" s="101"/>
      <c r="AL359" s="101"/>
      <c r="AM359" s="101"/>
      <c r="AN359" s="100" t="s">
        <v>49</v>
      </c>
      <c r="AO359" s="100" t="s">
        <v>49</v>
      </c>
      <c r="AP359" s="100" t="s">
        <v>49</v>
      </c>
      <c r="AQ359" s="101"/>
      <c r="AR359" s="101"/>
      <c r="AS359" s="101"/>
      <c r="AT359" s="101"/>
      <c r="AU359" s="101"/>
      <c r="AV359" s="101"/>
      <c r="AW359" s="101"/>
      <c r="AX359" s="101"/>
      <c r="AY359" s="101"/>
      <c r="AZ359" s="101"/>
      <c r="BA359" s="101"/>
      <c r="BB359" s="101"/>
      <c r="BC359" s="101"/>
      <c r="BD359" s="101"/>
      <c r="BE359" s="101"/>
      <c r="BF359" s="101"/>
      <c r="BG359" s="101"/>
      <c r="BH359" s="101"/>
      <c r="BI359" s="101"/>
      <c r="BJ359" s="101"/>
      <c r="BK359" s="101"/>
      <c r="BL359" s="101"/>
      <c r="BM359" s="101"/>
      <c r="BN359" s="101"/>
      <c r="BO359" s="101"/>
      <c r="BP359" s="101"/>
      <c r="BQ359" s="101"/>
    </row>
    <row r="360" spans="3:69">
      <c r="I360" s="220" t="s">
        <v>901</v>
      </c>
      <c r="J360" s="220" t="s">
        <v>1269</v>
      </c>
      <c r="K360" s="221">
        <f t="shared" ref="K360:M360" si="177">K359</f>
        <v>10</v>
      </c>
      <c r="L360" s="221">
        <f t="shared" si="177"/>
        <v>10</v>
      </c>
      <c r="M360" s="221">
        <f t="shared" si="177"/>
        <v>13</v>
      </c>
      <c r="N360" s="101"/>
      <c r="O360" s="101"/>
      <c r="P360" s="101"/>
      <c r="Q360" s="101"/>
      <c r="R360" s="101"/>
      <c r="S360" s="101"/>
      <c r="T360" s="111" t="s">
        <v>247</v>
      </c>
      <c r="U360" s="99">
        <v>1</v>
      </c>
      <c r="V360" s="99">
        <v>90</v>
      </c>
      <c r="W360" s="101"/>
      <c r="X360" s="101"/>
      <c r="Y360" s="100" t="s">
        <v>235</v>
      </c>
      <c r="Z360" s="101"/>
      <c r="AA360" s="101"/>
      <c r="AB360" s="100" t="s">
        <v>411</v>
      </c>
      <c r="AC360" s="101"/>
      <c r="AD360" s="101"/>
      <c r="AE360" s="100" t="s">
        <v>411</v>
      </c>
      <c r="AF360" s="101"/>
      <c r="AG360" s="101"/>
      <c r="AH360" s="101"/>
      <c r="AI360" s="101"/>
      <c r="AJ360" s="101"/>
      <c r="AK360" s="101"/>
      <c r="AL360" s="101"/>
      <c r="AM360" s="101"/>
      <c r="AN360" s="100" t="s">
        <v>89</v>
      </c>
      <c r="AO360" s="100" t="s">
        <v>89</v>
      </c>
      <c r="AP360" s="100" t="s">
        <v>89</v>
      </c>
      <c r="AQ360" s="101"/>
      <c r="AR360" s="101"/>
      <c r="AS360" s="101"/>
      <c r="AT360" s="101"/>
      <c r="AU360" s="101"/>
      <c r="AV360" s="101"/>
      <c r="AW360" s="101"/>
      <c r="AX360" s="101"/>
      <c r="AY360" s="101"/>
      <c r="AZ360" s="101"/>
      <c r="BA360" s="101"/>
      <c r="BB360" s="101"/>
      <c r="BC360" s="101"/>
      <c r="BD360" s="101"/>
      <c r="BE360" s="101"/>
      <c r="BF360" s="101"/>
      <c r="BG360" s="101"/>
      <c r="BH360" s="101"/>
      <c r="BI360" s="101"/>
      <c r="BJ360" s="101"/>
      <c r="BK360" s="101"/>
      <c r="BL360" s="101"/>
      <c r="BM360" s="101"/>
      <c r="BN360" s="101"/>
      <c r="BO360" s="101"/>
      <c r="BP360" s="101"/>
      <c r="BQ360" s="101"/>
    </row>
    <row r="361" spans="3:69">
      <c r="C361" s="4"/>
      <c r="I361" s="255">
        <f>COUNTIF(I362:I365,"&lt;&gt;TS")</f>
        <v>3</v>
      </c>
      <c r="J361" s="106" t="s">
        <v>569</v>
      </c>
      <c r="K361" s="106" t="s">
        <v>1685</v>
      </c>
      <c r="L361" s="106"/>
      <c r="M361" s="106"/>
      <c r="N361" s="106"/>
      <c r="O361" s="106"/>
      <c r="P361" s="106"/>
      <c r="Q361" s="106"/>
      <c r="R361" s="106"/>
      <c r="S361" s="106"/>
      <c r="T361" s="106"/>
      <c r="U361" s="107"/>
      <c r="V361" s="107"/>
      <c r="W361" s="106"/>
      <c r="X361" s="106"/>
      <c r="Y361" s="106"/>
      <c r="Z361" s="106"/>
      <c r="AA361" s="106"/>
      <c r="AB361" s="106"/>
      <c r="AC361" s="106"/>
      <c r="AD361" s="106"/>
      <c r="AE361" s="106"/>
      <c r="AF361" s="106"/>
      <c r="AG361" s="106"/>
      <c r="AH361" s="106"/>
      <c r="AI361" s="106"/>
      <c r="AJ361" s="106"/>
      <c r="AK361" s="106"/>
      <c r="AL361" s="106"/>
      <c r="AM361" s="106"/>
      <c r="AN361" s="106"/>
      <c r="AO361" s="106"/>
      <c r="AP361" s="106"/>
      <c r="AQ361" s="106"/>
      <c r="AR361" s="106"/>
      <c r="AS361" s="106"/>
      <c r="AT361" s="106"/>
      <c r="AU361" s="106"/>
      <c r="AV361" s="106"/>
      <c r="AW361" s="106"/>
      <c r="AX361" s="106"/>
      <c r="AY361" s="106"/>
      <c r="AZ361" s="106"/>
      <c r="BA361" s="106"/>
      <c r="BB361" s="106"/>
      <c r="BC361" s="106"/>
      <c r="BD361" s="106"/>
      <c r="BE361" s="106"/>
      <c r="BF361" s="106"/>
      <c r="BG361" s="106"/>
      <c r="BH361" s="106"/>
      <c r="BI361" s="106"/>
      <c r="BJ361" s="106"/>
      <c r="BK361" s="106"/>
      <c r="BL361" s="106"/>
      <c r="BM361" s="106"/>
      <c r="BN361" s="106"/>
      <c r="BO361" s="106"/>
      <c r="BP361" s="106"/>
      <c r="BQ361" s="106"/>
    </row>
    <row r="362" spans="3:69">
      <c r="I362" s="108" t="s">
        <v>7</v>
      </c>
      <c r="J362" s="108" t="s">
        <v>1270</v>
      </c>
      <c r="K362" s="109" t="s">
        <v>1686</v>
      </c>
      <c r="L362" s="109"/>
      <c r="M362" s="109"/>
      <c r="N362" s="109"/>
      <c r="O362" s="109"/>
      <c r="P362" s="109"/>
      <c r="Q362" s="109"/>
      <c r="R362" s="109"/>
      <c r="S362" s="109"/>
      <c r="T362" s="109"/>
      <c r="U362" s="110"/>
      <c r="V362" s="110"/>
      <c r="W362" s="109"/>
      <c r="X362" s="109"/>
      <c r="Y362" s="109"/>
      <c r="Z362" s="109"/>
      <c r="AA362" s="109"/>
      <c r="AB362" s="109"/>
      <c r="AC362" s="109"/>
      <c r="AD362" s="109"/>
      <c r="AE362" s="109"/>
      <c r="AF362" s="109"/>
      <c r="AG362" s="109"/>
      <c r="AH362" s="109"/>
      <c r="AI362" s="109"/>
      <c r="AJ362" s="109"/>
      <c r="AK362" s="109"/>
      <c r="AL362" s="109"/>
      <c r="AM362" s="109"/>
      <c r="AN362" s="109"/>
      <c r="AO362" s="109"/>
      <c r="AP362" s="109"/>
      <c r="AQ362" s="109"/>
      <c r="AR362" s="109"/>
      <c r="AS362" s="109"/>
      <c r="AT362" s="109"/>
      <c r="AU362" s="109"/>
      <c r="AV362" s="109"/>
      <c r="AW362" s="109"/>
      <c r="AX362" s="109"/>
      <c r="AY362" s="109"/>
      <c r="AZ362" s="109"/>
      <c r="BA362" s="109"/>
      <c r="BB362" s="109"/>
      <c r="BC362" s="109"/>
      <c r="BD362" s="109"/>
      <c r="BE362" s="109"/>
      <c r="BF362" s="109"/>
      <c r="BG362" s="109"/>
      <c r="BH362" s="109"/>
      <c r="BI362" s="109"/>
      <c r="BJ362" s="109"/>
      <c r="BK362" s="109"/>
      <c r="BL362" s="109"/>
      <c r="BM362" s="109"/>
      <c r="BN362" s="109"/>
      <c r="BO362" s="109"/>
      <c r="BP362" s="109"/>
      <c r="BQ362" s="109"/>
    </row>
    <row r="363" spans="3:69">
      <c r="I363" s="220" t="s">
        <v>48</v>
      </c>
      <c r="J363" s="220" t="s">
        <v>1271</v>
      </c>
      <c r="K363" s="221">
        <f>K360</f>
        <v>10</v>
      </c>
      <c r="L363" s="221">
        <f t="shared" ref="L363:M363" si="178">L360</f>
        <v>10</v>
      </c>
      <c r="M363" s="221">
        <f t="shared" si="178"/>
        <v>13</v>
      </c>
      <c r="N363" s="101"/>
      <c r="O363" s="101"/>
      <c r="P363" s="101"/>
      <c r="Q363" s="101"/>
      <c r="R363" s="101"/>
      <c r="S363" s="101"/>
      <c r="T363" s="94" t="s">
        <v>209</v>
      </c>
      <c r="U363" s="100" t="e">
        <f>IF(FLAG_Country&lt;&gt;"USA","설정 온도 22 degC, AUTO ON (SYNC ON) 선택 상태 + blower=8단 수동 설정","설정 온도 72 degF, AUTO ON (SYNC ON) 선택 상태 + blower=8단 수동 설정")</f>
        <v>#NAME?</v>
      </c>
      <c r="V363" s="99">
        <v>10</v>
      </c>
      <c r="W363" s="101"/>
      <c r="X363" s="101"/>
      <c r="Y363" s="101"/>
      <c r="Z363" s="101"/>
      <c r="AA363" s="101"/>
      <c r="AB363" s="101"/>
      <c r="AC363" s="101"/>
      <c r="AD363" s="101"/>
      <c r="AE363" s="101"/>
      <c r="AF363" s="100">
        <v>8</v>
      </c>
      <c r="AG363" s="100">
        <v>8</v>
      </c>
      <c r="AH363" s="101"/>
      <c r="AI363" s="101"/>
      <c r="AJ363" s="101"/>
      <c r="AK363" s="101"/>
      <c r="AL363" s="101"/>
      <c r="AM363" s="101"/>
      <c r="AN363" s="101"/>
      <c r="AO363" s="101"/>
      <c r="AP363" s="101"/>
      <c r="AQ363" s="101"/>
      <c r="AR363" s="101"/>
      <c r="AS363" s="101"/>
      <c r="AT363" s="101"/>
      <c r="AU363" s="101"/>
      <c r="AV363" s="101"/>
      <c r="AW363" s="101"/>
      <c r="AX363" s="101"/>
      <c r="AY363" s="101"/>
      <c r="AZ363" s="101"/>
      <c r="BA363" s="101"/>
      <c r="BB363" s="101"/>
      <c r="BC363" s="101"/>
      <c r="BD363" s="101"/>
      <c r="BE363" s="101"/>
      <c r="BF363" s="101"/>
      <c r="BG363" s="101"/>
      <c r="BH363" s="101"/>
      <c r="BI363" s="101"/>
      <c r="BJ363" s="101"/>
      <c r="BK363" s="101"/>
      <c r="BL363" s="101"/>
      <c r="BM363" s="101"/>
      <c r="BN363" s="101"/>
      <c r="BO363" s="101"/>
      <c r="BP363" s="101"/>
      <c r="BQ363" s="101"/>
    </row>
    <row r="364" spans="3:69">
      <c r="I364" s="220" t="s">
        <v>901</v>
      </c>
      <c r="J364" s="220" t="s">
        <v>1272</v>
      </c>
      <c r="K364" s="221">
        <f t="shared" ref="K364:M365" si="179">K363</f>
        <v>10</v>
      </c>
      <c r="L364" s="221">
        <f t="shared" si="179"/>
        <v>10</v>
      </c>
      <c r="M364" s="221">
        <f t="shared" si="179"/>
        <v>13</v>
      </c>
      <c r="N364" s="101"/>
      <c r="O364" s="101"/>
      <c r="P364" s="101"/>
      <c r="Q364" s="101"/>
      <c r="R364" s="101"/>
      <c r="S364" s="101"/>
      <c r="T364" s="111" t="e">
        <f>VC_VRActivity</f>
        <v>#NAME?</v>
      </c>
      <c r="U364" s="99">
        <v>1</v>
      </c>
      <c r="V364" s="99">
        <v>10</v>
      </c>
      <c r="W364" s="101"/>
      <c r="X364" s="101"/>
      <c r="Y364" s="101"/>
      <c r="Z364" s="101"/>
      <c r="AA364" s="101"/>
      <c r="AB364" s="101"/>
      <c r="AC364" s="101"/>
      <c r="AD364" s="101"/>
      <c r="AE364" s="101"/>
      <c r="AF364" s="100">
        <v>4</v>
      </c>
      <c r="AG364" s="100">
        <v>4</v>
      </c>
      <c r="AH364" s="101"/>
      <c r="AI364" s="101"/>
      <c r="AJ364" s="101"/>
      <c r="AK364" s="101"/>
      <c r="AL364" s="101"/>
      <c r="AM364" s="101"/>
      <c r="AN364" s="101"/>
      <c r="AO364" s="101"/>
      <c r="AP364" s="101"/>
      <c r="AQ364" s="101"/>
      <c r="AR364" s="101"/>
      <c r="AS364" s="101"/>
      <c r="AT364" s="101"/>
      <c r="AU364" s="101"/>
      <c r="AV364" s="101"/>
      <c r="AW364" s="101"/>
      <c r="AX364" s="101"/>
      <c r="AY364" s="101"/>
      <c r="AZ364" s="101"/>
      <c r="BA364" s="101"/>
      <c r="BB364" s="101"/>
      <c r="BC364" s="101"/>
      <c r="BD364" s="101"/>
      <c r="BE364" s="101"/>
      <c r="BF364" s="101"/>
      <c r="BG364" s="101"/>
      <c r="BH364" s="101"/>
      <c r="BI364" s="101"/>
      <c r="BJ364" s="101"/>
      <c r="BK364" s="101"/>
      <c r="BL364" s="101"/>
      <c r="BM364" s="101"/>
      <c r="BN364" s="101"/>
      <c r="BO364" s="101"/>
      <c r="BP364" s="101"/>
      <c r="BQ364" s="101"/>
    </row>
    <row r="365" spans="3:69">
      <c r="I365" s="220" t="s">
        <v>901</v>
      </c>
      <c r="J365" s="220" t="s">
        <v>1273</v>
      </c>
      <c r="K365" s="221">
        <f t="shared" si="179"/>
        <v>10</v>
      </c>
      <c r="L365" s="221">
        <f t="shared" si="179"/>
        <v>10</v>
      </c>
      <c r="M365" s="221">
        <f t="shared" si="179"/>
        <v>13</v>
      </c>
      <c r="N365" s="101"/>
      <c r="O365" s="101"/>
      <c r="P365" s="101"/>
      <c r="Q365" s="101"/>
      <c r="R365" s="101"/>
      <c r="S365" s="101"/>
      <c r="T365" s="111" t="e">
        <f>VC_VRActivity</f>
        <v>#NAME?</v>
      </c>
      <c r="U365" s="99">
        <v>0</v>
      </c>
      <c r="V365" s="99">
        <v>10</v>
      </c>
      <c r="W365" s="101"/>
      <c r="X365" s="101"/>
      <c r="Y365" s="101"/>
      <c r="Z365" s="101"/>
      <c r="AA365" s="101"/>
      <c r="AB365" s="101"/>
      <c r="AC365" s="101"/>
      <c r="AD365" s="101"/>
      <c r="AE365" s="101"/>
      <c r="AF365" s="100">
        <v>8</v>
      </c>
      <c r="AG365" s="100">
        <v>8</v>
      </c>
      <c r="AH365" s="101"/>
      <c r="AI365" s="101"/>
      <c r="AJ365" s="101"/>
      <c r="AK365" s="101"/>
      <c r="AL365" s="101"/>
      <c r="AM365" s="101"/>
      <c r="AN365" s="101"/>
      <c r="AO365" s="101"/>
      <c r="AP365" s="101"/>
      <c r="AQ365" s="101"/>
      <c r="AR365" s="101"/>
      <c r="AS365" s="101"/>
      <c r="AT365" s="101"/>
      <c r="AU365" s="101"/>
      <c r="AV365" s="101"/>
      <c r="AW365" s="101"/>
      <c r="AX365" s="101"/>
      <c r="AY365" s="101"/>
      <c r="AZ365" s="101"/>
      <c r="BA365" s="101"/>
      <c r="BB365" s="101"/>
      <c r="BC365" s="101"/>
      <c r="BD365" s="101"/>
      <c r="BE365" s="101"/>
      <c r="BF365" s="101"/>
      <c r="BG365" s="101"/>
      <c r="BH365" s="101"/>
      <c r="BI365" s="101"/>
      <c r="BJ365" s="101"/>
      <c r="BK365" s="101"/>
      <c r="BL365" s="101"/>
      <c r="BM365" s="101"/>
      <c r="BN365" s="101"/>
      <c r="BO365" s="101"/>
      <c r="BP365" s="101"/>
      <c r="BQ365" s="101"/>
    </row>
    <row r="366" spans="3:69">
      <c r="C366" s="4"/>
      <c r="I366" s="255">
        <f>COUNTIF(I367:I370,"&lt;&gt;TS")</f>
        <v>3</v>
      </c>
      <c r="J366" s="106" t="s">
        <v>570</v>
      </c>
      <c r="K366" s="106" t="s">
        <v>1687</v>
      </c>
      <c r="L366" s="106"/>
      <c r="M366" s="106"/>
      <c r="N366" s="106"/>
      <c r="O366" s="106"/>
      <c r="P366" s="106"/>
      <c r="Q366" s="106"/>
      <c r="R366" s="106"/>
      <c r="S366" s="106"/>
      <c r="T366" s="106"/>
      <c r="U366" s="107"/>
      <c r="V366" s="107"/>
      <c r="W366" s="106"/>
      <c r="X366" s="106"/>
      <c r="Y366" s="106"/>
      <c r="Z366" s="106"/>
      <c r="AA366" s="106"/>
      <c r="AB366" s="106"/>
      <c r="AC366" s="106"/>
      <c r="AD366" s="106"/>
      <c r="AE366" s="106"/>
      <c r="AF366" s="106"/>
      <c r="AG366" s="106"/>
      <c r="AH366" s="106"/>
      <c r="AI366" s="106"/>
      <c r="AJ366" s="106"/>
      <c r="AK366" s="106"/>
      <c r="AL366" s="106"/>
      <c r="AM366" s="106"/>
      <c r="AN366" s="106"/>
      <c r="AO366" s="106"/>
      <c r="AP366" s="106"/>
      <c r="AQ366" s="106"/>
      <c r="AR366" s="106"/>
      <c r="AS366" s="106"/>
      <c r="AT366" s="106"/>
      <c r="AU366" s="106"/>
      <c r="AV366" s="106"/>
      <c r="AW366" s="106"/>
      <c r="AX366" s="106"/>
      <c r="AY366" s="106"/>
      <c r="AZ366" s="106"/>
      <c r="BA366" s="106"/>
      <c r="BB366" s="106"/>
      <c r="BC366" s="106"/>
      <c r="BD366" s="106"/>
      <c r="BE366" s="106"/>
      <c r="BF366" s="106"/>
      <c r="BG366" s="106"/>
      <c r="BH366" s="106"/>
      <c r="BI366" s="106"/>
      <c r="BJ366" s="106"/>
      <c r="BK366" s="106"/>
      <c r="BL366" s="106"/>
      <c r="BM366" s="106"/>
      <c r="BN366" s="106"/>
      <c r="BO366" s="106"/>
      <c r="BP366" s="106"/>
      <c r="BQ366" s="106"/>
    </row>
    <row r="367" spans="3:69">
      <c r="I367" s="108" t="s">
        <v>7</v>
      </c>
      <c r="J367" s="108" t="s">
        <v>1274</v>
      </c>
      <c r="K367" s="109" t="s">
        <v>1688</v>
      </c>
      <c r="L367" s="109"/>
      <c r="M367" s="109"/>
      <c r="N367" s="109"/>
      <c r="O367" s="109"/>
      <c r="P367" s="109"/>
      <c r="Q367" s="109"/>
      <c r="R367" s="109"/>
      <c r="S367" s="109"/>
      <c r="T367" s="109"/>
      <c r="U367" s="110"/>
      <c r="V367" s="110"/>
      <c r="W367" s="109"/>
      <c r="X367" s="109"/>
      <c r="Y367" s="109"/>
      <c r="Z367" s="109"/>
      <c r="AA367" s="109"/>
      <c r="AB367" s="109"/>
      <c r="AC367" s="109"/>
      <c r="AD367" s="109"/>
      <c r="AE367" s="109"/>
      <c r="AF367" s="109"/>
      <c r="AG367" s="109"/>
      <c r="AH367" s="109"/>
      <c r="AI367" s="109"/>
      <c r="AJ367" s="109"/>
      <c r="AK367" s="109"/>
      <c r="AL367" s="109"/>
      <c r="AM367" s="109"/>
      <c r="AN367" s="109"/>
      <c r="AO367" s="109"/>
      <c r="AP367" s="109"/>
      <c r="AQ367" s="109"/>
      <c r="AR367" s="109"/>
      <c r="AS367" s="109"/>
      <c r="AT367" s="109"/>
      <c r="AU367" s="109"/>
      <c r="AV367" s="109"/>
      <c r="AW367" s="109"/>
      <c r="AX367" s="109"/>
      <c r="AY367" s="109"/>
      <c r="AZ367" s="109"/>
      <c r="BA367" s="109"/>
      <c r="BB367" s="109"/>
      <c r="BC367" s="109"/>
      <c r="BD367" s="109"/>
      <c r="BE367" s="109"/>
      <c r="BF367" s="109"/>
      <c r="BG367" s="109"/>
      <c r="BH367" s="109"/>
      <c r="BI367" s="109"/>
      <c r="BJ367" s="109"/>
      <c r="BK367" s="109"/>
      <c r="BL367" s="109"/>
      <c r="BM367" s="109"/>
      <c r="BN367" s="109"/>
      <c r="BO367" s="109"/>
      <c r="BP367" s="109"/>
      <c r="BQ367" s="109"/>
    </row>
    <row r="368" spans="3:69" ht="13.5">
      <c r="I368" s="220" t="s">
        <v>48</v>
      </c>
      <c r="J368" s="220" t="s">
        <v>1275</v>
      </c>
      <c r="K368" s="221">
        <f>K365</f>
        <v>10</v>
      </c>
      <c r="L368" s="221">
        <f t="shared" ref="L368:M368" si="180">L365</f>
        <v>10</v>
      </c>
      <c r="M368" s="221">
        <f t="shared" si="180"/>
        <v>13</v>
      </c>
      <c r="N368" s="101"/>
      <c r="O368" s="101"/>
      <c r="P368" s="101"/>
      <c r="Q368" s="101"/>
      <c r="R368" s="101"/>
      <c r="S368" s="101"/>
      <c r="T368" s="94" t="s">
        <v>209</v>
      </c>
      <c r="U368" s="100" t="s">
        <v>1708</v>
      </c>
      <c r="V368" s="99">
        <v>10</v>
      </c>
      <c r="W368" s="101"/>
      <c r="X368" s="101"/>
      <c r="Y368" s="101"/>
      <c r="Z368" s="101"/>
      <c r="AA368" s="101"/>
      <c r="AB368" s="101"/>
      <c r="AC368" s="101"/>
      <c r="AD368" s="101"/>
      <c r="AE368" s="101"/>
      <c r="AF368" s="100">
        <v>8</v>
      </c>
      <c r="AG368" s="101"/>
      <c r="AH368" s="101"/>
      <c r="AI368" s="101"/>
      <c r="AJ368" s="101"/>
      <c r="AK368" s="101"/>
      <c r="AL368" s="101"/>
      <c r="AM368" s="101"/>
      <c r="AN368" s="101"/>
      <c r="AO368" s="101"/>
      <c r="AP368" s="101"/>
      <c r="AQ368" s="101"/>
      <c r="AR368" s="101"/>
      <c r="AS368" s="101"/>
      <c r="AT368" s="101"/>
      <c r="AU368" s="101"/>
      <c r="AV368" s="101"/>
      <c r="AW368" s="101"/>
      <c r="AX368" s="101"/>
      <c r="AY368" s="101"/>
      <c r="AZ368" s="101"/>
      <c r="BA368" s="101"/>
      <c r="BB368" s="101"/>
      <c r="BC368" s="101"/>
      <c r="BD368" s="101"/>
      <c r="BE368" s="101"/>
      <c r="BF368" s="101"/>
      <c r="BG368" s="101"/>
      <c r="BH368" s="101"/>
      <c r="BI368" s="101"/>
      <c r="BJ368" s="101"/>
      <c r="BK368" s="101"/>
      <c r="BL368" s="101"/>
      <c r="BM368" s="101"/>
      <c r="BN368" s="101"/>
      <c r="BO368" s="101"/>
      <c r="BP368" s="101"/>
      <c r="BQ368" s="101"/>
    </row>
    <row r="369" spans="3:69" ht="13.5">
      <c r="I369" s="220" t="s">
        <v>901</v>
      </c>
      <c r="J369" s="220" t="s">
        <v>1276</v>
      </c>
      <c r="K369" s="221">
        <f t="shared" ref="K369:M370" si="181">K368</f>
        <v>10</v>
      </c>
      <c r="L369" s="221">
        <f t="shared" si="181"/>
        <v>10</v>
      </c>
      <c r="M369" s="221">
        <f t="shared" si="181"/>
        <v>13</v>
      </c>
      <c r="N369" s="101"/>
      <c r="O369" s="101"/>
      <c r="P369" s="101"/>
      <c r="Q369" s="101"/>
      <c r="R369" s="101"/>
      <c r="S369" s="101"/>
      <c r="T369" s="111" t="s">
        <v>214</v>
      </c>
      <c r="U369" s="100" t="e">
        <f>Button_CAN_Signal_EN_DIS</f>
        <v>#NAME?</v>
      </c>
      <c r="V369" s="100" t="s">
        <v>1689</v>
      </c>
      <c r="W369" s="101"/>
      <c r="X369" s="101"/>
      <c r="Y369" s="101"/>
      <c r="Z369" s="101"/>
      <c r="AA369" s="101"/>
      <c r="AB369" s="101"/>
      <c r="AC369" s="101"/>
      <c r="AD369" s="101"/>
      <c r="AE369" s="101"/>
      <c r="AF369" s="100" t="s">
        <v>89</v>
      </c>
      <c r="AG369" s="101"/>
      <c r="AH369" s="101"/>
      <c r="AI369" s="101"/>
      <c r="AJ369" s="101"/>
      <c r="AK369" s="101"/>
      <c r="AL369" s="101"/>
      <c r="AM369" s="101"/>
      <c r="AN369" s="101"/>
      <c r="AO369" s="101"/>
      <c r="AP369" s="101"/>
      <c r="AQ369" s="101"/>
      <c r="AR369" s="101"/>
      <c r="AS369" s="101"/>
      <c r="AT369" s="101"/>
      <c r="AU369" s="101"/>
      <c r="AV369" s="101"/>
      <c r="AW369" s="101"/>
      <c r="AX369" s="101"/>
      <c r="AY369" s="101"/>
      <c r="AZ369" s="101"/>
      <c r="BA369" s="101"/>
      <c r="BB369" s="101"/>
      <c r="BC369" s="101"/>
      <c r="BD369" s="101"/>
      <c r="BE369" s="101"/>
      <c r="BF369" s="101"/>
      <c r="BG369" s="101"/>
      <c r="BH369" s="101"/>
      <c r="BI369" s="101"/>
      <c r="BJ369" s="101"/>
      <c r="BK369" s="101"/>
      <c r="BL369" s="101"/>
      <c r="BM369" s="101"/>
      <c r="BN369" s="101"/>
      <c r="BO369" s="101"/>
      <c r="BP369" s="101"/>
      <c r="BQ369" s="101"/>
    </row>
    <row r="370" spans="3:69" ht="13.5">
      <c r="I370" s="220" t="s">
        <v>901</v>
      </c>
      <c r="J370" s="220" t="s">
        <v>1277</v>
      </c>
      <c r="K370" s="221">
        <f t="shared" si="181"/>
        <v>10</v>
      </c>
      <c r="L370" s="221">
        <f t="shared" si="181"/>
        <v>10</v>
      </c>
      <c r="M370" s="221">
        <f t="shared" si="181"/>
        <v>13</v>
      </c>
      <c r="N370" s="101"/>
      <c r="O370" s="101"/>
      <c r="P370" s="101"/>
      <c r="Q370" s="101"/>
      <c r="R370" s="101"/>
      <c r="S370" s="101"/>
      <c r="T370" s="111" t="s">
        <v>214</v>
      </c>
      <c r="U370" s="100" t="e">
        <f>Button_CAN_Signal_EN_DIS</f>
        <v>#NAME?</v>
      </c>
      <c r="V370" s="100" t="s">
        <v>1635</v>
      </c>
      <c r="W370" s="101"/>
      <c r="X370" s="101"/>
      <c r="Y370" s="101"/>
      <c r="Z370" s="101"/>
      <c r="AA370" s="101"/>
      <c r="AB370" s="101"/>
      <c r="AC370" s="101"/>
      <c r="AD370" s="101"/>
      <c r="AE370" s="101"/>
      <c r="AF370" s="100" t="s">
        <v>89</v>
      </c>
      <c r="AG370" s="101"/>
      <c r="AH370" s="101"/>
      <c r="AI370" s="101"/>
      <c r="AJ370" s="101"/>
      <c r="AK370" s="101"/>
      <c r="AL370" s="101"/>
      <c r="AM370" s="101"/>
      <c r="AN370" s="101"/>
      <c r="AO370" s="101"/>
      <c r="AP370" s="101"/>
      <c r="AQ370" s="101"/>
      <c r="AR370" s="101"/>
      <c r="AS370" s="101"/>
      <c r="AT370" s="101"/>
      <c r="AU370" s="101"/>
      <c r="AV370" s="101"/>
      <c r="AW370" s="101"/>
      <c r="AX370" s="101"/>
      <c r="AY370" s="101"/>
      <c r="AZ370" s="101"/>
      <c r="BA370" s="101"/>
      <c r="BB370" s="101"/>
      <c r="BC370" s="101"/>
      <c r="BD370" s="101"/>
      <c r="BE370" s="101"/>
      <c r="BF370" s="101"/>
      <c r="BG370" s="101"/>
      <c r="BH370" s="101"/>
      <c r="BI370" s="101"/>
      <c r="BJ370" s="101"/>
      <c r="BK370" s="101"/>
      <c r="BL370" s="101"/>
      <c r="BM370" s="101"/>
      <c r="BN370" s="101"/>
      <c r="BO370" s="101"/>
      <c r="BP370" s="101"/>
      <c r="BQ370" s="101"/>
    </row>
    <row r="371" spans="3:69">
      <c r="C371" s="4"/>
      <c r="I371" s="255">
        <f>COUNTIF(I372:I375,"&lt;&gt;TS")</f>
        <v>3</v>
      </c>
      <c r="J371" s="106" t="s">
        <v>571</v>
      </c>
      <c r="K371" s="106" t="s">
        <v>1690</v>
      </c>
      <c r="L371" s="106"/>
      <c r="M371" s="106"/>
      <c r="N371" s="106"/>
      <c r="O371" s="106"/>
      <c r="P371" s="106"/>
      <c r="Q371" s="106"/>
      <c r="R371" s="106"/>
      <c r="S371" s="106"/>
      <c r="T371" s="106"/>
      <c r="U371" s="107"/>
      <c r="V371" s="107"/>
      <c r="W371" s="106"/>
      <c r="X371" s="106"/>
      <c r="Y371" s="106"/>
      <c r="Z371" s="106"/>
      <c r="AA371" s="106"/>
      <c r="AB371" s="106"/>
      <c r="AC371" s="106"/>
      <c r="AD371" s="106"/>
      <c r="AE371" s="106"/>
      <c r="AF371" s="106"/>
      <c r="AG371" s="106"/>
      <c r="AH371" s="106"/>
      <c r="AI371" s="106"/>
      <c r="AJ371" s="106"/>
      <c r="AK371" s="106"/>
      <c r="AL371" s="106"/>
      <c r="AM371" s="106"/>
      <c r="AN371" s="106"/>
      <c r="AO371" s="106"/>
      <c r="AP371" s="106"/>
      <c r="AQ371" s="106"/>
      <c r="AR371" s="106"/>
      <c r="AS371" s="106"/>
      <c r="AT371" s="106"/>
      <c r="AU371" s="106"/>
      <c r="AV371" s="106"/>
      <c r="AW371" s="106"/>
      <c r="AX371" s="106"/>
      <c r="AY371" s="106"/>
      <c r="AZ371" s="106"/>
      <c r="BA371" s="106"/>
      <c r="BB371" s="106"/>
      <c r="BC371" s="106"/>
      <c r="BD371" s="106"/>
      <c r="BE371" s="106"/>
      <c r="BF371" s="106"/>
      <c r="BG371" s="106"/>
      <c r="BH371" s="106"/>
      <c r="BI371" s="106"/>
      <c r="BJ371" s="106"/>
      <c r="BK371" s="106"/>
      <c r="BL371" s="106"/>
      <c r="BM371" s="106"/>
      <c r="BN371" s="106"/>
      <c r="BO371" s="106"/>
      <c r="BP371" s="106"/>
      <c r="BQ371" s="106"/>
    </row>
    <row r="372" spans="3:69">
      <c r="I372" s="108" t="s">
        <v>7</v>
      </c>
      <c r="J372" s="108" t="s">
        <v>1278</v>
      </c>
      <c r="K372" s="109" t="s">
        <v>1691</v>
      </c>
      <c r="L372" s="109"/>
      <c r="M372" s="109"/>
      <c r="N372" s="109"/>
      <c r="O372" s="109"/>
      <c r="P372" s="109"/>
      <c r="Q372" s="109"/>
      <c r="R372" s="109"/>
      <c r="S372" s="109"/>
      <c r="T372" s="109"/>
      <c r="U372" s="110"/>
      <c r="V372" s="110"/>
      <c r="W372" s="109"/>
      <c r="X372" s="109"/>
      <c r="Y372" s="109"/>
      <c r="Z372" s="109"/>
      <c r="AA372" s="109"/>
      <c r="AB372" s="109"/>
      <c r="AC372" s="109"/>
      <c r="AD372" s="109"/>
      <c r="AE372" s="109"/>
      <c r="AF372" s="109"/>
      <c r="AG372" s="109"/>
      <c r="AH372" s="109"/>
      <c r="AI372" s="109"/>
      <c r="AJ372" s="109"/>
      <c r="AK372" s="109"/>
      <c r="AL372" s="109"/>
      <c r="AM372" s="109"/>
      <c r="AN372" s="109"/>
      <c r="AO372" s="109"/>
      <c r="AP372" s="109"/>
      <c r="AQ372" s="109"/>
      <c r="AR372" s="109"/>
      <c r="AS372" s="109"/>
      <c r="AT372" s="109"/>
      <c r="AU372" s="109"/>
      <c r="AV372" s="109"/>
      <c r="AW372" s="109"/>
      <c r="AX372" s="109"/>
      <c r="AY372" s="109"/>
      <c r="AZ372" s="109"/>
      <c r="BA372" s="109"/>
      <c r="BB372" s="109"/>
      <c r="BC372" s="109"/>
      <c r="BD372" s="109"/>
      <c r="BE372" s="109"/>
      <c r="BF372" s="109"/>
      <c r="BG372" s="109"/>
      <c r="BH372" s="109"/>
      <c r="BI372" s="109"/>
      <c r="BJ372" s="109"/>
      <c r="BK372" s="109"/>
      <c r="BL372" s="109"/>
      <c r="BM372" s="109"/>
      <c r="BN372" s="109"/>
      <c r="BO372" s="109"/>
      <c r="BP372" s="109"/>
      <c r="BQ372" s="109"/>
    </row>
    <row r="373" spans="3:69" ht="13.5">
      <c r="I373" s="220" t="s">
        <v>48</v>
      </c>
      <c r="J373" s="220" t="s">
        <v>1279</v>
      </c>
      <c r="K373" s="100">
        <v>10</v>
      </c>
      <c r="L373" s="100">
        <v>-10</v>
      </c>
      <c r="M373" s="100">
        <v>13</v>
      </c>
      <c r="N373" s="100">
        <v>50</v>
      </c>
      <c r="O373" s="101"/>
      <c r="P373" s="101"/>
      <c r="Q373" s="101"/>
      <c r="R373" s="101"/>
      <c r="S373" s="101"/>
      <c r="T373" s="94" t="s">
        <v>209</v>
      </c>
      <c r="U373" s="205" t="s">
        <v>1774</v>
      </c>
      <c r="V373" s="99">
        <v>10</v>
      </c>
      <c r="W373" s="101"/>
      <c r="X373" s="101"/>
      <c r="Y373" s="101"/>
      <c r="Z373" s="101"/>
      <c r="AA373" s="101"/>
      <c r="AB373" s="101"/>
      <c r="AC373" s="101"/>
      <c r="AD373" s="101"/>
      <c r="AE373" s="101"/>
      <c r="AF373" s="100">
        <v>6</v>
      </c>
      <c r="AG373" s="100">
        <v>6</v>
      </c>
      <c r="AH373" s="101"/>
      <c r="AI373" s="100" t="e">
        <f>const_Tset_max</f>
        <v>#NAME?</v>
      </c>
      <c r="AJ373" s="101"/>
      <c r="AK373" s="101"/>
      <c r="AL373" s="101"/>
      <c r="AM373" s="101"/>
      <c r="AN373" s="101"/>
      <c r="AO373" s="101"/>
      <c r="AP373" s="101"/>
      <c r="AQ373" s="100" t="s">
        <v>50</v>
      </c>
      <c r="AR373" s="100" t="s">
        <v>76</v>
      </c>
      <c r="AS373" s="101"/>
      <c r="AT373" s="101"/>
      <c r="AU373" s="101"/>
      <c r="AV373" s="100" t="e">
        <f>IF(MAX_HOT="O","Hot",AV114)</f>
        <v>#NAME?</v>
      </c>
      <c r="AW373" s="100" t="e">
        <f>IF(MAX_HOT="O","Hot",AV114)</f>
        <v>#NAME?</v>
      </c>
      <c r="AX373" s="101"/>
      <c r="AY373" s="101"/>
      <c r="AZ373" s="101"/>
      <c r="BA373" s="101"/>
      <c r="BB373" s="101"/>
      <c r="BC373" s="101"/>
      <c r="BD373" s="101"/>
      <c r="BE373" s="101"/>
      <c r="BF373" s="101"/>
      <c r="BG373" s="101"/>
      <c r="BH373" s="101"/>
      <c r="BI373" s="101"/>
      <c r="BJ373" s="101"/>
      <c r="BK373" s="101"/>
      <c r="BL373" s="101"/>
      <c r="BM373" s="101"/>
      <c r="BN373" s="101"/>
      <c r="BO373" s="101"/>
      <c r="BP373" s="101"/>
      <c r="BQ373" s="101"/>
    </row>
    <row r="374" spans="3:69">
      <c r="I374" s="220" t="s">
        <v>901</v>
      </c>
      <c r="J374" s="220" t="s">
        <v>1280</v>
      </c>
      <c r="K374" s="221">
        <f t="shared" ref="K374:M375" si="182">K373</f>
        <v>10</v>
      </c>
      <c r="L374" s="221">
        <f t="shared" si="182"/>
        <v>-10</v>
      </c>
      <c r="M374" s="221">
        <f t="shared" si="182"/>
        <v>13</v>
      </c>
      <c r="N374" s="101"/>
      <c r="O374" s="101"/>
      <c r="P374" s="101"/>
      <c r="Q374" s="101"/>
      <c r="R374" s="101"/>
      <c r="S374" s="101"/>
      <c r="T374" s="111" t="e">
        <f>VS_VehSpd_Kmh</f>
        <v>#NAME?</v>
      </c>
      <c r="U374" s="100">
        <v>100</v>
      </c>
      <c r="V374" s="99">
        <v>5</v>
      </c>
      <c r="W374" s="101"/>
      <c r="X374" s="101"/>
      <c r="Y374" s="101"/>
      <c r="Z374" s="101"/>
      <c r="AA374" s="101"/>
      <c r="AB374" s="101"/>
      <c r="AC374" s="101"/>
      <c r="AD374" s="101"/>
      <c r="AE374" s="101"/>
      <c r="AF374" s="100">
        <v>6</v>
      </c>
      <c r="AG374" s="100">
        <v>6</v>
      </c>
      <c r="AH374" s="101"/>
      <c r="AI374" s="100" t="e">
        <f>const_Tset_max</f>
        <v>#NAME?</v>
      </c>
      <c r="AJ374" s="101"/>
      <c r="AK374" s="101"/>
      <c r="AL374" s="101"/>
      <c r="AM374" s="101"/>
      <c r="AN374" s="101"/>
      <c r="AO374" s="101"/>
      <c r="AP374" s="101"/>
      <c r="AQ374" s="100" t="s">
        <v>50</v>
      </c>
      <c r="AR374" s="100" t="s">
        <v>50</v>
      </c>
      <c r="AS374" s="101"/>
      <c r="AT374" s="101"/>
      <c r="AU374" s="101"/>
      <c r="AV374" s="100" t="e">
        <f>IF(MAX_HOT="O","Hot",AV114)</f>
        <v>#NAME?</v>
      </c>
      <c r="AW374" s="100" t="e">
        <f>IF(MAX_HOT="O","Hot",AV114)</f>
        <v>#NAME?</v>
      </c>
      <c r="AX374" s="101"/>
      <c r="AY374" s="101"/>
      <c r="AZ374" s="101"/>
      <c r="BA374" s="101"/>
      <c r="BB374" s="101"/>
      <c r="BC374" s="101"/>
      <c r="BD374" s="101"/>
      <c r="BE374" s="101"/>
      <c r="BF374" s="101"/>
      <c r="BG374" s="101"/>
      <c r="BH374" s="101"/>
      <c r="BI374" s="101"/>
      <c r="BJ374" s="101"/>
      <c r="BK374" s="101"/>
      <c r="BL374" s="101"/>
      <c r="BM374" s="101"/>
      <c r="BN374" s="101"/>
      <c r="BO374" s="101"/>
      <c r="BP374" s="101"/>
      <c r="BQ374" s="101"/>
    </row>
    <row r="375" spans="3:69">
      <c r="I375" s="220" t="s">
        <v>901</v>
      </c>
      <c r="J375" s="220" t="s">
        <v>1281</v>
      </c>
      <c r="K375" s="221">
        <f t="shared" si="182"/>
        <v>10</v>
      </c>
      <c r="L375" s="221">
        <f t="shared" si="182"/>
        <v>-10</v>
      </c>
      <c r="M375" s="221">
        <f t="shared" si="182"/>
        <v>13</v>
      </c>
      <c r="N375" s="101"/>
      <c r="O375" s="101"/>
      <c r="P375" s="101"/>
      <c r="Q375" s="101"/>
      <c r="R375" s="101"/>
      <c r="S375" s="101"/>
      <c r="T375" s="111" t="e">
        <f>VS_VehSpd_Kmh</f>
        <v>#NAME?</v>
      </c>
      <c r="U375" s="100">
        <v>35</v>
      </c>
      <c r="V375" s="99">
        <v>2</v>
      </c>
      <c r="W375" s="101"/>
      <c r="X375" s="101"/>
      <c r="Y375" s="101"/>
      <c r="Z375" s="101"/>
      <c r="AA375" s="101"/>
      <c r="AB375" s="101"/>
      <c r="AC375" s="101"/>
      <c r="AD375" s="101"/>
      <c r="AE375" s="101"/>
      <c r="AF375" s="100">
        <v>6</v>
      </c>
      <c r="AG375" s="100">
        <v>6</v>
      </c>
      <c r="AH375" s="101"/>
      <c r="AI375" s="100" t="e">
        <f>const_Tset_max</f>
        <v>#NAME?</v>
      </c>
      <c r="AJ375" s="101"/>
      <c r="AK375" s="101"/>
      <c r="AL375" s="101"/>
      <c r="AM375" s="101"/>
      <c r="AN375" s="101"/>
      <c r="AO375" s="101"/>
      <c r="AP375" s="101"/>
      <c r="AQ375" s="100" t="s">
        <v>50</v>
      </c>
      <c r="AR375" s="100" t="s">
        <v>76</v>
      </c>
      <c r="AS375" s="101"/>
      <c r="AT375" s="101"/>
      <c r="AU375" s="101"/>
      <c r="AV375" s="100" t="e">
        <f>IF(MAX_HOT="O","Hot",AV114)</f>
        <v>#NAME?</v>
      </c>
      <c r="AW375" s="100" t="e">
        <f>IF(MAX_HOT="O","Hot",AV114)</f>
        <v>#NAME?</v>
      </c>
      <c r="AX375" s="101"/>
      <c r="AY375" s="101"/>
      <c r="AZ375" s="101"/>
      <c r="BA375" s="101"/>
      <c r="BB375" s="101"/>
      <c r="BC375" s="101"/>
      <c r="BD375" s="101"/>
      <c r="BE375" s="101"/>
      <c r="BF375" s="101"/>
      <c r="BG375" s="101"/>
      <c r="BH375" s="101"/>
      <c r="BI375" s="101"/>
      <c r="BJ375" s="101"/>
      <c r="BK375" s="101"/>
      <c r="BL375" s="101"/>
      <c r="BM375" s="101"/>
      <c r="BN375" s="101"/>
      <c r="BO375" s="101"/>
      <c r="BP375" s="101"/>
      <c r="BQ375" s="101"/>
    </row>
    <row r="376" spans="3:69">
      <c r="I376" s="255">
        <f>COUNTIF(I377:I398,"&lt;&gt;TS")</f>
        <v>18</v>
      </c>
      <c r="J376" s="106" t="s">
        <v>572</v>
      </c>
      <c r="K376" s="106" t="s">
        <v>825</v>
      </c>
      <c r="L376" s="106"/>
      <c r="M376" s="106"/>
      <c r="N376" s="106"/>
      <c r="O376" s="106"/>
      <c r="P376" s="106"/>
      <c r="Q376" s="106"/>
      <c r="R376" s="106"/>
      <c r="S376" s="106"/>
      <c r="T376" s="106"/>
      <c r="U376" s="107"/>
      <c r="V376" s="107"/>
      <c r="W376" s="106"/>
      <c r="X376" s="106"/>
      <c r="Y376" s="106"/>
      <c r="Z376" s="106"/>
      <c r="AA376" s="106"/>
      <c r="AB376" s="106"/>
      <c r="AC376" s="106"/>
      <c r="AD376" s="106"/>
      <c r="AE376" s="106"/>
      <c r="AF376" s="106"/>
      <c r="AG376" s="106"/>
      <c r="AH376" s="106"/>
      <c r="AI376" s="106"/>
      <c r="AJ376" s="106"/>
      <c r="AK376" s="106"/>
      <c r="AL376" s="106"/>
      <c r="AM376" s="106"/>
      <c r="AN376" s="106"/>
      <c r="AO376" s="106"/>
      <c r="AP376" s="106"/>
      <c r="AQ376" s="106"/>
      <c r="AR376" s="106"/>
      <c r="AS376" s="106"/>
      <c r="AT376" s="106"/>
      <c r="AU376" s="106"/>
      <c r="AV376" s="106"/>
      <c r="AW376" s="106"/>
      <c r="AX376" s="106"/>
      <c r="AY376" s="106"/>
      <c r="AZ376" s="106"/>
      <c r="BA376" s="106"/>
      <c r="BB376" s="106"/>
      <c r="BC376" s="106"/>
      <c r="BD376" s="106"/>
      <c r="BE376" s="106"/>
      <c r="BF376" s="106"/>
      <c r="BG376" s="106"/>
      <c r="BH376" s="106"/>
      <c r="BI376" s="106"/>
      <c r="BJ376" s="106"/>
      <c r="BK376" s="106"/>
      <c r="BL376" s="106"/>
      <c r="BM376" s="106"/>
      <c r="BN376" s="106"/>
      <c r="BO376" s="106"/>
      <c r="BP376" s="106"/>
      <c r="BQ376" s="106"/>
    </row>
    <row r="377" spans="3:69" ht="13.5">
      <c r="I377" s="108" t="s">
        <v>7</v>
      </c>
      <c r="J377" s="108" t="s">
        <v>940</v>
      </c>
      <c r="K377" s="227" t="s">
        <v>1714</v>
      </c>
      <c r="L377" s="109"/>
      <c r="M377" s="109"/>
      <c r="N377" s="109"/>
      <c r="O377" s="109"/>
      <c r="P377" s="109"/>
      <c r="Q377" s="109"/>
      <c r="R377" s="109"/>
      <c r="S377" s="109"/>
      <c r="T377" s="109"/>
      <c r="U377" s="110"/>
      <c r="V377" s="110"/>
      <c r="W377" s="109"/>
      <c r="X377" s="109"/>
      <c r="Y377" s="109"/>
      <c r="Z377" s="109"/>
      <c r="AA377" s="109"/>
      <c r="AB377" s="109"/>
      <c r="AC377" s="109"/>
      <c r="AD377" s="109"/>
      <c r="AE377" s="109"/>
      <c r="AF377" s="109"/>
      <c r="AG377" s="109"/>
      <c r="AH377" s="109"/>
      <c r="AI377" s="109"/>
      <c r="AJ377" s="109"/>
      <c r="AK377" s="109"/>
      <c r="AL377" s="109"/>
      <c r="AM377" s="109"/>
      <c r="AN377" s="109"/>
      <c r="AO377" s="109"/>
      <c r="AP377" s="109"/>
      <c r="AQ377" s="109"/>
      <c r="AR377" s="109"/>
      <c r="AS377" s="109"/>
      <c r="AT377" s="109"/>
      <c r="AU377" s="109"/>
      <c r="AV377" s="109"/>
      <c r="AW377" s="109"/>
      <c r="AX377" s="109"/>
      <c r="AY377" s="109"/>
      <c r="AZ377" s="109"/>
      <c r="BA377" s="109"/>
      <c r="BB377" s="109"/>
      <c r="BC377" s="109"/>
      <c r="BD377" s="109"/>
      <c r="BE377" s="109"/>
      <c r="BF377" s="109"/>
      <c r="BG377" s="109"/>
      <c r="BH377" s="109"/>
      <c r="BI377" s="109"/>
      <c r="BJ377" s="109"/>
      <c r="BK377" s="109"/>
      <c r="BL377" s="109"/>
      <c r="BM377" s="109"/>
      <c r="BN377" s="109"/>
      <c r="BO377" s="109"/>
      <c r="BP377" s="109"/>
      <c r="BQ377" s="109"/>
    </row>
    <row r="378" spans="3:69">
      <c r="I378" s="96" t="s">
        <v>48</v>
      </c>
      <c r="J378" s="96" t="s">
        <v>941</v>
      </c>
      <c r="K378" s="100">
        <v>10</v>
      </c>
      <c r="L378" s="100">
        <v>5</v>
      </c>
      <c r="M378" s="100">
        <v>13</v>
      </c>
      <c r="N378" s="101"/>
      <c r="O378" s="101"/>
      <c r="P378" s="101"/>
      <c r="Q378" s="101"/>
      <c r="R378" s="101"/>
      <c r="S378" s="101"/>
      <c r="T378" s="94" t="s">
        <v>209</v>
      </c>
      <c r="U378" s="100" t="e">
        <f>IF(FLAG_Country&lt;&gt;"USA","설정 온도 22 degC, AUTO ON (SYNC ON) 선택 상태 설정","설정 온도 72 degF, AUTO ON (SYNC ON) 선택 상태 설정")</f>
        <v>#NAME?</v>
      </c>
      <c r="V378" s="95">
        <v>10</v>
      </c>
      <c r="W378" s="101"/>
      <c r="X378" s="101"/>
      <c r="Y378" s="101"/>
      <c r="Z378" s="101"/>
      <c r="AA378" s="101"/>
      <c r="AB378" s="101"/>
      <c r="AC378" s="101"/>
      <c r="AD378" s="101"/>
      <c r="AE378" s="101"/>
      <c r="AF378" s="101"/>
      <c r="AG378" s="101"/>
      <c r="AH378" s="101"/>
      <c r="AI378" s="101"/>
      <c r="AJ378" s="101"/>
      <c r="AK378" s="101"/>
      <c r="AL378" s="101"/>
      <c r="AM378" s="101"/>
      <c r="AN378" s="100" t="s">
        <v>89</v>
      </c>
      <c r="AO378" s="101"/>
      <c r="AP378" s="100" t="s">
        <v>89</v>
      </c>
      <c r="AQ378" s="100" t="s">
        <v>50</v>
      </c>
      <c r="AR378" s="100" t="s">
        <v>417</v>
      </c>
      <c r="AS378" s="101"/>
      <c r="AT378" s="101"/>
      <c r="AU378" s="101"/>
      <c r="AV378" s="101"/>
      <c r="AW378" s="101"/>
      <c r="AX378" s="101"/>
      <c r="AY378" s="101"/>
      <c r="AZ378" s="101"/>
      <c r="BA378" s="100">
        <v>2</v>
      </c>
      <c r="BB378" s="101"/>
      <c r="BC378" s="101"/>
      <c r="BD378" s="101"/>
      <c r="BE378" s="101"/>
      <c r="BF378" s="101"/>
      <c r="BG378" s="101"/>
      <c r="BH378" s="101"/>
      <c r="BI378" s="101"/>
      <c r="BJ378" s="101"/>
      <c r="BK378" s="101"/>
      <c r="BL378" s="101"/>
      <c r="BM378" s="101"/>
      <c r="BN378" s="101"/>
      <c r="BO378" s="101"/>
      <c r="BP378" s="101"/>
      <c r="BQ378" s="101"/>
    </row>
    <row r="379" spans="3:69">
      <c r="I379" s="220" t="s">
        <v>155</v>
      </c>
      <c r="J379" s="220" t="s">
        <v>942</v>
      </c>
      <c r="K379" s="221">
        <f t="shared" ref="K379:M379" si="183">K378</f>
        <v>10</v>
      </c>
      <c r="L379" s="221">
        <f t="shared" si="183"/>
        <v>5</v>
      </c>
      <c r="M379" s="221">
        <f t="shared" si="183"/>
        <v>13</v>
      </c>
      <c r="N379" s="101"/>
      <c r="O379" s="101"/>
      <c r="P379" s="101"/>
      <c r="Q379" s="101"/>
      <c r="R379" s="101"/>
      <c r="S379" s="101"/>
      <c r="T379" s="94" t="e">
        <f>IBU_WasherSw</f>
        <v>#NAME?</v>
      </c>
      <c r="U379" s="100" t="s">
        <v>1715</v>
      </c>
      <c r="V379" s="95">
        <v>1</v>
      </c>
      <c r="W379" s="101"/>
      <c r="X379" s="101"/>
      <c r="Y379" s="101"/>
      <c r="Z379" s="101"/>
      <c r="AA379" s="101"/>
      <c r="AB379" s="101"/>
      <c r="AC379" s="101"/>
      <c r="AD379" s="101"/>
      <c r="AE379" s="101"/>
      <c r="AF379" s="101"/>
      <c r="AG379" s="101"/>
      <c r="AH379" s="101"/>
      <c r="AI379" s="101"/>
      <c r="AJ379" s="101"/>
      <c r="AK379" s="101"/>
      <c r="AL379" s="101"/>
      <c r="AM379" s="101"/>
      <c r="AN379" s="100" t="s">
        <v>89</v>
      </c>
      <c r="AO379" s="101"/>
      <c r="AP379" s="100" t="s">
        <v>49</v>
      </c>
      <c r="AQ379" s="100" t="s">
        <v>51</v>
      </c>
      <c r="AR379" s="100" t="s">
        <v>51</v>
      </c>
      <c r="AS379" s="101"/>
      <c r="AT379" s="101"/>
      <c r="AU379" s="101"/>
      <c r="AV379" s="101"/>
      <c r="AW379" s="101"/>
      <c r="AX379" s="101"/>
      <c r="AY379" s="101"/>
      <c r="AZ379" s="101"/>
      <c r="BA379" s="100">
        <v>2</v>
      </c>
      <c r="BB379" s="101"/>
      <c r="BC379" s="101"/>
      <c r="BD379" s="101"/>
      <c r="BE379" s="101"/>
      <c r="BF379" s="101"/>
      <c r="BG379" s="101"/>
      <c r="BH379" s="101"/>
      <c r="BI379" s="101"/>
      <c r="BJ379" s="101"/>
      <c r="BK379" s="101"/>
      <c r="BL379" s="101"/>
      <c r="BM379" s="101"/>
      <c r="BN379" s="101"/>
      <c r="BO379" s="101"/>
      <c r="BP379" s="101"/>
      <c r="BQ379" s="101"/>
    </row>
    <row r="380" spans="3:69" ht="13.5">
      <c r="I380" s="220" t="s">
        <v>155</v>
      </c>
      <c r="J380" s="220" t="s">
        <v>943</v>
      </c>
      <c r="K380" s="221">
        <f t="shared" ref="K380:M380" si="184">K379</f>
        <v>10</v>
      </c>
      <c r="L380" s="221">
        <f t="shared" si="184"/>
        <v>5</v>
      </c>
      <c r="M380" s="221">
        <f t="shared" si="184"/>
        <v>13</v>
      </c>
      <c r="N380" s="101"/>
      <c r="O380" s="101"/>
      <c r="P380" s="101"/>
      <c r="Q380" s="101"/>
      <c r="R380" s="101"/>
      <c r="S380" s="101"/>
      <c r="T380" s="94" t="s">
        <v>209</v>
      </c>
      <c r="U380" s="200" t="s">
        <v>1718</v>
      </c>
      <c r="V380" s="95">
        <f>60-V379</f>
        <v>59</v>
      </c>
      <c r="W380" s="101"/>
      <c r="X380" s="101"/>
      <c r="Y380" s="101"/>
      <c r="Z380" s="101"/>
      <c r="AA380" s="101"/>
      <c r="AB380" s="101"/>
      <c r="AC380" s="101"/>
      <c r="AD380" s="101"/>
      <c r="AE380" s="101"/>
      <c r="AF380" s="101"/>
      <c r="AG380" s="101"/>
      <c r="AH380" s="101"/>
      <c r="AI380" s="101"/>
      <c r="AJ380" s="101"/>
      <c r="AK380" s="101"/>
      <c r="AL380" s="101"/>
      <c r="AM380" s="101"/>
      <c r="AN380" s="100" t="s">
        <v>89</v>
      </c>
      <c r="AO380" s="101"/>
      <c r="AP380" s="100" t="s">
        <v>89</v>
      </c>
      <c r="AQ380" s="100" t="s">
        <v>50</v>
      </c>
      <c r="AR380" s="100" t="s">
        <v>417</v>
      </c>
      <c r="AS380" s="101"/>
      <c r="AT380" s="101"/>
      <c r="AU380" s="101"/>
      <c r="AV380" s="101"/>
      <c r="AW380" s="101"/>
      <c r="AX380" s="101"/>
      <c r="AY380" s="101"/>
      <c r="AZ380" s="101"/>
      <c r="BA380" s="100">
        <v>2</v>
      </c>
      <c r="BB380" s="101"/>
      <c r="BC380" s="101"/>
      <c r="BD380" s="101"/>
      <c r="BE380" s="101"/>
      <c r="BF380" s="101"/>
      <c r="BG380" s="101"/>
      <c r="BH380" s="101"/>
      <c r="BI380" s="101"/>
      <c r="BJ380" s="101"/>
      <c r="BK380" s="101"/>
      <c r="BL380" s="101"/>
      <c r="BM380" s="101"/>
      <c r="BN380" s="101"/>
      <c r="BO380" s="101"/>
      <c r="BP380" s="101"/>
      <c r="BQ380" s="101"/>
    </row>
    <row r="381" spans="3:69" ht="13.5">
      <c r="I381" s="108" t="s">
        <v>7</v>
      </c>
      <c r="J381" s="108" t="s">
        <v>931</v>
      </c>
      <c r="K381" s="109" t="s">
        <v>826</v>
      </c>
      <c r="L381" s="109"/>
      <c r="M381" s="109"/>
      <c r="N381" s="109"/>
      <c r="O381" s="109"/>
      <c r="P381" s="109"/>
      <c r="Q381" s="109"/>
      <c r="R381" s="109"/>
      <c r="S381" s="109"/>
      <c r="T381" s="109"/>
      <c r="U381" s="110"/>
      <c r="V381" s="110"/>
      <c r="W381" s="109"/>
      <c r="X381" s="109"/>
      <c r="Y381" s="109"/>
      <c r="Z381" s="109"/>
      <c r="AA381" s="109"/>
      <c r="AB381" s="109"/>
      <c r="AC381" s="109"/>
      <c r="AD381" s="109"/>
      <c r="AE381" s="109"/>
      <c r="AF381" s="109"/>
      <c r="AG381" s="109"/>
      <c r="AH381" s="109"/>
      <c r="AI381" s="109"/>
      <c r="AJ381" s="109"/>
      <c r="AK381" s="109"/>
      <c r="AL381" s="109"/>
      <c r="AM381" s="109"/>
      <c r="AN381" s="109"/>
      <c r="AO381" s="109"/>
      <c r="AP381" s="109"/>
      <c r="AQ381" s="109"/>
      <c r="AR381" s="109"/>
      <c r="AS381" s="109"/>
      <c r="AT381" s="109"/>
      <c r="AU381" s="109"/>
      <c r="AV381" s="109"/>
      <c r="AW381" s="109"/>
      <c r="AX381" s="109"/>
      <c r="AY381" s="109"/>
      <c r="AZ381" s="109"/>
      <c r="BA381" s="109"/>
      <c r="BB381" s="109"/>
      <c r="BC381" s="109"/>
      <c r="BD381" s="109"/>
      <c r="BE381" s="109"/>
      <c r="BF381" s="109"/>
      <c r="BG381" s="109"/>
      <c r="BH381" s="109"/>
      <c r="BI381" s="109"/>
      <c r="BJ381" s="109"/>
      <c r="BK381" s="109"/>
      <c r="BL381" s="109"/>
      <c r="BM381" s="109"/>
      <c r="BN381" s="109"/>
      <c r="BO381" s="109"/>
      <c r="BP381" s="109"/>
      <c r="BQ381" s="109"/>
    </row>
    <row r="382" spans="3:69">
      <c r="I382" s="96" t="s">
        <v>48</v>
      </c>
      <c r="J382" s="96" t="s">
        <v>932</v>
      </c>
      <c r="K382" s="221">
        <f>K379</f>
        <v>10</v>
      </c>
      <c r="L382" s="221">
        <f t="shared" ref="L382:M382" si="185">L379</f>
        <v>5</v>
      </c>
      <c r="M382" s="221">
        <f t="shared" si="185"/>
        <v>13</v>
      </c>
      <c r="N382" s="101"/>
      <c r="O382" s="101"/>
      <c r="P382" s="101"/>
      <c r="Q382" s="101"/>
      <c r="R382" s="101"/>
      <c r="S382" s="101"/>
      <c r="T382" s="94" t="s">
        <v>205</v>
      </c>
      <c r="U382" s="95" t="s">
        <v>420</v>
      </c>
      <c r="V382" s="95">
        <v>10</v>
      </c>
      <c r="W382" s="101"/>
      <c r="X382" s="101"/>
      <c r="Y382" s="101"/>
      <c r="Z382" s="101"/>
      <c r="AA382" s="101"/>
      <c r="AB382" s="101"/>
      <c r="AC382" s="101"/>
      <c r="AD382" s="101"/>
      <c r="AE382" s="101"/>
      <c r="AF382" s="101"/>
      <c r="AG382" s="101"/>
      <c r="AH382" s="101"/>
      <c r="AI382" s="101"/>
      <c r="AJ382" s="101"/>
      <c r="AK382" s="101"/>
      <c r="AL382" s="101"/>
      <c r="AM382" s="101"/>
      <c r="AN382" s="100" t="s">
        <v>89</v>
      </c>
      <c r="AO382" s="101"/>
      <c r="AP382" s="100" t="s">
        <v>89</v>
      </c>
      <c r="AQ382" s="100" t="s">
        <v>50</v>
      </c>
      <c r="AR382" s="100" t="s">
        <v>417</v>
      </c>
      <c r="AS382" s="101"/>
      <c r="AT382" s="101"/>
      <c r="AU382" s="101"/>
      <c r="AV382" s="101"/>
      <c r="AW382" s="101"/>
      <c r="AX382" s="101"/>
      <c r="AY382" s="101"/>
      <c r="AZ382" s="101"/>
      <c r="BA382" s="100">
        <v>2</v>
      </c>
      <c r="BB382" s="101"/>
      <c r="BC382" s="101"/>
      <c r="BD382" s="101"/>
      <c r="BE382" s="101"/>
      <c r="BF382" s="101"/>
      <c r="BG382" s="101"/>
      <c r="BH382" s="101"/>
      <c r="BI382" s="101"/>
      <c r="BJ382" s="101"/>
      <c r="BK382" s="101"/>
      <c r="BL382" s="101"/>
      <c r="BM382" s="101"/>
      <c r="BN382" s="101"/>
      <c r="BO382" s="101"/>
      <c r="BP382" s="101"/>
      <c r="BQ382" s="101"/>
    </row>
    <row r="383" spans="3:69" ht="13.5">
      <c r="I383" s="220" t="s">
        <v>155</v>
      </c>
      <c r="J383" s="220" t="s">
        <v>933</v>
      </c>
      <c r="K383" s="221">
        <f>K382</f>
        <v>10</v>
      </c>
      <c r="L383" s="221">
        <f t="shared" ref="L383:M383" si="186">L382</f>
        <v>5</v>
      </c>
      <c r="M383" s="221">
        <f t="shared" si="186"/>
        <v>13</v>
      </c>
      <c r="N383" s="101"/>
      <c r="O383" s="101"/>
      <c r="P383" s="101"/>
      <c r="Q383" s="101"/>
      <c r="R383" s="101"/>
      <c r="S383" s="101"/>
      <c r="T383" s="94" t="s">
        <v>209</v>
      </c>
      <c r="U383" s="100" t="e">
        <f>Washer_EN_DIS</f>
        <v>#NAME?</v>
      </c>
      <c r="V383" s="95">
        <v>1</v>
      </c>
      <c r="W383" s="101"/>
      <c r="X383" s="101"/>
      <c r="Y383" s="101"/>
      <c r="Z383" s="101"/>
      <c r="AA383" s="101"/>
      <c r="AB383" s="101"/>
      <c r="AC383" s="101"/>
      <c r="AD383" s="101"/>
      <c r="AE383" s="101"/>
      <c r="AF383" s="101"/>
      <c r="AG383" s="101"/>
      <c r="AH383" s="101"/>
      <c r="AI383" s="101"/>
      <c r="AJ383" s="101"/>
      <c r="AK383" s="101"/>
      <c r="AL383" s="101"/>
      <c r="AM383" s="101"/>
      <c r="AN383" s="100" t="s">
        <v>89</v>
      </c>
      <c r="AO383" s="101"/>
      <c r="AP383" s="100" t="s">
        <v>89</v>
      </c>
      <c r="AQ383" s="100" t="s">
        <v>887</v>
      </c>
      <c r="AR383" s="100" t="s">
        <v>417</v>
      </c>
      <c r="AS383" s="101"/>
      <c r="AT383" s="101"/>
      <c r="AU383" s="101"/>
      <c r="AV383" s="101"/>
      <c r="AW383" s="101"/>
      <c r="AX383" s="101"/>
      <c r="AY383" s="101"/>
      <c r="AZ383" s="101"/>
      <c r="BA383" s="100">
        <v>1</v>
      </c>
      <c r="BB383" s="101"/>
      <c r="BC383" s="101"/>
      <c r="BD383" s="101"/>
      <c r="BE383" s="101"/>
      <c r="BF383" s="101"/>
      <c r="BG383" s="101"/>
      <c r="BH383" s="101"/>
      <c r="BI383" s="101"/>
      <c r="BJ383" s="101"/>
      <c r="BK383" s="101"/>
      <c r="BL383" s="101"/>
      <c r="BM383" s="101"/>
      <c r="BN383" s="101"/>
      <c r="BO383" s="101"/>
      <c r="BP383" s="101"/>
      <c r="BQ383" s="101"/>
    </row>
    <row r="384" spans="3:69">
      <c r="I384" s="220" t="s">
        <v>155</v>
      </c>
      <c r="J384" s="220" t="s">
        <v>934</v>
      </c>
      <c r="K384" s="221">
        <f t="shared" ref="K384:M384" si="187">K383</f>
        <v>10</v>
      </c>
      <c r="L384" s="221">
        <f t="shared" si="187"/>
        <v>5</v>
      </c>
      <c r="M384" s="221">
        <f t="shared" si="187"/>
        <v>13</v>
      </c>
      <c r="N384" s="101"/>
      <c r="O384" s="101"/>
      <c r="P384" s="101"/>
      <c r="Q384" s="101"/>
      <c r="R384" s="101"/>
      <c r="S384" s="101"/>
      <c r="T384" s="94" t="e">
        <f>IBU_WasherSw</f>
        <v>#NAME?</v>
      </c>
      <c r="U384" s="100" t="s">
        <v>1715</v>
      </c>
      <c r="V384" s="95">
        <v>1</v>
      </c>
      <c r="W384" s="101"/>
      <c r="X384" s="101"/>
      <c r="Y384" s="101"/>
      <c r="Z384" s="101"/>
      <c r="AA384" s="101"/>
      <c r="AB384" s="101"/>
      <c r="AC384" s="101"/>
      <c r="AD384" s="101"/>
      <c r="AE384" s="101"/>
      <c r="AF384" s="101"/>
      <c r="AG384" s="101"/>
      <c r="AH384" s="101"/>
      <c r="AI384" s="101"/>
      <c r="AJ384" s="101"/>
      <c r="AK384" s="101"/>
      <c r="AL384" s="101"/>
      <c r="AM384" s="101"/>
      <c r="AN384" s="100" t="s">
        <v>89</v>
      </c>
      <c r="AO384" s="101"/>
      <c r="AP384" s="100" t="s">
        <v>89</v>
      </c>
      <c r="AQ384" s="100" t="s">
        <v>50</v>
      </c>
      <c r="AR384" s="100" t="s">
        <v>417</v>
      </c>
      <c r="AS384" s="101"/>
      <c r="AT384" s="101"/>
      <c r="AU384" s="101"/>
      <c r="AV384" s="101"/>
      <c r="AW384" s="101"/>
      <c r="AX384" s="101"/>
      <c r="AY384" s="101"/>
      <c r="AZ384" s="101"/>
      <c r="BA384" s="100">
        <v>1</v>
      </c>
      <c r="BB384" s="101"/>
      <c r="BC384" s="101"/>
      <c r="BD384" s="101"/>
      <c r="BE384" s="101"/>
      <c r="BF384" s="101"/>
      <c r="BG384" s="101"/>
      <c r="BH384" s="101"/>
      <c r="BI384" s="101"/>
      <c r="BJ384" s="101"/>
      <c r="BK384" s="101"/>
      <c r="BL384" s="101"/>
      <c r="BM384" s="101"/>
      <c r="BN384" s="101"/>
      <c r="BO384" s="101"/>
      <c r="BP384" s="101"/>
      <c r="BQ384" s="101"/>
    </row>
    <row r="385" spans="9:69" ht="13.5">
      <c r="I385" s="220" t="s">
        <v>155</v>
      </c>
      <c r="J385" s="220" t="s">
        <v>935</v>
      </c>
      <c r="K385" s="221">
        <f t="shared" ref="K385:M385" si="188">K384</f>
        <v>10</v>
      </c>
      <c r="L385" s="221">
        <f t="shared" si="188"/>
        <v>5</v>
      </c>
      <c r="M385" s="221">
        <f t="shared" si="188"/>
        <v>13</v>
      </c>
      <c r="N385" s="101"/>
      <c r="O385" s="101"/>
      <c r="P385" s="101"/>
      <c r="Q385" s="101"/>
      <c r="R385" s="101"/>
      <c r="S385" s="101"/>
      <c r="T385" s="94" t="s">
        <v>209</v>
      </c>
      <c r="U385" s="100" t="e">
        <f>Washer_EN_DIS</f>
        <v>#NAME?</v>
      </c>
      <c r="V385" s="95">
        <v>1</v>
      </c>
      <c r="W385" s="101"/>
      <c r="X385" s="101"/>
      <c r="Y385" s="101"/>
      <c r="Z385" s="101"/>
      <c r="AA385" s="101"/>
      <c r="AB385" s="101"/>
      <c r="AC385" s="101"/>
      <c r="AD385" s="101"/>
      <c r="AE385" s="101"/>
      <c r="AF385" s="101"/>
      <c r="AG385" s="101"/>
      <c r="AH385" s="101"/>
      <c r="AI385" s="101"/>
      <c r="AJ385" s="101"/>
      <c r="AK385" s="101"/>
      <c r="AL385" s="101"/>
      <c r="AM385" s="101"/>
      <c r="AN385" s="100" t="s">
        <v>89</v>
      </c>
      <c r="AO385" s="101"/>
      <c r="AP385" s="100" t="s">
        <v>89</v>
      </c>
      <c r="AQ385" s="100" t="s">
        <v>888</v>
      </c>
      <c r="AR385" s="100" t="s">
        <v>417</v>
      </c>
      <c r="AS385" s="101"/>
      <c r="AT385" s="101"/>
      <c r="AU385" s="101"/>
      <c r="AV385" s="101"/>
      <c r="AW385" s="101"/>
      <c r="AX385" s="101"/>
      <c r="AY385" s="101"/>
      <c r="AZ385" s="101"/>
      <c r="BA385" s="100">
        <v>2</v>
      </c>
      <c r="BB385" s="101"/>
      <c r="BC385" s="101"/>
      <c r="BD385" s="101"/>
      <c r="BE385" s="101"/>
      <c r="BF385" s="101"/>
      <c r="BG385" s="101"/>
      <c r="BH385" s="101"/>
      <c r="BI385" s="101"/>
      <c r="BJ385" s="101"/>
      <c r="BK385" s="101"/>
      <c r="BL385" s="101"/>
      <c r="BM385" s="101"/>
      <c r="BN385" s="101"/>
      <c r="BO385" s="101"/>
      <c r="BP385" s="101"/>
      <c r="BQ385" s="101"/>
    </row>
    <row r="386" spans="9:69">
      <c r="I386" s="220" t="s">
        <v>155</v>
      </c>
      <c r="J386" s="220" t="s">
        <v>936</v>
      </c>
      <c r="K386" s="221">
        <f t="shared" ref="K386:M386" si="189">K385</f>
        <v>10</v>
      </c>
      <c r="L386" s="221">
        <f t="shared" si="189"/>
        <v>5</v>
      </c>
      <c r="M386" s="221">
        <f t="shared" si="189"/>
        <v>13</v>
      </c>
      <c r="N386" s="101"/>
      <c r="O386" s="101"/>
      <c r="P386" s="101"/>
      <c r="Q386" s="101"/>
      <c r="R386" s="101"/>
      <c r="S386" s="101"/>
      <c r="T386" s="94" t="e">
        <f>IBU_WasherSw</f>
        <v>#NAME?</v>
      </c>
      <c r="U386" s="100" t="s">
        <v>1715</v>
      </c>
      <c r="V386" s="95">
        <v>1</v>
      </c>
      <c r="W386" s="101"/>
      <c r="X386" s="101"/>
      <c r="Y386" s="101"/>
      <c r="Z386" s="101"/>
      <c r="AA386" s="101"/>
      <c r="AB386" s="101"/>
      <c r="AC386" s="101"/>
      <c r="AD386" s="101"/>
      <c r="AE386" s="101"/>
      <c r="AF386" s="101"/>
      <c r="AG386" s="101"/>
      <c r="AH386" s="101"/>
      <c r="AI386" s="101"/>
      <c r="AJ386" s="101"/>
      <c r="AK386" s="101"/>
      <c r="AL386" s="101"/>
      <c r="AM386" s="101"/>
      <c r="AN386" s="100" t="s">
        <v>89</v>
      </c>
      <c r="AO386" s="101"/>
      <c r="AP386" s="100" t="s">
        <v>49</v>
      </c>
      <c r="AQ386" s="100" t="s">
        <v>51</v>
      </c>
      <c r="AR386" s="100" t="s">
        <v>51</v>
      </c>
      <c r="AS386" s="101"/>
      <c r="AT386" s="101"/>
      <c r="AU386" s="101"/>
      <c r="AV386" s="101"/>
      <c r="AW386" s="101"/>
      <c r="AX386" s="101"/>
      <c r="AY386" s="101"/>
      <c r="AZ386" s="101"/>
      <c r="BA386" s="100">
        <v>2</v>
      </c>
      <c r="BB386" s="101"/>
      <c r="BC386" s="101"/>
      <c r="BD386" s="101"/>
      <c r="BE386" s="101"/>
      <c r="BF386" s="101"/>
      <c r="BG386" s="101"/>
      <c r="BH386" s="101"/>
      <c r="BI386" s="101"/>
      <c r="BJ386" s="101"/>
      <c r="BK386" s="101"/>
      <c r="BL386" s="101"/>
      <c r="BM386" s="101"/>
      <c r="BN386" s="101"/>
      <c r="BO386" s="101"/>
      <c r="BP386" s="101"/>
      <c r="BQ386" s="101"/>
    </row>
    <row r="387" spans="9:69" ht="13.5">
      <c r="I387" s="108" t="s">
        <v>7</v>
      </c>
      <c r="J387" s="108" t="s">
        <v>937</v>
      </c>
      <c r="K387" s="109" t="s">
        <v>827</v>
      </c>
      <c r="L387" s="109"/>
      <c r="M387" s="109"/>
      <c r="N387" s="109"/>
      <c r="O387" s="109"/>
      <c r="P387" s="109"/>
      <c r="Q387" s="109"/>
      <c r="R387" s="109"/>
      <c r="S387" s="109"/>
      <c r="T387" s="109"/>
      <c r="U387" s="110"/>
      <c r="V387" s="110"/>
      <c r="W387" s="109"/>
      <c r="X387" s="109"/>
      <c r="Y387" s="109"/>
      <c r="Z387" s="109"/>
      <c r="AA387" s="109"/>
      <c r="AB387" s="109"/>
      <c r="AC387" s="109"/>
      <c r="AD387" s="109"/>
      <c r="AE387" s="109"/>
      <c r="AF387" s="109"/>
      <c r="AG387" s="109"/>
      <c r="AH387" s="109"/>
      <c r="AI387" s="109"/>
      <c r="AJ387" s="109"/>
      <c r="AK387" s="109"/>
      <c r="AL387" s="109"/>
      <c r="AM387" s="109"/>
      <c r="AN387" s="109"/>
      <c r="AO387" s="109"/>
      <c r="AP387" s="109"/>
      <c r="AQ387" s="109"/>
      <c r="AR387" s="109"/>
      <c r="AS387" s="109"/>
      <c r="AT387" s="109"/>
      <c r="AU387" s="109"/>
      <c r="AV387" s="109"/>
      <c r="AW387" s="109"/>
      <c r="AX387" s="109"/>
      <c r="AY387" s="109"/>
      <c r="AZ387" s="109"/>
      <c r="BA387" s="109"/>
      <c r="BB387" s="109"/>
      <c r="BC387" s="109"/>
      <c r="BD387" s="109"/>
      <c r="BE387" s="109"/>
      <c r="BF387" s="109"/>
      <c r="BG387" s="109"/>
      <c r="BH387" s="109"/>
      <c r="BI387" s="109"/>
      <c r="BJ387" s="109"/>
      <c r="BK387" s="109"/>
      <c r="BL387" s="109"/>
      <c r="BM387" s="109"/>
      <c r="BN387" s="109"/>
      <c r="BO387" s="109"/>
      <c r="BP387" s="109"/>
      <c r="BQ387" s="109"/>
    </row>
    <row r="388" spans="9:69">
      <c r="I388" s="96" t="s">
        <v>48</v>
      </c>
      <c r="J388" s="96" t="s">
        <v>938</v>
      </c>
      <c r="K388" s="221">
        <f>K385</f>
        <v>10</v>
      </c>
      <c r="L388" s="221">
        <f t="shared" ref="L388:M388" si="190">L385</f>
        <v>5</v>
      </c>
      <c r="M388" s="221">
        <f t="shared" si="190"/>
        <v>13</v>
      </c>
      <c r="N388" s="101"/>
      <c r="O388" s="101"/>
      <c r="P388" s="101"/>
      <c r="Q388" s="101"/>
      <c r="R388" s="101"/>
      <c r="S388" s="101"/>
      <c r="T388" s="94" t="s">
        <v>409</v>
      </c>
      <c r="U388" s="95" t="s">
        <v>420</v>
      </c>
      <c r="V388" s="95">
        <v>10</v>
      </c>
      <c r="W388" s="101"/>
      <c r="X388" s="101"/>
      <c r="Y388" s="101"/>
      <c r="Z388" s="101"/>
      <c r="AA388" s="101"/>
      <c r="AB388" s="101"/>
      <c r="AC388" s="101"/>
      <c r="AD388" s="101"/>
      <c r="AE388" s="101"/>
      <c r="AF388" s="101"/>
      <c r="AG388" s="101"/>
      <c r="AH388" s="101"/>
      <c r="AI388" s="101"/>
      <c r="AJ388" s="101"/>
      <c r="AK388" s="101"/>
      <c r="AL388" s="101"/>
      <c r="AM388" s="101"/>
      <c r="AN388" s="100" t="s">
        <v>89</v>
      </c>
      <c r="AO388" s="101"/>
      <c r="AP388" s="100" t="s">
        <v>89</v>
      </c>
      <c r="AQ388" s="100" t="s">
        <v>50</v>
      </c>
      <c r="AR388" s="100" t="s">
        <v>417</v>
      </c>
      <c r="AS388" s="101"/>
      <c r="AT388" s="101"/>
      <c r="AU388" s="101"/>
      <c r="AV388" s="101"/>
      <c r="AW388" s="101"/>
      <c r="AX388" s="101"/>
      <c r="AY388" s="101"/>
      <c r="AZ388" s="101"/>
      <c r="BA388" s="100">
        <v>2</v>
      </c>
      <c r="BB388" s="101"/>
      <c r="BC388" s="101"/>
      <c r="BD388" s="101"/>
      <c r="BE388" s="101"/>
      <c r="BF388" s="101"/>
      <c r="BG388" s="101"/>
      <c r="BH388" s="101"/>
      <c r="BI388" s="101"/>
      <c r="BJ388" s="101"/>
      <c r="BK388" s="101"/>
      <c r="BL388" s="101"/>
      <c r="BM388" s="101"/>
      <c r="BN388" s="101"/>
      <c r="BO388" s="101"/>
      <c r="BP388" s="101"/>
      <c r="BQ388" s="101"/>
    </row>
    <row r="389" spans="9:69">
      <c r="I389" s="220" t="s">
        <v>155</v>
      </c>
      <c r="J389" s="220" t="s">
        <v>939</v>
      </c>
      <c r="K389" s="221">
        <f>K388</f>
        <v>10</v>
      </c>
      <c r="L389" s="221">
        <f t="shared" ref="L389:M389" si="191">L388</f>
        <v>5</v>
      </c>
      <c r="M389" s="221">
        <f t="shared" si="191"/>
        <v>13</v>
      </c>
      <c r="N389" s="101"/>
      <c r="O389" s="101"/>
      <c r="P389" s="101"/>
      <c r="Q389" s="101"/>
      <c r="R389" s="101"/>
      <c r="S389" s="101"/>
      <c r="T389" s="94" t="e">
        <f>WshFldUSMSet</f>
        <v>#NAME?</v>
      </c>
      <c r="U389" s="100">
        <v>1</v>
      </c>
      <c r="V389" s="95">
        <v>1</v>
      </c>
      <c r="W389" s="101"/>
      <c r="X389" s="101"/>
      <c r="Y389" s="101"/>
      <c r="Z389" s="101"/>
      <c r="AA389" s="101"/>
      <c r="AB389" s="101"/>
      <c r="AC389" s="101"/>
      <c r="AD389" s="101"/>
      <c r="AE389" s="101"/>
      <c r="AF389" s="101"/>
      <c r="AG389" s="101"/>
      <c r="AH389" s="101"/>
      <c r="AI389" s="101"/>
      <c r="AJ389" s="101"/>
      <c r="AK389" s="101"/>
      <c r="AL389" s="101"/>
      <c r="AM389" s="101"/>
      <c r="AN389" s="100" t="s">
        <v>89</v>
      </c>
      <c r="AO389" s="101"/>
      <c r="AP389" s="100" t="s">
        <v>89</v>
      </c>
      <c r="AQ389" s="100" t="s">
        <v>50</v>
      </c>
      <c r="AR389" s="100" t="s">
        <v>417</v>
      </c>
      <c r="AS389" s="101"/>
      <c r="AT389" s="101"/>
      <c r="AU389" s="101"/>
      <c r="AV389" s="101"/>
      <c r="AW389" s="101"/>
      <c r="AX389" s="101"/>
      <c r="AY389" s="101"/>
      <c r="AZ389" s="101"/>
      <c r="BA389" s="100">
        <v>1</v>
      </c>
      <c r="BB389" s="101"/>
      <c r="BC389" s="101"/>
      <c r="BD389" s="101"/>
      <c r="BE389" s="101"/>
      <c r="BF389" s="101"/>
      <c r="BG389" s="101"/>
      <c r="BH389" s="101"/>
      <c r="BI389" s="101"/>
      <c r="BJ389" s="101"/>
      <c r="BK389" s="101"/>
      <c r="BL389" s="101"/>
      <c r="BM389" s="101"/>
      <c r="BN389" s="101"/>
      <c r="BO389" s="101"/>
      <c r="BP389" s="101"/>
      <c r="BQ389" s="101"/>
    </row>
    <row r="390" spans="9:69">
      <c r="I390" s="220" t="s">
        <v>155</v>
      </c>
      <c r="J390" s="220" t="s">
        <v>1877</v>
      </c>
      <c r="K390" s="221">
        <f t="shared" ref="K390:M391" si="192">K389</f>
        <v>10</v>
      </c>
      <c r="L390" s="221">
        <f t="shared" si="192"/>
        <v>5</v>
      </c>
      <c r="M390" s="221">
        <f t="shared" si="192"/>
        <v>13</v>
      </c>
      <c r="N390" s="101"/>
      <c r="O390" s="101"/>
      <c r="P390" s="101"/>
      <c r="Q390" s="101"/>
      <c r="R390" s="101"/>
      <c r="S390" s="101"/>
      <c r="T390" s="94" t="e">
        <f>WshFldUSMSet</f>
        <v>#NAME?</v>
      </c>
      <c r="U390" s="100">
        <v>2</v>
      </c>
      <c r="V390" s="95">
        <v>1</v>
      </c>
      <c r="W390" s="101"/>
      <c r="X390" s="101"/>
      <c r="Y390" s="101"/>
      <c r="Z390" s="101"/>
      <c r="AA390" s="101"/>
      <c r="AB390" s="101"/>
      <c r="AC390" s="101"/>
      <c r="AD390" s="101"/>
      <c r="AE390" s="101"/>
      <c r="AF390" s="101"/>
      <c r="AG390" s="101"/>
      <c r="AH390" s="101"/>
      <c r="AI390" s="101"/>
      <c r="AJ390" s="101"/>
      <c r="AK390" s="101"/>
      <c r="AL390" s="101"/>
      <c r="AM390" s="101"/>
      <c r="AN390" s="100" t="s">
        <v>89</v>
      </c>
      <c r="AO390" s="101"/>
      <c r="AP390" s="100" t="s">
        <v>89</v>
      </c>
      <c r="AQ390" s="100" t="s">
        <v>50</v>
      </c>
      <c r="AR390" s="100" t="s">
        <v>417</v>
      </c>
      <c r="AS390" s="101"/>
      <c r="AT390" s="101"/>
      <c r="AU390" s="101"/>
      <c r="AV390" s="101"/>
      <c r="AW390" s="101"/>
      <c r="AX390" s="101"/>
      <c r="AY390" s="101"/>
      <c r="AZ390" s="101"/>
      <c r="BA390" s="100">
        <v>2</v>
      </c>
      <c r="BB390" s="101"/>
      <c r="BC390" s="101"/>
      <c r="BD390" s="101"/>
      <c r="BE390" s="101"/>
      <c r="BF390" s="101"/>
      <c r="BG390" s="101"/>
      <c r="BH390" s="101"/>
      <c r="BI390" s="101"/>
      <c r="BJ390" s="101"/>
      <c r="BK390" s="101"/>
      <c r="BL390" s="101"/>
      <c r="BM390" s="101"/>
      <c r="BN390" s="101"/>
      <c r="BO390" s="101"/>
      <c r="BP390" s="101"/>
      <c r="BQ390" s="101"/>
    </row>
    <row r="391" spans="9:69">
      <c r="I391" s="220" t="s">
        <v>155</v>
      </c>
      <c r="J391" s="220" t="s">
        <v>1876</v>
      </c>
      <c r="K391" s="221">
        <f t="shared" si="192"/>
        <v>10</v>
      </c>
      <c r="L391" s="221">
        <f t="shared" si="192"/>
        <v>5</v>
      </c>
      <c r="M391" s="221">
        <f t="shared" si="192"/>
        <v>13</v>
      </c>
      <c r="N391" s="101"/>
      <c r="O391" s="101"/>
      <c r="P391" s="101"/>
      <c r="Q391" s="101"/>
      <c r="R391" s="101"/>
      <c r="S391" s="101"/>
      <c r="T391" s="94" t="s">
        <v>209</v>
      </c>
      <c r="U391" s="100" t="s">
        <v>527</v>
      </c>
      <c r="V391" s="95">
        <v>1</v>
      </c>
      <c r="W391" s="101"/>
      <c r="X391" s="101"/>
      <c r="Y391" s="101"/>
      <c r="Z391" s="101"/>
      <c r="AA391" s="101"/>
      <c r="AB391" s="101"/>
      <c r="AC391" s="101"/>
      <c r="AD391" s="101"/>
      <c r="AE391" s="101"/>
      <c r="AF391" s="101"/>
      <c r="AG391" s="101"/>
      <c r="AH391" s="101"/>
      <c r="AI391" s="101"/>
      <c r="AJ391" s="101"/>
      <c r="AK391" s="101"/>
      <c r="AL391" s="101"/>
      <c r="AM391" s="101"/>
      <c r="AN391" s="101"/>
      <c r="AO391" s="101"/>
      <c r="AP391" s="101"/>
      <c r="AQ391" s="101"/>
      <c r="AR391" s="101"/>
      <c r="AS391" s="101"/>
      <c r="AT391" s="101"/>
      <c r="AU391" s="101"/>
      <c r="AV391" s="101"/>
      <c r="AW391" s="101"/>
      <c r="AX391" s="101"/>
      <c r="AY391" s="101"/>
      <c r="AZ391" s="101"/>
      <c r="BA391" s="100">
        <v>2</v>
      </c>
      <c r="BB391" s="101"/>
      <c r="BC391" s="101"/>
      <c r="BD391" s="101"/>
      <c r="BE391" s="101"/>
      <c r="BF391" s="101"/>
      <c r="BG391" s="101"/>
      <c r="BH391" s="101"/>
      <c r="BI391" s="101"/>
      <c r="BJ391" s="101"/>
      <c r="BK391" s="101"/>
      <c r="BL391" s="101"/>
      <c r="BM391" s="101"/>
      <c r="BN391" s="101"/>
      <c r="BO391" s="101"/>
      <c r="BP391" s="101"/>
      <c r="BQ391" s="101"/>
    </row>
    <row r="392" spans="9:69" ht="13.5">
      <c r="I392" s="108" t="s">
        <v>7</v>
      </c>
      <c r="J392" s="108" t="s">
        <v>1869</v>
      </c>
      <c r="K392" s="109" t="s">
        <v>827</v>
      </c>
      <c r="L392" s="109"/>
      <c r="M392" s="109"/>
      <c r="N392" s="109"/>
      <c r="O392" s="109"/>
      <c r="P392" s="109"/>
      <c r="Q392" s="109"/>
      <c r="R392" s="109"/>
      <c r="S392" s="109"/>
      <c r="T392" s="109"/>
      <c r="U392" s="110"/>
      <c r="V392" s="110"/>
      <c r="W392" s="109"/>
      <c r="X392" s="109"/>
      <c r="Y392" s="109"/>
      <c r="Z392" s="109"/>
      <c r="AA392" s="109"/>
      <c r="AB392" s="109"/>
      <c r="AC392" s="109"/>
      <c r="AD392" s="109"/>
      <c r="AE392" s="109"/>
      <c r="AF392" s="109"/>
      <c r="AG392" s="109"/>
      <c r="AH392" s="109"/>
      <c r="AI392" s="109"/>
      <c r="AJ392" s="109"/>
      <c r="AK392" s="109"/>
      <c r="AL392" s="109"/>
      <c r="AM392" s="109"/>
      <c r="AN392" s="109"/>
      <c r="AO392" s="109"/>
      <c r="AP392" s="109"/>
      <c r="AQ392" s="109"/>
      <c r="AR392" s="109"/>
      <c r="AS392" s="109"/>
      <c r="AT392" s="109"/>
      <c r="AU392" s="109"/>
      <c r="AV392" s="109"/>
      <c r="AW392" s="109"/>
      <c r="AX392" s="109"/>
      <c r="AY392" s="109"/>
      <c r="AZ392" s="109"/>
      <c r="BA392" s="109"/>
      <c r="BB392" s="109"/>
      <c r="BC392" s="109"/>
      <c r="BD392" s="109"/>
      <c r="BE392" s="109"/>
      <c r="BF392" s="109"/>
      <c r="BG392" s="109"/>
      <c r="BH392" s="109"/>
      <c r="BI392" s="109"/>
      <c r="BJ392" s="109"/>
      <c r="BK392" s="109"/>
      <c r="BL392" s="109"/>
      <c r="BM392" s="109"/>
      <c r="BN392" s="109"/>
      <c r="BO392" s="109"/>
      <c r="BP392" s="109"/>
      <c r="BQ392" s="109"/>
    </row>
    <row r="393" spans="9:69">
      <c r="I393" s="96" t="s">
        <v>48</v>
      </c>
      <c r="J393" s="96" t="s">
        <v>1870</v>
      </c>
      <c r="K393" s="221">
        <f>K390</f>
        <v>10</v>
      </c>
      <c r="L393" s="221">
        <f t="shared" ref="L393:M393" si="193">L390</f>
        <v>5</v>
      </c>
      <c r="M393" s="221">
        <f t="shared" si="193"/>
        <v>13</v>
      </c>
      <c r="N393" s="101"/>
      <c r="O393" s="101"/>
      <c r="P393" s="101"/>
      <c r="Q393" s="101"/>
      <c r="R393" s="101"/>
      <c r="S393" s="101"/>
      <c r="T393" s="94" t="s">
        <v>409</v>
      </c>
      <c r="U393" s="95" t="s">
        <v>420</v>
      </c>
      <c r="V393" s="95">
        <v>10</v>
      </c>
      <c r="W393" s="101"/>
      <c r="X393" s="101"/>
      <c r="Y393" s="101"/>
      <c r="Z393" s="101"/>
      <c r="AA393" s="101"/>
      <c r="AB393" s="101"/>
      <c r="AC393" s="101"/>
      <c r="AD393" s="101"/>
      <c r="AE393" s="101"/>
      <c r="AF393" s="101"/>
      <c r="AG393" s="101"/>
      <c r="AH393" s="101"/>
      <c r="AI393" s="101"/>
      <c r="AJ393" s="101"/>
      <c r="AK393" s="101"/>
      <c r="AL393" s="101"/>
      <c r="AM393" s="101"/>
      <c r="AN393" s="100" t="s">
        <v>89</v>
      </c>
      <c r="AO393" s="101"/>
      <c r="AP393" s="100" t="s">
        <v>89</v>
      </c>
      <c r="AQ393" s="100" t="s">
        <v>50</v>
      </c>
      <c r="AR393" s="100" t="s">
        <v>417</v>
      </c>
      <c r="AS393" s="101"/>
      <c r="AT393" s="101"/>
      <c r="AU393" s="101"/>
      <c r="AV393" s="101"/>
      <c r="AW393" s="101"/>
      <c r="AX393" s="101"/>
      <c r="AY393" s="101"/>
      <c r="AZ393" s="101"/>
      <c r="BA393" s="100">
        <v>2</v>
      </c>
      <c r="BB393" s="101"/>
      <c r="BC393" s="101"/>
      <c r="BD393" s="101"/>
      <c r="BE393" s="101"/>
      <c r="BF393" s="101"/>
      <c r="BG393" s="101"/>
      <c r="BH393" s="101"/>
      <c r="BI393" s="101"/>
      <c r="BJ393" s="101"/>
      <c r="BK393" s="101"/>
      <c r="BL393" s="101"/>
      <c r="BM393" s="101"/>
      <c r="BN393" s="101"/>
      <c r="BO393" s="101"/>
      <c r="BP393" s="101"/>
      <c r="BQ393" s="101"/>
    </row>
    <row r="394" spans="9:69">
      <c r="I394" s="220" t="s">
        <v>155</v>
      </c>
      <c r="J394" s="220" t="s">
        <v>1871</v>
      </c>
      <c r="K394" s="221">
        <f>K393</f>
        <v>10</v>
      </c>
      <c r="L394" s="221">
        <f t="shared" ref="L394:M398" si="194">L393</f>
        <v>5</v>
      </c>
      <c r="M394" s="221">
        <f t="shared" si="194"/>
        <v>13</v>
      </c>
      <c r="N394" s="101"/>
      <c r="O394" s="101"/>
      <c r="P394" s="101"/>
      <c r="Q394" s="101"/>
      <c r="R394" s="101"/>
      <c r="S394" s="101"/>
      <c r="T394" s="94" t="e">
        <f>WshFldUSMSet</f>
        <v>#NAME?</v>
      </c>
      <c r="U394" s="100">
        <v>1</v>
      </c>
      <c r="V394" s="95">
        <v>1</v>
      </c>
      <c r="W394" s="101"/>
      <c r="X394" s="101"/>
      <c r="Y394" s="101"/>
      <c r="Z394" s="101"/>
      <c r="AA394" s="101"/>
      <c r="AB394" s="101"/>
      <c r="AC394" s="101"/>
      <c r="AD394" s="101"/>
      <c r="AE394" s="101"/>
      <c r="AF394" s="101"/>
      <c r="AG394" s="101"/>
      <c r="AH394" s="101"/>
      <c r="AI394" s="101"/>
      <c r="AJ394" s="101"/>
      <c r="AK394" s="101"/>
      <c r="AL394" s="101"/>
      <c r="AM394" s="101"/>
      <c r="AN394" s="100" t="s">
        <v>89</v>
      </c>
      <c r="AO394" s="101"/>
      <c r="AP394" s="100" t="s">
        <v>89</v>
      </c>
      <c r="AQ394" s="100" t="s">
        <v>50</v>
      </c>
      <c r="AR394" s="100" t="s">
        <v>417</v>
      </c>
      <c r="AS394" s="101"/>
      <c r="AT394" s="101"/>
      <c r="AU394" s="101"/>
      <c r="AV394" s="101"/>
      <c r="AW394" s="101"/>
      <c r="AX394" s="101"/>
      <c r="AY394" s="101"/>
      <c r="AZ394" s="101"/>
      <c r="BA394" s="100">
        <v>1</v>
      </c>
      <c r="BB394" s="101"/>
      <c r="BC394" s="101"/>
      <c r="BD394" s="101"/>
      <c r="BE394" s="101"/>
      <c r="BF394" s="101"/>
      <c r="BG394" s="101"/>
      <c r="BH394" s="101"/>
      <c r="BI394" s="101"/>
      <c r="BJ394" s="101"/>
      <c r="BK394" s="101"/>
      <c r="BL394" s="101"/>
      <c r="BM394" s="101"/>
      <c r="BN394" s="101"/>
      <c r="BO394" s="101"/>
      <c r="BP394" s="101"/>
      <c r="BQ394" s="101"/>
    </row>
    <row r="395" spans="9:69">
      <c r="I395" s="220" t="s">
        <v>155</v>
      </c>
      <c r="J395" s="220" t="s">
        <v>1872</v>
      </c>
      <c r="K395" s="221">
        <f t="shared" ref="K395:K398" si="195">K394</f>
        <v>10</v>
      </c>
      <c r="L395" s="221">
        <f t="shared" si="194"/>
        <v>5</v>
      </c>
      <c r="M395" s="221">
        <f t="shared" si="194"/>
        <v>13</v>
      </c>
      <c r="N395" s="101"/>
      <c r="O395" s="101"/>
      <c r="P395" s="101"/>
      <c r="Q395" s="101"/>
      <c r="R395" s="101"/>
      <c r="S395" s="101"/>
      <c r="T395" s="94" t="e">
        <f>IBU_WasherSw</f>
        <v>#NAME?</v>
      </c>
      <c r="U395" s="100" t="s">
        <v>1715</v>
      </c>
      <c r="V395" s="95">
        <v>1</v>
      </c>
      <c r="W395" s="101"/>
      <c r="X395" s="101"/>
      <c r="Y395" s="101"/>
      <c r="Z395" s="101"/>
      <c r="AA395" s="101"/>
      <c r="AB395" s="101"/>
      <c r="AC395" s="101"/>
      <c r="AD395" s="101"/>
      <c r="AE395" s="101"/>
      <c r="AF395" s="101"/>
      <c r="AG395" s="101"/>
      <c r="AH395" s="101"/>
      <c r="AI395" s="101"/>
      <c r="AJ395" s="101"/>
      <c r="AK395" s="101"/>
      <c r="AL395" s="101"/>
      <c r="AM395" s="101"/>
      <c r="AN395" s="100" t="s">
        <v>89</v>
      </c>
      <c r="AO395" s="101"/>
      <c r="AP395" s="100" t="s">
        <v>89</v>
      </c>
      <c r="AQ395" s="100" t="s">
        <v>50</v>
      </c>
      <c r="AR395" s="100" t="s">
        <v>417</v>
      </c>
      <c r="AS395" s="101"/>
      <c r="AT395" s="101"/>
      <c r="AU395" s="101"/>
      <c r="AV395" s="101"/>
      <c r="AW395" s="101"/>
      <c r="AX395" s="101"/>
      <c r="AY395" s="101"/>
      <c r="AZ395" s="101"/>
      <c r="BA395" s="100">
        <v>1</v>
      </c>
      <c r="BB395" s="101"/>
      <c r="BC395" s="101"/>
      <c r="BD395" s="101"/>
      <c r="BE395" s="101"/>
      <c r="BF395" s="101"/>
      <c r="BG395" s="101"/>
      <c r="BH395" s="101"/>
      <c r="BI395" s="101"/>
      <c r="BJ395" s="101"/>
      <c r="BK395" s="101"/>
      <c r="BL395" s="101"/>
      <c r="BM395" s="101"/>
      <c r="BN395" s="101"/>
      <c r="BO395" s="101"/>
      <c r="BP395" s="101"/>
      <c r="BQ395" s="101"/>
    </row>
    <row r="396" spans="9:69">
      <c r="I396" s="220" t="s">
        <v>155</v>
      </c>
      <c r="J396" s="220" t="s">
        <v>1873</v>
      </c>
      <c r="K396" s="221">
        <f t="shared" si="195"/>
        <v>10</v>
      </c>
      <c r="L396" s="221">
        <f t="shared" si="194"/>
        <v>5</v>
      </c>
      <c r="M396" s="221">
        <f t="shared" si="194"/>
        <v>13</v>
      </c>
      <c r="N396" s="101"/>
      <c r="O396" s="101"/>
      <c r="P396" s="101"/>
      <c r="Q396" s="101"/>
      <c r="R396" s="101"/>
      <c r="S396" s="101"/>
      <c r="T396" s="94" t="e">
        <f>WshFldUSMSet</f>
        <v>#NAME?</v>
      </c>
      <c r="U396" s="100">
        <v>2</v>
      </c>
      <c r="V396" s="95">
        <v>1</v>
      </c>
      <c r="W396" s="101"/>
      <c r="X396" s="101"/>
      <c r="Y396" s="101"/>
      <c r="Z396" s="101"/>
      <c r="AA396" s="101"/>
      <c r="AB396" s="101"/>
      <c r="AC396" s="101"/>
      <c r="AD396" s="101"/>
      <c r="AE396" s="101"/>
      <c r="AF396" s="101"/>
      <c r="AG396" s="101"/>
      <c r="AH396" s="101"/>
      <c r="AI396" s="101"/>
      <c r="AJ396" s="101"/>
      <c r="AK396" s="101"/>
      <c r="AL396" s="101"/>
      <c r="AM396" s="101"/>
      <c r="AN396" s="100" t="s">
        <v>89</v>
      </c>
      <c r="AO396" s="101"/>
      <c r="AP396" s="100" t="s">
        <v>89</v>
      </c>
      <c r="AQ396" s="100" t="s">
        <v>50</v>
      </c>
      <c r="AR396" s="100" t="s">
        <v>417</v>
      </c>
      <c r="AS396" s="101"/>
      <c r="AT396" s="101"/>
      <c r="AU396" s="101"/>
      <c r="AV396" s="101"/>
      <c r="AW396" s="101"/>
      <c r="AX396" s="101"/>
      <c r="AY396" s="101"/>
      <c r="AZ396" s="101"/>
      <c r="BA396" s="100">
        <v>2</v>
      </c>
      <c r="BB396" s="101"/>
      <c r="BC396" s="101"/>
      <c r="BD396" s="101"/>
      <c r="BE396" s="101"/>
      <c r="BF396" s="101"/>
      <c r="BG396" s="101"/>
      <c r="BH396" s="101"/>
      <c r="BI396" s="101"/>
      <c r="BJ396" s="101"/>
      <c r="BK396" s="101"/>
      <c r="BL396" s="101"/>
      <c r="BM396" s="101"/>
      <c r="BN396" s="101"/>
      <c r="BO396" s="101"/>
      <c r="BP396" s="101"/>
      <c r="BQ396" s="101"/>
    </row>
    <row r="397" spans="9:69">
      <c r="I397" s="220" t="s">
        <v>155</v>
      </c>
      <c r="J397" s="220" t="s">
        <v>1874</v>
      </c>
      <c r="K397" s="221">
        <f t="shared" si="195"/>
        <v>10</v>
      </c>
      <c r="L397" s="221">
        <f t="shared" si="194"/>
        <v>5</v>
      </c>
      <c r="M397" s="221">
        <f t="shared" si="194"/>
        <v>13</v>
      </c>
      <c r="N397" s="101"/>
      <c r="O397" s="101"/>
      <c r="P397" s="101"/>
      <c r="Q397" s="101"/>
      <c r="R397" s="101"/>
      <c r="S397" s="101"/>
      <c r="T397" s="94" t="e">
        <f>IBU_WasherSw</f>
        <v>#NAME?</v>
      </c>
      <c r="U397" s="100" t="s">
        <v>1715</v>
      </c>
      <c r="V397" s="95">
        <v>1</v>
      </c>
      <c r="W397" s="101"/>
      <c r="X397" s="101"/>
      <c r="Y397" s="101"/>
      <c r="Z397" s="101"/>
      <c r="AA397" s="101"/>
      <c r="AB397" s="101"/>
      <c r="AC397" s="101"/>
      <c r="AD397" s="101"/>
      <c r="AE397" s="101"/>
      <c r="AF397" s="101"/>
      <c r="AG397" s="101"/>
      <c r="AH397" s="101"/>
      <c r="AI397" s="101"/>
      <c r="AJ397" s="101"/>
      <c r="AK397" s="101"/>
      <c r="AL397" s="101"/>
      <c r="AM397" s="101"/>
      <c r="AN397" s="100" t="s">
        <v>89</v>
      </c>
      <c r="AO397" s="101"/>
      <c r="AP397" s="100" t="s">
        <v>49</v>
      </c>
      <c r="AQ397" s="100" t="s">
        <v>51</v>
      </c>
      <c r="AR397" s="100" t="s">
        <v>51</v>
      </c>
      <c r="AS397" s="101"/>
      <c r="AT397" s="101"/>
      <c r="AU397" s="101"/>
      <c r="AV397" s="101"/>
      <c r="AW397" s="101"/>
      <c r="AX397" s="101"/>
      <c r="AY397" s="101"/>
      <c r="AZ397" s="101"/>
      <c r="BA397" s="100">
        <v>2</v>
      </c>
      <c r="BB397" s="101"/>
      <c r="BC397" s="101"/>
      <c r="BD397" s="101"/>
      <c r="BE397" s="101"/>
      <c r="BF397" s="101"/>
      <c r="BG397" s="101"/>
      <c r="BH397" s="101"/>
      <c r="BI397" s="101"/>
      <c r="BJ397" s="101"/>
      <c r="BK397" s="101"/>
      <c r="BL397" s="101"/>
      <c r="BM397" s="101"/>
      <c r="BN397" s="101"/>
      <c r="BO397" s="101"/>
      <c r="BP397" s="101"/>
      <c r="BQ397" s="101"/>
    </row>
    <row r="398" spans="9:69">
      <c r="I398" s="220" t="s">
        <v>155</v>
      </c>
      <c r="J398" s="220" t="s">
        <v>1875</v>
      </c>
      <c r="K398" s="221">
        <f t="shared" si="195"/>
        <v>10</v>
      </c>
      <c r="L398" s="221">
        <f t="shared" si="194"/>
        <v>5</v>
      </c>
      <c r="M398" s="221">
        <f t="shared" si="194"/>
        <v>13</v>
      </c>
      <c r="N398" s="101"/>
      <c r="O398" s="101"/>
      <c r="P398" s="101"/>
      <c r="Q398" s="101"/>
      <c r="R398" s="101"/>
      <c r="S398" s="101"/>
      <c r="T398" s="94" t="s">
        <v>209</v>
      </c>
      <c r="U398" s="100" t="s">
        <v>527</v>
      </c>
      <c r="V398" s="95">
        <v>1</v>
      </c>
      <c r="W398" s="101"/>
      <c r="X398" s="101"/>
      <c r="Y398" s="101"/>
      <c r="Z398" s="101"/>
      <c r="AA398" s="101"/>
      <c r="AB398" s="101"/>
      <c r="AC398" s="101"/>
      <c r="AD398" s="101"/>
      <c r="AE398" s="101"/>
      <c r="AF398" s="101"/>
      <c r="AG398" s="101"/>
      <c r="AH398" s="101"/>
      <c r="AI398" s="101"/>
      <c r="AJ398" s="101"/>
      <c r="AK398" s="101"/>
      <c r="AL398" s="101"/>
      <c r="AM398" s="101"/>
      <c r="AN398" s="101"/>
      <c r="AO398" s="101"/>
      <c r="AP398" s="101"/>
      <c r="AQ398" s="101"/>
      <c r="AR398" s="101"/>
      <c r="AS398" s="101"/>
      <c r="AT398" s="101"/>
      <c r="AU398" s="101"/>
      <c r="AV398" s="101"/>
      <c r="AW398" s="101"/>
      <c r="AX398" s="101"/>
      <c r="AY398" s="101"/>
      <c r="AZ398" s="101"/>
      <c r="BA398" s="100">
        <v>2</v>
      </c>
      <c r="BB398" s="101"/>
      <c r="BC398" s="101"/>
      <c r="BD398" s="101"/>
      <c r="BE398" s="101"/>
      <c r="BF398" s="101"/>
      <c r="BG398" s="101"/>
      <c r="BH398" s="101"/>
      <c r="BI398" s="101"/>
      <c r="BJ398" s="101"/>
      <c r="BK398" s="101"/>
      <c r="BL398" s="101"/>
      <c r="BM398" s="101"/>
      <c r="BN398" s="101"/>
      <c r="BO398" s="101"/>
      <c r="BP398" s="101"/>
      <c r="BQ398" s="101"/>
    </row>
    <row r="399" spans="9:69">
      <c r="I399" s="255">
        <f>COUNTIF(I400:I404,"&lt;&gt;TS")</f>
        <v>4</v>
      </c>
      <c r="J399" s="106" t="s">
        <v>944</v>
      </c>
      <c r="K399" s="106" t="s">
        <v>1880</v>
      </c>
      <c r="L399" s="106"/>
      <c r="M399" s="106"/>
      <c r="N399" s="106"/>
      <c r="O399" s="106"/>
      <c r="P399" s="106"/>
      <c r="Q399" s="106"/>
      <c r="R399" s="106"/>
      <c r="S399" s="106"/>
      <c r="T399" s="106"/>
      <c r="U399" s="107"/>
      <c r="V399" s="107"/>
      <c r="W399" s="106"/>
      <c r="X399" s="106"/>
      <c r="Y399" s="106"/>
      <c r="Z399" s="106"/>
      <c r="AA399" s="106"/>
      <c r="AB399" s="106"/>
      <c r="AC399" s="106"/>
      <c r="AD399" s="106"/>
      <c r="AE399" s="106"/>
      <c r="AF399" s="106"/>
      <c r="AG399" s="106"/>
      <c r="AH399" s="106"/>
      <c r="AI399" s="106"/>
      <c r="AJ399" s="106"/>
      <c r="AK399" s="106"/>
      <c r="AL399" s="106"/>
      <c r="AM399" s="106"/>
      <c r="AN399" s="106"/>
      <c r="AO399" s="106"/>
      <c r="AP399" s="106"/>
      <c r="AQ399" s="106"/>
      <c r="AR399" s="106"/>
      <c r="AS399" s="106"/>
      <c r="AT399" s="106"/>
      <c r="AU399" s="106"/>
      <c r="AV399" s="106"/>
      <c r="AW399" s="106"/>
      <c r="AX399" s="106"/>
      <c r="AY399" s="106"/>
      <c r="AZ399" s="106"/>
      <c r="BA399" s="106"/>
      <c r="BB399" s="106"/>
      <c r="BC399" s="106"/>
      <c r="BD399" s="106"/>
      <c r="BE399" s="106"/>
      <c r="BF399" s="106"/>
      <c r="BG399" s="106"/>
      <c r="BH399" s="106"/>
      <c r="BI399" s="106"/>
      <c r="BJ399" s="106"/>
      <c r="BK399" s="106"/>
      <c r="BL399" s="106"/>
      <c r="BM399" s="106"/>
      <c r="BN399" s="106"/>
      <c r="BO399" s="106"/>
      <c r="BP399" s="106"/>
      <c r="BQ399" s="106"/>
    </row>
    <row r="400" spans="9:69" ht="13.5">
      <c r="I400" s="108" t="s">
        <v>7</v>
      </c>
      <c r="J400" s="108" t="s">
        <v>1017</v>
      </c>
      <c r="K400" s="109" t="s">
        <v>1879</v>
      </c>
      <c r="L400" s="109"/>
      <c r="M400" s="109"/>
      <c r="N400" s="109"/>
      <c r="O400" s="109"/>
      <c r="P400" s="109"/>
      <c r="Q400" s="109"/>
      <c r="R400" s="109"/>
      <c r="S400" s="109"/>
      <c r="T400" s="109"/>
      <c r="U400" s="110"/>
      <c r="V400" s="110"/>
      <c r="W400" s="109"/>
      <c r="X400" s="109"/>
      <c r="Y400" s="109"/>
      <c r="Z400" s="109"/>
      <c r="AA400" s="109"/>
      <c r="AB400" s="109"/>
      <c r="AC400" s="109"/>
      <c r="AD400" s="109"/>
      <c r="AE400" s="109"/>
      <c r="AF400" s="109"/>
      <c r="AG400" s="109"/>
      <c r="AH400" s="109"/>
      <c r="AI400" s="109"/>
      <c r="AJ400" s="109"/>
      <c r="AK400" s="109"/>
      <c r="AL400" s="109"/>
      <c r="AM400" s="109"/>
      <c r="AN400" s="109"/>
      <c r="AO400" s="109"/>
      <c r="AP400" s="109"/>
      <c r="AQ400" s="109"/>
      <c r="AR400" s="109"/>
      <c r="AS400" s="109"/>
      <c r="AT400" s="109"/>
      <c r="AU400" s="109"/>
      <c r="AV400" s="109"/>
      <c r="AW400" s="109"/>
      <c r="AX400" s="109"/>
      <c r="AY400" s="109"/>
      <c r="AZ400" s="109"/>
      <c r="BA400" s="109"/>
      <c r="BB400" s="109"/>
      <c r="BC400" s="109"/>
      <c r="BD400" s="109"/>
      <c r="BE400" s="109"/>
      <c r="BF400" s="109"/>
      <c r="BG400" s="109"/>
      <c r="BH400" s="109"/>
      <c r="BI400" s="109"/>
      <c r="BJ400" s="109"/>
      <c r="BK400" s="109"/>
      <c r="BL400" s="109"/>
      <c r="BM400" s="109"/>
      <c r="BN400" s="109"/>
      <c r="BO400" s="109"/>
      <c r="BP400" s="109"/>
      <c r="BQ400" s="109"/>
    </row>
    <row r="401" spans="3:69">
      <c r="I401" s="96" t="s">
        <v>48</v>
      </c>
      <c r="J401" s="96" t="s">
        <v>1018</v>
      </c>
      <c r="K401" s="100">
        <v>60</v>
      </c>
      <c r="L401" s="100">
        <v>60</v>
      </c>
      <c r="M401" s="100">
        <v>13</v>
      </c>
      <c r="N401" s="101"/>
      <c r="O401" s="101"/>
      <c r="P401" s="101"/>
      <c r="Q401" s="101"/>
      <c r="R401" s="101"/>
      <c r="S401" s="101"/>
      <c r="T401" s="94" t="s">
        <v>209</v>
      </c>
      <c r="U401" s="100" t="e">
        <f>IF(FLAG_Country&lt;&gt;"USA","설정 온도 22 degC, AUTO ON (SYNC ON) 선택 상태 설정","설정 온도 72 degF, AUTO ON (SYNC ON) 선택 상태 설정")</f>
        <v>#NAME?</v>
      </c>
      <c r="V401" s="95">
        <v>10</v>
      </c>
      <c r="W401" s="102" t="s">
        <v>1014</v>
      </c>
      <c r="X401" s="101"/>
      <c r="Y401" s="101"/>
      <c r="Z401" s="101"/>
      <c r="AA401" s="101"/>
      <c r="AB401" s="101"/>
      <c r="AC401" s="101"/>
      <c r="AD401" s="101"/>
      <c r="AE401" s="101"/>
      <c r="AF401" s="100" t="e">
        <f>VLOOKUP(AG401,Tbl_BlowerDn_Display,2)</f>
        <v>#NAME?</v>
      </c>
      <c r="AG401" s="100" t="e">
        <f>IF(W401="3단",AutoBlowerHi_3,IF(W401="2단",AutoBlowerHi_2,AutoBlowerHi_1))</f>
        <v>#NAME?</v>
      </c>
      <c r="AH401" s="101"/>
      <c r="AI401" s="101"/>
      <c r="AJ401" s="101"/>
      <c r="AK401" s="101"/>
      <c r="AL401" s="101"/>
      <c r="AM401" s="101"/>
      <c r="AN401" s="101"/>
      <c r="AO401" s="101"/>
      <c r="AP401" s="101"/>
      <c r="AQ401" s="101"/>
      <c r="AR401" s="101"/>
      <c r="AS401" s="101"/>
      <c r="AT401" s="101"/>
      <c r="AU401" s="101"/>
      <c r="AV401" s="101"/>
      <c r="AW401" s="101"/>
      <c r="AX401" s="101"/>
      <c r="AY401" s="101"/>
      <c r="AZ401" s="101"/>
      <c r="BA401" s="101"/>
      <c r="BB401" s="101"/>
      <c r="BC401" s="101"/>
      <c r="BD401" s="101"/>
      <c r="BE401" s="101"/>
      <c r="BF401" s="101"/>
      <c r="BG401" s="101"/>
      <c r="BH401" s="101"/>
      <c r="BI401" s="102" t="e">
        <f>IF(W401="","",VLOOKUP(W401,Tbl_AUTOStep,2,FALSE))</f>
        <v>#NAME?</v>
      </c>
      <c r="BJ401" s="102" t="e">
        <f>IF(W401="","",VLOOKUP(W401,Tbl_MltAutBlrTxt,2,FALSE))</f>
        <v>#NAME?</v>
      </c>
      <c r="BK401" s="101"/>
      <c r="BL401" s="101"/>
      <c r="BM401" s="101"/>
      <c r="BN401" s="101"/>
      <c r="BO401" s="101"/>
      <c r="BP401" s="101"/>
      <c r="BQ401" s="101"/>
    </row>
    <row r="402" spans="3:69">
      <c r="I402" s="220" t="s">
        <v>155</v>
      </c>
      <c r="J402" s="220" t="s">
        <v>1019</v>
      </c>
      <c r="K402" s="221">
        <f t="shared" ref="K402:M402" si="196">K401</f>
        <v>60</v>
      </c>
      <c r="L402" s="221">
        <f t="shared" si="196"/>
        <v>60</v>
      </c>
      <c r="M402" s="221">
        <f t="shared" si="196"/>
        <v>13</v>
      </c>
      <c r="N402" s="101"/>
      <c r="O402" s="101"/>
      <c r="P402" s="101"/>
      <c r="Q402" s="101"/>
      <c r="R402" s="101"/>
      <c r="S402" s="101"/>
      <c r="T402" s="94" t="s">
        <v>241</v>
      </c>
      <c r="U402" s="95">
        <v>1</v>
      </c>
      <c r="V402" s="95">
        <v>2</v>
      </c>
      <c r="W402" s="102" t="s">
        <v>1015</v>
      </c>
      <c r="X402" s="101"/>
      <c r="Y402" s="101"/>
      <c r="Z402" s="101"/>
      <c r="AA402" s="101"/>
      <c r="AB402" s="101"/>
      <c r="AC402" s="101"/>
      <c r="AD402" s="101"/>
      <c r="AE402" s="101"/>
      <c r="AF402" s="100" t="e">
        <f>VLOOKUP(AG402,Tbl_BlowerDn_Display,2)</f>
        <v>#NAME?</v>
      </c>
      <c r="AG402" s="100" t="e">
        <f>IF(W402="3단",AutoBlowerHi_3,IF(W402="2단",AutoBlowerHi_2,AutoBlowerHi_1))</f>
        <v>#NAME?</v>
      </c>
      <c r="AH402" s="101"/>
      <c r="AI402" s="101"/>
      <c r="AJ402" s="101"/>
      <c r="AK402" s="101"/>
      <c r="AL402" s="101"/>
      <c r="AM402" s="101"/>
      <c r="AN402" s="101"/>
      <c r="AO402" s="101"/>
      <c r="AP402" s="101"/>
      <c r="AQ402" s="101"/>
      <c r="AR402" s="101"/>
      <c r="AS402" s="101"/>
      <c r="AT402" s="101"/>
      <c r="AU402" s="101"/>
      <c r="AV402" s="101"/>
      <c r="AW402" s="101"/>
      <c r="AX402" s="101"/>
      <c r="AY402" s="101"/>
      <c r="AZ402" s="101"/>
      <c r="BA402" s="101"/>
      <c r="BB402" s="101"/>
      <c r="BC402" s="101"/>
      <c r="BD402" s="101"/>
      <c r="BE402" s="101"/>
      <c r="BF402" s="101"/>
      <c r="BG402" s="101"/>
      <c r="BH402" s="101"/>
      <c r="BI402" s="102" t="e">
        <f>IF(W402="","",VLOOKUP(W402,Tbl_AUTOStep,2,FALSE))</f>
        <v>#NAME?</v>
      </c>
      <c r="BJ402" s="102" t="e">
        <f>IF(W402="","",VLOOKUP(W402,Tbl_MltAutBlrTxt,2,FALSE))</f>
        <v>#NAME?</v>
      </c>
      <c r="BK402" s="101"/>
      <c r="BL402" s="101"/>
      <c r="BM402" s="101"/>
      <c r="BN402" s="101"/>
      <c r="BO402" s="101"/>
      <c r="BP402" s="101"/>
      <c r="BQ402" s="101"/>
    </row>
    <row r="403" spans="3:69">
      <c r="C403" s="4"/>
      <c r="I403" s="220" t="s">
        <v>155</v>
      </c>
      <c r="J403" s="220" t="s">
        <v>1020</v>
      </c>
      <c r="K403" s="221">
        <f t="shared" ref="K403:M404" si="197">K402</f>
        <v>60</v>
      </c>
      <c r="L403" s="221">
        <f t="shared" si="197"/>
        <v>60</v>
      </c>
      <c r="M403" s="221">
        <f t="shared" si="197"/>
        <v>13</v>
      </c>
      <c r="N403" s="101"/>
      <c r="O403" s="101"/>
      <c r="P403" s="101"/>
      <c r="Q403" s="101"/>
      <c r="R403" s="101"/>
      <c r="S403" s="101"/>
      <c r="T403" s="94" t="s">
        <v>241</v>
      </c>
      <c r="U403" s="95">
        <v>1</v>
      </c>
      <c r="V403" s="95">
        <v>2</v>
      </c>
      <c r="W403" s="102" t="s">
        <v>1016</v>
      </c>
      <c r="X403" s="101"/>
      <c r="Y403" s="101"/>
      <c r="Z403" s="101"/>
      <c r="AA403" s="101"/>
      <c r="AB403" s="101"/>
      <c r="AC403" s="101"/>
      <c r="AD403" s="101"/>
      <c r="AE403" s="101"/>
      <c r="AF403" s="100" t="e">
        <f>VLOOKUP(AG403,Tbl_BlowerDn_Display,2)</f>
        <v>#NAME?</v>
      </c>
      <c r="AG403" s="100" t="e">
        <f>IF(W403="3단",AutoBlowerHi_3,IF(W403="2단",AutoBlowerHi_2,AutoBlowerHi_1))</f>
        <v>#NAME?</v>
      </c>
      <c r="AH403" s="101"/>
      <c r="AI403" s="101"/>
      <c r="AJ403" s="101"/>
      <c r="AK403" s="101"/>
      <c r="AL403" s="101"/>
      <c r="AM403" s="101"/>
      <c r="AN403" s="101"/>
      <c r="AO403" s="101"/>
      <c r="AP403" s="101"/>
      <c r="AQ403" s="101"/>
      <c r="AR403" s="101"/>
      <c r="AS403" s="101"/>
      <c r="AT403" s="101"/>
      <c r="AU403" s="101"/>
      <c r="AV403" s="101"/>
      <c r="AW403" s="101"/>
      <c r="AX403" s="101"/>
      <c r="AY403" s="101"/>
      <c r="AZ403" s="101"/>
      <c r="BA403" s="101"/>
      <c r="BB403" s="101"/>
      <c r="BC403" s="101"/>
      <c r="BD403" s="101"/>
      <c r="BE403" s="101"/>
      <c r="BF403" s="101"/>
      <c r="BG403" s="101"/>
      <c r="BH403" s="101"/>
      <c r="BI403" s="102" t="e">
        <f>IF(W403="","",VLOOKUP(W403,Tbl_AUTOStep,2,FALSE))</f>
        <v>#NAME?</v>
      </c>
      <c r="BJ403" s="102" t="e">
        <f>IF(W403="","",VLOOKUP(W403,Tbl_MltAutBlrTxt,2,FALSE))</f>
        <v>#NAME?</v>
      </c>
      <c r="BK403" s="101"/>
      <c r="BL403" s="101"/>
      <c r="BM403" s="101"/>
      <c r="BN403" s="101"/>
      <c r="BO403" s="101"/>
      <c r="BP403" s="101"/>
      <c r="BQ403" s="101"/>
    </row>
    <row r="404" spans="3:69">
      <c r="I404" s="220" t="s">
        <v>155</v>
      </c>
      <c r="J404" s="220" t="s">
        <v>1720</v>
      </c>
      <c r="K404" s="221">
        <f t="shared" si="197"/>
        <v>60</v>
      </c>
      <c r="L404" s="221">
        <f t="shared" si="197"/>
        <v>60</v>
      </c>
      <c r="M404" s="221">
        <f t="shared" si="197"/>
        <v>13</v>
      </c>
      <c r="N404" s="101"/>
      <c r="O404" s="101"/>
      <c r="P404" s="101"/>
      <c r="Q404" s="101"/>
      <c r="R404" s="101"/>
      <c r="S404" s="101"/>
      <c r="T404" s="94" t="s">
        <v>241</v>
      </c>
      <c r="U404" s="95">
        <v>1</v>
      </c>
      <c r="V404" s="95">
        <v>2</v>
      </c>
      <c r="W404" s="102" t="s">
        <v>1014</v>
      </c>
      <c r="X404" s="101"/>
      <c r="Y404" s="101"/>
      <c r="Z404" s="101"/>
      <c r="AA404" s="101"/>
      <c r="AB404" s="101"/>
      <c r="AC404" s="101"/>
      <c r="AD404" s="101"/>
      <c r="AE404" s="101"/>
      <c r="AF404" s="100" t="e">
        <f>VLOOKUP(AG404,Tbl_BlowerDn_Display,2)</f>
        <v>#NAME?</v>
      </c>
      <c r="AG404" s="100" t="e">
        <f>IF(W404="3단",AutoBlowerHi_3,IF(W404="2단",AutoBlowerHi_2,AutoBlowerHi_1))</f>
        <v>#NAME?</v>
      </c>
      <c r="AH404" s="101"/>
      <c r="AI404" s="101"/>
      <c r="AJ404" s="101"/>
      <c r="AK404" s="101"/>
      <c r="AL404" s="101"/>
      <c r="AM404" s="101"/>
      <c r="AN404" s="101"/>
      <c r="AO404" s="101"/>
      <c r="AP404" s="101"/>
      <c r="AQ404" s="101"/>
      <c r="AR404" s="101"/>
      <c r="AS404" s="101"/>
      <c r="AT404" s="101"/>
      <c r="AU404" s="101"/>
      <c r="AV404" s="101"/>
      <c r="AW404" s="101"/>
      <c r="AX404" s="101"/>
      <c r="AY404" s="101"/>
      <c r="AZ404" s="101"/>
      <c r="BA404" s="101"/>
      <c r="BB404" s="101"/>
      <c r="BC404" s="101"/>
      <c r="BD404" s="101"/>
      <c r="BE404" s="101"/>
      <c r="BF404" s="101"/>
      <c r="BG404" s="101"/>
      <c r="BH404" s="101"/>
      <c r="BI404" s="102" t="e">
        <f>IF(W404="","",VLOOKUP(W404,Tbl_AUTOStep,2,FALSE))</f>
        <v>#NAME?</v>
      </c>
      <c r="BJ404" s="102" t="e">
        <f>IF(W404="","",VLOOKUP(W404,Tbl_MltAutBlrTxt,2,FALSE))</f>
        <v>#NAME?</v>
      </c>
      <c r="BK404" s="101"/>
      <c r="BL404" s="101"/>
      <c r="BM404" s="101"/>
      <c r="BN404" s="101"/>
      <c r="BO404" s="101"/>
      <c r="BP404" s="101"/>
      <c r="BQ404" s="101"/>
    </row>
    <row r="405" spans="3:69">
      <c r="I405" s="255">
        <f>COUNTIF(I406:I415,"&lt;&gt;TS")</f>
        <v>9</v>
      </c>
      <c r="J405" s="106" t="s">
        <v>1282</v>
      </c>
      <c r="K405" s="106" t="s">
        <v>1692</v>
      </c>
      <c r="L405" s="106"/>
      <c r="M405" s="106"/>
      <c r="N405" s="106"/>
      <c r="O405" s="106"/>
      <c r="P405" s="106"/>
      <c r="Q405" s="106"/>
      <c r="R405" s="106"/>
      <c r="S405" s="106"/>
      <c r="T405" s="106"/>
      <c r="U405" s="107"/>
      <c r="V405" s="107"/>
      <c r="W405" s="106"/>
      <c r="X405" s="106"/>
      <c r="Y405" s="106"/>
      <c r="Z405" s="106"/>
      <c r="AA405" s="106"/>
      <c r="AB405" s="106"/>
      <c r="AC405" s="106"/>
      <c r="AD405" s="106"/>
      <c r="AE405" s="106"/>
      <c r="AF405" s="106"/>
      <c r="AG405" s="106"/>
      <c r="AH405" s="106"/>
      <c r="AI405" s="106"/>
      <c r="AJ405" s="106"/>
      <c r="AK405" s="106"/>
      <c r="AL405" s="106"/>
      <c r="AM405" s="106"/>
      <c r="AN405" s="106"/>
      <c r="AO405" s="106"/>
      <c r="AP405" s="106"/>
      <c r="AQ405" s="106"/>
      <c r="AR405" s="106"/>
      <c r="AS405" s="106"/>
      <c r="AT405" s="106"/>
      <c r="AU405" s="106"/>
      <c r="AV405" s="106"/>
      <c r="AW405" s="106"/>
      <c r="AX405" s="106"/>
      <c r="AY405" s="106"/>
      <c r="AZ405" s="106"/>
      <c r="BA405" s="106"/>
      <c r="BB405" s="106"/>
      <c r="BC405" s="106"/>
      <c r="BD405" s="106"/>
      <c r="BE405" s="106"/>
      <c r="BF405" s="106"/>
      <c r="BG405" s="106"/>
      <c r="BH405" s="106"/>
      <c r="BI405" s="106"/>
      <c r="BJ405" s="106"/>
      <c r="BK405" s="106"/>
      <c r="BL405" s="106"/>
      <c r="BM405" s="106"/>
      <c r="BN405" s="106"/>
      <c r="BO405" s="106"/>
      <c r="BP405" s="106"/>
      <c r="BQ405" s="106"/>
    </row>
    <row r="406" spans="3:69">
      <c r="I406" s="108" t="s">
        <v>7</v>
      </c>
      <c r="J406" s="108" t="s">
        <v>1283</v>
      </c>
      <c r="K406" s="109" t="s">
        <v>1693</v>
      </c>
      <c r="L406" s="109"/>
      <c r="M406" s="109"/>
      <c r="N406" s="109"/>
      <c r="O406" s="109"/>
      <c r="P406" s="109"/>
      <c r="Q406" s="109"/>
      <c r="R406" s="109"/>
      <c r="S406" s="109"/>
      <c r="T406" s="109"/>
      <c r="U406" s="110"/>
      <c r="V406" s="110"/>
      <c r="W406" s="109"/>
      <c r="X406" s="109"/>
      <c r="Y406" s="109"/>
      <c r="Z406" s="109"/>
      <c r="AA406" s="109"/>
      <c r="AB406" s="109"/>
      <c r="AC406" s="109"/>
      <c r="AD406" s="109"/>
      <c r="AE406" s="109"/>
      <c r="AF406" s="109"/>
      <c r="AG406" s="109"/>
      <c r="AH406" s="109"/>
      <c r="AI406" s="109"/>
      <c r="AJ406" s="109"/>
      <c r="AK406" s="109"/>
      <c r="AL406" s="109"/>
      <c r="AM406" s="109"/>
      <c r="AN406" s="109"/>
      <c r="AO406" s="109"/>
      <c r="AP406" s="109"/>
      <c r="AQ406" s="109"/>
      <c r="AR406" s="109"/>
      <c r="AS406" s="109"/>
      <c r="AT406" s="109"/>
      <c r="AU406" s="109"/>
      <c r="AV406" s="109"/>
      <c r="AW406" s="109"/>
      <c r="AX406" s="109"/>
      <c r="AY406" s="109"/>
      <c r="AZ406" s="109"/>
      <c r="BA406" s="109"/>
      <c r="BB406" s="109"/>
      <c r="BC406" s="109"/>
      <c r="BD406" s="109"/>
      <c r="BE406" s="109"/>
      <c r="BF406" s="109"/>
      <c r="BG406" s="109"/>
      <c r="BH406" s="109"/>
      <c r="BI406" s="109"/>
      <c r="BJ406" s="109"/>
      <c r="BK406" s="109"/>
      <c r="BL406" s="109"/>
      <c r="BM406" s="109"/>
      <c r="BN406" s="109"/>
      <c r="BO406" s="109"/>
      <c r="BP406" s="109"/>
      <c r="BQ406" s="109"/>
    </row>
    <row r="407" spans="3:69" ht="13.5">
      <c r="I407" s="220" t="s">
        <v>48</v>
      </c>
      <c r="J407" s="220" t="s">
        <v>1284</v>
      </c>
      <c r="K407" s="100">
        <v>10</v>
      </c>
      <c r="L407" s="100">
        <v>5</v>
      </c>
      <c r="M407" s="100">
        <v>13</v>
      </c>
      <c r="N407" s="101"/>
      <c r="O407" s="101"/>
      <c r="P407" s="101"/>
      <c r="Q407" s="101"/>
      <c r="R407" s="101"/>
      <c r="S407" s="101"/>
      <c r="T407" s="94" t="s">
        <v>209</v>
      </c>
      <c r="U407" s="205" t="s">
        <v>1722</v>
      </c>
      <c r="V407" s="99">
        <v>10</v>
      </c>
      <c r="W407" s="101"/>
      <c r="X407" s="101"/>
      <c r="Y407" s="101"/>
      <c r="Z407" s="101"/>
      <c r="AA407" s="101"/>
      <c r="AB407" s="101"/>
      <c r="AC407" s="101"/>
      <c r="AD407" s="101"/>
      <c r="AE407" s="101"/>
      <c r="AF407" s="101"/>
      <c r="AG407" s="101"/>
      <c r="AH407" s="101"/>
      <c r="AI407" s="102" t="e">
        <f>const_Tset_max</f>
        <v>#NAME?</v>
      </c>
      <c r="AJ407" s="101"/>
      <c r="AK407" s="101"/>
      <c r="AL407" s="101"/>
      <c r="AM407" s="101"/>
      <c r="AN407" s="101"/>
      <c r="AO407" s="101"/>
      <c r="AP407" s="101"/>
      <c r="AQ407" s="101"/>
      <c r="AR407" s="101"/>
      <c r="AS407" s="101"/>
      <c r="AT407" s="101"/>
      <c r="AU407" s="101"/>
      <c r="AV407" s="101"/>
      <c r="AW407" s="101"/>
      <c r="AX407" s="101"/>
      <c r="AY407" s="101"/>
      <c r="AZ407" s="101"/>
      <c r="BA407" s="101"/>
      <c r="BB407" s="101"/>
      <c r="BC407" s="101"/>
      <c r="BD407" s="101"/>
      <c r="BE407" s="101"/>
      <c r="BF407" s="101"/>
      <c r="BG407" s="101"/>
      <c r="BH407" s="101"/>
      <c r="BI407" s="101"/>
      <c r="BJ407" s="101"/>
      <c r="BK407" s="101"/>
      <c r="BL407" s="102">
        <v>1</v>
      </c>
      <c r="BM407" s="102">
        <v>1</v>
      </c>
      <c r="BN407" s="102">
        <v>1</v>
      </c>
      <c r="BO407" s="102">
        <v>1</v>
      </c>
      <c r="BP407" s="102">
        <v>1</v>
      </c>
      <c r="BQ407" s="101"/>
    </row>
    <row r="408" spans="3:69">
      <c r="I408" s="220" t="s">
        <v>901</v>
      </c>
      <c r="J408" s="220" t="s">
        <v>1285</v>
      </c>
      <c r="K408" s="221">
        <f t="shared" ref="K408:M409" si="198">K407</f>
        <v>10</v>
      </c>
      <c r="L408" s="221">
        <f t="shared" si="198"/>
        <v>5</v>
      </c>
      <c r="M408" s="221">
        <f t="shared" si="198"/>
        <v>13</v>
      </c>
      <c r="N408" s="101"/>
      <c r="O408" s="101"/>
      <c r="P408" s="101"/>
      <c r="Q408" s="101"/>
      <c r="R408" s="101"/>
      <c r="S408" s="101"/>
      <c r="T408" s="111" t="e">
        <f>WhlHeat_Whl_Set</f>
        <v>#NAME?</v>
      </c>
      <c r="U408" s="100">
        <v>2</v>
      </c>
      <c r="V408" s="99">
        <v>2</v>
      </c>
      <c r="W408" s="101"/>
      <c r="X408" s="101"/>
      <c r="Y408" s="101"/>
      <c r="Z408" s="101"/>
      <c r="AA408" s="101"/>
      <c r="AB408" s="101"/>
      <c r="AC408" s="101"/>
      <c r="AD408" s="101"/>
      <c r="AE408" s="101"/>
      <c r="AF408" s="101"/>
      <c r="AG408" s="101"/>
      <c r="AH408" s="101"/>
      <c r="AI408" s="101"/>
      <c r="AJ408" s="101"/>
      <c r="AK408" s="101"/>
      <c r="AL408" s="101"/>
      <c r="AM408" s="101"/>
      <c r="AN408" s="101"/>
      <c r="AO408" s="101"/>
      <c r="AP408" s="101"/>
      <c r="AQ408" s="101"/>
      <c r="AR408" s="101"/>
      <c r="AS408" s="101"/>
      <c r="AT408" s="101"/>
      <c r="AU408" s="101"/>
      <c r="AV408" s="101"/>
      <c r="AW408" s="101"/>
      <c r="AX408" s="101"/>
      <c r="AY408" s="101"/>
      <c r="AZ408" s="101"/>
      <c r="BA408" s="101"/>
      <c r="BB408" s="101"/>
      <c r="BC408" s="101"/>
      <c r="BD408" s="101"/>
      <c r="BE408" s="101"/>
      <c r="BF408" s="101"/>
      <c r="BG408" s="101"/>
      <c r="BH408" s="101"/>
      <c r="BI408" s="101"/>
      <c r="BJ408" s="101"/>
      <c r="BK408" s="101"/>
      <c r="BL408" s="102">
        <v>2</v>
      </c>
      <c r="BM408" s="101"/>
      <c r="BN408" s="102">
        <v>4</v>
      </c>
      <c r="BO408" s="101"/>
      <c r="BP408" s="101"/>
      <c r="BQ408" s="101"/>
    </row>
    <row r="409" spans="3:69">
      <c r="I409" s="220" t="s">
        <v>901</v>
      </c>
      <c r="J409" s="220" t="s">
        <v>1286</v>
      </c>
      <c r="K409" s="221">
        <f t="shared" si="198"/>
        <v>10</v>
      </c>
      <c r="L409" s="221">
        <f t="shared" si="198"/>
        <v>5</v>
      </c>
      <c r="M409" s="221">
        <f t="shared" si="198"/>
        <v>13</v>
      </c>
      <c r="N409" s="101"/>
      <c r="O409" s="101"/>
      <c r="P409" s="101"/>
      <c r="Q409" s="101"/>
      <c r="R409" s="101"/>
      <c r="S409" s="101"/>
      <c r="T409" s="111" t="e">
        <f>WhlHeat_Whl_Set</f>
        <v>#NAME?</v>
      </c>
      <c r="U409" s="100">
        <v>1</v>
      </c>
      <c r="V409" s="99">
        <v>2</v>
      </c>
      <c r="W409" s="101"/>
      <c r="X409" s="101"/>
      <c r="Y409" s="101"/>
      <c r="Z409" s="101"/>
      <c r="AA409" s="101"/>
      <c r="AB409" s="101"/>
      <c r="AC409" s="101"/>
      <c r="AD409" s="101"/>
      <c r="AE409" s="101"/>
      <c r="AF409" s="101"/>
      <c r="AG409" s="101"/>
      <c r="AH409" s="101"/>
      <c r="AI409" s="101"/>
      <c r="AJ409" s="101"/>
      <c r="AK409" s="101"/>
      <c r="AL409" s="101"/>
      <c r="AM409" s="101"/>
      <c r="AN409" s="101"/>
      <c r="AO409" s="101"/>
      <c r="AP409" s="101"/>
      <c r="AQ409" s="101"/>
      <c r="AR409" s="101"/>
      <c r="AS409" s="101"/>
      <c r="AT409" s="101"/>
      <c r="AU409" s="101"/>
      <c r="AV409" s="101"/>
      <c r="AW409" s="101"/>
      <c r="AX409" s="101"/>
      <c r="AY409" s="101"/>
      <c r="AZ409" s="101"/>
      <c r="BA409" s="101"/>
      <c r="BB409" s="101"/>
      <c r="BC409" s="101"/>
      <c r="BD409" s="101"/>
      <c r="BE409" s="101"/>
      <c r="BF409" s="101"/>
      <c r="BG409" s="101"/>
      <c r="BH409" s="101"/>
      <c r="BI409" s="101"/>
      <c r="BJ409" s="101"/>
      <c r="BK409" s="101"/>
      <c r="BL409" s="102">
        <v>1</v>
      </c>
      <c r="BM409" s="101"/>
      <c r="BN409" s="102">
        <v>1</v>
      </c>
      <c r="BO409" s="101"/>
      <c r="BP409" s="101"/>
      <c r="BQ409" s="101"/>
    </row>
    <row r="410" spans="3:69">
      <c r="I410" s="220" t="s">
        <v>901</v>
      </c>
      <c r="J410" s="220" t="s">
        <v>1414</v>
      </c>
      <c r="K410" s="221">
        <f t="shared" ref="K410:M410" si="199">K409</f>
        <v>10</v>
      </c>
      <c r="L410" s="221">
        <f t="shared" si="199"/>
        <v>5</v>
      </c>
      <c r="M410" s="221">
        <f t="shared" si="199"/>
        <v>13</v>
      </c>
      <c r="N410" s="101"/>
      <c r="O410" s="101"/>
      <c r="P410" s="101"/>
      <c r="Q410" s="101"/>
      <c r="R410" s="101"/>
      <c r="S410" s="101"/>
      <c r="T410" s="111" t="e">
        <f>WhlHeat_Heat_Set</f>
        <v>#NAME?</v>
      </c>
      <c r="U410" s="100">
        <v>2</v>
      </c>
      <c r="V410" s="99">
        <v>2</v>
      </c>
      <c r="W410" s="101"/>
      <c r="X410" s="101"/>
      <c r="Y410" s="101"/>
      <c r="Z410" s="101"/>
      <c r="AA410" s="101"/>
      <c r="AB410" s="101"/>
      <c r="AC410" s="101"/>
      <c r="AD410" s="101"/>
      <c r="AE410" s="101"/>
      <c r="AF410" s="101"/>
      <c r="AG410" s="101"/>
      <c r="AH410" s="101"/>
      <c r="AI410" s="101"/>
      <c r="AJ410" s="101"/>
      <c r="AK410" s="101"/>
      <c r="AL410" s="101"/>
      <c r="AM410" s="101"/>
      <c r="AN410" s="101"/>
      <c r="AO410" s="101"/>
      <c r="AP410" s="101"/>
      <c r="AQ410" s="101"/>
      <c r="AR410" s="101"/>
      <c r="AS410" s="101"/>
      <c r="AT410" s="101"/>
      <c r="AU410" s="101"/>
      <c r="AV410" s="101"/>
      <c r="AW410" s="101"/>
      <c r="AX410" s="101"/>
      <c r="AY410" s="101"/>
      <c r="AZ410" s="101"/>
      <c r="BA410" s="101"/>
      <c r="BB410" s="101"/>
      <c r="BC410" s="101"/>
      <c r="BD410" s="101"/>
      <c r="BE410" s="101"/>
      <c r="BF410" s="101"/>
      <c r="BG410" s="101"/>
      <c r="BH410" s="101"/>
      <c r="BI410" s="101"/>
      <c r="BJ410" s="101"/>
      <c r="BK410" s="101"/>
      <c r="BL410" s="101"/>
      <c r="BM410" s="102">
        <v>2</v>
      </c>
      <c r="BN410" s="101"/>
      <c r="BO410" s="102">
        <v>8</v>
      </c>
      <c r="BP410" s="102">
        <v>8</v>
      </c>
      <c r="BQ410" s="101"/>
    </row>
    <row r="411" spans="3:69">
      <c r="C411" s="4"/>
      <c r="I411" s="220" t="s">
        <v>901</v>
      </c>
      <c r="J411" s="220" t="s">
        <v>1415</v>
      </c>
      <c r="K411" s="221">
        <f t="shared" ref="K411:M411" si="200">K410</f>
        <v>10</v>
      </c>
      <c r="L411" s="221">
        <f t="shared" si="200"/>
        <v>5</v>
      </c>
      <c r="M411" s="221">
        <f t="shared" si="200"/>
        <v>13</v>
      </c>
      <c r="N411" s="101"/>
      <c r="O411" s="101"/>
      <c r="P411" s="101"/>
      <c r="Q411" s="101"/>
      <c r="R411" s="101"/>
      <c r="S411" s="101"/>
      <c r="T411" s="111" t="e">
        <f>WhlHeat_Heat_Set</f>
        <v>#NAME?</v>
      </c>
      <c r="U411" s="100">
        <v>1</v>
      </c>
      <c r="V411" s="99">
        <v>2</v>
      </c>
      <c r="W411" s="101"/>
      <c r="X411" s="101"/>
      <c r="Y411" s="101"/>
      <c r="Z411" s="101"/>
      <c r="AA411" s="101"/>
      <c r="AB411" s="101"/>
      <c r="AC411" s="101"/>
      <c r="AD411" s="101"/>
      <c r="AE411" s="101"/>
      <c r="AF411" s="101"/>
      <c r="AG411" s="101"/>
      <c r="AH411" s="101"/>
      <c r="AI411" s="101"/>
      <c r="AJ411" s="101"/>
      <c r="AK411" s="101"/>
      <c r="AL411" s="101"/>
      <c r="AM411" s="101"/>
      <c r="AN411" s="101"/>
      <c r="AO411" s="101"/>
      <c r="AP411" s="101"/>
      <c r="AQ411" s="101"/>
      <c r="AR411" s="101"/>
      <c r="AS411" s="101"/>
      <c r="AT411" s="101"/>
      <c r="AU411" s="101"/>
      <c r="AV411" s="101"/>
      <c r="AW411" s="101"/>
      <c r="AX411" s="101"/>
      <c r="AY411" s="101"/>
      <c r="AZ411" s="101"/>
      <c r="BA411" s="101"/>
      <c r="BB411" s="101"/>
      <c r="BC411" s="101"/>
      <c r="BD411" s="101"/>
      <c r="BE411" s="101"/>
      <c r="BF411" s="101"/>
      <c r="BG411" s="101"/>
      <c r="BH411" s="101"/>
      <c r="BI411" s="101"/>
      <c r="BJ411" s="101"/>
      <c r="BK411" s="101"/>
      <c r="BL411" s="101"/>
      <c r="BM411" s="102">
        <v>1</v>
      </c>
      <c r="BN411" s="101"/>
      <c r="BO411" s="102">
        <v>1</v>
      </c>
      <c r="BP411" s="102">
        <v>1</v>
      </c>
      <c r="BQ411" s="101"/>
    </row>
    <row r="412" spans="3:69" ht="13.5">
      <c r="I412" s="220" t="s">
        <v>901</v>
      </c>
      <c r="J412" s="220" t="s">
        <v>1416</v>
      </c>
      <c r="K412" s="221">
        <f t="shared" ref="K412:M412" si="201">K411</f>
        <v>10</v>
      </c>
      <c r="L412" s="221">
        <f t="shared" si="201"/>
        <v>5</v>
      </c>
      <c r="M412" s="221">
        <f t="shared" si="201"/>
        <v>13</v>
      </c>
      <c r="N412" s="101"/>
      <c r="O412" s="101"/>
      <c r="P412" s="101"/>
      <c r="Q412" s="101"/>
      <c r="R412" s="101"/>
      <c r="S412" s="101"/>
      <c r="T412" s="94" t="s">
        <v>209</v>
      </c>
      <c r="U412" s="205" t="s">
        <v>1729</v>
      </c>
      <c r="V412" s="99">
        <v>2</v>
      </c>
      <c r="W412" s="101"/>
      <c r="X412" s="101"/>
      <c r="Y412" s="101"/>
      <c r="Z412" s="101"/>
      <c r="AA412" s="101"/>
      <c r="AB412" s="101"/>
      <c r="AC412" s="101"/>
      <c r="AD412" s="101"/>
      <c r="AE412" s="101"/>
      <c r="AF412" s="101"/>
      <c r="AG412" s="101"/>
      <c r="AH412" s="101"/>
      <c r="AI412" s="102" t="e">
        <f>const_Tset_min_1</f>
        <v>#NAME?</v>
      </c>
      <c r="AJ412" s="101"/>
      <c r="AK412" s="101"/>
      <c r="AL412" s="101"/>
      <c r="AM412" s="101"/>
      <c r="AN412" s="101"/>
      <c r="AO412" s="101"/>
      <c r="AP412" s="101"/>
      <c r="AQ412" s="101"/>
      <c r="AR412" s="101"/>
      <c r="AS412" s="101"/>
      <c r="AT412" s="101"/>
      <c r="AU412" s="101"/>
      <c r="AV412" s="101"/>
      <c r="AW412" s="101"/>
      <c r="AX412" s="101"/>
      <c r="AY412" s="101"/>
      <c r="AZ412" s="101"/>
      <c r="BA412" s="101"/>
      <c r="BB412" s="101"/>
      <c r="BC412" s="101"/>
      <c r="BD412" s="101"/>
      <c r="BE412" s="101"/>
      <c r="BF412" s="101"/>
      <c r="BG412" s="101"/>
      <c r="BH412" s="101"/>
      <c r="BI412" s="101"/>
      <c r="BJ412" s="101"/>
      <c r="BK412" s="101"/>
      <c r="BL412" s="102">
        <v>1</v>
      </c>
      <c r="BM412" s="102">
        <v>1</v>
      </c>
      <c r="BN412" s="102">
        <v>1</v>
      </c>
      <c r="BO412" s="102">
        <v>1</v>
      </c>
      <c r="BP412" s="102">
        <v>1</v>
      </c>
      <c r="BQ412" s="101"/>
    </row>
    <row r="413" spans="3:69">
      <c r="I413" s="220" t="s">
        <v>901</v>
      </c>
      <c r="J413" s="220" t="s">
        <v>1723</v>
      </c>
      <c r="K413" s="221">
        <f t="shared" ref="K413:M413" si="202">K412</f>
        <v>10</v>
      </c>
      <c r="L413" s="221">
        <f t="shared" si="202"/>
        <v>5</v>
      </c>
      <c r="M413" s="221">
        <f t="shared" si="202"/>
        <v>13</v>
      </c>
      <c r="N413" s="101"/>
      <c r="O413" s="101"/>
      <c r="P413" s="101"/>
      <c r="Q413" s="101"/>
      <c r="R413" s="101"/>
      <c r="S413" s="101"/>
      <c r="T413" s="111" t="e">
        <f>WhlHeat_Whl_Set</f>
        <v>#NAME?</v>
      </c>
      <c r="U413" s="100">
        <v>2</v>
      </c>
      <c r="V413" s="99">
        <v>2</v>
      </c>
      <c r="W413" s="101"/>
      <c r="X413" s="101"/>
      <c r="Y413" s="101"/>
      <c r="Z413" s="101"/>
      <c r="AA413" s="101"/>
      <c r="AB413" s="101"/>
      <c r="AC413" s="101"/>
      <c r="AD413" s="101"/>
      <c r="AE413" s="101"/>
      <c r="AF413" s="101"/>
      <c r="AG413" s="101"/>
      <c r="AH413" s="101"/>
      <c r="AI413" s="101"/>
      <c r="AJ413" s="101"/>
      <c r="AK413" s="101"/>
      <c r="AL413" s="101"/>
      <c r="AM413" s="101"/>
      <c r="AN413" s="101"/>
      <c r="AO413" s="101"/>
      <c r="AP413" s="101"/>
      <c r="AQ413" s="101"/>
      <c r="AR413" s="101"/>
      <c r="AS413" s="101"/>
      <c r="AT413" s="101"/>
      <c r="AU413" s="101"/>
      <c r="AV413" s="101"/>
      <c r="AW413" s="101"/>
      <c r="AX413" s="101"/>
      <c r="AY413" s="101"/>
      <c r="AZ413" s="101"/>
      <c r="BA413" s="101"/>
      <c r="BB413" s="101"/>
      <c r="BC413" s="101"/>
      <c r="BD413" s="101"/>
      <c r="BE413" s="101"/>
      <c r="BF413" s="101"/>
      <c r="BG413" s="101"/>
      <c r="BH413" s="101"/>
      <c r="BI413" s="101"/>
      <c r="BJ413" s="101"/>
      <c r="BK413" s="101"/>
      <c r="BL413" s="102">
        <v>2</v>
      </c>
      <c r="BM413" s="102">
        <v>2</v>
      </c>
      <c r="BN413" s="102">
        <v>2</v>
      </c>
      <c r="BO413" s="102">
        <v>5</v>
      </c>
      <c r="BP413" s="102">
        <v>5</v>
      </c>
      <c r="BQ413" s="101"/>
    </row>
    <row r="414" spans="3:69">
      <c r="I414" s="220" t="s">
        <v>901</v>
      </c>
      <c r="J414" s="220" t="s">
        <v>1725</v>
      </c>
      <c r="K414" s="221">
        <f t="shared" ref="K414:M414" si="203">K413</f>
        <v>10</v>
      </c>
      <c r="L414" s="221">
        <f t="shared" si="203"/>
        <v>5</v>
      </c>
      <c r="M414" s="221">
        <f t="shared" si="203"/>
        <v>13</v>
      </c>
      <c r="N414" s="101"/>
      <c r="O414" s="101"/>
      <c r="P414" s="101"/>
      <c r="Q414" s="101"/>
      <c r="R414" s="101"/>
      <c r="S414" s="101"/>
      <c r="T414" s="111" t="e">
        <f>WhlHeat_Whl_Set</f>
        <v>#NAME?</v>
      </c>
      <c r="U414" s="100">
        <v>1</v>
      </c>
      <c r="V414" s="99">
        <v>2</v>
      </c>
      <c r="W414" s="101"/>
      <c r="X414" s="101"/>
      <c r="Y414" s="101"/>
      <c r="Z414" s="101"/>
      <c r="AA414" s="101"/>
      <c r="AB414" s="101"/>
      <c r="AC414" s="101"/>
      <c r="AD414" s="101"/>
      <c r="AE414" s="101"/>
      <c r="AF414" s="101"/>
      <c r="AG414" s="101"/>
      <c r="AH414" s="101"/>
      <c r="AI414" s="101"/>
      <c r="AJ414" s="101"/>
      <c r="AK414" s="101"/>
      <c r="AL414" s="101"/>
      <c r="AM414" s="101"/>
      <c r="AN414" s="101"/>
      <c r="AO414" s="101"/>
      <c r="AP414" s="101"/>
      <c r="AQ414" s="101"/>
      <c r="AR414" s="101"/>
      <c r="AS414" s="101"/>
      <c r="AT414" s="101"/>
      <c r="AU414" s="101"/>
      <c r="AV414" s="101"/>
      <c r="AW414" s="101"/>
      <c r="AX414" s="101"/>
      <c r="AY414" s="101"/>
      <c r="AZ414" s="101"/>
      <c r="BA414" s="101"/>
      <c r="BB414" s="101"/>
      <c r="BC414" s="101"/>
      <c r="BD414" s="101"/>
      <c r="BE414" s="101"/>
      <c r="BF414" s="101"/>
      <c r="BG414" s="101"/>
      <c r="BH414" s="101"/>
      <c r="BI414" s="101"/>
      <c r="BJ414" s="101"/>
      <c r="BK414" s="101"/>
      <c r="BL414" s="102">
        <v>1</v>
      </c>
      <c r="BM414" s="102">
        <v>1</v>
      </c>
      <c r="BN414" s="102">
        <v>1</v>
      </c>
      <c r="BO414" s="102">
        <v>1</v>
      </c>
      <c r="BP414" s="102">
        <v>1</v>
      </c>
      <c r="BQ414" s="101"/>
    </row>
    <row r="415" spans="3:69">
      <c r="I415" s="220" t="s">
        <v>901</v>
      </c>
      <c r="J415" s="220" t="s">
        <v>1727</v>
      </c>
      <c r="K415" s="221">
        <f>K411</f>
        <v>10</v>
      </c>
      <c r="L415" s="221">
        <f>L411</f>
        <v>5</v>
      </c>
      <c r="M415" s="221">
        <f>M411</f>
        <v>13</v>
      </c>
      <c r="N415" s="101"/>
      <c r="O415" s="101"/>
      <c r="P415" s="101"/>
      <c r="Q415" s="101"/>
      <c r="R415" s="101"/>
      <c r="S415" s="101"/>
      <c r="T415" s="111" t="s">
        <v>209</v>
      </c>
      <c r="U415" s="100" t="s">
        <v>1649</v>
      </c>
      <c r="V415" s="99">
        <v>1</v>
      </c>
      <c r="W415" s="101"/>
      <c r="X415" s="101"/>
      <c r="Y415" s="101"/>
      <c r="Z415" s="101"/>
      <c r="AA415" s="101"/>
      <c r="AB415" s="101"/>
      <c r="AC415" s="101"/>
      <c r="AD415" s="101"/>
      <c r="AE415" s="101"/>
      <c r="AF415" s="101"/>
      <c r="AG415" s="101"/>
      <c r="AH415" s="101"/>
      <c r="AI415" s="101"/>
      <c r="AJ415" s="101"/>
      <c r="AK415" s="101"/>
      <c r="AL415" s="101"/>
      <c r="AM415" s="101"/>
      <c r="AN415" s="101"/>
      <c r="AO415" s="101"/>
      <c r="AP415" s="101"/>
      <c r="AQ415" s="101"/>
      <c r="AR415" s="101"/>
      <c r="AS415" s="101"/>
      <c r="AT415" s="101"/>
      <c r="AU415" s="101"/>
      <c r="AV415" s="101"/>
      <c r="AW415" s="101"/>
      <c r="AX415" s="101"/>
      <c r="AY415" s="101"/>
      <c r="AZ415" s="101"/>
      <c r="BA415" s="101"/>
      <c r="BB415" s="101"/>
      <c r="BC415" s="101"/>
      <c r="BD415" s="101"/>
      <c r="BE415" s="101"/>
      <c r="BF415" s="101"/>
      <c r="BG415" s="101"/>
      <c r="BH415" s="101"/>
      <c r="BI415" s="101"/>
      <c r="BJ415" s="101"/>
      <c r="BK415" s="101"/>
      <c r="BL415" s="102">
        <v>1</v>
      </c>
      <c r="BM415" s="102">
        <v>1</v>
      </c>
      <c r="BN415" s="102">
        <v>1</v>
      </c>
      <c r="BO415" s="102">
        <v>1</v>
      </c>
      <c r="BP415" s="102">
        <v>1</v>
      </c>
      <c r="BQ415" s="101"/>
    </row>
    <row r="416" spans="3:69">
      <c r="C416" s="4"/>
      <c r="I416" s="255">
        <f>COUNTIF(I417:I420,"&lt;&gt;TS")</f>
        <v>3</v>
      </c>
      <c r="J416" s="106" t="s">
        <v>573</v>
      </c>
      <c r="K416" s="106" t="s">
        <v>1694</v>
      </c>
      <c r="L416" s="106"/>
      <c r="M416" s="106"/>
      <c r="N416" s="106"/>
      <c r="O416" s="106"/>
      <c r="P416" s="106"/>
      <c r="Q416" s="106"/>
      <c r="R416" s="106"/>
      <c r="S416" s="106"/>
      <c r="T416" s="106"/>
      <c r="U416" s="107"/>
      <c r="V416" s="107"/>
      <c r="W416" s="106"/>
      <c r="X416" s="106"/>
      <c r="Y416" s="106"/>
      <c r="Z416" s="106"/>
      <c r="AA416" s="106"/>
      <c r="AB416" s="106"/>
      <c r="AC416" s="106"/>
      <c r="AD416" s="106"/>
      <c r="AE416" s="106"/>
      <c r="AF416" s="106"/>
      <c r="AG416" s="106"/>
      <c r="AH416" s="106"/>
      <c r="AI416" s="106"/>
      <c r="AJ416" s="106"/>
      <c r="AK416" s="106"/>
      <c r="AL416" s="106"/>
      <c r="AM416" s="106"/>
      <c r="AN416" s="106"/>
      <c r="AO416" s="106"/>
      <c r="AP416" s="106"/>
      <c r="AQ416" s="106"/>
      <c r="AR416" s="106"/>
      <c r="AS416" s="106"/>
      <c r="AT416" s="106"/>
      <c r="AU416" s="106"/>
      <c r="AV416" s="106"/>
      <c r="AW416" s="106"/>
      <c r="AX416" s="106"/>
      <c r="AY416" s="106"/>
      <c r="AZ416" s="106"/>
      <c r="BA416" s="106"/>
      <c r="BB416" s="106"/>
      <c r="BC416" s="106"/>
      <c r="BD416" s="106"/>
      <c r="BE416" s="106"/>
      <c r="BF416" s="106"/>
      <c r="BG416" s="106"/>
      <c r="BH416" s="106"/>
      <c r="BI416" s="106"/>
      <c r="BJ416" s="106"/>
      <c r="BK416" s="106"/>
      <c r="BL416" s="106"/>
      <c r="BM416" s="106"/>
      <c r="BN416" s="106"/>
      <c r="BO416" s="106"/>
      <c r="BP416" s="106"/>
      <c r="BQ416" s="106"/>
    </row>
    <row r="417" spans="3:69">
      <c r="I417" s="108" t="s">
        <v>7</v>
      </c>
      <c r="J417" s="108" t="s">
        <v>1287</v>
      </c>
      <c r="K417" s="109" t="s">
        <v>1695</v>
      </c>
      <c r="L417" s="109"/>
      <c r="M417" s="109"/>
      <c r="N417" s="109"/>
      <c r="O417" s="109"/>
      <c r="P417" s="109"/>
      <c r="Q417" s="109"/>
      <c r="R417" s="109"/>
      <c r="S417" s="109"/>
      <c r="T417" s="109"/>
      <c r="U417" s="110"/>
      <c r="V417" s="110"/>
      <c r="W417" s="109"/>
      <c r="X417" s="109"/>
      <c r="Y417" s="109"/>
      <c r="Z417" s="109"/>
      <c r="AA417" s="109"/>
      <c r="AB417" s="109"/>
      <c r="AC417" s="109"/>
      <c r="AD417" s="109"/>
      <c r="AE417" s="109"/>
      <c r="AF417" s="109"/>
      <c r="AG417" s="109"/>
      <c r="AH417" s="109"/>
      <c r="AI417" s="109"/>
      <c r="AJ417" s="109"/>
      <c r="AK417" s="109"/>
      <c r="AL417" s="109"/>
      <c r="AM417" s="109"/>
      <c r="AN417" s="109"/>
      <c r="AO417" s="109"/>
      <c r="AP417" s="109"/>
      <c r="AQ417" s="109"/>
      <c r="AR417" s="109"/>
      <c r="AS417" s="109"/>
      <c r="AT417" s="109"/>
      <c r="AU417" s="109"/>
      <c r="AV417" s="109"/>
      <c r="AW417" s="109"/>
      <c r="AX417" s="109"/>
      <c r="AY417" s="109"/>
      <c r="AZ417" s="109"/>
      <c r="BA417" s="109"/>
      <c r="BB417" s="109"/>
      <c r="BC417" s="109"/>
      <c r="BD417" s="109"/>
      <c r="BE417" s="109"/>
      <c r="BF417" s="109"/>
      <c r="BG417" s="109"/>
      <c r="BH417" s="109"/>
      <c r="BI417" s="109"/>
      <c r="BJ417" s="109"/>
      <c r="BK417" s="109"/>
      <c r="BL417" s="109"/>
      <c r="BM417" s="109"/>
      <c r="BN417" s="109"/>
      <c r="BO417" s="109"/>
      <c r="BP417" s="109"/>
      <c r="BQ417" s="109"/>
    </row>
    <row r="418" spans="3:69" ht="13.5">
      <c r="I418" s="220" t="s">
        <v>48</v>
      </c>
      <c r="J418" s="220" t="s">
        <v>1288</v>
      </c>
      <c r="K418" s="221">
        <f>K415</f>
        <v>10</v>
      </c>
      <c r="L418" s="221">
        <f t="shared" ref="L418:M418" si="204">L415</f>
        <v>5</v>
      </c>
      <c r="M418" s="221">
        <f t="shared" si="204"/>
        <v>13</v>
      </c>
      <c r="N418" s="101"/>
      <c r="O418" s="101"/>
      <c r="P418" s="101"/>
      <c r="Q418" s="101"/>
      <c r="R418" s="101"/>
      <c r="S418" s="101"/>
      <c r="T418" s="94" t="s">
        <v>209</v>
      </c>
      <c r="U418" s="100" t="e">
        <f>IF(FLAG_Country&lt;&gt;"USA","설정 온도 22 degC, AUTO ON (SYNC ON) 선택 상태 설정","설정 온도 72 degF, AUTO ON (SYNC ON) 선택 상태 설정")</f>
        <v>#NAME?</v>
      </c>
      <c r="V418" s="99">
        <v>10</v>
      </c>
      <c r="W418" s="101"/>
      <c r="X418" s="101"/>
      <c r="Y418" s="101"/>
      <c r="Z418" s="101"/>
      <c r="AA418" s="101"/>
      <c r="AB418" s="101"/>
      <c r="AC418" s="101"/>
      <c r="AD418" s="101"/>
      <c r="AE418" s="101"/>
      <c r="AF418" s="101"/>
      <c r="AG418" s="101"/>
      <c r="AH418" s="101"/>
      <c r="AI418" s="101"/>
      <c r="AJ418" s="101"/>
      <c r="AK418" s="101"/>
      <c r="AL418" s="101"/>
      <c r="AM418" s="101"/>
      <c r="AN418" s="101"/>
      <c r="AO418" s="101"/>
      <c r="AP418" s="101"/>
      <c r="AQ418" s="100" t="s">
        <v>50</v>
      </c>
      <c r="AR418" s="100" t="s">
        <v>1781</v>
      </c>
      <c r="AS418" s="101"/>
      <c r="AT418" s="101"/>
      <c r="AU418" s="101"/>
      <c r="AV418" s="101"/>
      <c r="AW418" s="101"/>
      <c r="AX418" s="101"/>
      <c r="AY418" s="101"/>
      <c r="AZ418" s="101"/>
      <c r="BA418" s="101"/>
      <c r="BB418" s="101"/>
      <c r="BC418" s="101"/>
      <c r="BD418" s="101"/>
      <c r="BE418" s="101"/>
      <c r="BF418" s="101"/>
      <c r="BG418" s="101"/>
      <c r="BH418" s="101"/>
      <c r="BI418" s="101"/>
      <c r="BJ418" s="101"/>
      <c r="BK418" s="101"/>
      <c r="BL418" s="101"/>
      <c r="BM418" s="101"/>
      <c r="BN418" s="101"/>
      <c r="BO418" s="101"/>
      <c r="BP418" s="101"/>
      <c r="BQ418" s="101"/>
    </row>
    <row r="419" spans="3:69">
      <c r="I419" s="220" t="s">
        <v>901</v>
      </c>
      <c r="J419" s="220" t="s">
        <v>1289</v>
      </c>
      <c r="K419" s="221">
        <f t="shared" ref="K419:M420" si="205">K418</f>
        <v>10</v>
      </c>
      <c r="L419" s="221">
        <f t="shared" si="205"/>
        <v>5</v>
      </c>
      <c r="M419" s="221">
        <f t="shared" si="205"/>
        <v>13</v>
      </c>
      <c r="N419" s="101"/>
      <c r="O419" s="101"/>
      <c r="P419" s="101"/>
      <c r="Q419" s="101"/>
      <c r="R419" s="101"/>
      <c r="S419" s="101"/>
      <c r="T419" s="111" t="e">
        <f>PTGM_Status</f>
        <v>#NAME?</v>
      </c>
      <c r="U419" s="100">
        <v>8</v>
      </c>
      <c r="V419" s="99">
        <v>5</v>
      </c>
      <c r="W419" s="101"/>
      <c r="X419" s="101"/>
      <c r="Y419" s="101"/>
      <c r="Z419" s="101"/>
      <c r="AA419" s="101"/>
      <c r="AB419" s="101"/>
      <c r="AC419" s="101"/>
      <c r="AD419" s="101"/>
      <c r="AE419" s="101"/>
      <c r="AF419" s="101"/>
      <c r="AG419" s="101"/>
      <c r="AH419" s="101"/>
      <c r="AI419" s="101"/>
      <c r="AJ419" s="101"/>
      <c r="AK419" s="101"/>
      <c r="AL419" s="101"/>
      <c r="AM419" s="101"/>
      <c r="AN419" s="101"/>
      <c r="AO419" s="101"/>
      <c r="AP419" s="101"/>
      <c r="AQ419" s="100" t="s">
        <v>50</v>
      </c>
      <c r="AR419" s="100" t="s">
        <v>51</v>
      </c>
      <c r="AS419" s="101"/>
      <c r="AT419" s="101"/>
      <c r="AU419" s="101"/>
      <c r="AV419" s="101"/>
      <c r="AW419" s="101"/>
      <c r="AX419" s="101"/>
      <c r="AY419" s="101"/>
      <c r="AZ419" s="101"/>
      <c r="BA419" s="101"/>
      <c r="BB419" s="101"/>
      <c r="BC419" s="101"/>
      <c r="BD419" s="101"/>
      <c r="BE419" s="101"/>
      <c r="BF419" s="101"/>
      <c r="BG419" s="101"/>
      <c r="BH419" s="101"/>
      <c r="BI419" s="101"/>
      <c r="BJ419" s="101"/>
      <c r="BK419" s="101"/>
      <c r="BL419" s="101"/>
      <c r="BM419" s="101"/>
      <c r="BN419" s="101"/>
      <c r="BO419" s="101"/>
      <c r="BP419" s="101"/>
      <c r="BQ419" s="101"/>
    </row>
    <row r="420" spans="3:69">
      <c r="I420" s="220" t="s">
        <v>901</v>
      </c>
      <c r="J420" s="220" t="s">
        <v>1290</v>
      </c>
      <c r="K420" s="221">
        <f t="shared" si="205"/>
        <v>10</v>
      </c>
      <c r="L420" s="221">
        <f t="shared" si="205"/>
        <v>5</v>
      </c>
      <c r="M420" s="221">
        <f t="shared" si="205"/>
        <v>13</v>
      </c>
      <c r="N420" s="101"/>
      <c r="O420" s="101"/>
      <c r="P420" s="101"/>
      <c r="Q420" s="101"/>
      <c r="R420" s="101"/>
      <c r="S420" s="101"/>
      <c r="T420" s="111" t="e">
        <f>PTGM_Status</f>
        <v>#NAME?</v>
      </c>
      <c r="U420" s="100">
        <v>0</v>
      </c>
      <c r="V420" s="99">
        <v>5</v>
      </c>
      <c r="W420" s="101"/>
      <c r="X420" s="101"/>
      <c r="Y420" s="101"/>
      <c r="Z420" s="101"/>
      <c r="AA420" s="101"/>
      <c r="AB420" s="101"/>
      <c r="AC420" s="101"/>
      <c r="AD420" s="101"/>
      <c r="AE420" s="101"/>
      <c r="AF420" s="101"/>
      <c r="AG420" s="101"/>
      <c r="AH420" s="101"/>
      <c r="AI420" s="101"/>
      <c r="AJ420" s="101"/>
      <c r="AK420" s="101"/>
      <c r="AL420" s="101"/>
      <c r="AM420" s="101"/>
      <c r="AN420" s="101"/>
      <c r="AO420" s="101"/>
      <c r="AP420" s="101"/>
      <c r="AQ420" s="100" t="s">
        <v>50</v>
      </c>
      <c r="AR420" s="100" t="s">
        <v>417</v>
      </c>
      <c r="AS420" s="101"/>
      <c r="AT420" s="101"/>
      <c r="AU420" s="101"/>
      <c r="AV420" s="101"/>
      <c r="AW420" s="101"/>
      <c r="AX420" s="101"/>
      <c r="AY420" s="101"/>
      <c r="AZ420" s="101"/>
      <c r="BA420" s="101"/>
      <c r="BB420" s="101"/>
      <c r="BC420" s="101"/>
      <c r="BD420" s="101"/>
      <c r="BE420" s="101"/>
      <c r="BF420" s="101"/>
      <c r="BG420" s="101"/>
      <c r="BH420" s="101"/>
      <c r="BI420" s="101"/>
      <c r="BJ420" s="101"/>
      <c r="BK420" s="101"/>
      <c r="BL420" s="101"/>
      <c r="BM420" s="101"/>
      <c r="BN420" s="101"/>
      <c r="BO420" s="101"/>
      <c r="BP420" s="101"/>
      <c r="BQ420" s="101"/>
    </row>
    <row r="421" spans="3:69">
      <c r="I421" s="255">
        <f>COUNTIF(I422:I426,"&lt;&gt;TS")</f>
        <v>4</v>
      </c>
      <c r="J421" s="106" t="s">
        <v>574</v>
      </c>
      <c r="K421" s="106" t="s">
        <v>1696</v>
      </c>
      <c r="L421" s="106"/>
      <c r="M421" s="106"/>
      <c r="N421" s="106"/>
      <c r="O421" s="106"/>
      <c r="P421" s="106"/>
      <c r="Q421" s="106"/>
      <c r="R421" s="106"/>
      <c r="S421" s="106"/>
      <c r="T421" s="106"/>
      <c r="U421" s="107"/>
      <c r="V421" s="107"/>
      <c r="W421" s="106"/>
      <c r="X421" s="106"/>
      <c r="Y421" s="106"/>
      <c r="Z421" s="106"/>
      <c r="AA421" s="106"/>
      <c r="AB421" s="106"/>
      <c r="AC421" s="106"/>
      <c r="AD421" s="106"/>
      <c r="AE421" s="106"/>
      <c r="AF421" s="106"/>
      <c r="AG421" s="106"/>
      <c r="AH421" s="106"/>
      <c r="AI421" s="106"/>
      <c r="AJ421" s="106"/>
      <c r="AK421" s="106"/>
      <c r="AL421" s="106"/>
      <c r="AM421" s="106"/>
      <c r="AN421" s="106"/>
      <c r="AO421" s="106"/>
      <c r="AP421" s="106"/>
      <c r="AQ421" s="106"/>
      <c r="AR421" s="106"/>
      <c r="AS421" s="106"/>
      <c r="AT421" s="106"/>
      <c r="AU421" s="106"/>
      <c r="AV421" s="106"/>
      <c r="AW421" s="106"/>
      <c r="AX421" s="106"/>
      <c r="AY421" s="106"/>
      <c r="AZ421" s="106"/>
      <c r="BA421" s="106"/>
      <c r="BB421" s="106"/>
      <c r="BC421" s="106"/>
      <c r="BD421" s="106"/>
      <c r="BE421" s="106"/>
      <c r="BF421" s="106"/>
      <c r="BG421" s="106"/>
      <c r="BH421" s="106"/>
      <c r="BI421" s="106"/>
      <c r="BJ421" s="106"/>
      <c r="BK421" s="106"/>
      <c r="BL421" s="106"/>
      <c r="BM421" s="106"/>
      <c r="BN421" s="106"/>
      <c r="BO421" s="106"/>
      <c r="BP421" s="106"/>
      <c r="BQ421" s="106"/>
    </row>
    <row r="422" spans="3:69">
      <c r="C422" s="4"/>
      <c r="I422" s="108" t="s">
        <v>7</v>
      </c>
      <c r="J422" s="108" t="s">
        <v>1291</v>
      </c>
      <c r="K422" s="109" t="s">
        <v>1697</v>
      </c>
      <c r="L422" s="109"/>
      <c r="M422" s="109"/>
      <c r="N422" s="109"/>
      <c r="O422" s="109"/>
      <c r="P422" s="109"/>
      <c r="Q422" s="109"/>
      <c r="R422" s="109"/>
      <c r="S422" s="109"/>
      <c r="T422" s="109"/>
      <c r="U422" s="110"/>
      <c r="V422" s="110"/>
      <c r="W422" s="109"/>
      <c r="X422" s="109"/>
      <c r="Y422" s="109"/>
      <c r="Z422" s="109"/>
      <c r="AA422" s="109"/>
      <c r="AB422" s="109"/>
      <c r="AC422" s="109"/>
      <c r="AD422" s="109"/>
      <c r="AE422" s="109"/>
      <c r="AF422" s="109"/>
      <c r="AG422" s="109"/>
      <c r="AH422" s="109"/>
      <c r="AI422" s="109"/>
      <c r="AJ422" s="109"/>
      <c r="AK422" s="109"/>
      <c r="AL422" s="109"/>
      <c r="AM422" s="109"/>
      <c r="AN422" s="109"/>
      <c r="AO422" s="109"/>
      <c r="AP422" s="109"/>
      <c r="AQ422" s="109"/>
      <c r="AR422" s="109"/>
      <c r="AS422" s="109"/>
      <c r="AT422" s="109"/>
      <c r="AU422" s="109"/>
      <c r="AV422" s="109"/>
      <c r="AW422" s="109"/>
      <c r="AX422" s="109"/>
      <c r="AY422" s="109"/>
      <c r="AZ422" s="109"/>
      <c r="BA422" s="109"/>
      <c r="BB422" s="109"/>
      <c r="BC422" s="109"/>
      <c r="BD422" s="109"/>
      <c r="BE422" s="109"/>
      <c r="BF422" s="109"/>
      <c r="BG422" s="109"/>
      <c r="BH422" s="109"/>
      <c r="BI422" s="109"/>
      <c r="BJ422" s="109"/>
      <c r="BK422" s="109"/>
      <c r="BL422" s="109"/>
      <c r="BM422" s="109"/>
      <c r="BN422" s="109"/>
      <c r="BO422" s="109"/>
      <c r="BP422" s="109"/>
      <c r="BQ422" s="109"/>
    </row>
    <row r="423" spans="3:69">
      <c r="I423" s="220" t="s">
        <v>48</v>
      </c>
      <c r="J423" s="220" t="s">
        <v>1292</v>
      </c>
      <c r="K423" s="221">
        <f>K420</f>
        <v>10</v>
      </c>
      <c r="L423" s="221">
        <f t="shared" ref="L423:M423" si="206">L420</f>
        <v>5</v>
      </c>
      <c r="M423" s="221">
        <f t="shared" si="206"/>
        <v>13</v>
      </c>
      <c r="N423" s="101"/>
      <c r="O423" s="101"/>
      <c r="P423" s="101"/>
      <c r="Q423" s="101"/>
      <c r="R423" s="101"/>
      <c r="S423" s="101"/>
      <c r="T423" s="94" t="s">
        <v>209</v>
      </c>
      <c r="U423" s="100" t="e">
        <f>IF(FLAG_Country&lt;&gt;"USA","설정 온도 22 degC, AUTO ON (SYNC ON) + OFF 선택 상태 설정","설정 온도 72 degF, AUTO ON (SYNC ON) + OFF 선택 상태 설정")</f>
        <v>#NAME?</v>
      </c>
      <c r="V423" s="99">
        <v>10</v>
      </c>
      <c r="W423" s="101"/>
      <c r="X423" s="101"/>
      <c r="Y423" s="101"/>
      <c r="Z423" s="101"/>
      <c r="AA423" s="101"/>
      <c r="AB423" s="101"/>
      <c r="AC423" s="101"/>
      <c r="AD423" s="101"/>
      <c r="AE423" s="101"/>
      <c r="AF423" s="102" t="s">
        <v>89</v>
      </c>
      <c r="AG423" s="101"/>
      <c r="AH423" s="101"/>
      <c r="AI423" s="102" t="e">
        <f>const_Tset_off_1</f>
        <v>#NAME?</v>
      </c>
      <c r="AJ423" s="102" t="e">
        <f>const_Tset_off_1</f>
        <v>#NAME?</v>
      </c>
      <c r="AK423" s="101"/>
      <c r="AL423" s="101"/>
      <c r="AM423" s="101"/>
      <c r="AN423" s="101"/>
      <c r="AO423" s="101"/>
      <c r="AP423" s="101"/>
      <c r="AQ423" s="101"/>
      <c r="AR423" s="101"/>
      <c r="AS423" s="101"/>
      <c r="AT423" s="101"/>
      <c r="AU423" s="101"/>
      <c r="AV423" s="101"/>
      <c r="AW423" s="101"/>
      <c r="AX423" s="101"/>
      <c r="AY423" s="101"/>
      <c r="AZ423" s="101"/>
      <c r="BA423" s="101"/>
      <c r="BB423" s="101"/>
      <c r="BC423" s="101"/>
      <c r="BD423" s="101"/>
      <c r="BE423" s="101"/>
      <c r="BF423" s="101"/>
      <c r="BG423" s="101"/>
      <c r="BH423" s="101"/>
      <c r="BI423" s="101"/>
      <c r="BJ423" s="101"/>
      <c r="BK423" s="101"/>
      <c r="BL423" s="101"/>
      <c r="BM423" s="101"/>
      <c r="BN423" s="101"/>
      <c r="BO423" s="101"/>
      <c r="BP423" s="101"/>
      <c r="BQ423" s="101"/>
    </row>
    <row r="424" spans="3:69">
      <c r="I424" s="220" t="s">
        <v>901</v>
      </c>
      <c r="J424" s="220" t="s">
        <v>1293</v>
      </c>
      <c r="K424" s="221">
        <f t="shared" ref="K424:M426" si="207">K423</f>
        <v>10</v>
      </c>
      <c r="L424" s="221">
        <f t="shared" si="207"/>
        <v>5</v>
      </c>
      <c r="M424" s="221">
        <f t="shared" si="207"/>
        <v>13</v>
      </c>
      <c r="N424" s="101"/>
      <c r="O424" s="101"/>
      <c r="P424" s="101"/>
      <c r="Q424" s="101"/>
      <c r="R424" s="101"/>
      <c r="S424" s="101"/>
      <c r="T424" s="94" t="s">
        <v>209</v>
      </c>
      <c r="U424" s="100" t="e">
        <f>IF(FLAG_Country&lt;&gt;"USA","Dr 설정 온도=21 degC, Ps 설정 온도=23 degC, Blower=8단 수동 설정","Dr 설정 온도=70 degF, Ps 설정 온도=74 degF, Blower=8단 수동 설정")</f>
        <v>#NAME?</v>
      </c>
      <c r="V424" s="99">
        <v>5</v>
      </c>
      <c r="W424" s="101"/>
      <c r="X424" s="228"/>
      <c r="Y424" s="101"/>
      <c r="Z424" s="101"/>
      <c r="AA424" s="101"/>
      <c r="AB424" s="101"/>
      <c r="AC424" s="101"/>
      <c r="AD424" s="101"/>
      <c r="AE424" s="101"/>
      <c r="AF424" s="102">
        <v>8</v>
      </c>
      <c r="AG424" s="101"/>
      <c r="AH424" s="101"/>
      <c r="AI424" s="102" t="e">
        <f>const_Tset_default_1-(const_Tset_resolution_1*2)</f>
        <v>#NAME?</v>
      </c>
      <c r="AJ424" s="102" t="e">
        <f>const_Tset_default_1+(const_Tset_resolution_1*2)</f>
        <v>#NAME?</v>
      </c>
      <c r="AK424" s="101"/>
      <c r="AL424" s="101"/>
      <c r="AM424" s="101"/>
      <c r="AN424" s="101"/>
      <c r="AO424" s="101"/>
      <c r="AP424" s="101"/>
      <c r="AQ424" s="101"/>
      <c r="AR424" s="101"/>
      <c r="AS424" s="101"/>
      <c r="AT424" s="101"/>
      <c r="AU424" s="101"/>
      <c r="AV424" s="101"/>
      <c r="AW424" s="101"/>
      <c r="AX424" s="101"/>
      <c r="AY424" s="101"/>
      <c r="AZ424" s="101"/>
      <c r="BA424" s="101"/>
      <c r="BB424" s="101"/>
      <c r="BC424" s="101"/>
      <c r="BD424" s="101"/>
      <c r="BE424" s="101"/>
      <c r="BF424" s="101"/>
      <c r="BG424" s="101"/>
      <c r="BH424" s="101"/>
      <c r="BI424" s="101"/>
      <c r="BJ424" s="101"/>
      <c r="BK424" s="101"/>
      <c r="BL424" s="101"/>
      <c r="BM424" s="101"/>
      <c r="BN424" s="101"/>
      <c r="BO424" s="101"/>
      <c r="BP424" s="101"/>
      <c r="BQ424" s="101"/>
    </row>
    <row r="425" spans="3:69">
      <c r="I425" s="220" t="s">
        <v>901</v>
      </c>
      <c r="J425" s="220" t="s">
        <v>1294</v>
      </c>
      <c r="K425" s="221">
        <f t="shared" si="207"/>
        <v>10</v>
      </c>
      <c r="L425" s="221">
        <f t="shared" si="207"/>
        <v>5</v>
      </c>
      <c r="M425" s="221">
        <f t="shared" si="207"/>
        <v>13</v>
      </c>
      <c r="N425" s="101"/>
      <c r="O425" s="101"/>
      <c r="P425" s="101"/>
      <c r="Q425" s="101"/>
      <c r="R425" s="101"/>
      <c r="S425" s="101"/>
      <c r="T425" s="111" t="e">
        <f>User_Profile</f>
        <v>#NAME?</v>
      </c>
      <c r="U425" s="100">
        <v>1</v>
      </c>
      <c r="V425" s="99">
        <v>2</v>
      </c>
      <c r="W425" s="101"/>
      <c r="X425" s="101"/>
      <c r="Y425" s="101"/>
      <c r="Z425" s="101"/>
      <c r="AA425" s="101"/>
      <c r="AB425" s="101"/>
      <c r="AC425" s="101"/>
      <c r="AD425" s="101"/>
      <c r="AE425" s="101"/>
      <c r="AF425" s="102" t="s">
        <v>89</v>
      </c>
      <c r="AG425" s="101"/>
      <c r="AH425" s="101"/>
      <c r="AI425" s="102" t="e">
        <f>const_Tset_off_1</f>
        <v>#NAME?</v>
      </c>
      <c r="AJ425" s="102" t="e">
        <f>const_Tset_off_1</f>
        <v>#NAME?</v>
      </c>
      <c r="AK425" s="101"/>
      <c r="AL425" s="101"/>
      <c r="AM425" s="101"/>
      <c r="AN425" s="101"/>
      <c r="AO425" s="101"/>
      <c r="AP425" s="101"/>
      <c r="AQ425" s="101"/>
      <c r="AR425" s="101"/>
      <c r="AS425" s="101"/>
      <c r="AT425" s="101"/>
      <c r="AU425" s="101"/>
      <c r="AV425" s="101"/>
      <c r="AW425" s="101"/>
      <c r="AX425" s="101"/>
      <c r="AY425" s="101"/>
      <c r="AZ425" s="101"/>
      <c r="BA425" s="101"/>
      <c r="BB425" s="101"/>
      <c r="BC425" s="101"/>
      <c r="BD425" s="101"/>
      <c r="BE425" s="101"/>
      <c r="BF425" s="101"/>
      <c r="BG425" s="101"/>
      <c r="BH425" s="101"/>
      <c r="BI425" s="101"/>
      <c r="BJ425" s="101"/>
      <c r="BK425" s="101"/>
      <c r="BL425" s="101"/>
      <c r="BM425" s="101"/>
      <c r="BN425" s="101"/>
      <c r="BO425" s="101"/>
      <c r="BP425" s="101"/>
      <c r="BQ425" s="101"/>
    </row>
    <row r="426" spans="3:69">
      <c r="I426" s="220" t="s">
        <v>901</v>
      </c>
      <c r="J426" s="220" t="s">
        <v>1295</v>
      </c>
      <c r="K426" s="221">
        <f t="shared" si="207"/>
        <v>10</v>
      </c>
      <c r="L426" s="221">
        <f t="shared" si="207"/>
        <v>5</v>
      </c>
      <c r="M426" s="221">
        <f t="shared" si="207"/>
        <v>13</v>
      </c>
      <c r="N426" s="101"/>
      <c r="O426" s="101"/>
      <c r="P426" s="101"/>
      <c r="Q426" s="101"/>
      <c r="R426" s="101"/>
      <c r="S426" s="101"/>
      <c r="T426" s="111" t="e">
        <f>User_Profile</f>
        <v>#NAME?</v>
      </c>
      <c r="U426" s="100">
        <v>2</v>
      </c>
      <c r="V426" s="99">
        <v>2</v>
      </c>
      <c r="W426" s="101"/>
      <c r="X426" s="101"/>
      <c r="Y426" s="101"/>
      <c r="Z426" s="101"/>
      <c r="AA426" s="101"/>
      <c r="AB426" s="101"/>
      <c r="AC426" s="101"/>
      <c r="AD426" s="101"/>
      <c r="AE426" s="101"/>
      <c r="AF426" s="102">
        <v>8</v>
      </c>
      <c r="AG426" s="101"/>
      <c r="AH426" s="101"/>
      <c r="AI426" s="102" t="e">
        <f>const_Tset_default_1-(const_Tset_resolution_1*2)</f>
        <v>#NAME?</v>
      </c>
      <c r="AJ426" s="102" t="e">
        <f>const_Tset_default_1+(const_Tset_resolution_1*2)</f>
        <v>#NAME?</v>
      </c>
      <c r="AK426" s="101"/>
      <c r="AL426" s="101"/>
      <c r="AM426" s="101"/>
      <c r="AN426" s="101"/>
      <c r="AO426" s="101"/>
      <c r="AP426" s="101"/>
      <c r="AQ426" s="101"/>
      <c r="AR426" s="101"/>
      <c r="AS426" s="101"/>
      <c r="AT426" s="101"/>
      <c r="AU426" s="101"/>
      <c r="AV426" s="101"/>
      <c r="AW426" s="101"/>
      <c r="AX426" s="101"/>
      <c r="AY426" s="101"/>
      <c r="AZ426" s="101"/>
      <c r="BA426" s="101"/>
      <c r="BB426" s="101"/>
      <c r="BC426" s="101"/>
      <c r="BD426" s="101"/>
      <c r="BE426" s="101"/>
      <c r="BF426" s="101"/>
      <c r="BG426" s="101"/>
      <c r="BH426" s="101"/>
      <c r="BI426" s="101"/>
      <c r="BJ426" s="101"/>
      <c r="BK426" s="101"/>
      <c r="BL426" s="101"/>
      <c r="BM426" s="101"/>
      <c r="BN426" s="101"/>
      <c r="BO426" s="101"/>
      <c r="BP426" s="101"/>
      <c r="BQ426" s="101"/>
    </row>
    <row r="427" spans="3:69">
      <c r="I427" s="255">
        <f>COUNTIF(I428:I431,"&lt;&gt;TS")</f>
        <v>3</v>
      </c>
      <c r="J427" s="106" t="s">
        <v>575</v>
      </c>
      <c r="K427" s="106" t="s">
        <v>1698</v>
      </c>
      <c r="L427" s="106"/>
      <c r="M427" s="106"/>
      <c r="N427" s="106"/>
      <c r="O427" s="106"/>
      <c r="P427" s="106"/>
      <c r="Q427" s="106"/>
      <c r="R427" s="106"/>
      <c r="S427" s="106"/>
      <c r="T427" s="106"/>
      <c r="U427" s="107"/>
      <c r="V427" s="107"/>
      <c r="W427" s="106"/>
      <c r="X427" s="106"/>
      <c r="Y427" s="106"/>
      <c r="Z427" s="106"/>
      <c r="AA427" s="106"/>
      <c r="AB427" s="106"/>
      <c r="AC427" s="106"/>
      <c r="AD427" s="106"/>
      <c r="AE427" s="106"/>
      <c r="AF427" s="106"/>
      <c r="AG427" s="106"/>
      <c r="AH427" s="106"/>
      <c r="AI427" s="106"/>
      <c r="AJ427" s="106"/>
      <c r="AK427" s="106"/>
      <c r="AL427" s="106"/>
      <c r="AM427" s="106"/>
      <c r="AN427" s="106"/>
      <c r="AO427" s="106"/>
      <c r="AP427" s="106"/>
      <c r="AQ427" s="106"/>
      <c r="AR427" s="106"/>
      <c r="AS427" s="106"/>
      <c r="AT427" s="106"/>
      <c r="AU427" s="106"/>
      <c r="AV427" s="106"/>
      <c r="AW427" s="106"/>
      <c r="AX427" s="106"/>
      <c r="AY427" s="106"/>
      <c r="AZ427" s="106"/>
      <c r="BA427" s="106"/>
      <c r="BB427" s="106"/>
      <c r="BC427" s="106"/>
      <c r="BD427" s="106"/>
      <c r="BE427" s="106"/>
      <c r="BF427" s="106"/>
      <c r="BG427" s="106"/>
      <c r="BH427" s="106"/>
      <c r="BI427" s="106"/>
      <c r="BJ427" s="106"/>
      <c r="BK427" s="106"/>
      <c r="BL427" s="106"/>
      <c r="BM427" s="106"/>
      <c r="BN427" s="106"/>
      <c r="BO427" s="106"/>
      <c r="BP427" s="106"/>
      <c r="BQ427" s="106"/>
    </row>
    <row r="428" spans="3:69">
      <c r="I428" s="108" t="s">
        <v>7</v>
      </c>
      <c r="J428" s="108" t="s">
        <v>1296</v>
      </c>
      <c r="K428" s="109" t="s">
        <v>1699</v>
      </c>
      <c r="L428" s="109"/>
      <c r="M428" s="109"/>
      <c r="N428" s="109"/>
      <c r="O428" s="109"/>
      <c r="P428" s="109"/>
      <c r="Q428" s="109"/>
      <c r="R428" s="109"/>
      <c r="S428" s="109"/>
      <c r="T428" s="109"/>
      <c r="U428" s="110"/>
      <c r="V428" s="110"/>
      <c r="W428" s="109"/>
      <c r="X428" s="109"/>
      <c r="Y428" s="109"/>
      <c r="Z428" s="109"/>
      <c r="AA428" s="109"/>
      <c r="AB428" s="109"/>
      <c r="AC428" s="109"/>
      <c r="AD428" s="109"/>
      <c r="AE428" s="109"/>
      <c r="AF428" s="109"/>
      <c r="AG428" s="109"/>
      <c r="AH428" s="109"/>
      <c r="AI428" s="109"/>
      <c r="AJ428" s="109"/>
      <c r="AK428" s="109"/>
      <c r="AL428" s="109"/>
      <c r="AM428" s="109"/>
      <c r="AN428" s="109"/>
      <c r="AO428" s="109"/>
      <c r="AP428" s="109"/>
      <c r="AQ428" s="109"/>
      <c r="AR428" s="109"/>
      <c r="AS428" s="109"/>
      <c r="AT428" s="109"/>
      <c r="AU428" s="109"/>
      <c r="AV428" s="109"/>
      <c r="AW428" s="109"/>
      <c r="AX428" s="109"/>
      <c r="AY428" s="109"/>
      <c r="AZ428" s="109"/>
      <c r="BA428" s="109"/>
      <c r="BB428" s="109"/>
      <c r="BC428" s="109"/>
      <c r="BD428" s="109"/>
      <c r="BE428" s="109"/>
      <c r="BF428" s="109"/>
      <c r="BG428" s="109"/>
      <c r="BH428" s="109"/>
      <c r="BI428" s="109"/>
      <c r="BJ428" s="109"/>
      <c r="BK428" s="109"/>
      <c r="BL428" s="109"/>
      <c r="BM428" s="109"/>
      <c r="BN428" s="109"/>
      <c r="BO428" s="109"/>
      <c r="BP428" s="109"/>
      <c r="BQ428" s="109"/>
    </row>
    <row r="429" spans="3:69" ht="13.5">
      <c r="I429" s="220" t="s">
        <v>48</v>
      </c>
      <c r="J429" s="220" t="s">
        <v>1297</v>
      </c>
      <c r="K429" s="221">
        <f>K426</f>
        <v>10</v>
      </c>
      <c r="L429" s="221">
        <f t="shared" ref="L429:M429" si="208">L426</f>
        <v>5</v>
      </c>
      <c r="M429" s="221">
        <f t="shared" si="208"/>
        <v>13</v>
      </c>
      <c r="N429" s="101"/>
      <c r="O429" s="101"/>
      <c r="P429" s="101"/>
      <c r="Q429" s="101"/>
      <c r="R429" s="101"/>
      <c r="S429" s="101"/>
      <c r="T429" s="94" t="s">
        <v>209</v>
      </c>
      <c r="U429" s="121" t="s">
        <v>1732</v>
      </c>
      <c r="V429" s="99">
        <v>10</v>
      </c>
      <c r="W429" s="101"/>
      <c r="X429" s="101"/>
      <c r="Y429" s="101"/>
      <c r="Z429" s="101"/>
      <c r="AA429" s="101"/>
      <c r="AB429" s="101"/>
      <c r="AC429" s="101"/>
      <c r="AD429" s="101"/>
      <c r="AE429" s="101"/>
      <c r="AF429" s="102">
        <v>1</v>
      </c>
      <c r="AG429" s="102">
        <v>1</v>
      </c>
      <c r="AH429" s="101"/>
      <c r="AI429" s="101"/>
      <c r="AJ429" s="101"/>
      <c r="AK429" s="101"/>
      <c r="AL429" s="101"/>
      <c r="AM429" s="101"/>
      <c r="AN429" s="101"/>
      <c r="AO429" s="101"/>
      <c r="AP429" s="101"/>
      <c r="AQ429" s="101"/>
      <c r="AR429" s="101"/>
      <c r="AS429" s="101"/>
      <c r="AT429" s="101"/>
      <c r="AU429" s="101"/>
      <c r="AV429" s="101"/>
      <c r="AW429" s="101"/>
      <c r="AX429" s="101"/>
      <c r="AY429" s="101"/>
      <c r="AZ429" s="101"/>
      <c r="BA429" s="101"/>
      <c r="BB429" s="101"/>
      <c r="BC429" s="101"/>
      <c r="BD429" s="101"/>
      <c r="BE429" s="101"/>
      <c r="BF429" s="101"/>
      <c r="BG429" s="101"/>
      <c r="BH429" s="101"/>
      <c r="BI429" s="101"/>
      <c r="BJ429" s="101"/>
      <c r="BK429" s="101"/>
      <c r="BL429" s="101"/>
      <c r="BM429" s="101"/>
      <c r="BN429" s="101"/>
      <c r="BO429" s="101"/>
      <c r="BP429" s="101"/>
      <c r="BQ429" s="101"/>
    </row>
    <row r="430" spans="3:69">
      <c r="I430" s="220" t="s">
        <v>901</v>
      </c>
      <c r="J430" s="220" t="s">
        <v>1298</v>
      </c>
      <c r="K430" s="221">
        <f t="shared" ref="K430:M430" si="209">K429</f>
        <v>10</v>
      </c>
      <c r="L430" s="221">
        <f t="shared" si="209"/>
        <v>5</v>
      </c>
      <c r="M430" s="221">
        <f t="shared" si="209"/>
        <v>13</v>
      </c>
      <c r="N430" s="101"/>
      <c r="O430" s="101"/>
      <c r="P430" s="101"/>
      <c r="Q430" s="101"/>
      <c r="R430" s="101"/>
      <c r="S430" s="101"/>
      <c r="T430" s="111" t="e">
        <f>Command_Blw</f>
        <v>#NAME?</v>
      </c>
      <c r="U430" s="99">
        <v>6</v>
      </c>
      <c r="V430" s="99">
        <v>2</v>
      </c>
      <c r="W430" s="101"/>
      <c r="X430" s="101"/>
      <c r="Y430" s="101"/>
      <c r="Z430" s="101"/>
      <c r="AA430" s="101"/>
      <c r="AB430" s="101"/>
      <c r="AC430" s="101"/>
      <c r="AD430" s="101"/>
      <c r="AE430" s="101"/>
      <c r="AF430" s="102">
        <v>5</v>
      </c>
      <c r="AG430" s="102">
        <v>5</v>
      </c>
      <c r="AH430" s="101"/>
      <c r="AI430" s="101"/>
      <c r="AJ430" s="101"/>
      <c r="AK430" s="101"/>
      <c r="AL430" s="101"/>
      <c r="AM430" s="101"/>
      <c r="AN430" s="101"/>
      <c r="AO430" s="101"/>
      <c r="AP430" s="101"/>
      <c r="AQ430" s="101"/>
      <c r="AR430" s="101"/>
      <c r="AS430" s="101"/>
      <c r="AT430" s="101"/>
      <c r="AU430" s="101"/>
      <c r="AV430" s="101"/>
      <c r="AW430" s="101"/>
      <c r="AX430" s="101"/>
      <c r="AY430" s="101"/>
      <c r="AZ430" s="101"/>
      <c r="BA430" s="101"/>
      <c r="BB430" s="101"/>
      <c r="BC430" s="101"/>
      <c r="BD430" s="101"/>
      <c r="BE430" s="101"/>
      <c r="BF430" s="101"/>
      <c r="BG430" s="101"/>
      <c r="BH430" s="101"/>
      <c r="BI430" s="101"/>
      <c r="BJ430" s="101"/>
      <c r="BK430" s="101"/>
      <c r="BL430" s="101"/>
      <c r="BM430" s="101"/>
      <c r="BN430" s="101"/>
      <c r="BO430" s="101"/>
      <c r="BP430" s="101"/>
      <c r="BQ430" s="101"/>
    </row>
    <row r="431" spans="3:69">
      <c r="I431" s="220" t="s">
        <v>901</v>
      </c>
      <c r="J431" s="220" t="s">
        <v>1480</v>
      </c>
      <c r="K431" s="221">
        <f t="shared" ref="K431:M431" si="210">K430</f>
        <v>10</v>
      </c>
      <c r="L431" s="221">
        <f t="shared" si="210"/>
        <v>5</v>
      </c>
      <c r="M431" s="221">
        <f t="shared" si="210"/>
        <v>13</v>
      </c>
      <c r="N431" s="101"/>
      <c r="O431" s="101"/>
      <c r="P431" s="101"/>
      <c r="Q431" s="101"/>
      <c r="R431" s="101"/>
      <c r="S431" s="101"/>
      <c r="T431" s="111" t="e">
        <f>Command_Blw</f>
        <v>#NAME?</v>
      </c>
      <c r="U431" s="99">
        <v>0</v>
      </c>
      <c r="V431" s="99">
        <v>2</v>
      </c>
      <c r="W431" s="101"/>
      <c r="X431" s="101"/>
      <c r="Y431" s="101"/>
      <c r="Z431" s="101"/>
      <c r="AA431" s="101"/>
      <c r="AB431" s="101"/>
      <c r="AC431" s="101"/>
      <c r="AD431" s="101"/>
      <c r="AE431" s="101"/>
      <c r="AF431" s="102" t="s">
        <v>1481</v>
      </c>
      <c r="AG431" s="102" t="s">
        <v>1481</v>
      </c>
      <c r="AH431" s="101"/>
      <c r="AI431" s="101"/>
      <c r="AJ431" s="101"/>
      <c r="AK431" s="101"/>
      <c r="AL431" s="101"/>
      <c r="AM431" s="101"/>
      <c r="AN431" s="101"/>
      <c r="AO431" s="101"/>
      <c r="AP431" s="101"/>
      <c r="AQ431" s="101"/>
      <c r="AR431" s="101"/>
      <c r="AS431" s="101"/>
      <c r="AT431" s="101"/>
      <c r="AU431" s="101"/>
      <c r="AV431" s="101"/>
      <c r="AW431" s="101"/>
      <c r="AX431" s="101"/>
      <c r="AY431" s="101"/>
      <c r="AZ431" s="101"/>
      <c r="BA431" s="101"/>
      <c r="BB431" s="101"/>
      <c r="BC431" s="101"/>
      <c r="BD431" s="101"/>
      <c r="BE431" s="101"/>
      <c r="BF431" s="101"/>
      <c r="BG431" s="101"/>
      <c r="BH431" s="101"/>
      <c r="BI431" s="101"/>
      <c r="BJ431" s="101"/>
      <c r="BK431" s="101"/>
      <c r="BL431" s="101"/>
      <c r="BM431" s="101"/>
      <c r="BN431" s="101"/>
      <c r="BO431" s="101"/>
      <c r="BP431" s="101"/>
      <c r="BQ431" s="101"/>
    </row>
    <row r="432" spans="3:69">
      <c r="I432" s="255">
        <f>COUNTIF(I433:I440,"&lt;&gt;TS")</f>
        <v>7</v>
      </c>
      <c r="J432" s="106" t="s">
        <v>576</v>
      </c>
      <c r="K432" s="106" t="s">
        <v>828</v>
      </c>
      <c r="L432" s="106"/>
      <c r="M432" s="106"/>
      <c r="N432" s="106"/>
      <c r="O432" s="106"/>
      <c r="P432" s="106"/>
      <c r="Q432" s="106"/>
      <c r="R432" s="106"/>
      <c r="S432" s="106"/>
      <c r="T432" s="106"/>
      <c r="U432" s="107"/>
      <c r="V432" s="107"/>
      <c r="W432" s="106"/>
      <c r="X432" s="106"/>
      <c r="Y432" s="106"/>
      <c r="Z432" s="106"/>
      <c r="AA432" s="106"/>
      <c r="AB432" s="106"/>
      <c r="AC432" s="106"/>
      <c r="AD432" s="106"/>
      <c r="AE432" s="106"/>
      <c r="AF432" s="106"/>
      <c r="AG432" s="106"/>
      <c r="AH432" s="106"/>
      <c r="AI432" s="106"/>
      <c r="AJ432" s="106"/>
      <c r="AK432" s="106"/>
      <c r="AL432" s="106"/>
      <c r="AM432" s="106"/>
      <c r="AN432" s="106"/>
      <c r="AO432" s="106"/>
      <c r="AP432" s="106"/>
      <c r="AQ432" s="106"/>
      <c r="AR432" s="106"/>
      <c r="AS432" s="106"/>
      <c r="AT432" s="106"/>
      <c r="AU432" s="106"/>
      <c r="AV432" s="106"/>
      <c r="AW432" s="106"/>
      <c r="AX432" s="106"/>
      <c r="AY432" s="106"/>
      <c r="AZ432" s="106"/>
      <c r="BA432" s="106"/>
      <c r="BB432" s="106"/>
      <c r="BC432" s="106"/>
      <c r="BD432" s="106"/>
      <c r="BE432" s="106"/>
      <c r="BF432" s="106"/>
      <c r="BG432" s="106"/>
      <c r="BH432" s="106"/>
      <c r="BI432" s="106"/>
      <c r="BJ432" s="106"/>
      <c r="BK432" s="106"/>
      <c r="BL432" s="106"/>
      <c r="BM432" s="106"/>
      <c r="BN432" s="106"/>
      <c r="BO432" s="106"/>
      <c r="BP432" s="106"/>
      <c r="BQ432" s="106"/>
    </row>
    <row r="433" spans="3:69" ht="13.5">
      <c r="I433" s="108" t="s">
        <v>7</v>
      </c>
      <c r="J433" s="108" t="s">
        <v>946</v>
      </c>
      <c r="K433" s="109" t="s">
        <v>829</v>
      </c>
      <c r="L433" s="109"/>
      <c r="M433" s="109"/>
      <c r="N433" s="109"/>
      <c r="O433" s="109"/>
      <c r="P433" s="109"/>
      <c r="Q433" s="109"/>
      <c r="R433" s="109"/>
      <c r="S433" s="109"/>
      <c r="T433" s="109"/>
      <c r="U433" s="110"/>
      <c r="V433" s="110"/>
      <c r="W433" s="109"/>
      <c r="X433" s="109"/>
      <c r="Y433" s="109"/>
      <c r="Z433" s="109"/>
      <c r="AA433" s="109"/>
      <c r="AB433" s="109"/>
      <c r="AC433" s="109"/>
      <c r="AD433" s="109"/>
      <c r="AE433" s="109"/>
      <c r="AF433" s="109"/>
      <c r="AG433" s="109"/>
      <c r="AH433" s="109"/>
      <c r="AI433" s="109"/>
      <c r="AJ433" s="109"/>
      <c r="AK433" s="109"/>
      <c r="AL433" s="109"/>
      <c r="AM433" s="109"/>
      <c r="AN433" s="109"/>
      <c r="AO433" s="109"/>
      <c r="AP433" s="109"/>
      <c r="AQ433" s="109"/>
      <c r="AR433" s="109"/>
      <c r="AS433" s="109"/>
      <c r="AT433" s="109"/>
      <c r="AU433" s="109"/>
      <c r="AV433" s="109"/>
      <c r="AW433" s="109"/>
      <c r="AX433" s="109"/>
      <c r="AY433" s="109"/>
      <c r="AZ433" s="109"/>
      <c r="BA433" s="109"/>
      <c r="BB433" s="109"/>
      <c r="BC433" s="109"/>
      <c r="BD433" s="109"/>
      <c r="BE433" s="109"/>
      <c r="BF433" s="109"/>
      <c r="BG433" s="109"/>
      <c r="BH433" s="109"/>
      <c r="BI433" s="109"/>
      <c r="BJ433" s="109"/>
      <c r="BK433" s="109"/>
      <c r="BL433" s="109"/>
      <c r="BM433" s="109"/>
      <c r="BN433" s="109"/>
      <c r="BO433" s="109"/>
      <c r="BP433" s="109"/>
      <c r="BQ433" s="109"/>
    </row>
    <row r="434" spans="3:69">
      <c r="I434" s="96" t="s">
        <v>48</v>
      </c>
      <c r="J434" s="96" t="s">
        <v>947</v>
      </c>
      <c r="K434" s="221">
        <f>K431</f>
        <v>10</v>
      </c>
      <c r="L434" s="221">
        <f t="shared" ref="L434:M434" si="211">L431</f>
        <v>5</v>
      </c>
      <c r="M434" s="221">
        <f t="shared" si="211"/>
        <v>13</v>
      </c>
      <c r="N434" s="101"/>
      <c r="O434" s="101"/>
      <c r="P434" s="101"/>
      <c r="Q434" s="101"/>
      <c r="R434" s="101"/>
      <c r="S434" s="101"/>
      <c r="T434" s="94" t="s">
        <v>209</v>
      </c>
      <c r="U434" s="100" t="e">
        <f>IF(FLAG_Country&lt;&gt;"USA","설정 온도 22 degC, AUTO ON (SYNC ON) 선택 상태 설정","설정 온도 72 degF, AUTO ON (SYNC ON) 선택 상태 설정")</f>
        <v>#NAME?</v>
      </c>
      <c r="V434" s="95">
        <v>10</v>
      </c>
      <c r="W434" s="101"/>
      <c r="X434" s="101"/>
      <c r="Y434" s="101"/>
      <c r="Z434" s="101"/>
      <c r="AA434" s="101"/>
      <c r="AB434" s="101"/>
      <c r="AC434" s="101"/>
      <c r="AD434" s="101"/>
      <c r="AE434" s="101"/>
      <c r="AF434" s="101"/>
      <c r="AG434" s="101"/>
      <c r="AH434" s="101"/>
      <c r="AI434" s="101"/>
      <c r="AJ434" s="101"/>
      <c r="AK434" s="101"/>
      <c r="AL434" s="101"/>
      <c r="AM434" s="101"/>
      <c r="AN434" s="101"/>
      <c r="AO434" s="101"/>
      <c r="AP434" s="101"/>
      <c r="AQ434" s="100" t="s">
        <v>50</v>
      </c>
      <c r="AR434" s="100" t="s">
        <v>417</v>
      </c>
      <c r="AS434" s="101"/>
      <c r="AT434" s="101"/>
      <c r="AU434" s="101"/>
      <c r="AV434" s="101"/>
      <c r="AW434" s="101"/>
      <c r="AX434" s="101"/>
      <c r="AY434" s="101"/>
      <c r="AZ434" s="101"/>
      <c r="BA434" s="101"/>
      <c r="BB434" s="101"/>
      <c r="BC434" s="101"/>
      <c r="BD434" s="101"/>
      <c r="BE434" s="101"/>
      <c r="BF434" s="101"/>
      <c r="BG434" s="101"/>
      <c r="BH434" s="101"/>
      <c r="BI434" s="101"/>
      <c r="BJ434" s="101"/>
      <c r="BK434" s="101"/>
      <c r="BL434" s="101"/>
      <c r="BM434" s="101"/>
      <c r="BN434" s="101"/>
      <c r="BO434" s="101"/>
      <c r="BP434" s="101"/>
      <c r="BQ434" s="101"/>
    </row>
    <row r="435" spans="3:69">
      <c r="I435" s="220" t="s">
        <v>155</v>
      </c>
      <c r="J435" s="220" t="s">
        <v>948</v>
      </c>
      <c r="K435" s="221">
        <f t="shared" ref="K435:M435" si="212">K434</f>
        <v>10</v>
      </c>
      <c r="L435" s="221">
        <f t="shared" si="212"/>
        <v>5</v>
      </c>
      <c r="M435" s="221">
        <f t="shared" si="212"/>
        <v>13</v>
      </c>
      <c r="N435" s="101"/>
      <c r="O435" s="101"/>
      <c r="P435" s="101"/>
      <c r="Q435" s="101"/>
      <c r="R435" s="101"/>
      <c r="S435" s="101"/>
      <c r="T435" s="94" t="e">
        <f>Navi_AirConditionWarning</f>
        <v>#NAME?</v>
      </c>
      <c r="U435" s="100">
        <v>1</v>
      </c>
      <c r="V435" s="95"/>
      <c r="W435" s="101"/>
      <c r="X435" s="101"/>
      <c r="Y435" s="101"/>
      <c r="Z435" s="101"/>
      <c r="AA435" s="101"/>
      <c r="AB435" s="101"/>
      <c r="AC435" s="101"/>
      <c r="AD435" s="101"/>
      <c r="AE435" s="101"/>
      <c r="AF435" s="101"/>
      <c r="AG435" s="101"/>
      <c r="AH435" s="101"/>
      <c r="AI435" s="101"/>
      <c r="AJ435" s="101"/>
      <c r="AK435" s="101"/>
      <c r="AL435" s="101"/>
      <c r="AM435" s="101"/>
      <c r="AN435" s="101"/>
      <c r="AO435" s="101"/>
      <c r="AP435" s="101"/>
      <c r="AQ435" s="100" t="s">
        <v>51</v>
      </c>
      <c r="AR435" s="100" t="s">
        <v>51</v>
      </c>
      <c r="AS435" s="101"/>
      <c r="AT435" s="101"/>
      <c r="AU435" s="101"/>
      <c r="AV435" s="101"/>
      <c r="AW435" s="101"/>
      <c r="AX435" s="101"/>
      <c r="AY435" s="101"/>
      <c r="AZ435" s="101"/>
      <c r="BA435" s="101"/>
      <c r="BB435" s="101"/>
      <c r="BC435" s="101"/>
      <c r="BD435" s="101"/>
      <c r="BE435" s="101"/>
      <c r="BF435" s="101"/>
      <c r="BG435" s="101"/>
      <c r="BH435" s="101"/>
      <c r="BI435" s="101"/>
      <c r="BJ435" s="101"/>
      <c r="BK435" s="101"/>
      <c r="BL435" s="101"/>
      <c r="BM435" s="101"/>
      <c r="BN435" s="101"/>
      <c r="BO435" s="101"/>
      <c r="BP435" s="101"/>
      <c r="BQ435" s="101"/>
    </row>
    <row r="436" spans="3:69">
      <c r="I436" s="220" t="s">
        <v>155</v>
      </c>
      <c r="J436" s="220" t="s">
        <v>949</v>
      </c>
      <c r="K436" s="221">
        <f t="shared" ref="K436:M436" si="213">K435</f>
        <v>10</v>
      </c>
      <c r="L436" s="221">
        <f t="shared" si="213"/>
        <v>5</v>
      </c>
      <c r="M436" s="221">
        <f t="shared" si="213"/>
        <v>13</v>
      </c>
      <c r="N436" s="101"/>
      <c r="O436" s="101"/>
      <c r="P436" s="101"/>
      <c r="Q436" s="101"/>
      <c r="R436" s="101"/>
      <c r="S436" s="101"/>
      <c r="T436" s="94" t="e">
        <f>Navi_AirConditionWarning</f>
        <v>#NAME?</v>
      </c>
      <c r="U436" s="100">
        <v>2</v>
      </c>
      <c r="V436" s="95"/>
      <c r="W436" s="101"/>
      <c r="X436" s="101"/>
      <c r="Y436" s="101"/>
      <c r="Z436" s="101"/>
      <c r="AA436" s="101"/>
      <c r="AB436" s="101"/>
      <c r="AC436" s="101"/>
      <c r="AD436" s="101"/>
      <c r="AE436" s="101"/>
      <c r="AF436" s="101"/>
      <c r="AG436" s="101"/>
      <c r="AH436" s="101"/>
      <c r="AI436" s="101"/>
      <c r="AJ436" s="101"/>
      <c r="AK436" s="101"/>
      <c r="AL436" s="101"/>
      <c r="AM436" s="101"/>
      <c r="AN436" s="101"/>
      <c r="AO436" s="101"/>
      <c r="AP436" s="101"/>
      <c r="AQ436" s="100" t="s">
        <v>50</v>
      </c>
      <c r="AR436" s="100" t="s">
        <v>417</v>
      </c>
      <c r="AS436" s="101"/>
      <c r="AT436" s="101"/>
      <c r="AU436" s="101"/>
      <c r="AV436" s="101"/>
      <c r="AW436" s="101"/>
      <c r="AX436" s="101"/>
      <c r="AY436" s="101"/>
      <c r="AZ436" s="101"/>
      <c r="BA436" s="101"/>
      <c r="BB436" s="101"/>
      <c r="BC436" s="101"/>
      <c r="BD436" s="101"/>
      <c r="BE436" s="101"/>
      <c r="BF436" s="101"/>
      <c r="BG436" s="101"/>
      <c r="BH436" s="101"/>
      <c r="BI436" s="101"/>
      <c r="BJ436" s="101"/>
      <c r="BK436" s="101"/>
      <c r="BL436" s="101"/>
      <c r="BM436" s="101"/>
      <c r="BN436" s="101"/>
      <c r="BO436" s="101"/>
      <c r="BP436" s="101"/>
      <c r="BQ436" s="101"/>
    </row>
    <row r="437" spans="3:69">
      <c r="I437" s="220" t="s">
        <v>155</v>
      </c>
      <c r="J437" s="220" t="s">
        <v>950</v>
      </c>
      <c r="K437" s="221">
        <f t="shared" ref="K437:M437" si="214">K436</f>
        <v>10</v>
      </c>
      <c r="L437" s="221">
        <f t="shared" si="214"/>
        <v>5</v>
      </c>
      <c r="M437" s="221">
        <f t="shared" si="214"/>
        <v>13</v>
      </c>
      <c r="N437" s="101"/>
      <c r="O437" s="101"/>
      <c r="P437" s="101"/>
      <c r="Q437" s="101"/>
      <c r="R437" s="101"/>
      <c r="S437" s="101"/>
      <c r="T437" s="94" t="s">
        <v>214</v>
      </c>
      <c r="U437" s="95">
        <v>1</v>
      </c>
      <c r="V437" s="95">
        <v>1</v>
      </c>
      <c r="W437" s="101"/>
      <c r="X437" s="101"/>
      <c r="Y437" s="101"/>
      <c r="Z437" s="101"/>
      <c r="AA437" s="101"/>
      <c r="AB437" s="101"/>
      <c r="AC437" s="101"/>
      <c r="AD437" s="101"/>
      <c r="AE437" s="101"/>
      <c r="AF437" s="101"/>
      <c r="AG437" s="101"/>
      <c r="AH437" s="101"/>
      <c r="AI437" s="101"/>
      <c r="AJ437" s="101"/>
      <c r="AK437" s="101"/>
      <c r="AL437" s="101"/>
      <c r="AM437" s="101"/>
      <c r="AN437" s="101"/>
      <c r="AO437" s="101"/>
      <c r="AP437" s="101"/>
      <c r="AQ437" s="100" t="s">
        <v>50</v>
      </c>
      <c r="AR437" s="100" t="s">
        <v>417</v>
      </c>
      <c r="AS437" s="101"/>
      <c r="AT437" s="101"/>
      <c r="AU437" s="101"/>
      <c r="AV437" s="101"/>
      <c r="AW437" s="101"/>
      <c r="AX437" s="101"/>
      <c r="AY437" s="101"/>
      <c r="AZ437" s="101"/>
      <c r="BA437" s="101"/>
      <c r="BB437" s="101"/>
      <c r="BC437" s="101"/>
      <c r="BD437" s="101"/>
      <c r="BE437" s="101"/>
      <c r="BF437" s="101"/>
      <c r="BG437" s="101"/>
      <c r="BH437" s="101"/>
      <c r="BI437" s="101"/>
      <c r="BJ437" s="101"/>
      <c r="BK437" s="101"/>
      <c r="BL437" s="101"/>
      <c r="BM437" s="101"/>
      <c r="BN437" s="101"/>
      <c r="BO437" s="101"/>
      <c r="BP437" s="101"/>
      <c r="BQ437" s="101"/>
    </row>
    <row r="438" spans="3:69">
      <c r="I438" s="220" t="s">
        <v>155</v>
      </c>
      <c r="J438" s="220" t="s">
        <v>951</v>
      </c>
      <c r="K438" s="221">
        <f t="shared" ref="K438:M438" si="215">K437</f>
        <v>10</v>
      </c>
      <c r="L438" s="221">
        <f t="shared" si="215"/>
        <v>5</v>
      </c>
      <c r="M438" s="221">
        <f t="shared" si="215"/>
        <v>13</v>
      </c>
      <c r="N438" s="101"/>
      <c r="O438" s="101"/>
      <c r="P438" s="101"/>
      <c r="Q438" s="101"/>
      <c r="R438" s="101"/>
      <c r="S438" s="101"/>
      <c r="T438" s="94" t="e">
        <f>Navi_AirConditionWarning</f>
        <v>#NAME?</v>
      </c>
      <c r="U438" s="100">
        <v>1</v>
      </c>
      <c r="V438" s="95"/>
      <c r="W438" s="101"/>
      <c r="X438" s="101"/>
      <c r="Y438" s="101"/>
      <c r="Z438" s="101"/>
      <c r="AA438" s="101"/>
      <c r="AB438" s="101"/>
      <c r="AC438" s="101"/>
      <c r="AD438" s="101"/>
      <c r="AE438" s="101"/>
      <c r="AF438" s="101"/>
      <c r="AG438" s="101"/>
      <c r="AH438" s="101"/>
      <c r="AI438" s="101"/>
      <c r="AJ438" s="101"/>
      <c r="AK438" s="101"/>
      <c r="AL438" s="101"/>
      <c r="AM438" s="101"/>
      <c r="AN438" s="101"/>
      <c r="AO438" s="101"/>
      <c r="AP438" s="101"/>
      <c r="AQ438" s="100" t="s">
        <v>51</v>
      </c>
      <c r="AR438" s="100" t="s">
        <v>51</v>
      </c>
      <c r="AS438" s="101"/>
      <c r="AT438" s="101"/>
      <c r="AU438" s="101"/>
      <c r="AV438" s="101"/>
      <c r="AW438" s="101"/>
      <c r="AX438" s="101"/>
      <c r="AY438" s="101"/>
      <c r="AZ438" s="101"/>
      <c r="BA438" s="101"/>
      <c r="BB438" s="101"/>
      <c r="BC438" s="101"/>
      <c r="BD438" s="101"/>
      <c r="BE438" s="101"/>
      <c r="BF438" s="101"/>
      <c r="BG438" s="101"/>
      <c r="BH438" s="101"/>
      <c r="BI438" s="101"/>
      <c r="BJ438" s="101"/>
      <c r="BK438" s="101"/>
      <c r="BL438" s="101"/>
      <c r="BM438" s="101"/>
      <c r="BN438" s="101"/>
      <c r="BO438" s="101"/>
      <c r="BP438" s="101"/>
      <c r="BQ438" s="101"/>
    </row>
    <row r="439" spans="3:69">
      <c r="I439" s="220" t="s">
        <v>155</v>
      </c>
      <c r="J439" s="220" t="s">
        <v>952</v>
      </c>
      <c r="K439" s="221">
        <f t="shared" ref="K439:M439" si="216">K438</f>
        <v>10</v>
      </c>
      <c r="L439" s="221">
        <f t="shared" si="216"/>
        <v>5</v>
      </c>
      <c r="M439" s="221">
        <f t="shared" si="216"/>
        <v>13</v>
      </c>
      <c r="N439" s="101"/>
      <c r="O439" s="101"/>
      <c r="P439" s="101"/>
      <c r="Q439" s="101"/>
      <c r="R439" s="101"/>
      <c r="S439" s="101"/>
      <c r="T439" s="94" t="e">
        <f>Navi_AirConditionWarning</f>
        <v>#NAME?</v>
      </c>
      <c r="U439" s="100">
        <v>2</v>
      </c>
      <c r="V439" s="95"/>
      <c r="W439" s="101"/>
      <c r="X439" s="101"/>
      <c r="Y439" s="101"/>
      <c r="Z439" s="101"/>
      <c r="AA439" s="101"/>
      <c r="AB439" s="101"/>
      <c r="AC439" s="101"/>
      <c r="AD439" s="101"/>
      <c r="AE439" s="101"/>
      <c r="AF439" s="101"/>
      <c r="AG439" s="101"/>
      <c r="AH439" s="101"/>
      <c r="AI439" s="101"/>
      <c r="AJ439" s="101"/>
      <c r="AK439" s="101"/>
      <c r="AL439" s="101"/>
      <c r="AM439" s="101"/>
      <c r="AN439" s="101"/>
      <c r="AO439" s="101"/>
      <c r="AP439" s="101"/>
      <c r="AQ439" s="100" t="s">
        <v>50</v>
      </c>
      <c r="AR439" s="100" t="s">
        <v>417</v>
      </c>
      <c r="AS439" s="101"/>
      <c r="AT439" s="101"/>
      <c r="AU439" s="101"/>
      <c r="AV439" s="101"/>
      <c r="AW439" s="101"/>
      <c r="AX439" s="101"/>
      <c r="AY439" s="101"/>
      <c r="AZ439" s="101"/>
      <c r="BA439" s="101"/>
      <c r="BB439" s="101"/>
      <c r="BC439" s="101"/>
      <c r="BD439" s="101"/>
      <c r="BE439" s="101"/>
      <c r="BF439" s="101"/>
      <c r="BG439" s="101"/>
      <c r="BH439" s="101"/>
      <c r="BI439" s="101"/>
      <c r="BJ439" s="101"/>
      <c r="BK439" s="101"/>
      <c r="BL439" s="101"/>
      <c r="BM439" s="101"/>
      <c r="BN439" s="101"/>
      <c r="BO439" s="101"/>
      <c r="BP439" s="101"/>
      <c r="BQ439" s="101"/>
    </row>
    <row r="440" spans="3:69" ht="13.5">
      <c r="I440" s="220" t="s">
        <v>155</v>
      </c>
      <c r="J440" s="220" t="s">
        <v>953</v>
      </c>
      <c r="K440" s="221">
        <f t="shared" ref="K440:M440" si="217">K439</f>
        <v>10</v>
      </c>
      <c r="L440" s="221">
        <f t="shared" si="217"/>
        <v>5</v>
      </c>
      <c r="M440" s="221">
        <f t="shared" si="217"/>
        <v>13</v>
      </c>
      <c r="N440" s="101"/>
      <c r="O440" s="101"/>
      <c r="P440" s="101"/>
      <c r="Q440" s="101"/>
      <c r="R440" s="101"/>
      <c r="S440" s="101"/>
      <c r="T440" s="94" t="s">
        <v>209</v>
      </c>
      <c r="U440" s="100" t="s">
        <v>505</v>
      </c>
      <c r="V440" s="95">
        <v>1</v>
      </c>
      <c r="W440" s="101"/>
      <c r="X440" s="101"/>
      <c r="Y440" s="101"/>
      <c r="Z440" s="101"/>
      <c r="AA440" s="101"/>
      <c r="AB440" s="101"/>
      <c r="AC440" s="101"/>
      <c r="AD440" s="101"/>
      <c r="AE440" s="101"/>
      <c r="AF440" s="101"/>
      <c r="AG440" s="101"/>
      <c r="AH440" s="101"/>
      <c r="AI440" s="101"/>
      <c r="AJ440" s="101"/>
      <c r="AK440" s="101"/>
      <c r="AL440" s="101"/>
      <c r="AM440" s="101"/>
      <c r="AN440" s="101"/>
      <c r="AO440" s="101"/>
      <c r="AP440" s="101"/>
      <c r="AQ440" s="100" t="s">
        <v>50</v>
      </c>
      <c r="AR440" s="100" t="s">
        <v>417</v>
      </c>
      <c r="AS440" s="101"/>
      <c r="AT440" s="101"/>
      <c r="AU440" s="101"/>
      <c r="AV440" s="101"/>
      <c r="AW440" s="101"/>
      <c r="AX440" s="101"/>
      <c r="AY440" s="101"/>
      <c r="AZ440" s="101"/>
      <c r="BA440" s="101"/>
      <c r="BB440" s="101"/>
      <c r="BC440" s="101"/>
      <c r="BD440" s="101"/>
      <c r="BE440" s="101"/>
      <c r="BF440" s="101"/>
      <c r="BG440" s="101"/>
      <c r="BH440" s="101"/>
      <c r="BI440" s="101"/>
      <c r="BJ440" s="101"/>
      <c r="BK440" s="101"/>
      <c r="BL440" s="101"/>
      <c r="BM440" s="101"/>
      <c r="BN440" s="101"/>
      <c r="BO440" s="101"/>
      <c r="BP440" s="101"/>
      <c r="BQ440" s="101"/>
    </row>
    <row r="441" spans="3:69">
      <c r="C441" s="4"/>
      <c r="I441" s="255">
        <f>COUNTIF(I442:I445,"&lt;&gt;TS")</f>
        <v>3</v>
      </c>
      <c r="J441" s="106" t="s">
        <v>945</v>
      </c>
      <c r="K441" s="106" t="s">
        <v>830</v>
      </c>
      <c r="L441" s="106"/>
      <c r="M441" s="106"/>
      <c r="N441" s="106"/>
      <c r="O441" s="106"/>
      <c r="P441" s="106"/>
      <c r="Q441" s="106"/>
      <c r="R441" s="106"/>
      <c r="S441" s="106"/>
      <c r="T441" s="106"/>
      <c r="U441" s="107"/>
      <c r="V441" s="107"/>
      <c r="W441" s="106"/>
      <c r="X441" s="106"/>
      <c r="Y441" s="106"/>
      <c r="Z441" s="106"/>
      <c r="AA441" s="106"/>
      <c r="AB441" s="106"/>
      <c r="AC441" s="106"/>
      <c r="AD441" s="106"/>
      <c r="AE441" s="106"/>
      <c r="AF441" s="106"/>
      <c r="AG441" s="106"/>
      <c r="AH441" s="106"/>
      <c r="AI441" s="106"/>
      <c r="AJ441" s="106"/>
      <c r="AK441" s="106"/>
      <c r="AL441" s="106"/>
      <c r="AM441" s="106"/>
      <c r="AN441" s="106"/>
      <c r="AO441" s="106"/>
      <c r="AP441" s="106"/>
      <c r="AQ441" s="106"/>
      <c r="AR441" s="106"/>
      <c r="AS441" s="106"/>
      <c r="AT441" s="106"/>
      <c r="AU441" s="106"/>
      <c r="AV441" s="106"/>
      <c r="AW441" s="106"/>
      <c r="AX441" s="106"/>
      <c r="AY441" s="106"/>
      <c r="AZ441" s="106"/>
      <c r="BA441" s="106"/>
      <c r="BB441" s="106"/>
      <c r="BC441" s="106"/>
      <c r="BD441" s="106"/>
      <c r="BE441" s="106"/>
      <c r="BF441" s="106"/>
      <c r="BG441" s="106"/>
      <c r="BH441" s="106"/>
      <c r="BI441" s="106"/>
      <c r="BJ441" s="106"/>
      <c r="BK441" s="106"/>
      <c r="BL441" s="106"/>
      <c r="BM441" s="106"/>
      <c r="BN441" s="106"/>
      <c r="BO441" s="106"/>
      <c r="BP441" s="106"/>
      <c r="BQ441" s="106"/>
    </row>
    <row r="442" spans="3:69" ht="13.5">
      <c r="I442" s="108" t="s">
        <v>7</v>
      </c>
      <c r="J442" s="108" t="s">
        <v>884</v>
      </c>
      <c r="K442" s="229" t="s">
        <v>1736</v>
      </c>
      <c r="L442" s="109"/>
      <c r="M442" s="109"/>
      <c r="N442" s="109"/>
      <c r="O442" s="109"/>
      <c r="P442" s="109"/>
      <c r="Q442" s="109"/>
      <c r="R442" s="109"/>
      <c r="S442" s="109"/>
      <c r="T442" s="109"/>
      <c r="U442" s="110"/>
      <c r="V442" s="110"/>
      <c r="W442" s="109"/>
      <c r="X442" s="109"/>
      <c r="Y442" s="109"/>
      <c r="Z442" s="109"/>
      <c r="AA442" s="109"/>
      <c r="AB442" s="109"/>
      <c r="AC442" s="109"/>
      <c r="AD442" s="109"/>
      <c r="AE442" s="109"/>
      <c r="AF442" s="109"/>
      <c r="AG442" s="109"/>
      <c r="AH442" s="109"/>
      <c r="AI442" s="109"/>
      <c r="AJ442" s="109"/>
      <c r="AK442" s="109"/>
      <c r="AL442" s="109"/>
      <c r="AM442" s="109"/>
      <c r="AN442" s="109"/>
      <c r="AO442" s="109"/>
      <c r="AP442" s="109"/>
      <c r="AQ442" s="109"/>
      <c r="AR442" s="109"/>
      <c r="AS442" s="109"/>
      <c r="AT442" s="109"/>
      <c r="AU442" s="109"/>
      <c r="AV442" s="109"/>
      <c r="AW442" s="109"/>
      <c r="AX442" s="109"/>
      <c r="AY442" s="109"/>
      <c r="AZ442" s="109"/>
      <c r="BA442" s="109"/>
      <c r="BB442" s="109"/>
      <c r="BC442" s="109"/>
      <c r="BD442" s="109"/>
      <c r="BE442" s="109"/>
      <c r="BF442" s="109"/>
      <c r="BG442" s="109"/>
      <c r="BH442" s="109"/>
      <c r="BI442" s="109"/>
      <c r="BJ442" s="109"/>
      <c r="BK442" s="109"/>
      <c r="BL442" s="109"/>
      <c r="BM442" s="109"/>
      <c r="BN442" s="109"/>
      <c r="BO442" s="109"/>
      <c r="BP442" s="109"/>
      <c r="BQ442" s="109"/>
    </row>
    <row r="443" spans="3:69">
      <c r="I443" s="96" t="s">
        <v>48</v>
      </c>
      <c r="J443" s="96" t="s">
        <v>885</v>
      </c>
      <c r="K443" s="221">
        <f>K440</f>
        <v>10</v>
      </c>
      <c r="L443" s="221">
        <f t="shared" ref="L443:M443" si="218">L440</f>
        <v>5</v>
      </c>
      <c r="M443" s="221">
        <f t="shared" si="218"/>
        <v>13</v>
      </c>
      <c r="N443" s="101"/>
      <c r="O443" s="100">
        <v>0</v>
      </c>
      <c r="P443" s="101"/>
      <c r="Q443" s="101"/>
      <c r="R443" s="101"/>
      <c r="S443" s="101"/>
      <c r="T443" s="94" t="s">
        <v>209</v>
      </c>
      <c r="U443" s="100" t="e">
        <f>IF(FLAG_Country&lt;&gt;"USA","설정 온도 22 degC, AUTO ON (SYNC ON) 선택 상태 + blower=1단 수동 설정","설정 온도 72 degF, AUTO ON (SYNC ON) 선택 상태 + blower=1단 수동 설정")</f>
        <v>#NAME?</v>
      </c>
      <c r="V443" s="95">
        <v>10</v>
      </c>
      <c r="W443" s="101"/>
      <c r="X443" s="101"/>
      <c r="Y443" s="101"/>
      <c r="Z443" s="101"/>
      <c r="AA443" s="101"/>
      <c r="AB443" s="101"/>
      <c r="AC443" s="101"/>
      <c r="AD443" s="101"/>
      <c r="AE443" s="101"/>
      <c r="AF443" s="100">
        <v>1</v>
      </c>
      <c r="AG443" s="100" t="e">
        <f>IF(AF443="","",VLOOKUP(AF443,Tbl_Blower_Volt,2,FALSE))</f>
        <v>#NAME?</v>
      </c>
      <c r="AH443" s="101"/>
      <c r="AI443" s="101"/>
      <c r="AJ443" s="101"/>
      <c r="AK443" s="101"/>
      <c r="AL443" s="101"/>
      <c r="AM443" s="101"/>
      <c r="AN443" s="102" t="s">
        <v>89</v>
      </c>
      <c r="AO443" s="101"/>
      <c r="AP443" s="100" t="s">
        <v>89</v>
      </c>
      <c r="AQ443" s="100" t="s">
        <v>50</v>
      </c>
      <c r="AR443" s="100" t="s">
        <v>417</v>
      </c>
      <c r="AS443" s="101"/>
      <c r="AT443" s="101"/>
      <c r="AU443" s="101"/>
      <c r="AV443" s="101"/>
      <c r="AW443" s="101"/>
      <c r="AX443" s="101"/>
      <c r="AY443" s="101"/>
      <c r="AZ443" s="101"/>
      <c r="BA443" s="101"/>
      <c r="BB443" s="101"/>
      <c r="BC443" s="101"/>
      <c r="BD443" s="101"/>
      <c r="BE443" s="101"/>
      <c r="BF443" s="101"/>
      <c r="BG443" s="101"/>
      <c r="BH443" s="101"/>
      <c r="BI443" s="101"/>
      <c r="BJ443" s="101"/>
      <c r="BK443" s="101"/>
      <c r="BL443" s="101"/>
      <c r="BM443" s="101"/>
      <c r="BN443" s="101"/>
      <c r="BO443" s="101"/>
      <c r="BP443" s="101"/>
      <c r="BQ443" s="101"/>
    </row>
    <row r="444" spans="3:69">
      <c r="I444" s="220" t="s">
        <v>155</v>
      </c>
      <c r="J444" s="220" t="s">
        <v>1780</v>
      </c>
      <c r="K444" s="221">
        <f>K443</f>
        <v>10</v>
      </c>
      <c r="L444" s="221">
        <f t="shared" ref="L444:M444" si="219">L443</f>
        <v>5</v>
      </c>
      <c r="M444" s="221">
        <f t="shared" si="219"/>
        <v>13</v>
      </c>
      <c r="N444" s="101"/>
      <c r="O444" s="100">
        <v>80</v>
      </c>
      <c r="P444" s="101"/>
      <c r="Q444" s="101"/>
      <c r="R444" s="101"/>
      <c r="S444" s="101"/>
      <c r="T444" s="94" t="e">
        <f>PM_MassConcentration_2p5</f>
        <v>#NAME?</v>
      </c>
      <c r="U444" s="95">
        <f>O444</f>
        <v>80</v>
      </c>
      <c r="V444" s="100">
        <v>10</v>
      </c>
      <c r="W444" s="101"/>
      <c r="X444" s="101"/>
      <c r="Y444" s="101"/>
      <c r="Z444" s="101"/>
      <c r="AA444" s="101"/>
      <c r="AB444" s="101"/>
      <c r="AC444" s="101"/>
      <c r="AD444" s="101"/>
      <c r="AE444" s="101"/>
      <c r="AF444" s="100" t="e" cm="1">
        <f t="array" ref="AF444">ROUNDDOWN(VINTERPOLATION(AG444,Tbl_BlowerUp_Display,2),0)</f>
        <v>#VALUE!</v>
      </c>
      <c r="AG444" s="223" t="e">
        <f>MAX(VINTERPOLATION(U444,Tbl_PM_blower_Up,2),AG443)</f>
        <v>#VALUE!</v>
      </c>
      <c r="AH444" s="101"/>
      <c r="AI444" s="101"/>
      <c r="AJ444" s="101"/>
      <c r="AK444" s="101"/>
      <c r="AL444" s="101"/>
      <c r="AM444" s="101"/>
      <c r="AN444" s="102" t="s">
        <v>49</v>
      </c>
      <c r="AO444" s="101"/>
      <c r="AP444" s="102" t="s">
        <v>49</v>
      </c>
      <c r="AQ444" s="102" t="s">
        <v>51</v>
      </c>
      <c r="AR444" s="102" t="s">
        <v>51</v>
      </c>
      <c r="AS444" s="101"/>
      <c r="AT444" s="101"/>
      <c r="AU444" s="101"/>
      <c r="AV444" s="101"/>
      <c r="AW444" s="101"/>
      <c r="AX444" s="101"/>
      <c r="AY444" s="101"/>
      <c r="AZ444" s="101"/>
      <c r="BA444" s="101"/>
      <c r="BB444" s="101"/>
      <c r="BC444" s="101"/>
      <c r="BD444" s="101"/>
      <c r="BE444" s="101"/>
      <c r="BF444" s="101"/>
      <c r="BG444" s="101"/>
      <c r="BH444" s="101"/>
      <c r="BI444" s="101"/>
      <c r="BJ444" s="101"/>
      <c r="BK444" s="101"/>
      <c r="BL444" s="101"/>
      <c r="BM444" s="101"/>
      <c r="BN444" s="101"/>
      <c r="BO444" s="101"/>
      <c r="BP444" s="101"/>
      <c r="BQ444" s="101"/>
    </row>
    <row r="445" spans="3:69">
      <c r="I445" s="220" t="s">
        <v>155</v>
      </c>
      <c r="J445" s="220" t="s">
        <v>886</v>
      </c>
      <c r="K445" s="221">
        <f t="shared" ref="K445:M445" si="220">K444</f>
        <v>10</v>
      </c>
      <c r="L445" s="221">
        <f t="shared" si="220"/>
        <v>5</v>
      </c>
      <c r="M445" s="221">
        <f t="shared" si="220"/>
        <v>13</v>
      </c>
      <c r="N445" s="101"/>
      <c r="O445" s="100">
        <v>0</v>
      </c>
      <c r="P445" s="101"/>
      <c r="Q445" s="101"/>
      <c r="R445" s="101"/>
      <c r="S445" s="101"/>
      <c r="T445" s="94" t="e">
        <f>PM_MassConcentration_2p5</f>
        <v>#NAME?</v>
      </c>
      <c r="U445" s="95">
        <f>O445</f>
        <v>0</v>
      </c>
      <c r="V445" s="100">
        <v>60</v>
      </c>
      <c r="W445" s="101"/>
      <c r="X445" s="101"/>
      <c r="Y445" s="101"/>
      <c r="Z445" s="101"/>
      <c r="AA445" s="101"/>
      <c r="AB445" s="101"/>
      <c r="AC445" s="101"/>
      <c r="AD445" s="101"/>
      <c r="AE445" s="101"/>
      <c r="AF445" s="100" t="e" cm="1">
        <f t="array" ref="AF445">ROUNDDOWN(VINTERPOLATION(AG445,Tbl_BlowerUp_Display,2),0)</f>
        <v>#VALUE!</v>
      </c>
      <c r="AG445" s="223" t="e">
        <f>MAX(VINTERPOLATION(U445,Tbl_PM_blower_Up,2),AG443)</f>
        <v>#VALUE!</v>
      </c>
      <c r="AH445" s="101"/>
      <c r="AI445" s="101"/>
      <c r="AJ445" s="101"/>
      <c r="AK445" s="101"/>
      <c r="AL445" s="101"/>
      <c r="AM445" s="101"/>
      <c r="AN445" s="102" t="s">
        <v>89</v>
      </c>
      <c r="AO445" s="101"/>
      <c r="AP445" s="100" t="s">
        <v>89</v>
      </c>
      <c r="AQ445" s="100" t="s">
        <v>50</v>
      </c>
      <c r="AR445" s="100" t="s">
        <v>417</v>
      </c>
      <c r="AS445" s="101"/>
      <c r="AT445" s="101"/>
      <c r="AU445" s="101"/>
      <c r="AV445" s="101"/>
      <c r="AW445" s="101"/>
      <c r="AX445" s="101"/>
      <c r="AY445" s="101"/>
      <c r="AZ445" s="101"/>
      <c r="BA445" s="101"/>
      <c r="BB445" s="101"/>
      <c r="BC445" s="101"/>
      <c r="BD445" s="101"/>
      <c r="BE445" s="101"/>
      <c r="BF445" s="101"/>
      <c r="BG445" s="101"/>
      <c r="BH445" s="101"/>
      <c r="BI445" s="101"/>
      <c r="BJ445" s="101"/>
      <c r="BK445" s="101"/>
      <c r="BL445" s="101"/>
      <c r="BM445" s="101"/>
      <c r="BN445" s="101"/>
      <c r="BO445" s="101"/>
      <c r="BP445" s="101"/>
      <c r="BQ445" s="101"/>
    </row>
    <row r="446" spans="3:69">
      <c r="I446" s="255">
        <f>COUNTIF(I447:I452,"&lt;&gt;TS")</f>
        <v>5</v>
      </c>
      <c r="J446" s="106" t="s">
        <v>873</v>
      </c>
      <c r="K446" s="106" t="s">
        <v>1700</v>
      </c>
      <c r="L446" s="106"/>
      <c r="M446" s="106"/>
      <c r="N446" s="106"/>
      <c r="O446" s="106"/>
      <c r="P446" s="106"/>
      <c r="Q446" s="106"/>
      <c r="R446" s="106"/>
      <c r="S446" s="106"/>
      <c r="T446" s="106"/>
      <c r="U446" s="107"/>
      <c r="V446" s="107"/>
      <c r="W446" s="106"/>
      <c r="X446" s="106"/>
      <c r="Y446" s="106"/>
      <c r="Z446" s="106"/>
      <c r="AA446" s="106"/>
      <c r="AB446" s="106"/>
      <c r="AC446" s="106"/>
      <c r="AD446" s="106"/>
      <c r="AE446" s="106"/>
      <c r="AF446" s="106"/>
      <c r="AG446" s="106"/>
      <c r="AH446" s="106"/>
      <c r="AI446" s="106"/>
      <c r="AJ446" s="106"/>
      <c r="AK446" s="106"/>
      <c r="AL446" s="106"/>
      <c r="AM446" s="106"/>
      <c r="AN446" s="106"/>
      <c r="AO446" s="106"/>
      <c r="AP446" s="106"/>
      <c r="AQ446" s="106"/>
      <c r="AR446" s="106"/>
      <c r="AS446" s="106"/>
      <c r="AT446" s="106"/>
      <c r="AU446" s="106"/>
      <c r="AV446" s="106"/>
      <c r="AW446" s="106"/>
      <c r="AX446" s="106"/>
      <c r="AY446" s="106"/>
      <c r="AZ446" s="106"/>
      <c r="BA446" s="106"/>
      <c r="BB446" s="106"/>
      <c r="BC446" s="106"/>
      <c r="BD446" s="106"/>
      <c r="BE446" s="106"/>
      <c r="BF446" s="106"/>
      <c r="BG446" s="106"/>
      <c r="BH446" s="106"/>
      <c r="BI446" s="106"/>
      <c r="BJ446" s="106"/>
      <c r="BK446" s="106"/>
      <c r="BL446" s="106"/>
      <c r="BM446" s="106"/>
      <c r="BN446" s="106"/>
      <c r="BO446" s="106"/>
      <c r="BP446" s="106"/>
      <c r="BQ446" s="106"/>
    </row>
    <row r="447" spans="3:69">
      <c r="I447" s="108" t="s">
        <v>7</v>
      </c>
      <c r="J447" s="108" t="s">
        <v>1299</v>
      </c>
      <c r="K447" s="109" t="s">
        <v>1701</v>
      </c>
      <c r="L447" s="109"/>
      <c r="M447" s="109"/>
      <c r="N447" s="109"/>
      <c r="O447" s="109"/>
      <c r="P447" s="109"/>
      <c r="Q447" s="109"/>
      <c r="R447" s="109"/>
      <c r="S447" s="109"/>
      <c r="T447" s="109"/>
      <c r="U447" s="110"/>
      <c r="V447" s="110"/>
      <c r="W447" s="109"/>
      <c r="X447" s="109"/>
      <c r="Y447" s="109"/>
      <c r="Z447" s="109"/>
      <c r="AA447" s="109"/>
      <c r="AB447" s="109"/>
      <c r="AC447" s="109"/>
      <c r="AD447" s="109"/>
      <c r="AE447" s="109"/>
      <c r="AF447" s="109"/>
      <c r="AG447" s="109"/>
      <c r="AH447" s="109"/>
      <c r="AI447" s="109"/>
      <c r="AJ447" s="109"/>
      <c r="AK447" s="109"/>
      <c r="AL447" s="109"/>
      <c r="AM447" s="109"/>
      <c r="AN447" s="109"/>
      <c r="AO447" s="109"/>
      <c r="AP447" s="109"/>
      <c r="AQ447" s="109"/>
      <c r="AR447" s="109"/>
      <c r="AS447" s="109"/>
      <c r="AT447" s="109"/>
      <c r="AU447" s="109"/>
      <c r="AV447" s="109"/>
      <c r="AW447" s="109"/>
      <c r="AX447" s="109"/>
      <c r="AY447" s="109"/>
      <c r="AZ447" s="109"/>
      <c r="BA447" s="109"/>
      <c r="BB447" s="109"/>
      <c r="BC447" s="109"/>
      <c r="BD447" s="109"/>
      <c r="BE447" s="109"/>
      <c r="BF447" s="109"/>
      <c r="BG447" s="109"/>
      <c r="BH447" s="109"/>
      <c r="BI447" s="109"/>
      <c r="BJ447" s="109"/>
      <c r="BK447" s="109"/>
      <c r="BL447" s="109"/>
      <c r="BM447" s="109"/>
      <c r="BN447" s="109"/>
      <c r="BO447" s="109"/>
      <c r="BP447" s="109"/>
      <c r="BQ447" s="109"/>
    </row>
    <row r="448" spans="3:69" ht="13.5">
      <c r="C448" s="4"/>
      <c r="I448" s="220" t="s">
        <v>48</v>
      </c>
      <c r="J448" s="220" t="s">
        <v>1300</v>
      </c>
      <c r="K448" s="100">
        <v>10</v>
      </c>
      <c r="L448" s="100">
        <v>15</v>
      </c>
      <c r="M448" s="100">
        <v>13</v>
      </c>
      <c r="N448" s="101"/>
      <c r="O448" s="101"/>
      <c r="P448" s="101"/>
      <c r="Q448" s="101"/>
      <c r="R448" s="101"/>
      <c r="S448" s="101"/>
      <c r="T448" s="94" t="s">
        <v>209</v>
      </c>
      <c r="U448" s="100" t="e">
        <f>IF(FLAG_Country&lt;&gt;"USA","설정 온도 Lo, AUTO ON (SYNC ON) 선택 상태, Intake=REC, Blower=4단 수동 설정","설정 온도 Lo, AUTO ON (SYNC ON) 선택 상태, 미세먼지 버튼 해제, Intake=REC, Blower=4단 수동 설정")</f>
        <v>#NAME?</v>
      </c>
      <c r="V448" s="99">
        <v>10</v>
      </c>
      <c r="W448" s="101"/>
      <c r="X448" s="101"/>
      <c r="Y448" s="100" t="s">
        <v>235</v>
      </c>
      <c r="Z448" s="101"/>
      <c r="AA448" s="101"/>
      <c r="AB448" s="100" t="s">
        <v>235</v>
      </c>
      <c r="AC448" s="101"/>
      <c r="AD448" s="101"/>
      <c r="AE448" s="100" t="s">
        <v>235</v>
      </c>
      <c r="AF448" s="100">
        <v>4</v>
      </c>
      <c r="AG448" s="100">
        <v>4</v>
      </c>
      <c r="AH448" s="101"/>
      <c r="AI448" s="100" t="e">
        <f>const_Tset_min_1</f>
        <v>#NAME?</v>
      </c>
      <c r="AJ448" s="101"/>
      <c r="AK448" s="101"/>
      <c r="AL448" s="101"/>
      <c r="AM448" s="101"/>
      <c r="AN448" s="102" t="s">
        <v>89</v>
      </c>
      <c r="AO448" s="101"/>
      <c r="AP448" s="102" t="s">
        <v>89</v>
      </c>
      <c r="AQ448" s="102" t="s">
        <v>51</v>
      </c>
      <c r="AR448" s="102" t="s">
        <v>51</v>
      </c>
      <c r="AS448" s="101"/>
      <c r="AT448" s="101"/>
      <c r="AU448" s="101"/>
      <c r="AV448" s="102" t="s">
        <v>405</v>
      </c>
      <c r="AW448" s="101"/>
      <c r="AX448" s="101"/>
      <c r="AY448" s="101"/>
      <c r="AZ448" s="101"/>
      <c r="BA448" s="101"/>
      <c r="BB448" s="101"/>
      <c r="BC448" s="101"/>
      <c r="BD448" s="101"/>
      <c r="BE448" s="101"/>
      <c r="BF448" s="101"/>
      <c r="BG448" s="101"/>
      <c r="BH448" s="101"/>
      <c r="BI448" s="101"/>
      <c r="BJ448" s="101"/>
      <c r="BK448" s="101"/>
      <c r="BL448" s="101"/>
      <c r="BM448" s="101"/>
      <c r="BN448" s="101"/>
      <c r="BO448" s="101"/>
      <c r="BP448" s="101"/>
      <c r="BQ448" s="101"/>
    </row>
    <row r="449" spans="3:69">
      <c r="I449" s="220" t="s">
        <v>901</v>
      </c>
      <c r="J449" s="220" t="s">
        <v>1301</v>
      </c>
      <c r="K449" s="221">
        <f t="shared" ref="K449:M452" si="221">K448</f>
        <v>10</v>
      </c>
      <c r="L449" s="221">
        <f t="shared" si="221"/>
        <v>15</v>
      </c>
      <c r="M449" s="221">
        <f t="shared" si="221"/>
        <v>13</v>
      </c>
      <c r="N449" s="101"/>
      <c r="O449" s="101"/>
      <c r="P449" s="101"/>
      <c r="Q449" s="101"/>
      <c r="R449" s="101"/>
      <c r="S449" s="101"/>
      <c r="T449" s="111" t="s">
        <v>247</v>
      </c>
      <c r="U449" s="99">
        <v>1</v>
      </c>
      <c r="V449" s="99">
        <f>5*60</f>
        <v>300</v>
      </c>
      <c r="W449" s="101"/>
      <c r="X449" s="101"/>
      <c r="Y449" s="100" t="e">
        <f>IF(SystemOff_ModeDisp_On_Off="O",AB449,"Off")</f>
        <v>#NAME?</v>
      </c>
      <c r="Z449" s="101"/>
      <c r="AA449" s="101"/>
      <c r="AB449" s="100" t="s">
        <v>235</v>
      </c>
      <c r="AC449" s="101"/>
      <c r="AD449" s="101"/>
      <c r="AE449" s="100" t="s">
        <v>235</v>
      </c>
      <c r="AF449" s="100" t="s">
        <v>1305</v>
      </c>
      <c r="AG449" s="100" t="e">
        <f>IF(AF449="","",VLOOKUP(AF449,Tbl_Blower_Volt,2,FALSE))</f>
        <v>#NAME?</v>
      </c>
      <c r="AH449" s="101"/>
      <c r="AI449" s="100" t="e">
        <f>const_Tset_min_1</f>
        <v>#NAME?</v>
      </c>
      <c r="AJ449" s="101"/>
      <c r="AK449" s="101"/>
      <c r="AL449" s="101"/>
      <c r="AM449" s="101"/>
      <c r="AN449" s="102" t="s">
        <v>49</v>
      </c>
      <c r="AO449" s="101"/>
      <c r="AP449" s="102" t="s">
        <v>49</v>
      </c>
      <c r="AQ449" s="102" t="s">
        <v>51</v>
      </c>
      <c r="AR449" s="102" t="s">
        <v>51</v>
      </c>
      <c r="AS449" s="101"/>
      <c r="AT449" s="101"/>
      <c r="AU449" s="101"/>
      <c r="AV449" s="101"/>
      <c r="AW449" s="101"/>
      <c r="AX449" s="101"/>
      <c r="AY449" s="101"/>
      <c r="AZ449" s="101"/>
      <c r="BA449" s="101"/>
      <c r="BB449" s="101"/>
      <c r="BC449" s="101"/>
      <c r="BD449" s="101"/>
      <c r="BE449" s="101"/>
      <c r="BF449" s="101"/>
      <c r="BG449" s="101"/>
      <c r="BH449" s="101"/>
      <c r="BI449" s="101"/>
      <c r="BJ449" s="101"/>
      <c r="BK449" s="101"/>
      <c r="BL449" s="101"/>
      <c r="BM449" s="101"/>
      <c r="BN449" s="101"/>
      <c r="BO449" s="101"/>
      <c r="BP449" s="101"/>
      <c r="BQ449" s="101"/>
    </row>
    <row r="450" spans="3:69">
      <c r="I450" s="220" t="s">
        <v>901</v>
      </c>
      <c r="J450" s="220" t="s">
        <v>1302</v>
      </c>
      <c r="K450" s="221">
        <f t="shared" si="221"/>
        <v>10</v>
      </c>
      <c r="L450" s="221">
        <f t="shared" si="221"/>
        <v>15</v>
      </c>
      <c r="M450" s="221">
        <f t="shared" si="221"/>
        <v>13</v>
      </c>
      <c r="N450" s="101"/>
      <c r="O450" s="101"/>
      <c r="P450" s="101"/>
      <c r="Q450" s="101"/>
      <c r="R450" s="101"/>
      <c r="S450" s="101"/>
      <c r="T450" s="111" t="e">
        <f>AfterBlower_PDC</f>
        <v>#NAME?</v>
      </c>
      <c r="U450" s="99">
        <v>2</v>
      </c>
      <c r="V450" s="99">
        <v>2</v>
      </c>
      <c r="W450" s="101"/>
      <c r="X450" s="101"/>
      <c r="Y450" s="100" t="e">
        <f>IF(SystemOff_ModeDisp_On_Off="O",Y448,"Off")</f>
        <v>#NAME?</v>
      </c>
      <c r="Z450" s="101"/>
      <c r="AA450" s="101"/>
      <c r="AB450" s="100" t="s">
        <v>411</v>
      </c>
      <c r="AC450" s="101"/>
      <c r="AD450" s="101"/>
      <c r="AE450" s="100" t="s">
        <v>411</v>
      </c>
      <c r="AF450" s="100" t="s">
        <v>1305</v>
      </c>
      <c r="AG450" s="100" t="e">
        <f>IF(AF450="","",VLOOKUP(AF450,Tbl_Blower_Volt,2,FALSE))</f>
        <v>#NAME?</v>
      </c>
      <c r="AH450" s="101"/>
      <c r="AI450" s="100" t="e">
        <f>const_Tset_min_1</f>
        <v>#NAME?</v>
      </c>
      <c r="AJ450" s="101"/>
      <c r="AK450" s="101"/>
      <c r="AL450" s="101"/>
      <c r="AM450" s="101"/>
      <c r="AN450" s="102" t="s">
        <v>89</v>
      </c>
      <c r="AO450" s="101"/>
      <c r="AP450" s="102" t="s">
        <v>89</v>
      </c>
      <c r="AQ450" s="102" t="s">
        <v>51</v>
      </c>
      <c r="AR450" s="102" t="s">
        <v>51</v>
      </c>
      <c r="AS450" s="101"/>
      <c r="AT450" s="101"/>
      <c r="AU450" s="101"/>
      <c r="AV450" s="100" t="e">
        <f>IF(MAX_HOT="O","Hot",AV186)</f>
        <v>#NAME?</v>
      </c>
      <c r="AW450" s="101"/>
      <c r="AX450" s="101"/>
      <c r="AY450" s="101"/>
      <c r="AZ450" s="101"/>
      <c r="BA450" s="101"/>
      <c r="BB450" s="101"/>
      <c r="BC450" s="101"/>
      <c r="BD450" s="101"/>
      <c r="BE450" s="101"/>
      <c r="BF450" s="101"/>
      <c r="BG450" s="101"/>
      <c r="BH450" s="101"/>
      <c r="BI450" s="101"/>
      <c r="BJ450" s="101"/>
      <c r="BK450" s="101"/>
      <c r="BL450" s="101"/>
      <c r="BM450" s="101"/>
      <c r="BN450" s="101"/>
      <c r="BO450" s="101"/>
      <c r="BP450" s="101"/>
      <c r="BQ450" s="101"/>
    </row>
    <row r="451" spans="3:69" ht="13.5">
      <c r="I451" s="220" t="s">
        <v>901</v>
      </c>
      <c r="J451" s="220" t="s">
        <v>1303</v>
      </c>
      <c r="K451" s="221">
        <f t="shared" si="221"/>
        <v>10</v>
      </c>
      <c r="L451" s="221">
        <f t="shared" si="221"/>
        <v>15</v>
      </c>
      <c r="M451" s="221">
        <f t="shared" si="221"/>
        <v>13</v>
      </c>
      <c r="N451" s="101"/>
      <c r="O451" s="101"/>
      <c r="P451" s="101"/>
      <c r="Q451" s="101"/>
      <c r="R451" s="101"/>
      <c r="S451" s="101"/>
      <c r="T451" s="111" t="s">
        <v>266</v>
      </c>
      <c r="U451" s="99"/>
      <c r="V451" s="99">
        <v>1800</v>
      </c>
      <c r="W451" s="101"/>
      <c r="X451" s="101"/>
      <c r="Y451" s="100" t="s">
        <v>235</v>
      </c>
      <c r="Z451" s="101"/>
      <c r="AA451" s="101"/>
      <c r="AB451" s="100" t="s">
        <v>411</v>
      </c>
      <c r="AC451" s="101"/>
      <c r="AD451" s="101"/>
      <c r="AE451" s="100" t="s">
        <v>411</v>
      </c>
      <c r="AF451" s="100">
        <v>3</v>
      </c>
      <c r="AG451" s="100">
        <v>3</v>
      </c>
      <c r="AH451" s="101"/>
      <c r="AI451" s="100" t="e">
        <f>const_Tset_min_1</f>
        <v>#NAME?</v>
      </c>
      <c r="AJ451" s="101"/>
      <c r="AK451" s="101"/>
      <c r="AL451" s="101"/>
      <c r="AM451" s="101"/>
      <c r="AN451" s="101"/>
      <c r="AO451" s="101"/>
      <c r="AP451" s="101"/>
      <c r="AQ451" s="100" t="s">
        <v>50</v>
      </c>
      <c r="AR451" s="100" t="s">
        <v>50</v>
      </c>
      <c r="AS451" s="101"/>
      <c r="AT451" s="101"/>
      <c r="AU451" s="101"/>
      <c r="AV451" s="102" t="s">
        <v>405</v>
      </c>
      <c r="AW451" s="101"/>
      <c r="AX451" s="101"/>
      <c r="AY451" s="101"/>
      <c r="AZ451" s="101"/>
      <c r="BA451" s="101"/>
      <c r="BB451" s="101"/>
      <c r="BC451" s="101"/>
      <c r="BD451" s="101"/>
      <c r="BE451" s="101"/>
      <c r="BF451" s="101"/>
      <c r="BG451" s="101"/>
      <c r="BH451" s="101"/>
      <c r="BI451" s="101"/>
      <c r="BJ451" s="101"/>
      <c r="BK451" s="101"/>
      <c r="BL451" s="101"/>
      <c r="BM451" s="101"/>
      <c r="BN451" s="101"/>
      <c r="BO451" s="101"/>
      <c r="BP451" s="101"/>
      <c r="BQ451" s="101"/>
    </row>
    <row r="452" spans="3:69">
      <c r="I452" s="220" t="s">
        <v>901</v>
      </c>
      <c r="J452" s="220" t="s">
        <v>1304</v>
      </c>
      <c r="K452" s="221">
        <f t="shared" si="221"/>
        <v>10</v>
      </c>
      <c r="L452" s="221">
        <f t="shared" si="221"/>
        <v>15</v>
      </c>
      <c r="M452" s="221">
        <f t="shared" si="221"/>
        <v>13</v>
      </c>
      <c r="N452" s="101"/>
      <c r="O452" s="101"/>
      <c r="P452" s="101"/>
      <c r="Q452" s="101"/>
      <c r="R452" s="101"/>
      <c r="S452" s="101"/>
      <c r="T452" s="111" t="s">
        <v>266</v>
      </c>
      <c r="U452" s="99"/>
      <c r="V452" s="99">
        <v>600</v>
      </c>
      <c r="W452" s="101"/>
      <c r="X452" s="101"/>
      <c r="Y452" s="100" t="e">
        <f>IF(SystemOff_ModeDisp_On_Off="O",Y451,"Off")</f>
        <v>#NAME?</v>
      </c>
      <c r="Z452" s="101"/>
      <c r="AA452" s="101"/>
      <c r="AB452" s="100" t="s">
        <v>411</v>
      </c>
      <c r="AC452" s="101"/>
      <c r="AD452" s="101"/>
      <c r="AE452" s="100" t="s">
        <v>411</v>
      </c>
      <c r="AF452" s="100" t="s">
        <v>1305</v>
      </c>
      <c r="AG452" s="100" t="e">
        <f>IF(AF452="","",VLOOKUP(AF452,Tbl_Blower_Volt,2,FALSE))</f>
        <v>#NAME?</v>
      </c>
      <c r="AH452" s="101"/>
      <c r="AI452" s="100" t="e">
        <f>const_Tset_min_1</f>
        <v>#NAME?</v>
      </c>
      <c r="AJ452" s="101"/>
      <c r="AK452" s="101"/>
      <c r="AL452" s="101"/>
      <c r="AM452" s="101"/>
      <c r="AN452" s="101"/>
      <c r="AO452" s="101"/>
      <c r="AP452" s="101"/>
      <c r="AQ452" s="102" t="s">
        <v>51</v>
      </c>
      <c r="AR452" s="102" t="s">
        <v>51</v>
      </c>
      <c r="AS452" s="101"/>
      <c r="AT452" s="101"/>
      <c r="AU452" s="101"/>
      <c r="AV452" s="100" t="e">
        <f>IF(MAX_HOT="O","Hot",AV188)</f>
        <v>#NAME?</v>
      </c>
      <c r="AW452" s="101"/>
      <c r="AX452" s="101"/>
      <c r="AY452" s="101"/>
      <c r="AZ452" s="101"/>
      <c r="BA452" s="101"/>
      <c r="BB452" s="101"/>
      <c r="BC452" s="101"/>
      <c r="BD452" s="101"/>
      <c r="BE452" s="101"/>
      <c r="BF452" s="101"/>
      <c r="BG452" s="101"/>
      <c r="BH452" s="101"/>
      <c r="BI452" s="101"/>
      <c r="BJ452" s="101"/>
      <c r="BK452" s="101"/>
      <c r="BL452" s="101"/>
      <c r="BM452" s="101"/>
      <c r="BN452" s="101"/>
      <c r="BO452" s="101"/>
      <c r="BP452" s="101"/>
      <c r="BQ452" s="101"/>
    </row>
    <row r="453" spans="3:69">
      <c r="C453" s="4"/>
      <c r="I453" s="255">
        <f>COUNTIF(I454:I457,"&lt;&gt;TS")</f>
        <v>3</v>
      </c>
      <c r="J453" s="106" t="s">
        <v>1306</v>
      </c>
      <c r="K453" s="106" t="s">
        <v>1702</v>
      </c>
      <c r="L453" s="106"/>
      <c r="M453" s="106"/>
      <c r="N453" s="106"/>
      <c r="O453" s="106"/>
      <c r="P453" s="106"/>
      <c r="Q453" s="106"/>
      <c r="R453" s="106"/>
      <c r="S453" s="106"/>
      <c r="T453" s="106"/>
      <c r="U453" s="107"/>
      <c r="V453" s="107"/>
      <c r="W453" s="106"/>
      <c r="X453" s="106"/>
      <c r="Y453" s="106"/>
      <c r="Z453" s="106"/>
      <c r="AA453" s="106"/>
      <c r="AB453" s="106"/>
      <c r="AC453" s="106"/>
      <c r="AD453" s="106"/>
      <c r="AE453" s="106"/>
      <c r="AF453" s="106"/>
      <c r="AG453" s="106"/>
      <c r="AH453" s="106"/>
      <c r="AI453" s="106"/>
      <c r="AJ453" s="106"/>
      <c r="AK453" s="106"/>
      <c r="AL453" s="106"/>
      <c r="AM453" s="106"/>
      <c r="AN453" s="106"/>
      <c r="AO453" s="106"/>
      <c r="AP453" s="106"/>
      <c r="AQ453" s="106"/>
      <c r="AR453" s="106"/>
      <c r="AS453" s="106"/>
      <c r="AT453" s="106"/>
      <c r="AU453" s="106"/>
      <c r="AV453" s="106"/>
      <c r="AW453" s="106"/>
      <c r="AX453" s="106"/>
      <c r="AY453" s="106"/>
      <c r="AZ453" s="106"/>
      <c r="BA453" s="106"/>
      <c r="BB453" s="106"/>
      <c r="BC453" s="106"/>
      <c r="BD453" s="106"/>
      <c r="BE453" s="106"/>
      <c r="BF453" s="106"/>
      <c r="BG453" s="106"/>
      <c r="BH453" s="106"/>
      <c r="BI453" s="106"/>
      <c r="BJ453" s="106"/>
      <c r="BK453" s="106"/>
      <c r="BL453" s="106"/>
      <c r="BM453" s="106"/>
      <c r="BN453" s="106"/>
      <c r="BO453" s="106"/>
      <c r="BP453" s="106"/>
      <c r="BQ453" s="106"/>
    </row>
    <row r="454" spans="3:69">
      <c r="I454" s="108" t="s">
        <v>7</v>
      </c>
      <c r="J454" s="108" t="s">
        <v>1307</v>
      </c>
      <c r="K454" s="109" t="s">
        <v>1703</v>
      </c>
      <c r="L454" s="109"/>
      <c r="M454" s="109"/>
      <c r="N454" s="109"/>
      <c r="O454" s="109"/>
      <c r="P454" s="109"/>
      <c r="Q454" s="109"/>
      <c r="R454" s="109"/>
      <c r="S454" s="109"/>
      <c r="T454" s="109"/>
      <c r="U454" s="110"/>
      <c r="V454" s="110"/>
      <c r="W454" s="109"/>
      <c r="X454" s="109"/>
      <c r="Y454" s="109"/>
      <c r="Z454" s="109"/>
      <c r="AA454" s="109"/>
      <c r="AB454" s="109"/>
      <c r="AC454" s="109"/>
      <c r="AD454" s="109"/>
      <c r="AE454" s="109"/>
      <c r="AF454" s="109"/>
      <c r="AG454" s="109"/>
      <c r="AH454" s="109"/>
      <c r="AI454" s="109"/>
      <c r="AJ454" s="109"/>
      <c r="AK454" s="109"/>
      <c r="AL454" s="109"/>
      <c r="AM454" s="109"/>
      <c r="AN454" s="109"/>
      <c r="AO454" s="109"/>
      <c r="AP454" s="109"/>
      <c r="AQ454" s="109"/>
      <c r="AR454" s="109"/>
      <c r="AS454" s="109"/>
      <c r="AT454" s="109"/>
      <c r="AU454" s="109"/>
      <c r="AV454" s="109"/>
      <c r="AW454" s="109"/>
      <c r="AX454" s="109"/>
      <c r="AY454" s="109"/>
      <c r="AZ454" s="109"/>
      <c r="BA454" s="109"/>
      <c r="BB454" s="109"/>
      <c r="BC454" s="109"/>
      <c r="BD454" s="109"/>
      <c r="BE454" s="109"/>
      <c r="BF454" s="109"/>
      <c r="BG454" s="109"/>
      <c r="BH454" s="109"/>
      <c r="BI454" s="109"/>
      <c r="BJ454" s="109"/>
      <c r="BK454" s="109"/>
      <c r="BL454" s="109"/>
      <c r="BM454" s="109"/>
      <c r="BN454" s="109"/>
      <c r="BO454" s="109"/>
      <c r="BP454" s="109"/>
      <c r="BQ454" s="109"/>
    </row>
    <row r="455" spans="3:69">
      <c r="I455" s="220" t="s">
        <v>48</v>
      </c>
      <c r="J455" s="220" t="s">
        <v>1308</v>
      </c>
      <c r="K455" s="221">
        <f>K452</f>
        <v>10</v>
      </c>
      <c r="L455" s="221">
        <f>L452</f>
        <v>15</v>
      </c>
      <c r="M455" s="221">
        <f>M452</f>
        <v>13</v>
      </c>
      <c r="N455" s="101"/>
      <c r="O455" s="101"/>
      <c r="P455" s="101"/>
      <c r="Q455" s="101"/>
      <c r="R455" s="101"/>
      <c r="S455" s="101"/>
      <c r="T455" s="94" t="s">
        <v>209</v>
      </c>
      <c r="U455" s="100" t="e">
        <f>IF(FLAG_Country&lt;&gt;"USA","설정 온도 22 degC, AUTO ON (SYNC ON) 선택 상태, AC=ON 수동 설정","설정 온도 72 degF, AUTO ON (SYNC ON) 선택 상태, AC=ON 수동 설정")</f>
        <v>#NAME?</v>
      </c>
      <c r="V455" s="99">
        <v>10</v>
      </c>
      <c r="W455" s="101"/>
      <c r="X455" s="101"/>
      <c r="Y455" s="101"/>
      <c r="Z455" s="101"/>
      <c r="AA455" s="101"/>
      <c r="AB455" s="101"/>
      <c r="AC455" s="101"/>
      <c r="AD455" s="101"/>
      <c r="AE455" s="101"/>
      <c r="AF455" s="101"/>
      <c r="AG455" s="101"/>
      <c r="AH455" s="101"/>
      <c r="AI455" s="101"/>
      <c r="AJ455" s="101"/>
      <c r="AK455" s="101"/>
      <c r="AL455" s="101"/>
      <c r="AM455" s="101"/>
      <c r="AN455" s="102" t="s">
        <v>49</v>
      </c>
      <c r="AO455" s="101"/>
      <c r="AP455" s="102" t="s">
        <v>49</v>
      </c>
      <c r="AQ455" s="101"/>
      <c r="AR455" s="101"/>
      <c r="AS455" s="101"/>
      <c r="AT455" s="101"/>
      <c r="AU455" s="101"/>
      <c r="AV455" s="101"/>
      <c r="AW455" s="101"/>
      <c r="AX455" s="101"/>
      <c r="AY455" s="101"/>
      <c r="AZ455" s="101"/>
      <c r="BA455" s="101"/>
      <c r="BB455" s="101"/>
      <c r="BC455" s="101"/>
      <c r="BD455" s="101"/>
      <c r="BE455" s="101"/>
      <c r="BF455" s="101"/>
      <c r="BG455" s="101"/>
      <c r="BH455" s="101"/>
      <c r="BI455" s="101"/>
      <c r="BJ455" s="101"/>
      <c r="BK455" s="101"/>
      <c r="BL455" s="101"/>
      <c r="BM455" s="101"/>
      <c r="BN455" s="101"/>
      <c r="BO455" s="101"/>
      <c r="BP455" s="101"/>
      <c r="BQ455" s="101"/>
    </row>
    <row r="456" spans="3:69">
      <c r="I456" s="220" t="s">
        <v>901</v>
      </c>
      <c r="J456" s="220" t="s">
        <v>1309</v>
      </c>
      <c r="K456" s="221">
        <f t="shared" ref="K456:M457" si="222">K455</f>
        <v>10</v>
      </c>
      <c r="L456" s="221">
        <f t="shared" si="222"/>
        <v>15</v>
      </c>
      <c r="M456" s="221">
        <f t="shared" si="222"/>
        <v>13</v>
      </c>
      <c r="N456" s="101"/>
      <c r="O456" s="101"/>
      <c r="P456" s="101"/>
      <c r="Q456" s="101"/>
      <c r="R456" s="101"/>
      <c r="S456" s="101"/>
      <c r="T456" s="111" t="e">
        <f>Eng_ACRS</f>
        <v>#NAME?</v>
      </c>
      <c r="U456" s="99">
        <v>1</v>
      </c>
      <c r="V456" s="99">
        <v>2</v>
      </c>
      <c r="W456" s="101"/>
      <c r="X456" s="101"/>
      <c r="Y456" s="101"/>
      <c r="Z456" s="101"/>
      <c r="AA456" s="101"/>
      <c r="AB456" s="101"/>
      <c r="AC456" s="101"/>
      <c r="AD456" s="101"/>
      <c r="AE456" s="101"/>
      <c r="AF456" s="101"/>
      <c r="AG456" s="101"/>
      <c r="AH456" s="101"/>
      <c r="AI456" s="101"/>
      <c r="AJ456" s="101"/>
      <c r="AK456" s="101"/>
      <c r="AL456" s="101"/>
      <c r="AM456" s="101"/>
      <c r="AN456" s="102" t="s">
        <v>49</v>
      </c>
      <c r="AO456" s="101"/>
      <c r="AP456" s="102" t="s">
        <v>49</v>
      </c>
      <c r="AQ456" s="101"/>
      <c r="AR456" s="101"/>
      <c r="AS456" s="101"/>
      <c r="AT456" s="101"/>
      <c r="AU456" s="101"/>
      <c r="AV456" s="101"/>
      <c r="AW456" s="101"/>
      <c r="AX456" s="101"/>
      <c r="AY456" s="101"/>
      <c r="AZ456" s="101"/>
      <c r="BA456" s="101"/>
      <c r="BB456" s="101"/>
      <c r="BC456" s="101"/>
      <c r="BD456" s="101"/>
      <c r="BE456" s="101"/>
      <c r="BF456" s="101"/>
      <c r="BG456" s="101"/>
      <c r="BH456" s="101"/>
      <c r="BI456" s="101"/>
      <c r="BJ456" s="101"/>
      <c r="BK456" s="101"/>
      <c r="BL456" s="101"/>
      <c r="BM456" s="101"/>
      <c r="BN456" s="101"/>
      <c r="BO456" s="101"/>
      <c r="BP456" s="101"/>
      <c r="BQ456" s="101"/>
    </row>
    <row r="457" spans="3:69">
      <c r="I457" s="220" t="s">
        <v>901</v>
      </c>
      <c r="J457" s="220" t="s">
        <v>1310</v>
      </c>
      <c r="K457" s="221">
        <f t="shared" si="222"/>
        <v>10</v>
      </c>
      <c r="L457" s="221">
        <f t="shared" si="222"/>
        <v>15</v>
      </c>
      <c r="M457" s="221">
        <f t="shared" si="222"/>
        <v>13</v>
      </c>
      <c r="N457" s="101"/>
      <c r="O457" s="101"/>
      <c r="P457" s="101"/>
      <c r="Q457" s="101"/>
      <c r="R457" s="101"/>
      <c r="S457" s="101"/>
      <c r="T457" s="111" t="e">
        <f>ENGINE_rpm</f>
        <v>#NAME?</v>
      </c>
      <c r="U457" s="99">
        <v>2000</v>
      </c>
      <c r="V457" s="99">
        <v>2</v>
      </c>
      <c r="W457" s="101"/>
      <c r="X457" s="101"/>
      <c r="Y457" s="101"/>
      <c r="Z457" s="101"/>
      <c r="AA457" s="101"/>
      <c r="AB457" s="101"/>
      <c r="AC457" s="101"/>
      <c r="AD457" s="101"/>
      <c r="AE457" s="101"/>
      <c r="AF457" s="101"/>
      <c r="AG457" s="101"/>
      <c r="AH457" s="101"/>
      <c r="AI457" s="101"/>
      <c r="AJ457" s="101"/>
      <c r="AK457" s="101"/>
      <c r="AL457" s="101"/>
      <c r="AM457" s="101"/>
      <c r="AN457" s="102" t="s">
        <v>49</v>
      </c>
      <c r="AO457" s="101"/>
      <c r="AP457" s="100" t="s">
        <v>89</v>
      </c>
      <c r="AQ457" s="101"/>
      <c r="AR457" s="101"/>
      <c r="AS457" s="101"/>
      <c r="AT457" s="101"/>
      <c r="AU457" s="101"/>
      <c r="AV457" s="101"/>
      <c r="AW457" s="101"/>
      <c r="AX457" s="101"/>
      <c r="AY457" s="101"/>
      <c r="AZ457" s="101"/>
      <c r="BA457" s="101"/>
      <c r="BB457" s="101"/>
      <c r="BC457" s="101"/>
      <c r="BD457" s="101"/>
      <c r="BE457" s="101"/>
      <c r="BF457" s="101"/>
      <c r="BG457" s="101"/>
      <c r="BH457" s="101"/>
      <c r="BI457" s="101"/>
      <c r="BJ457" s="101"/>
      <c r="BK457" s="101"/>
      <c r="BL457" s="101"/>
      <c r="BM457" s="101"/>
      <c r="BN457" s="101"/>
      <c r="BO457" s="101"/>
      <c r="BP457" s="101"/>
      <c r="BQ457" s="101"/>
    </row>
    <row r="458" spans="3:69">
      <c r="C458" s="4"/>
      <c r="I458" s="255">
        <f>COUNTIF(I459:I462,"&lt;&gt;TS")</f>
        <v>3</v>
      </c>
      <c r="J458" s="106" t="s">
        <v>577</v>
      </c>
      <c r="K458" s="106" t="s">
        <v>1704</v>
      </c>
      <c r="L458" s="106"/>
      <c r="M458" s="106"/>
      <c r="N458" s="106"/>
      <c r="O458" s="106"/>
      <c r="P458" s="106"/>
      <c r="Q458" s="106"/>
      <c r="R458" s="106"/>
      <c r="S458" s="106"/>
      <c r="T458" s="106"/>
      <c r="U458" s="107"/>
      <c r="V458" s="107"/>
      <c r="W458" s="106"/>
      <c r="X458" s="106"/>
      <c r="Y458" s="106"/>
      <c r="Z458" s="106"/>
      <c r="AA458" s="106"/>
      <c r="AB458" s="106"/>
      <c r="AC458" s="106"/>
      <c r="AD458" s="106"/>
      <c r="AE458" s="106"/>
      <c r="AF458" s="106"/>
      <c r="AG458" s="106"/>
      <c r="AH458" s="106"/>
      <c r="AI458" s="106"/>
      <c r="AJ458" s="106"/>
      <c r="AK458" s="106"/>
      <c r="AL458" s="106"/>
      <c r="AM458" s="106"/>
      <c r="AN458" s="106"/>
      <c r="AO458" s="106"/>
      <c r="AP458" s="106"/>
      <c r="AQ458" s="106"/>
      <c r="AR458" s="106"/>
      <c r="AS458" s="106"/>
      <c r="AT458" s="106"/>
      <c r="AU458" s="106"/>
      <c r="AV458" s="106"/>
      <c r="AW458" s="106"/>
      <c r="AX458" s="106"/>
      <c r="AY458" s="106"/>
      <c r="AZ458" s="106"/>
      <c r="BA458" s="106"/>
      <c r="BB458" s="106"/>
      <c r="BC458" s="106"/>
      <c r="BD458" s="106"/>
      <c r="BE458" s="106"/>
      <c r="BF458" s="106"/>
      <c r="BG458" s="106"/>
      <c r="BH458" s="106"/>
      <c r="BI458" s="106"/>
      <c r="BJ458" s="106"/>
      <c r="BK458" s="106"/>
      <c r="BL458" s="106"/>
      <c r="BM458" s="106"/>
      <c r="BN458" s="106"/>
      <c r="BO458" s="106"/>
      <c r="BP458" s="106"/>
      <c r="BQ458" s="106"/>
    </row>
    <row r="459" spans="3:69">
      <c r="I459" s="108" t="s">
        <v>7</v>
      </c>
      <c r="J459" s="108" t="s">
        <v>1311</v>
      </c>
      <c r="K459" s="109" t="s">
        <v>1705</v>
      </c>
      <c r="L459" s="109"/>
      <c r="M459" s="109"/>
      <c r="N459" s="109"/>
      <c r="O459" s="109"/>
      <c r="P459" s="109"/>
      <c r="Q459" s="109"/>
      <c r="R459" s="109"/>
      <c r="S459" s="109"/>
      <c r="T459" s="109"/>
      <c r="U459" s="110"/>
      <c r="V459" s="110"/>
      <c r="W459" s="109"/>
      <c r="X459" s="109"/>
      <c r="Y459" s="109"/>
      <c r="Z459" s="109"/>
      <c r="AA459" s="109"/>
      <c r="AB459" s="109"/>
      <c r="AC459" s="109"/>
      <c r="AD459" s="109"/>
      <c r="AE459" s="109"/>
      <c r="AF459" s="109"/>
      <c r="AG459" s="109"/>
      <c r="AH459" s="109"/>
      <c r="AI459" s="109"/>
      <c r="AJ459" s="109"/>
      <c r="AK459" s="109"/>
      <c r="AL459" s="109"/>
      <c r="AM459" s="109"/>
      <c r="AN459" s="109"/>
      <c r="AO459" s="109"/>
      <c r="AP459" s="109"/>
      <c r="AQ459" s="109"/>
      <c r="AR459" s="109"/>
      <c r="AS459" s="109"/>
      <c r="AT459" s="109"/>
      <c r="AU459" s="109"/>
      <c r="AV459" s="109"/>
      <c r="AW459" s="109"/>
      <c r="AX459" s="109"/>
      <c r="AY459" s="109"/>
      <c r="AZ459" s="109"/>
      <c r="BA459" s="109"/>
      <c r="BB459" s="109"/>
      <c r="BC459" s="109"/>
      <c r="BD459" s="109"/>
      <c r="BE459" s="109"/>
      <c r="BF459" s="109"/>
      <c r="BG459" s="109"/>
      <c r="BH459" s="109"/>
      <c r="BI459" s="109"/>
      <c r="BJ459" s="109"/>
      <c r="BK459" s="109"/>
      <c r="BL459" s="109"/>
      <c r="BM459" s="109"/>
      <c r="BN459" s="109"/>
      <c r="BO459" s="109"/>
      <c r="BP459" s="109"/>
      <c r="BQ459" s="109"/>
    </row>
    <row r="460" spans="3:69">
      <c r="I460" s="220" t="s">
        <v>48</v>
      </c>
      <c r="J460" s="220" t="s">
        <v>1312</v>
      </c>
      <c r="K460" s="221">
        <f>K457</f>
        <v>10</v>
      </c>
      <c r="L460" s="221">
        <f>L457</f>
        <v>15</v>
      </c>
      <c r="M460" s="221">
        <f>M457</f>
        <v>13</v>
      </c>
      <c r="N460" s="101"/>
      <c r="O460" s="101"/>
      <c r="P460" s="101"/>
      <c r="Q460" s="101"/>
      <c r="R460" s="101"/>
      <c r="S460" s="101"/>
      <c r="T460" s="94" t="s">
        <v>209</v>
      </c>
      <c r="U460" s="100" t="e">
        <f>CONCATENATE("자가진단 진입 : ",SelfDiagCode)</f>
        <v>#NAME?</v>
      </c>
      <c r="V460" s="99">
        <v>10</v>
      </c>
      <c r="W460" s="101"/>
      <c r="X460" s="101"/>
      <c r="Y460" s="101"/>
      <c r="Z460" s="101"/>
      <c r="AA460" s="101"/>
      <c r="AB460" s="101"/>
      <c r="AC460" s="101"/>
      <c r="AD460" s="101"/>
      <c r="AE460" s="101"/>
      <c r="AF460" s="101"/>
      <c r="AG460" s="101"/>
      <c r="AH460" s="101"/>
      <c r="AI460" s="101"/>
      <c r="AJ460" s="101"/>
      <c r="AK460" s="101"/>
      <c r="AL460" s="101"/>
      <c r="AM460" s="101"/>
      <c r="AN460" s="101"/>
      <c r="AO460" s="101"/>
      <c r="AP460" s="101"/>
      <c r="AQ460" s="101"/>
      <c r="AR460" s="101"/>
      <c r="AS460" s="101"/>
      <c r="AT460" s="101"/>
      <c r="AU460" s="101"/>
      <c r="AV460" s="101"/>
      <c r="AW460" s="101"/>
      <c r="AX460" s="101"/>
      <c r="AY460" s="101"/>
      <c r="AZ460" s="101"/>
      <c r="BA460" s="101"/>
      <c r="BB460" s="101"/>
      <c r="BC460" s="101"/>
      <c r="BD460" s="101"/>
      <c r="BE460" s="101"/>
      <c r="BF460" s="101"/>
      <c r="BG460" s="101"/>
      <c r="BH460" s="101"/>
      <c r="BI460" s="101"/>
      <c r="BJ460" s="101"/>
      <c r="BK460" s="101"/>
      <c r="BL460" s="101"/>
      <c r="BM460" s="101"/>
      <c r="BN460" s="101"/>
      <c r="BO460" s="101"/>
      <c r="BP460" s="101"/>
      <c r="BQ460" s="101"/>
    </row>
    <row r="461" spans="3:69">
      <c r="I461" s="220" t="s">
        <v>901</v>
      </c>
      <c r="J461" s="220" t="s">
        <v>1313</v>
      </c>
      <c r="K461" s="221">
        <f t="shared" ref="K461:M462" si="223">K460</f>
        <v>10</v>
      </c>
      <c r="L461" s="221">
        <f t="shared" si="223"/>
        <v>15</v>
      </c>
      <c r="M461" s="221">
        <f t="shared" si="223"/>
        <v>13</v>
      </c>
      <c r="N461" s="101"/>
      <c r="O461" s="101"/>
      <c r="P461" s="101"/>
      <c r="Q461" s="101"/>
      <c r="R461" s="101"/>
      <c r="S461" s="101"/>
      <c r="T461" s="111" t="e">
        <f>AutoCutMode</f>
        <v>#NAME?</v>
      </c>
      <c r="U461" s="99">
        <v>0</v>
      </c>
      <c r="V461" s="99">
        <v>2</v>
      </c>
      <c r="W461" s="101"/>
      <c r="X461" s="101"/>
      <c r="Y461" s="101"/>
      <c r="Z461" s="101"/>
      <c r="AA461" s="101"/>
      <c r="AB461" s="101"/>
      <c r="AC461" s="101"/>
      <c r="AD461" s="101"/>
      <c r="AE461" s="101"/>
      <c r="AF461" s="101"/>
      <c r="AG461" s="101"/>
      <c r="AH461" s="101"/>
      <c r="AI461" s="101"/>
      <c r="AJ461" s="101"/>
      <c r="AK461" s="101"/>
      <c r="AL461" s="101"/>
      <c r="AM461" s="101"/>
      <c r="AN461" s="101"/>
      <c r="AO461" s="101"/>
      <c r="AP461" s="101"/>
      <c r="AQ461" s="101"/>
      <c r="AR461" s="101"/>
      <c r="AS461" s="101"/>
      <c r="AT461" s="101"/>
      <c r="AU461" s="101"/>
      <c r="AV461" s="101"/>
      <c r="AW461" s="101"/>
      <c r="AX461" s="101"/>
      <c r="AY461" s="101"/>
      <c r="AZ461" s="101"/>
      <c r="BA461" s="101"/>
      <c r="BB461" s="101"/>
      <c r="BC461" s="101"/>
      <c r="BD461" s="101"/>
      <c r="BE461" s="101"/>
      <c r="BF461" s="101"/>
      <c r="BG461" s="101"/>
      <c r="BH461" s="101"/>
      <c r="BI461" s="101"/>
      <c r="BJ461" s="101"/>
      <c r="BK461" s="101"/>
      <c r="BL461" s="101"/>
      <c r="BM461" s="101"/>
      <c r="BN461" s="101"/>
      <c r="BO461" s="101"/>
      <c r="BP461" s="101"/>
      <c r="BQ461" s="101"/>
    </row>
    <row r="462" spans="3:69">
      <c r="I462" s="220" t="s">
        <v>901</v>
      </c>
      <c r="J462" s="220" t="s">
        <v>1314</v>
      </c>
      <c r="K462" s="221">
        <f t="shared" si="223"/>
        <v>10</v>
      </c>
      <c r="L462" s="221">
        <f t="shared" si="223"/>
        <v>15</v>
      </c>
      <c r="M462" s="221">
        <f t="shared" si="223"/>
        <v>13</v>
      </c>
      <c r="N462" s="101"/>
      <c r="O462" s="101"/>
      <c r="P462" s="101"/>
      <c r="Q462" s="101"/>
      <c r="R462" s="101"/>
      <c r="S462" s="101"/>
      <c r="T462" s="111" t="e">
        <f>AutoCutMode</f>
        <v>#NAME?</v>
      </c>
      <c r="U462" s="99">
        <v>2</v>
      </c>
      <c r="V462" s="99">
        <v>2</v>
      </c>
      <c r="W462" s="101"/>
      <c r="X462" s="101"/>
      <c r="Y462" s="101"/>
      <c r="Z462" s="101"/>
      <c r="AA462" s="101"/>
      <c r="AB462" s="101"/>
      <c r="AC462" s="101"/>
      <c r="AD462" s="101"/>
      <c r="AE462" s="101"/>
      <c r="AF462" s="101"/>
      <c r="AG462" s="101"/>
      <c r="AH462" s="101"/>
      <c r="AI462" s="101"/>
      <c r="AJ462" s="101"/>
      <c r="AK462" s="101"/>
      <c r="AL462" s="101"/>
      <c r="AM462" s="101"/>
      <c r="AN462" s="101"/>
      <c r="AO462" s="101"/>
      <c r="AP462" s="101"/>
      <c r="AQ462" s="101"/>
      <c r="AR462" s="101"/>
      <c r="AS462" s="101"/>
      <c r="AT462" s="101"/>
      <c r="AU462" s="101"/>
      <c r="AV462" s="101"/>
      <c r="AW462" s="101"/>
      <c r="AX462" s="101"/>
      <c r="AY462" s="101"/>
      <c r="AZ462" s="101"/>
      <c r="BA462" s="101"/>
      <c r="BB462" s="101"/>
      <c r="BC462" s="101"/>
      <c r="BD462" s="101"/>
      <c r="BE462" s="101"/>
      <c r="BF462" s="101"/>
      <c r="BG462" s="101"/>
      <c r="BH462" s="101"/>
      <c r="BI462" s="101"/>
      <c r="BJ462" s="101"/>
      <c r="BK462" s="101"/>
      <c r="BL462" s="101"/>
      <c r="BM462" s="101"/>
      <c r="BN462" s="101"/>
      <c r="BO462" s="101"/>
      <c r="BP462" s="101"/>
      <c r="BQ462" s="101"/>
    </row>
    <row r="463" spans="3:69">
      <c r="I463" s="255">
        <f>COUNTIF(I464:I467,"&lt;&gt;TS")</f>
        <v>3</v>
      </c>
      <c r="J463" s="106" t="s">
        <v>578</v>
      </c>
      <c r="K463" s="106" t="s">
        <v>1706</v>
      </c>
      <c r="L463" s="106"/>
      <c r="M463" s="106"/>
      <c r="N463" s="106"/>
      <c r="O463" s="106"/>
      <c r="P463" s="106"/>
      <c r="Q463" s="106"/>
      <c r="R463" s="106"/>
      <c r="S463" s="106"/>
      <c r="T463" s="106"/>
      <c r="U463" s="107"/>
      <c r="V463" s="107"/>
      <c r="W463" s="106"/>
      <c r="X463" s="106"/>
      <c r="Y463" s="106"/>
      <c r="Z463" s="106"/>
      <c r="AA463" s="106"/>
      <c r="AB463" s="106"/>
      <c r="AC463" s="106"/>
      <c r="AD463" s="106"/>
      <c r="AE463" s="106"/>
      <c r="AF463" s="106"/>
      <c r="AG463" s="106"/>
      <c r="AH463" s="106"/>
      <c r="AI463" s="106"/>
      <c r="AJ463" s="106"/>
      <c r="AK463" s="106"/>
      <c r="AL463" s="106"/>
      <c r="AM463" s="106"/>
      <c r="AN463" s="106"/>
      <c r="AO463" s="106"/>
      <c r="AP463" s="106"/>
      <c r="AQ463" s="106"/>
      <c r="AR463" s="106"/>
      <c r="AS463" s="106"/>
      <c r="AT463" s="106"/>
      <c r="AU463" s="106"/>
      <c r="AV463" s="106"/>
      <c r="AW463" s="106"/>
      <c r="AX463" s="106"/>
      <c r="AY463" s="106"/>
      <c r="AZ463" s="106"/>
      <c r="BA463" s="106"/>
      <c r="BB463" s="106"/>
      <c r="BC463" s="106"/>
      <c r="BD463" s="106"/>
      <c r="BE463" s="106"/>
      <c r="BF463" s="106"/>
      <c r="BG463" s="106"/>
      <c r="BH463" s="106"/>
      <c r="BI463" s="106"/>
      <c r="BJ463" s="106"/>
      <c r="BK463" s="106"/>
      <c r="BL463" s="106"/>
      <c r="BM463" s="106"/>
      <c r="BN463" s="106"/>
      <c r="BO463" s="106"/>
      <c r="BP463" s="106"/>
      <c r="BQ463" s="106"/>
    </row>
    <row r="464" spans="3:69">
      <c r="I464" s="108" t="s">
        <v>7</v>
      </c>
      <c r="J464" s="108" t="s">
        <v>1315</v>
      </c>
      <c r="K464" s="109" t="s">
        <v>1707</v>
      </c>
      <c r="L464" s="109"/>
      <c r="M464" s="109"/>
      <c r="N464" s="109"/>
      <c r="O464" s="109"/>
      <c r="P464" s="109"/>
      <c r="Q464" s="109"/>
      <c r="R464" s="109"/>
      <c r="S464" s="109"/>
      <c r="T464" s="109"/>
      <c r="U464" s="110"/>
      <c r="V464" s="110"/>
      <c r="W464" s="109"/>
      <c r="X464" s="109"/>
      <c r="Y464" s="109"/>
      <c r="Z464" s="109"/>
      <c r="AA464" s="109"/>
      <c r="AB464" s="109"/>
      <c r="AC464" s="109"/>
      <c r="AD464" s="109"/>
      <c r="AE464" s="109"/>
      <c r="AF464" s="109"/>
      <c r="AG464" s="109"/>
      <c r="AH464" s="109"/>
      <c r="AI464" s="109"/>
      <c r="AJ464" s="109"/>
      <c r="AK464" s="109"/>
      <c r="AL464" s="109"/>
      <c r="AM464" s="109"/>
      <c r="AN464" s="109"/>
      <c r="AO464" s="109"/>
      <c r="AP464" s="109"/>
      <c r="AQ464" s="109"/>
      <c r="AR464" s="109"/>
      <c r="AS464" s="109"/>
      <c r="AT464" s="109"/>
      <c r="AU464" s="109"/>
      <c r="AV464" s="109"/>
      <c r="AW464" s="109"/>
      <c r="AX464" s="109"/>
      <c r="AY464" s="109"/>
      <c r="AZ464" s="109"/>
      <c r="BA464" s="109"/>
      <c r="BB464" s="109"/>
      <c r="BC464" s="109"/>
      <c r="BD464" s="109"/>
      <c r="BE464" s="109"/>
      <c r="BF464" s="109"/>
      <c r="BG464" s="109"/>
      <c r="BH464" s="109"/>
      <c r="BI464" s="109"/>
      <c r="BJ464" s="109"/>
      <c r="BK464" s="109"/>
      <c r="BL464" s="109"/>
      <c r="BM464" s="109"/>
      <c r="BN464" s="109"/>
      <c r="BO464" s="109"/>
      <c r="BP464" s="109"/>
      <c r="BQ464" s="109"/>
    </row>
    <row r="465" spans="9:69">
      <c r="I465" s="220" t="s">
        <v>48</v>
      </c>
      <c r="J465" s="220" t="s">
        <v>1316</v>
      </c>
      <c r="K465" s="221">
        <f>K462</f>
        <v>10</v>
      </c>
      <c r="L465" s="221">
        <f>L462</f>
        <v>15</v>
      </c>
      <c r="M465" s="221">
        <f>M462</f>
        <v>13</v>
      </c>
      <c r="N465" s="101"/>
      <c r="O465" s="101"/>
      <c r="P465" s="101"/>
      <c r="Q465" s="101"/>
      <c r="R465" s="101"/>
      <c r="S465" s="101"/>
      <c r="T465" s="94" t="s">
        <v>209</v>
      </c>
      <c r="U465" s="100" t="e">
        <f>IF(FLAG_Country&lt;&gt;"USA","설정 온도 22 degC, AUTO ON (SYNC ON) 선택 상태 설정","설정 온도 72 degF, AUTO ON (SYNC ON) 선택 상태 설정")</f>
        <v>#NAME?</v>
      </c>
      <c r="V465" s="99">
        <v>10</v>
      </c>
      <c r="W465" s="101"/>
      <c r="X465" s="101"/>
      <c r="Y465" s="101"/>
      <c r="Z465" s="101"/>
      <c r="AA465" s="101"/>
      <c r="AB465" s="101"/>
      <c r="AC465" s="101"/>
      <c r="AD465" s="101"/>
      <c r="AE465" s="101"/>
      <c r="AF465" s="101"/>
      <c r="AG465" s="101"/>
      <c r="AH465" s="101"/>
      <c r="AI465" s="101"/>
      <c r="AJ465" s="101"/>
      <c r="AK465" s="101"/>
      <c r="AL465" s="101"/>
      <c r="AM465" s="101"/>
      <c r="AN465" s="101"/>
      <c r="AO465" s="101"/>
      <c r="AP465" s="101"/>
      <c r="AQ465" s="100" t="s">
        <v>50</v>
      </c>
      <c r="AR465" s="100" t="s">
        <v>417</v>
      </c>
      <c r="AS465" s="101"/>
      <c r="AT465" s="101"/>
      <c r="AU465" s="101"/>
      <c r="AV465" s="101"/>
      <c r="AW465" s="101"/>
      <c r="AX465" s="101"/>
      <c r="AY465" s="101"/>
      <c r="AZ465" s="101"/>
      <c r="BA465" s="101"/>
      <c r="BB465" s="101"/>
      <c r="BC465" s="101"/>
      <c r="BD465" s="101"/>
      <c r="BE465" s="101"/>
      <c r="BF465" s="101"/>
      <c r="BG465" s="101"/>
      <c r="BH465" s="101"/>
      <c r="BI465" s="101"/>
      <c r="BJ465" s="101"/>
      <c r="BK465" s="101"/>
      <c r="BL465" s="101"/>
      <c r="BM465" s="101"/>
      <c r="BN465" s="101"/>
      <c r="BO465" s="101"/>
      <c r="BP465" s="101"/>
      <c r="BQ465" s="101"/>
    </row>
    <row r="466" spans="9:69">
      <c r="I466" s="220" t="s">
        <v>901</v>
      </c>
      <c r="J466" s="220" t="s">
        <v>1317</v>
      </c>
      <c r="K466" s="221">
        <f t="shared" ref="K466:M467" si="224">K465</f>
        <v>10</v>
      </c>
      <c r="L466" s="221">
        <f t="shared" si="224"/>
        <v>15</v>
      </c>
      <c r="M466" s="221">
        <f t="shared" si="224"/>
        <v>13</v>
      </c>
      <c r="N466" s="101"/>
      <c r="O466" s="101"/>
      <c r="P466" s="101"/>
      <c r="Q466" s="101"/>
      <c r="R466" s="101"/>
      <c r="S466" s="101"/>
      <c r="T466" s="111" t="e">
        <f>AutoWashMode</f>
        <v>#NAME?</v>
      </c>
      <c r="U466" s="99">
        <v>2</v>
      </c>
      <c r="V466" s="99">
        <v>2</v>
      </c>
      <c r="W466" s="101"/>
      <c r="X466" s="101"/>
      <c r="Y466" s="101"/>
      <c r="Z466" s="101"/>
      <c r="AA466" s="101"/>
      <c r="AB466" s="101"/>
      <c r="AC466" s="101"/>
      <c r="AD466" s="101"/>
      <c r="AE466" s="101"/>
      <c r="AF466" s="101"/>
      <c r="AG466" s="101"/>
      <c r="AH466" s="101"/>
      <c r="AI466" s="101"/>
      <c r="AJ466" s="101"/>
      <c r="AK466" s="101"/>
      <c r="AL466" s="101"/>
      <c r="AM466" s="101"/>
      <c r="AN466" s="101"/>
      <c r="AO466" s="101"/>
      <c r="AP466" s="101"/>
      <c r="AQ466" s="100" t="s">
        <v>51</v>
      </c>
      <c r="AR466" s="100" t="s">
        <v>51</v>
      </c>
      <c r="AS466" s="101"/>
      <c r="AT466" s="101"/>
      <c r="AU466" s="101"/>
      <c r="AV466" s="101"/>
      <c r="AW466" s="101"/>
      <c r="AX466" s="101"/>
      <c r="AY466" s="101"/>
      <c r="AZ466" s="101"/>
      <c r="BA466" s="101"/>
      <c r="BB466" s="101"/>
      <c r="BC466" s="101"/>
      <c r="BD466" s="101"/>
      <c r="BE466" s="101"/>
      <c r="BF466" s="101"/>
      <c r="BG466" s="101"/>
      <c r="BH466" s="101"/>
      <c r="BI466" s="101"/>
      <c r="BJ466" s="101"/>
      <c r="BK466" s="101"/>
      <c r="BL466" s="101"/>
      <c r="BM466" s="101"/>
      <c r="BN466" s="101"/>
      <c r="BO466" s="101"/>
      <c r="BP466" s="101"/>
      <c r="BQ466" s="101"/>
    </row>
    <row r="467" spans="9:69">
      <c r="I467" s="220" t="s">
        <v>901</v>
      </c>
      <c r="J467" s="220" t="s">
        <v>1318</v>
      </c>
      <c r="K467" s="221">
        <f t="shared" si="224"/>
        <v>10</v>
      </c>
      <c r="L467" s="221">
        <f t="shared" si="224"/>
        <v>15</v>
      </c>
      <c r="M467" s="221">
        <f t="shared" si="224"/>
        <v>13</v>
      </c>
      <c r="N467" s="101"/>
      <c r="O467" s="101"/>
      <c r="P467" s="101"/>
      <c r="Q467" s="101"/>
      <c r="R467" s="101"/>
      <c r="S467" s="101"/>
      <c r="T467" s="111" t="e">
        <f>AutoWashMode</f>
        <v>#NAME?</v>
      </c>
      <c r="U467" s="99">
        <v>1</v>
      </c>
      <c r="V467" s="99">
        <v>2</v>
      </c>
      <c r="W467" s="101"/>
      <c r="X467" s="101"/>
      <c r="Y467" s="101"/>
      <c r="Z467" s="101"/>
      <c r="AA467" s="101"/>
      <c r="AB467" s="101"/>
      <c r="AC467" s="101"/>
      <c r="AD467" s="101"/>
      <c r="AE467" s="101"/>
      <c r="AF467" s="101"/>
      <c r="AG467" s="101"/>
      <c r="AH467" s="101"/>
      <c r="AI467" s="101"/>
      <c r="AJ467" s="101"/>
      <c r="AK467" s="101"/>
      <c r="AL467" s="101"/>
      <c r="AM467" s="101"/>
      <c r="AN467" s="101"/>
      <c r="AO467" s="101"/>
      <c r="AP467" s="101"/>
      <c r="AQ467" s="100" t="s">
        <v>50</v>
      </c>
      <c r="AR467" s="100" t="s">
        <v>417</v>
      </c>
      <c r="AS467" s="101"/>
      <c r="AT467" s="101"/>
      <c r="AU467" s="101"/>
      <c r="AV467" s="101"/>
      <c r="AW467" s="101"/>
      <c r="AX467" s="101"/>
      <c r="AY467" s="101"/>
      <c r="AZ467" s="101"/>
      <c r="BA467" s="101"/>
      <c r="BB467" s="101"/>
      <c r="BC467" s="101"/>
      <c r="BD467" s="101"/>
      <c r="BE467" s="101"/>
      <c r="BF467" s="101"/>
      <c r="BG467" s="101"/>
      <c r="BH467" s="101"/>
      <c r="BI467" s="101"/>
      <c r="BJ467" s="101"/>
      <c r="BK467" s="101"/>
      <c r="BL467" s="101"/>
      <c r="BM467" s="101"/>
      <c r="BN467" s="101"/>
      <c r="BO467" s="101"/>
      <c r="BP467" s="101"/>
      <c r="BQ467" s="101"/>
    </row>
    <row r="468" spans="9:69">
      <c r="I468" s="255">
        <f>COUNTIF(I469:I472,"&lt;&gt;TS")</f>
        <v>3</v>
      </c>
      <c r="J468" s="106" t="s">
        <v>582</v>
      </c>
      <c r="K468" s="106" t="s">
        <v>831</v>
      </c>
      <c r="L468" s="106"/>
      <c r="M468" s="106"/>
      <c r="N468" s="106"/>
      <c r="O468" s="106"/>
      <c r="P468" s="106"/>
      <c r="Q468" s="106"/>
      <c r="R468" s="106"/>
      <c r="S468" s="106"/>
      <c r="T468" s="106"/>
      <c r="U468" s="107"/>
      <c r="V468" s="107"/>
      <c r="W468" s="106"/>
      <c r="X468" s="106"/>
      <c r="Y468" s="106"/>
      <c r="Z468" s="106"/>
      <c r="AA468" s="106"/>
      <c r="AB468" s="106"/>
      <c r="AC468" s="106"/>
      <c r="AD468" s="106"/>
      <c r="AE468" s="106"/>
      <c r="AF468" s="106"/>
      <c r="AG468" s="106"/>
      <c r="AH468" s="106"/>
      <c r="AI468" s="106"/>
      <c r="AJ468" s="106"/>
      <c r="AK468" s="106"/>
      <c r="AL468" s="106"/>
      <c r="AM468" s="106"/>
      <c r="AN468" s="106"/>
      <c r="AO468" s="106"/>
      <c r="AP468" s="106"/>
      <c r="AQ468" s="106"/>
      <c r="AR468" s="106"/>
      <c r="AS468" s="106"/>
      <c r="AT468" s="106"/>
      <c r="AU468" s="106"/>
      <c r="AV468" s="106"/>
      <c r="AW468" s="106"/>
      <c r="AX468" s="106"/>
      <c r="AY468" s="106"/>
      <c r="AZ468" s="106"/>
      <c r="BA468" s="106"/>
      <c r="BB468" s="106"/>
      <c r="BC468" s="106"/>
      <c r="BD468" s="106"/>
      <c r="BE468" s="106"/>
      <c r="BF468" s="106"/>
      <c r="BG468" s="106"/>
      <c r="BH468" s="106"/>
      <c r="BI468" s="106"/>
      <c r="BJ468" s="106"/>
      <c r="BK468" s="106"/>
      <c r="BL468" s="106"/>
      <c r="BM468" s="106"/>
      <c r="BN468" s="106"/>
      <c r="BO468" s="106"/>
      <c r="BP468" s="106"/>
      <c r="BQ468" s="106"/>
    </row>
    <row r="469" spans="9:69" ht="13.5">
      <c r="I469" s="108" t="s">
        <v>7</v>
      </c>
      <c r="J469" s="108" t="s">
        <v>1066</v>
      </c>
      <c r="K469" s="109" t="s">
        <v>786</v>
      </c>
      <c r="L469" s="109"/>
      <c r="M469" s="109"/>
      <c r="N469" s="109"/>
      <c r="O469" s="109"/>
      <c r="P469" s="109"/>
      <c r="Q469" s="109"/>
      <c r="R469" s="109"/>
      <c r="S469" s="109"/>
      <c r="T469" s="109"/>
      <c r="U469" s="110"/>
      <c r="V469" s="110"/>
      <c r="W469" s="109"/>
      <c r="X469" s="109"/>
      <c r="Y469" s="109"/>
      <c r="Z469" s="109"/>
      <c r="AA469" s="109"/>
      <c r="AB469" s="109"/>
      <c r="AC469" s="109"/>
      <c r="AD469" s="109"/>
      <c r="AE469" s="109"/>
      <c r="AF469" s="109"/>
      <c r="AG469" s="109"/>
      <c r="AH469" s="109"/>
      <c r="AI469" s="109"/>
      <c r="AJ469" s="109"/>
      <c r="AK469" s="109"/>
      <c r="AL469" s="109"/>
      <c r="AM469" s="109"/>
      <c r="AN469" s="109"/>
      <c r="AO469" s="109"/>
      <c r="AP469" s="109"/>
      <c r="AQ469" s="109"/>
      <c r="AR469" s="109"/>
      <c r="AS469" s="109"/>
      <c r="AT469" s="109"/>
      <c r="AU469" s="109"/>
      <c r="AV469" s="109"/>
      <c r="AW469" s="109"/>
      <c r="AX469" s="109"/>
      <c r="AY469" s="109"/>
      <c r="AZ469" s="109"/>
      <c r="BA469" s="109"/>
      <c r="BB469" s="109"/>
      <c r="BC469" s="109"/>
      <c r="BD469" s="109"/>
      <c r="BE469" s="109"/>
      <c r="BF469" s="109"/>
      <c r="BG469" s="109"/>
      <c r="BH469" s="109"/>
      <c r="BI469" s="109"/>
      <c r="BJ469" s="109"/>
      <c r="BK469" s="109"/>
      <c r="BL469" s="109"/>
      <c r="BM469" s="109"/>
      <c r="BN469" s="109"/>
      <c r="BO469" s="109"/>
      <c r="BP469" s="109"/>
      <c r="BQ469" s="109"/>
    </row>
    <row r="470" spans="9:69">
      <c r="I470" s="96" t="s">
        <v>48</v>
      </c>
      <c r="J470" s="96" t="s">
        <v>1067</v>
      </c>
      <c r="K470" s="100">
        <v>10</v>
      </c>
      <c r="L470" s="100">
        <v>2</v>
      </c>
      <c r="M470" s="100">
        <v>13</v>
      </c>
      <c r="N470" s="101"/>
      <c r="O470" s="101"/>
      <c r="P470" s="100">
        <v>50</v>
      </c>
      <c r="Q470" s="101"/>
      <c r="R470" s="101"/>
      <c r="S470" s="101"/>
      <c r="T470" s="94" t="s">
        <v>209</v>
      </c>
      <c r="U470" s="100" t="e">
        <f>IF(FLAG_Country&lt;&gt;"USA","설정 온도 22 degC, AUTO ON (SYNC ON) 선택 상태, Intake=REC, Blower=1단 수동 설정","설정 온도 72 degF, AUTO ON (SYNC ON) 선택 상태, Intake=REC, Blower=1단 수동 설정")</f>
        <v>#NAME?</v>
      </c>
      <c r="V470" s="95">
        <v>10</v>
      </c>
      <c r="W470" s="100" t="s">
        <v>89</v>
      </c>
      <c r="X470" s="101"/>
      <c r="Y470" s="100" t="s">
        <v>235</v>
      </c>
      <c r="Z470" s="101"/>
      <c r="AA470" s="101"/>
      <c r="AB470" s="100" t="s">
        <v>235</v>
      </c>
      <c r="AC470" s="101"/>
      <c r="AD470" s="101"/>
      <c r="AE470" s="100" t="s">
        <v>235</v>
      </c>
      <c r="AF470" s="100">
        <v>1</v>
      </c>
      <c r="AG470" s="100" t="e">
        <f>IF(AF470="","",VLOOKUP(AF470,Tbl_Blower_Volt,2,FALSE))</f>
        <v>#NAME?</v>
      </c>
      <c r="AH470" s="101"/>
      <c r="AI470" s="101"/>
      <c r="AJ470" s="101"/>
      <c r="AK470" s="101"/>
      <c r="AL470" s="101"/>
      <c r="AM470" s="101"/>
      <c r="AN470" s="102" t="s">
        <v>89</v>
      </c>
      <c r="AO470" s="101"/>
      <c r="AP470" s="100" t="s">
        <v>89</v>
      </c>
      <c r="AQ470" s="100" t="s">
        <v>51</v>
      </c>
      <c r="AR470" s="100" t="s">
        <v>51</v>
      </c>
      <c r="AS470" s="101"/>
      <c r="AT470" s="101"/>
      <c r="AU470" s="101"/>
      <c r="AV470" s="101"/>
      <c r="AW470" s="101"/>
      <c r="AX470" s="101"/>
      <c r="AY470" s="101"/>
      <c r="AZ470" s="100" t="s">
        <v>89</v>
      </c>
      <c r="BA470" s="101"/>
      <c r="BB470" s="101"/>
      <c r="BC470" s="101"/>
      <c r="BD470" s="101"/>
      <c r="BE470" s="101"/>
      <c r="BF470" s="101"/>
      <c r="BG470" s="101"/>
      <c r="BH470" s="101"/>
      <c r="BI470" s="101"/>
      <c r="BJ470" s="101"/>
      <c r="BK470" s="101"/>
      <c r="BL470" s="101"/>
      <c r="BM470" s="101"/>
      <c r="BN470" s="101"/>
      <c r="BO470" s="101"/>
      <c r="BP470" s="101"/>
      <c r="BQ470" s="101"/>
    </row>
    <row r="471" spans="9:69">
      <c r="I471" s="220" t="s">
        <v>155</v>
      </c>
      <c r="J471" s="220" t="s">
        <v>1068</v>
      </c>
      <c r="K471" s="221">
        <f t="shared" ref="K471:M471" si="225">K470</f>
        <v>10</v>
      </c>
      <c r="L471" s="221">
        <f t="shared" si="225"/>
        <v>2</v>
      </c>
      <c r="M471" s="221">
        <f t="shared" si="225"/>
        <v>13</v>
      </c>
      <c r="N471" s="101"/>
      <c r="O471" s="101"/>
      <c r="P471" s="100">
        <v>0</v>
      </c>
      <c r="Q471" s="101"/>
      <c r="R471" s="101"/>
      <c r="S471" s="101"/>
      <c r="T471" s="94" t="e">
        <f>T_windshield</f>
        <v>#NAME?</v>
      </c>
      <c r="U471" s="95">
        <f t="shared" ref="U471:U472" si="226">P471</f>
        <v>0</v>
      </c>
      <c r="V471" s="100">
        <v>13</v>
      </c>
      <c r="W471" s="100" t="s">
        <v>89</v>
      </c>
      <c r="X471" s="101"/>
      <c r="Y471" s="100" t="s">
        <v>735</v>
      </c>
      <c r="Z471" s="101"/>
      <c r="AA471" s="101"/>
      <c r="AB471" s="100" t="s">
        <v>657</v>
      </c>
      <c r="AC471" s="101"/>
      <c r="AD471" s="101"/>
      <c r="AE471" s="100" t="s">
        <v>657</v>
      </c>
      <c r="AF471" s="100" t="e" cm="1">
        <f t="array" ref="AF471">ROUNDDOWN(VINTERPOLATION(AG471,Tbl_BlowerUp_Display,2),0)</f>
        <v>#VALUE!</v>
      </c>
      <c r="AG471" s="243" t="e">
        <f>MAX(VINTERPOLATION(5,Tbl_ADS_blower_Up,2),AG470)</f>
        <v>#VALUE!</v>
      </c>
      <c r="AH471" s="101"/>
      <c r="AI471" s="101"/>
      <c r="AJ471" s="101"/>
      <c r="AK471" s="101"/>
      <c r="AL471" s="101"/>
      <c r="AM471" s="101"/>
      <c r="AN471" s="102" t="s">
        <v>89</v>
      </c>
      <c r="AO471" s="101"/>
      <c r="AP471" s="102" t="s">
        <v>49</v>
      </c>
      <c r="AQ471" s="100" t="s">
        <v>50</v>
      </c>
      <c r="AR471" s="100" t="s">
        <v>50</v>
      </c>
      <c r="AS471" s="101"/>
      <c r="AT471" s="101"/>
      <c r="AU471" s="101"/>
      <c r="AV471" s="101"/>
      <c r="AW471" s="101"/>
      <c r="AX471" s="101"/>
      <c r="AY471" s="101"/>
      <c r="AZ471" s="102" t="s">
        <v>889</v>
      </c>
      <c r="BA471" s="101"/>
      <c r="BB471" s="101"/>
      <c r="BC471" s="101"/>
      <c r="BD471" s="101"/>
      <c r="BE471" s="101"/>
      <c r="BF471" s="101"/>
      <c r="BG471" s="101"/>
      <c r="BH471" s="101"/>
      <c r="BI471" s="101"/>
      <c r="BJ471" s="101"/>
      <c r="BK471" s="101"/>
      <c r="BL471" s="101"/>
      <c r="BM471" s="101"/>
      <c r="BN471" s="101"/>
      <c r="BO471" s="101"/>
      <c r="BP471" s="101"/>
      <c r="BQ471" s="101"/>
    </row>
    <row r="472" spans="9:69" ht="13.5">
      <c r="I472" s="220" t="s">
        <v>155</v>
      </c>
      <c r="J472" s="220" t="s">
        <v>1069</v>
      </c>
      <c r="K472" s="221">
        <f t="shared" ref="K472:M472" si="227">K471</f>
        <v>10</v>
      </c>
      <c r="L472" s="221">
        <f t="shared" si="227"/>
        <v>2</v>
      </c>
      <c r="M472" s="221">
        <f t="shared" si="227"/>
        <v>13</v>
      </c>
      <c r="N472" s="101"/>
      <c r="O472" s="101"/>
      <c r="P472" s="100">
        <v>50</v>
      </c>
      <c r="Q472" s="101"/>
      <c r="R472" s="101"/>
      <c r="S472" s="101"/>
      <c r="T472" s="94" t="e">
        <f>T_windshield</f>
        <v>#NAME?</v>
      </c>
      <c r="U472" s="95">
        <f t="shared" si="226"/>
        <v>50</v>
      </c>
      <c r="V472" s="100">
        <v>110</v>
      </c>
      <c r="W472" s="100" t="s">
        <v>89</v>
      </c>
      <c r="X472" s="101"/>
      <c r="Y472" s="100" t="s">
        <v>235</v>
      </c>
      <c r="Z472" s="101"/>
      <c r="AA472" s="101"/>
      <c r="AB472" s="100" t="s">
        <v>235</v>
      </c>
      <c r="AC472" s="101"/>
      <c r="AD472" s="101"/>
      <c r="AE472" s="100" t="s">
        <v>235</v>
      </c>
      <c r="AF472" s="100">
        <v>1</v>
      </c>
      <c r="AG472" s="100" t="e">
        <f>IF(AF472="","",VLOOKUP(AF472,Tbl_Blower_Volt,2,FALSE))</f>
        <v>#NAME?</v>
      </c>
      <c r="AH472" s="101"/>
      <c r="AI472" s="101"/>
      <c r="AJ472" s="101"/>
      <c r="AK472" s="101"/>
      <c r="AL472" s="101"/>
      <c r="AM472" s="101"/>
      <c r="AN472" s="102" t="s">
        <v>89</v>
      </c>
      <c r="AO472" s="101"/>
      <c r="AP472" s="100" t="s">
        <v>89</v>
      </c>
      <c r="AQ472" s="100" t="s">
        <v>50</v>
      </c>
      <c r="AR472" s="121" t="s">
        <v>1783</v>
      </c>
      <c r="AS472" s="101"/>
      <c r="AT472" s="101"/>
      <c r="AU472" s="101"/>
      <c r="AV472" s="101"/>
      <c r="AW472" s="101"/>
      <c r="AX472" s="101"/>
      <c r="AY472" s="101"/>
      <c r="AZ472" s="100" t="s">
        <v>89</v>
      </c>
      <c r="BA472" s="101"/>
      <c r="BB472" s="101"/>
      <c r="BC472" s="101"/>
      <c r="BD472" s="101"/>
      <c r="BE472" s="101"/>
      <c r="BF472" s="101"/>
      <c r="BG472" s="101"/>
      <c r="BH472" s="101"/>
      <c r="BI472" s="101"/>
      <c r="BJ472" s="101"/>
      <c r="BK472" s="101"/>
      <c r="BL472" s="101"/>
      <c r="BM472" s="101"/>
      <c r="BN472" s="101"/>
      <c r="BO472" s="101"/>
      <c r="BP472" s="101"/>
      <c r="BQ472" s="101"/>
    </row>
    <row r="473" spans="9:69">
      <c r="I473" s="51"/>
      <c r="J473" s="106" t="s">
        <v>874</v>
      </c>
      <c r="K473" s="106"/>
      <c r="L473" s="106"/>
      <c r="M473" s="106"/>
      <c r="N473" s="106"/>
      <c r="O473" s="106"/>
      <c r="P473" s="106"/>
      <c r="Q473" s="106"/>
      <c r="R473" s="106"/>
      <c r="S473" s="106"/>
      <c r="T473" s="106"/>
      <c r="U473" s="107"/>
      <c r="V473" s="107"/>
      <c r="W473" s="106"/>
      <c r="X473" s="106"/>
      <c r="Y473" s="106"/>
      <c r="Z473" s="106"/>
      <c r="AA473" s="106"/>
      <c r="AB473" s="106"/>
      <c r="AC473" s="106"/>
      <c r="AD473" s="106"/>
      <c r="AE473" s="106"/>
      <c r="AF473" s="106"/>
      <c r="AG473" s="106"/>
      <c r="AH473" s="106"/>
      <c r="AI473" s="106"/>
      <c r="AJ473" s="106"/>
      <c r="AK473" s="106"/>
      <c r="AL473" s="106"/>
      <c r="AM473" s="106"/>
      <c r="AN473" s="106"/>
      <c r="AO473" s="106"/>
      <c r="AP473" s="106"/>
      <c r="AQ473" s="106"/>
      <c r="AR473" s="106"/>
      <c r="AS473" s="106"/>
      <c r="AT473" s="106"/>
      <c r="AU473" s="106"/>
      <c r="AV473" s="106"/>
      <c r="AW473" s="106"/>
      <c r="AX473" s="106"/>
      <c r="AY473" s="106"/>
      <c r="AZ473" s="106"/>
      <c r="BA473" s="106"/>
      <c r="BB473" s="106"/>
      <c r="BC473" s="106"/>
      <c r="BD473" s="106"/>
      <c r="BE473" s="106"/>
      <c r="BF473" s="106"/>
      <c r="BG473" s="106"/>
      <c r="BH473" s="106"/>
      <c r="BI473" s="106"/>
      <c r="BJ473" s="106"/>
      <c r="BK473" s="106"/>
      <c r="BL473" s="106"/>
      <c r="BM473" s="106"/>
      <c r="BN473" s="106"/>
      <c r="BO473" s="106"/>
      <c r="BP473" s="106"/>
      <c r="BQ473" s="106"/>
    </row>
  </sheetData>
  <autoFilter ref="J1:J473"/>
  <mergeCells count="4">
    <mergeCell ref="E5:G5"/>
    <mergeCell ref="D2:G2"/>
    <mergeCell ref="E3:G3"/>
    <mergeCell ref="E4:G4"/>
  </mergeCells>
  <phoneticPr fontId="9" type="noConversion"/>
  <pageMargins left="0.19685039370078741" right="0.19685039370078741" top="0.19685039370078741" bottom="0.19685039370078741" header="0.31496062992125984" footer="0.31496062992125984"/>
  <pageSetup paperSize="9" scale="15"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rgb="FF00B050"/>
    <outlinePr summaryBelow="0" summaryRight="0"/>
  </sheetPr>
  <dimension ref="A1:Q2695"/>
  <sheetViews>
    <sheetView zoomScale="85" zoomScaleNormal="85" workbookViewId="0">
      <pane xSplit="3" ySplit="1" topLeftCell="D1267" activePane="bottomRight" state="frozen"/>
      <selection pane="topRight" activeCell="D1" sqref="D1"/>
      <selection pane="bottomLeft" activeCell="A5" sqref="A5"/>
      <selection pane="bottomRight" activeCell="D1411" sqref="D1411"/>
    </sheetView>
  </sheetViews>
  <sheetFormatPr defaultColWidth="9.28515625" defaultRowHeight="14.25" outlineLevelRow="2"/>
  <cols>
    <col min="1" max="1" width="7.7109375" style="69" customWidth="1"/>
    <col min="2" max="2" width="9.7109375" style="7" customWidth="1"/>
    <col min="3" max="3" width="11.28515625" style="7" customWidth="1"/>
    <col min="4" max="4" width="39.140625" style="7" customWidth="1"/>
    <col min="5" max="5" width="31.7109375" style="7" customWidth="1"/>
    <col min="6" max="6" width="10.5703125" style="86" customWidth="1"/>
    <col min="7" max="7" width="37" style="7" customWidth="1"/>
    <col min="8" max="8" width="12.42578125" style="7" customWidth="1"/>
    <col min="9" max="9" width="14.140625" style="7" customWidth="1"/>
    <col min="10" max="10" width="10.7109375" style="7" customWidth="1"/>
    <col min="11" max="11" width="7.7109375" style="7" bestFit="1" customWidth="1"/>
    <col min="12" max="12" width="31" style="7" customWidth="1"/>
    <col min="13" max="16384" width="9.28515625" style="7"/>
  </cols>
  <sheetData>
    <row r="1" spans="1:12" s="298" customFormat="1" ht="42.75">
      <c r="A1" s="296" t="s">
        <v>345</v>
      </c>
      <c r="B1" s="296" t="s">
        <v>23</v>
      </c>
      <c r="C1" s="296" t="s">
        <v>92</v>
      </c>
      <c r="D1" s="296" t="s">
        <v>24</v>
      </c>
      <c r="E1" s="296" t="s">
        <v>25</v>
      </c>
      <c r="F1" s="297" t="s">
        <v>26</v>
      </c>
      <c r="G1" s="296" t="s">
        <v>27</v>
      </c>
      <c r="H1" s="296" t="s">
        <v>93</v>
      </c>
      <c r="I1" s="296" t="s">
        <v>28</v>
      </c>
      <c r="J1" s="296" t="s">
        <v>29</v>
      </c>
      <c r="K1" s="296" t="s">
        <v>30</v>
      </c>
      <c r="L1" s="296" t="s">
        <v>91</v>
      </c>
    </row>
    <row r="2" spans="1:12" s="40" customFormat="1" ht="15">
      <c r="A2" s="66">
        <v>1</v>
      </c>
      <c r="B2" s="40" t="s">
        <v>1517</v>
      </c>
      <c r="C2" s="40" t="s">
        <v>1523</v>
      </c>
      <c r="D2" s="40" t="str">
        <f>VLOOKUP(B2,Tbl_Button_Display_ASSTS,2,FALSE)</f>
        <v>BAT. ON시 초기화 기능</v>
      </c>
      <c r="F2" s="82"/>
    </row>
    <row r="3" spans="1:12" s="37" customFormat="1" collapsed="1">
      <c r="A3" s="67">
        <v>1</v>
      </c>
      <c r="B3" s="37" t="s">
        <v>31</v>
      </c>
      <c r="C3" s="37" t="s">
        <v>32</v>
      </c>
      <c r="D3" s="37" t="s">
        <v>153</v>
      </c>
      <c r="F3" s="83"/>
    </row>
    <row r="4" spans="1:12" s="5" customFormat="1" hidden="1" outlineLevel="1">
      <c r="A4" s="68">
        <v>1</v>
      </c>
      <c r="B4" s="5" t="s">
        <v>31</v>
      </c>
      <c r="C4" s="6" t="s">
        <v>33</v>
      </c>
      <c r="D4" s="6" t="s">
        <v>129</v>
      </c>
      <c r="F4" s="84"/>
    </row>
    <row r="5" spans="1:12" hidden="1" outlineLevel="2">
      <c r="A5" s="69">
        <v>1</v>
      </c>
      <c r="D5" s="7" t="s">
        <v>100</v>
      </c>
      <c r="E5" s="7" t="s">
        <v>145</v>
      </c>
      <c r="F5" s="9">
        <v>14</v>
      </c>
      <c r="G5" s="197" t="s">
        <v>1482</v>
      </c>
    </row>
    <row r="6" spans="1:12" hidden="1" outlineLevel="2">
      <c r="A6" s="69">
        <v>1</v>
      </c>
      <c r="D6" s="7" t="s">
        <v>35</v>
      </c>
      <c r="E6" s="7" t="s">
        <v>95</v>
      </c>
      <c r="F6" s="9" t="s">
        <v>426</v>
      </c>
    </row>
    <row r="7" spans="1:12" hidden="1" outlineLevel="2">
      <c r="A7" s="69">
        <v>1</v>
      </c>
      <c r="D7" s="7" t="s">
        <v>130</v>
      </c>
      <c r="F7" s="7"/>
    </row>
    <row r="8" spans="1:12" hidden="1" outlineLevel="2">
      <c r="A8" s="69">
        <v>1</v>
      </c>
      <c r="E8" s="7" t="e">
        <f>AutoCutMode</f>
        <v>#NAME?</v>
      </c>
      <c r="F8" s="9">
        <v>0</v>
      </c>
    </row>
    <row r="9" spans="1:12" s="10" customFormat="1" hidden="1" outlineLevel="2">
      <c r="A9" s="70">
        <v>1</v>
      </c>
      <c r="E9" s="114" t="e">
        <f>User_Profile</f>
        <v>#NAME?</v>
      </c>
      <c r="F9" s="85">
        <v>0</v>
      </c>
      <c r="J9" s="15"/>
    </row>
    <row r="10" spans="1:12" hidden="1" outlineLevel="2">
      <c r="A10" s="69">
        <v>1</v>
      </c>
      <c r="E10" s="7" t="s">
        <v>101</v>
      </c>
      <c r="F10" s="9">
        <v>150</v>
      </c>
    </row>
    <row r="11" spans="1:12" hidden="1" outlineLevel="2">
      <c r="A11" s="69">
        <v>1</v>
      </c>
      <c r="E11" s="7" t="s">
        <v>102</v>
      </c>
      <c r="F11" s="9">
        <v>1</v>
      </c>
    </row>
    <row r="12" spans="1:12" hidden="1" outlineLevel="2">
      <c r="A12" s="69">
        <v>1</v>
      </c>
      <c r="E12" s="7" t="s">
        <v>103</v>
      </c>
      <c r="F12" s="9">
        <v>6000</v>
      </c>
    </row>
    <row r="13" spans="1:12" hidden="1" outlineLevel="2">
      <c r="A13" s="69">
        <v>1</v>
      </c>
      <c r="E13" s="7" t="s">
        <v>104</v>
      </c>
      <c r="F13" s="9">
        <v>1</v>
      </c>
    </row>
    <row r="14" spans="1:12" hidden="1" outlineLevel="2">
      <c r="A14" s="69">
        <v>1</v>
      </c>
      <c r="D14" s="29" t="s">
        <v>1487</v>
      </c>
      <c r="E14" s="7" t="s">
        <v>110</v>
      </c>
      <c r="F14" s="9">
        <v>35</v>
      </c>
      <c r="G14" s="29"/>
    </row>
    <row r="15" spans="1:12" hidden="1" outlineLevel="2">
      <c r="A15" s="69">
        <v>1</v>
      </c>
      <c r="D15" s="29" t="s">
        <v>1486</v>
      </c>
      <c r="E15" s="29" t="s">
        <v>149</v>
      </c>
      <c r="F15" s="9">
        <v>35</v>
      </c>
    </row>
    <row r="16" spans="1:12" hidden="1" outlineLevel="2">
      <c r="A16" s="69">
        <v>1</v>
      </c>
      <c r="D16" s="29"/>
      <c r="E16" s="29" t="s">
        <v>150</v>
      </c>
      <c r="F16" s="9">
        <v>35</v>
      </c>
    </row>
    <row r="17" spans="1:7" hidden="1" outlineLevel="2">
      <c r="A17" s="69">
        <v>1</v>
      </c>
      <c r="D17" s="29"/>
      <c r="E17" s="29" t="s">
        <v>147</v>
      </c>
      <c r="F17" s="9">
        <v>35</v>
      </c>
    </row>
    <row r="18" spans="1:7" hidden="1" outlineLevel="2">
      <c r="A18" s="69">
        <v>1</v>
      </c>
      <c r="D18" s="29"/>
      <c r="E18" s="29" t="s">
        <v>148</v>
      </c>
      <c r="F18" s="9">
        <v>35</v>
      </c>
    </row>
    <row r="19" spans="1:7" hidden="1" outlineLevel="2">
      <c r="A19" s="69">
        <v>1</v>
      </c>
      <c r="D19" s="29" t="s">
        <v>1488</v>
      </c>
      <c r="E19" s="7" t="s">
        <v>111</v>
      </c>
      <c r="F19" s="9">
        <f>VLOOKUP(C4,Tbl_Button_Display_ASSTS,5,FALSE)</f>
        <v>80.25</v>
      </c>
      <c r="G19" s="29"/>
    </row>
    <row r="20" spans="1:7" hidden="1" outlineLevel="2">
      <c r="A20" s="69">
        <v>1</v>
      </c>
      <c r="D20" s="7" t="s">
        <v>131</v>
      </c>
      <c r="F20" s="7"/>
    </row>
    <row r="21" spans="1:7" hidden="1" outlineLevel="2">
      <c r="A21" s="69">
        <v>1</v>
      </c>
      <c r="D21" s="29" t="s">
        <v>132</v>
      </c>
      <c r="E21" s="29" t="s">
        <v>133</v>
      </c>
      <c r="F21" s="9">
        <v>1</v>
      </c>
      <c r="G21" s="29" t="s">
        <v>178</v>
      </c>
    </row>
    <row r="22" spans="1:7" hidden="1" outlineLevel="2">
      <c r="A22" s="69">
        <v>1</v>
      </c>
      <c r="D22" s="29" t="s">
        <v>1484</v>
      </c>
      <c r="E22" s="29" t="s">
        <v>1483</v>
      </c>
      <c r="F22" s="9">
        <v>2000</v>
      </c>
      <c r="G22" s="29" t="s">
        <v>1485</v>
      </c>
    </row>
    <row r="23" spans="1:7" hidden="1" outlineLevel="2">
      <c r="A23" s="69">
        <v>1</v>
      </c>
      <c r="D23" s="29" t="s">
        <v>132</v>
      </c>
      <c r="E23" s="29" t="s">
        <v>146</v>
      </c>
      <c r="F23" s="9">
        <v>4</v>
      </c>
      <c r="G23" s="29"/>
    </row>
    <row r="24" spans="1:7" hidden="1" outlineLevel="2">
      <c r="A24" s="69">
        <v>1</v>
      </c>
      <c r="E24" s="7" t="s">
        <v>107</v>
      </c>
      <c r="F24" s="9">
        <v>5000</v>
      </c>
    </row>
    <row r="25" spans="1:7" hidden="1" outlineLevel="2">
      <c r="A25" s="69">
        <v>1</v>
      </c>
      <c r="E25" s="7" t="s">
        <v>105</v>
      </c>
      <c r="F25" s="9">
        <v>2000</v>
      </c>
    </row>
    <row r="26" spans="1:7" hidden="1" outlineLevel="2">
      <c r="A26" s="69">
        <v>1</v>
      </c>
      <c r="E26" s="7" t="s">
        <v>106</v>
      </c>
      <c r="F26" s="9">
        <v>1</v>
      </c>
    </row>
    <row r="27" spans="1:7" hidden="1" outlineLevel="2">
      <c r="A27" s="69">
        <v>1</v>
      </c>
      <c r="E27" s="7" t="s">
        <v>107</v>
      </c>
      <c r="F27" s="9">
        <v>5000</v>
      </c>
    </row>
    <row r="28" spans="1:7" hidden="1" outlineLevel="2">
      <c r="A28" s="69">
        <v>1</v>
      </c>
      <c r="D28" s="7" t="s">
        <v>36</v>
      </c>
      <c r="F28" s="7"/>
    </row>
    <row r="29" spans="1:7" hidden="1" outlineLevel="2">
      <c r="A29" s="69">
        <v>1</v>
      </c>
      <c r="E29" s="8" t="e">
        <f>Incar_IN</f>
        <v>#NAME?</v>
      </c>
      <c r="F29" s="65" cm="1">
        <f t="array" ref="F29">VINTERPOLATION(VLOOKUP(C4,Tbl_Button_Display_ASSTS,2,FALSE),Tbl_Incar_Sensor,3)</f>
        <v>2.337198632711782</v>
      </c>
    </row>
    <row r="30" spans="1:7" hidden="1" outlineLevel="2">
      <c r="A30" s="69">
        <v>1</v>
      </c>
      <c r="E30" s="8" t="e">
        <f>Amb_IN</f>
        <v>#NAME?</v>
      </c>
      <c r="F30" s="65" cm="1">
        <f t="array" ref="F30">VINTERPOLATION(VLOOKUP(C4,Tbl_Button_Display_ASSTS,3,FALSE),Tbl_Amb_Sensor,3)</f>
        <v>2.7716705043452423</v>
      </c>
      <c r="G30" s="29" t="s">
        <v>179</v>
      </c>
    </row>
    <row r="31" spans="1:7" hidden="1" outlineLevel="2">
      <c r="A31" s="69">
        <v>1</v>
      </c>
      <c r="D31" s="29" t="s">
        <v>496</v>
      </c>
      <c r="E31" s="8" t="e">
        <f>EvaDr_IN</f>
        <v>#NAME?</v>
      </c>
      <c r="F31" s="65" cm="1">
        <f t="array" ref="F31">VINTERPOLATION(VLOOKUP(C4,Tbl_Button_Display_ASSTS,4,FALSE),Tbl_Eva_Sensor,3)</f>
        <v>1.7384213959556425</v>
      </c>
    </row>
    <row r="32" spans="1:7" hidden="1" outlineLevel="2">
      <c r="A32" s="69">
        <v>1</v>
      </c>
      <c r="E32" s="8" t="e">
        <f>CionDiag_V</f>
        <v>#NAME?</v>
      </c>
      <c r="F32" s="9">
        <v>2.7</v>
      </c>
    </row>
    <row r="33" spans="1:10" hidden="1" outlineLevel="2">
      <c r="A33" s="69">
        <v>1</v>
      </c>
      <c r="D33" s="29" t="s">
        <v>497</v>
      </c>
      <c r="E33" s="30" t="e" cm="1">
        <f t="array" ref="E33">Duct_ALL_V</f>
        <v>#NAME?</v>
      </c>
      <c r="F33" s="9" cm="1">
        <f t="array" ref="F33">VINTERPOLATION(VLOOKUP(C4,Tbl_Button_Display_ASSTS,5,FALSE),Tbl_Duct_Sensor,3)</f>
        <v>0.34103409083949487</v>
      </c>
    </row>
    <row r="34" spans="1:10" hidden="1" outlineLevel="2">
      <c r="A34" s="69">
        <v>1</v>
      </c>
      <c r="E34" s="8" t="e">
        <f>Photo_L_V</f>
        <v>#NAME?</v>
      </c>
      <c r="F34" s="9">
        <v>0</v>
      </c>
    </row>
    <row r="35" spans="1:10" hidden="1" outlineLevel="2">
      <c r="A35" s="69">
        <v>1</v>
      </c>
      <c r="E35" s="8" t="e">
        <f>Photo_R_V</f>
        <v>#NAME?</v>
      </c>
      <c r="F35" s="9">
        <v>0</v>
      </c>
    </row>
    <row r="36" spans="1:10" hidden="1" outlineLevel="2">
      <c r="A36" s="69">
        <v>1</v>
      </c>
      <c r="D36" s="29" t="s">
        <v>385</v>
      </c>
      <c r="E36" s="14" t="e">
        <f>T_windshield</f>
        <v>#NAME?</v>
      </c>
      <c r="F36" s="65" cm="1">
        <f t="array" ref="F36">VINTERPOLATION(VLOOKUP(C4,Tbl_Button_Display_ASSTS,7,FALSE),Tbl_GlassTemp_Sensor,3)</f>
        <v>1.4614241999700592</v>
      </c>
    </row>
    <row r="37" spans="1:10" hidden="1" outlineLevel="2">
      <c r="A37" s="69">
        <v>1</v>
      </c>
      <c r="D37" s="29" t="s">
        <v>181</v>
      </c>
      <c r="E37" s="29" t="s">
        <v>134</v>
      </c>
      <c r="F37" s="9">
        <v>35</v>
      </c>
      <c r="G37" s="29"/>
    </row>
    <row r="38" spans="1:10" hidden="1" outlineLevel="2">
      <c r="A38" s="69">
        <v>1</v>
      </c>
      <c r="D38" s="29" t="s">
        <v>181</v>
      </c>
      <c r="E38" s="29" t="s">
        <v>109</v>
      </c>
      <c r="F38" s="9">
        <v>35</v>
      </c>
    </row>
    <row r="39" spans="1:10" hidden="1" outlineLevel="2">
      <c r="A39" s="69">
        <v>1</v>
      </c>
      <c r="D39" s="29" t="s">
        <v>180</v>
      </c>
      <c r="E39" s="30" t="s">
        <v>138</v>
      </c>
      <c r="F39" s="9">
        <v>90</v>
      </c>
      <c r="G39" s="29" t="s">
        <v>182</v>
      </c>
    </row>
    <row r="40" spans="1:10" hidden="1" outlineLevel="2">
      <c r="A40" s="69">
        <v>1</v>
      </c>
      <c r="D40" s="29"/>
      <c r="E40" s="30" t="s">
        <v>135</v>
      </c>
      <c r="F40" s="9">
        <v>40</v>
      </c>
      <c r="G40" s="29" t="s">
        <v>183</v>
      </c>
    </row>
    <row r="41" spans="1:10" s="10" customFormat="1" hidden="1" outlineLevel="2">
      <c r="A41" s="70">
        <v>1</v>
      </c>
      <c r="D41" s="29"/>
      <c r="E41" s="30" t="s">
        <v>136</v>
      </c>
      <c r="F41" s="9">
        <v>40</v>
      </c>
      <c r="G41" s="7"/>
      <c r="J41" s="15"/>
    </row>
    <row r="42" spans="1:10" hidden="1" outlineLevel="2">
      <c r="A42" s="69">
        <v>1</v>
      </c>
      <c r="D42" s="29"/>
      <c r="E42" s="30" t="s">
        <v>137</v>
      </c>
      <c r="F42" s="9">
        <v>40</v>
      </c>
    </row>
    <row r="43" spans="1:10" hidden="1" outlineLevel="2">
      <c r="A43" s="69">
        <v>1</v>
      </c>
      <c r="D43" s="29"/>
      <c r="E43" s="30"/>
      <c r="F43" s="9"/>
    </row>
    <row r="44" spans="1:10" s="5" customFormat="1" ht="15" hidden="1" outlineLevel="1">
      <c r="A44" s="68">
        <v>1</v>
      </c>
      <c r="B44" s="5" t="s">
        <v>31</v>
      </c>
      <c r="C44" s="6" t="s">
        <v>34</v>
      </c>
      <c r="D44" s="6" t="s">
        <v>437</v>
      </c>
    </row>
    <row r="45" spans="1:10" s="10" customFormat="1" hidden="1" outlineLevel="2">
      <c r="A45" s="70">
        <v>1</v>
      </c>
      <c r="D45" s="10" t="s">
        <v>438</v>
      </c>
      <c r="G45" s="10" t="s">
        <v>439</v>
      </c>
      <c r="I45" s="7"/>
      <c r="J45" s="92"/>
    </row>
    <row r="46" spans="1:10" s="10" customFormat="1" hidden="1" outlineLevel="2">
      <c r="A46" s="70">
        <v>1</v>
      </c>
      <c r="D46" s="10" t="s">
        <v>438</v>
      </c>
      <c r="G46" s="10" t="s">
        <v>440</v>
      </c>
      <c r="I46" s="7"/>
      <c r="J46" s="92"/>
    </row>
    <row r="47" spans="1:10" s="10" customFormat="1" hidden="1" outlineLevel="2">
      <c r="A47" s="70">
        <v>1</v>
      </c>
      <c r="D47" s="10" t="s">
        <v>438</v>
      </c>
      <c r="G47" s="10" t="s">
        <v>441</v>
      </c>
      <c r="I47" s="7"/>
      <c r="J47" s="92"/>
    </row>
    <row r="48" spans="1:10" s="10" customFormat="1" hidden="1" outlineLevel="2">
      <c r="A48" s="70">
        <v>1</v>
      </c>
      <c r="D48" s="10" t="s">
        <v>438</v>
      </c>
      <c r="G48" s="10" t="s">
        <v>442</v>
      </c>
      <c r="I48" s="7"/>
      <c r="J48" s="92"/>
    </row>
    <row r="49" spans="1:10" s="10" customFormat="1" hidden="1" outlineLevel="2">
      <c r="A49" s="70">
        <v>1</v>
      </c>
      <c r="D49" s="10" t="s">
        <v>438</v>
      </c>
      <c r="G49" s="10" t="s">
        <v>443</v>
      </c>
      <c r="I49" s="7"/>
      <c r="J49" s="92"/>
    </row>
    <row r="50" spans="1:10" s="5" customFormat="1" hidden="1" outlineLevel="1">
      <c r="A50" s="68">
        <v>1</v>
      </c>
      <c r="B50" s="5" t="s">
        <v>31</v>
      </c>
      <c r="C50" s="6" t="s">
        <v>37</v>
      </c>
      <c r="D50" s="6" t="s">
        <v>184</v>
      </c>
      <c r="F50" s="84"/>
    </row>
    <row r="51" spans="1:10" s="10" customFormat="1" hidden="1" outlineLevel="2">
      <c r="A51" s="70">
        <v>1</v>
      </c>
      <c r="E51" s="10" t="s">
        <v>143</v>
      </c>
      <c r="F51" s="85" t="s">
        <v>144</v>
      </c>
      <c r="I51" s="31"/>
      <c r="J51" s="31"/>
    </row>
    <row r="52" spans="1:10" s="10" customFormat="1" hidden="1" outlineLevel="2">
      <c r="A52" s="70">
        <v>1</v>
      </c>
      <c r="F52" s="87"/>
      <c r="G52" s="10" t="s">
        <v>139</v>
      </c>
      <c r="I52" s="32" t="s">
        <v>142</v>
      </c>
    </row>
    <row r="53" spans="1:10" s="10" customFormat="1" hidden="1" outlineLevel="2">
      <c r="A53" s="70">
        <v>1</v>
      </c>
      <c r="D53" s="46" t="s">
        <v>218</v>
      </c>
      <c r="E53" s="10" t="s">
        <v>90</v>
      </c>
      <c r="F53" s="9" t="e">
        <f>CONCATENATE("자가진단 진입 : ",SelfDiagCode)</f>
        <v>#NAME?</v>
      </c>
      <c r="J53" s="31"/>
    </row>
    <row r="54" spans="1:10" s="10" customFormat="1" hidden="1" outlineLevel="2">
      <c r="A54" s="70">
        <v>1</v>
      </c>
      <c r="F54" s="87"/>
      <c r="G54" s="10" t="s">
        <v>141</v>
      </c>
      <c r="I54" s="13" t="s">
        <v>140</v>
      </c>
      <c r="J54" s="31"/>
    </row>
    <row r="55" spans="1:10" s="5" customFormat="1" hidden="1" outlineLevel="1">
      <c r="A55" s="68">
        <v>1</v>
      </c>
      <c r="B55" s="5" t="s">
        <v>31</v>
      </c>
      <c r="C55" s="6" t="s">
        <v>99</v>
      </c>
      <c r="D55" s="6" t="s">
        <v>117</v>
      </c>
      <c r="F55" s="84"/>
    </row>
    <row r="56" spans="1:10" hidden="1" outlineLevel="2">
      <c r="A56" s="69">
        <v>1</v>
      </c>
      <c r="D56" s="7" t="s">
        <v>151</v>
      </c>
      <c r="E56" s="7" t="s">
        <v>95</v>
      </c>
      <c r="F56" s="85" t="s">
        <v>426</v>
      </c>
    </row>
    <row r="57" spans="1:10" s="10" customFormat="1" hidden="1" outlineLevel="2">
      <c r="A57" s="70">
        <v>1</v>
      </c>
      <c r="E57" s="7" t="s">
        <v>5</v>
      </c>
      <c r="F57" s="85">
        <v>2</v>
      </c>
    </row>
    <row r="58" spans="1:10" s="10" customFormat="1" hidden="1" outlineLevel="2">
      <c r="A58" s="70">
        <v>1</v>
      </c>
      <c r="D58" s="46"/>
      <c r="E58" s="10" t="s">
        <v>90</v>
      </c>
      <c r="F58" s="90" t="s">
        <v>1469</v>
      </c>
      <c r="G58" s="43"/>
      <c r="H58" s="43"/>
      <c r="I58" s="43"/>
      <c r="J58" s="31"/>
    </row>
    <row r="59" spans="1:10" s="38" customFormat="1" collapsed="1">
      <c r="A59" s="71">
        <v>1</v>
      </c>
      <c r="B59" s="38" t="s">
        <v>7</v>
      </c>
      <c r="C59" s="38" t="s">
        <v>1518</v>
      </c>
      <c r="D59" s="38" t="str">
        <f>VLOOKUP(C59,Tbl_Button_Display_ASSTS, 2,FALSE)</f>
        <v>BAT. ON시 초기화 기능 확인</v>
      </c>
      <c r="F59" s="88"/>
    </row>
    <row r="60" spans="1:10" s="11" customFormat="1" hidden="1" outlineLevel="1">
      <c r="A60" s="72">
        <v>1</v>
      </c>
      <c r="B60" s="11" t="s">
        <v>38</v>
      </c>
      <c r="C60" s="11" t="s">
        <v>1519</v>
      </c>
      <c r="D60" s="11" t="s">
        <v>39</v>
      </c>
      <c r="F60" s="89"/>
    </row>
    <row r="61" spans="1:10" s="10" customFormat="1" hidden="1" outlineLevel="2">
      <c r="A61" s="70">
        <v>1</v>
      </c>
      <c r="E61" s="14" t="str">
        <f>VLOOKUP(C60,Tbl_Button_Display_ASSTS,11,FALSE)</f>
        <v>MsgBox</v>
      </c>
      <c r="F61" s="90" t="str">
        <f>VLOOKUP(C60,Tbl_Button_Display_ASSTS,12,FALSE)</f>
        <v>암전류 차단 기능으로 저장된 값이 없는 최초 1회 BAT. On 동작을 보기위해 S/W 신규 Write 후 수행 필요</v>
      </c>
      <c r="G61" s="43"/>
      <c r="H61" s="43"/>
      <c r="I61" s="43"/>
    </row>
    <row r="62" spans="1:10" s="10" customFormat="1" hidden="1" outlineLevel="2">
      <c r="A62" s="70">
        <v>1</v>
      </c>
      <c r="E62" s="15" t="s">
        <v>5</v>
      </c>
      <c r="F62" s="85">
        <f>VLOOKUP(C60,Tbl_Button_Display_ASSTS,13,FALSE)</f>
        <v>2</v>
      </c>
    </row>
    <row r="63" spans="1:10" s="10" customFormat="1" hidden="1" outlineLevel="2">
      <c r="A63" s="70">
        <v>1</v>
      </c>
      <c r="D63" s="10" t="e">
        <f>IF(BAT_ON_Initialize="X","Set_System_On","")</f>
        <v>#NAME?</v>
      </c>
      <c r="E63" s="14" t="e">
        <f>IF(D63="Set_System_On","Sw_DrTemp_Up","")</f>
        <v>#NAME?</v>
      </c>
      <c r="F63" s="85" t="e">
        <f>IF(D63="Set_System_On",1,"")</f>
        <v>#NAME?</v>
      </c>
      <c r="J63" s="15"/>
    </row>
    <row r="64" spans="1:10" s="10" customFormat="1" hidden="1" outlineLevel="2">
      <c r="A64" s="70">
        <v>1</v>
      </c>
      <c r="E64" s="15" t="e">
        <f>IF(D63="Set_System_On","Delay(Sec)","")</f>
        <v>#NAME?</v>
      </c>
      <c r="F64" s="85" t="e">
        <f>IF(D63="Set_System_On",2,"")</f>
        <v>#NAME?</v>
      </c>
    </row>
    <row r="65" spans="1:12" s="10" customFormat="1" hidden="1" outlineLevel="2">
      <c r="A65" s="70">
        <v>1</v>
      </c>
      <c r="F65" s="87"/>
      <c r="G65" s="10" t="e">
        <f>Incar_OUT</f>
        <v>#NAME?</v>
      </c>
      <c r="I65" s="13">
        <f>VLOOKUP(C60,Tbl_Button_Display_ASSTS,2,FALSE)</f>
        <v>10</v>
      </c>
    </row>
    <row r="66" spans="1:12" s="10" customFormat="1" hidden="1" outlineLevel="2">
      <c r="A66" s="70">
        <v>1</v>
      </c>
      <c r="F66" s="87"/>
      <c r="G66" s="10" t="e">
        <f>Amb_OUT</f>
        <v>#NAME?</v>
      </c>
      <c r="I66" s="13">
        <f>VLOOKUP(C60,Tbl_Button_Display_ASSTS,3,FALSE)</f>
        <v>5</v>
      </c>
    </row>
    <row r="67" spans="1:12" s="10" customFormat="1" hidden="1" outlineLevel="2">
      <c r="A67" s="70">
        <v>1</v>
      </c>
      <c r="F67" s="87"/>
      <c r="G67" s="10" t="e">
        <f>AutoDisp</f>
        <v>#NAME?</v>
      </c>
      <c r="I67" s="13" t="str">
        <f>VLOOKUP(C60,Tbl_Button_Display_ASSTS,14,FALSE)</f>
        <v>On</v>
      </c>
    </row>
    <row r="68" spans="1:12" s="10" customFormat="1" hidden="1" outlineLevel="2">
      <c r="A68" s="70">
        <v>1</v>
      </c>
      <c r="F68" s="87"/>
      <c r="G68" s="10" t="e">
        <f>SyncDisp</f>
        <v>#NAME?</v>
      </c>
      <c r="I68" s="13" t="str">
        <f>VLOOKUP(C60,Tbl_Button_Display_ASSTS,15,FALSE)</f>
        <v>On</v>
      </c>
    </row>
    <row r="69" spans="1:12" s="10" customFormat="1" hidden="1" outlineLevel="2">
      <c r="A69" s="70">
        <v>1</v>
      </c>
      <c r="F69" s="87"/>
      <c r="G69" s="10" t="e">
        <f>DrTempDispC</f>
        <v>#NAME?</v>
      </c>
      <c r="I69" s="13" t="e">
        <f>VLOOKUP(C60,Tbl_Button_Display_ASSTS,26,FALSE)</f>
        <v>#NAME?</v>
      </c>
    </row>
    <row r="70" spans="1:12" s="10" customFormat="1" hidden="1" outlineLevel="2">
      <c r="A70" s="70">
        <v>1</v>
      </c>
      <c r="F70" s="87"/>
      <c r="G70" s="10" t="e">
        <f>PsTempDispC</f>
        <v>#NAME?</v>
      </c>
      <c r="I70" s="13" t="e">
        <f>VLOOKUP(C60,Tbl_Button_Display_ASSTS,27,FALSE)</f>
        <v>#NAME?</v>
      </c>
    </row>
    <row r="71" spans="1:12" s="10" customFormat="1" hidden="1" outlineLevel="2">
      <c r="A71" s="70">
        <v>1</v>
      </c>
      <c r="F71" s="87"/>
      <c r="G71" s="10" t="e">
        <f>ModDisp</f>
        <v>#NAME?</v>
      </c>
      <c r="I71" s="13" t="str">
        <f>VLOOKUP(C60,Tbl_Button_Display_ASSTS,16,FALSE)</f>
        <v>Floor</v>
      </c>
    </row>
    <row r="72" spans="1:12" s="10" customFormat="1" hidden="1" outlineLevel="2">
      <c r="A72" s="70">
        <v>1</v>
      </c>
      <c r="F72" s="87"/>
      <c r="G72" s="10" t="e">
        <f>IntakeDisp</f>
        <v>#NAME?</v>
      </c>
      <c r="I72" s="13" t="str">
        <f>VLOOKUP(C60,Tbl_Button_Display_ASSTS,34,FALSE)</f>
        <v>FRE</v>
      </c>
    </row>
    <row r="73" spans="1:12" s="10" customFormat="1" hidden="1" outlineLevel="2">
      <c r="A73" s="70">
        <v>1</v>
      </c>
      <c r="F73" s="87"/>
      <c r="G73" s="10" t="e">
        <f>FrontBlwDisp</f>
        <v>#NAME?</v>
      </c>
      <c r="I73" s="13" t="str">
        <f>VLOOKUP(C60,Tbl_Button_Display_ASSTS,23,FALSE)</f>
        <v>Blower 제어단수 확인</v>
      </c>
    </row>
    <row r="74" spans="1:12" s="10" customFormat="1" hidden="1" outlineLevel="2">
      <c r="A74" s="70">
        <v>1</v>
      </c>
      <c r="F74" s="87"/>
      <c r="G74" s="10" t="e">
        <f>AcDisp</f>
        <v>#NAME?</v>
      </c>
      <c r="I74" s="13" t="str">
        <f>VLOOKUP(C60,Tbl_Button_Display_ASSTS,31,FALSE)</f>
        <v>Off</v>
      </c>
    </row>
    <row r="75" spans="1:12" s="39" customFormat="1" ht="16.5" hidden="1" outlineLevel="1">
      <c r="A75" s="73">
        <v>1</v>
      </c>
      <c r="B75" s="39" t="s">
        <v>155</v>
      </c>
      <c r="C75" s="39" t="s">
        <v>1520</v>
      </c>
      <c r="D75" s="39" t="str">
        <f>CONCATENATE("BAT ON 시 초기화 동작을 확인하기 위한 수동 설정")</f>
        <v>BAT ON 시 초기화 동작을 확인하기 위한 수동 설정</v>
      </c>
      <c r="F75" s="91"/>
      <c r="L75" s="199" t="s">
        <v>1501</v>
      </c>
    </row>
    <row r="76" spans="1:12" s="10" customFormat="1" ht="16.5" hidden="1" outlineLevel="2">
      <c r="A76" s="70">
        <v>1</v>
      </c>
      <c r="E76" s="14" t="str">
        <f>VLOOKUP(C75,Tbl_Button_Display_ASSTS,11,FALSE)</f>
        <v>MsgBox</v>
      </c>
      <c r="F76" s="12" t="str">
        <f>VLOOKUP(C75,Tbl_Button_Display_ASSTS,12,FALSE)</f>
        <v>설정온도 Dr != Ps (Sync=Off), Mode=Vent, Intake=REC, Blower=1단, AC=On 수동 설정</v>
      </c>
      <c r="J76" s="15"/>
      <c r="L76" s="130" t="s">
        <v>1738</v>
      </c>
    </row>
    <row r="77" spans="1:12" s="10" customFormat="1" hidden="1" outlineLevel="2">
      <c r="A77" s="70">
        <v>1</v>
      </c>
      <c r="E77" s="15" t="s">
        <v>5</v>
      </c>
      <c r="F77" s="85">
        <f>VLOOKUP(C75,Tbl_Button_Display_ASSTS,13,FALSE)</f>
        <v>2</v>
      </c>
    </row>
    <row r="78" spans="1:12" s="10" customFormat="1" hidden="1" outlineLevel="2">
      <c r="A78" s="70">
        <v>1</v>
      </c>
      <c r="F78" s="87"/>
      <c r="G78" s="10" t="e">
        <f>AutoDisp</f>
        <v>#NAME?</v>
      </c>
      <c r="I78" s="13" t="str">
        <f>VLOOKUP(C75,Tbl_Button_Display_ASSTS,14,FALSE)</f>
        <v>Off</v>
      </c>
    </row>
    <row r="79" spans="1:12" s="10" customFormat="1" hidden="1" outlineLevel="2">
      <c r="A79" s="70">
        <v>1</v>
      </c>
      <c r="F79" s="87"/>
      <c r="G79" s="10" t="e">
        <f>SyncDisp</f>
        <v>#NAME?</v>
      </c>
      <c r="I79" s="13" t="str">
        <f>VLOOKUP(C75,Tbl_Button_Display_ASSTS,15,FALSE)</f>
        <v>Off</v>
      </c>
    </row>
    <row r="80" spans="1:12" s="10" customFormat="1" hidden="1" outlineLevel="2">
      <c r="A80" s="70">
        <v>1</v>
      </c>
      <c r="F80" s="87"/>
      <c r="G80" s="10" t="e">
        <f>DrTempDispC</f>
        <v>#NAME?</v>
      </c>
      <c r="I80" s="13" t="e">
        <f>VLOOKUP(C75,Tbl_Button_Display_ASSTS,26,FALSE)</f>
        <v>#NAME?</v>
      </c>
    </row>
    <row r="81" spans="1:10" s="10" customFormat="1" hidden="1" outlineLevel="2">
      <c r="A81" s="70">
        <v>1</v>
      </c>
      <c r="F81" s="87"/>
      <c r="G81" s="10" t="e">
        <f>PsTempDispC</f>
        <v>#NAME?</v>
      </c>
      <c r="I81" s="13" t="e">
        <f>VLOOKUP(C75,Tbl_Button_Display_ASSTS,27,FALSE)</f>
        <v>#NAME?</v>
      </c>
    </row>
    <row r="82" spans="1:10" s="10" customFormat="1" hidden="1" outlineLevel="2">
      <c r="A82" s="70">
        <v>1</v>
      </c>
      <c r="F82" s="87"/>
      <c r="G82" s="10" t="e">
        <f>ModDisp</f>
        <v>#NAME?</v>
      </c>
      <c r="I82" s="13" t="str">
        <f>VLOOKUP(C75,Tbl_Button_Display_ASSTS,16,FALSE)</f>
        <v>Vent</v>
      </c>
    </row>
    <row r="83" spans="1:10" s="10" customFormat="1" hidden="1" outlineLevel="2">
      <c r="A83" s="70">
        <v>1</v>
      </c>
      <c r="F83" s="87"/>
      <c r="G83" s="10" t="e">
        <f>IntakeDisp</f>
        <v>#NAME?</v>
      </c>
      <c r="I83" s="13" t="str">
        <f>VLOOKUP(C75,Tbl_Button_Display_ASSTS,34,FALSE)</f>
        <v>REC</v>
      </c>
    </row>
    <row r="84" spans="1:10" s="10" customFormat="1" hidden="1" outlineLevel="2">
      <c r="A84" s="70">
        <v>1</v>
      </c>
      <c r="F84" s="87"/>
      <c r="G84" s="10" t="e">
        <f>FrontBlwDisp</f>
        <v>#NAME?</v>
      </c>
      <c r="I84" s="13">
        <f>VLOOKUP(C75,Tbl_Button_Display_ASSTS,23,FALSE)</f>
        <v>1</v>
      </c>
    </row>
    <row r="85" spans="1:10" s="10" customFormat="1" hidden="1" outlineLevel="2">
      <c r="A85" s="70">
        <v>1</v>
      </c>
      <c r="F85" s="87"/>
      <c r="G85" s="10" t="e">
        <f>AcDisp</f>
        <v>#NAME?</v>
      </c>
      <c r="I85" s="13" t="str">
        <f>VLOOKUP(C75,Tbl_Button_Display_ASSTS,31,FALSE)</f>
        <v>On</v>
      </c>
    </row>
    <row r="86" spans="1:10" s="39" customFormat="1" hidden="1" outlineLevel="1">
      <c r="A86" s="73">
        <v>1</v>
      </c>
      <c r="B86" s="39" t="s">
        <v>155</v>
      </c>
      <c r="C86" s="39" t="s">
        <v>1521</v>
      </c>
      <c r="D86" s="39" t="str">
        <f>CONCATENATE(E87," 시 'System Off' 확인")</f>
        <v>Power_Reset 시 'System Off' 확인</v>
      </c>
      <c r="F86" s="91"/>
    </row>
    <row r="87" spans="1:10" s="10" customFormat="1" hidden="1" outlineLevel="2">
      <c r="A87" s="70">
        <v>1</v>
      </c>
      <c r="E87" s="14" t="str">
        <f>VLOOKUP(C86,Tbl_Button_Display_ASSTS,11,FALSE)</f>
        <v>Power_Reset</v>
      </c>
      <c r="F87" s="85" t="str">
        <f>VLOOKUP(C86,Tbl_Button_Display_ASSTS,12,FALSE)</f>
        <v xml:space="preserve"> </v>
      </c>
      <c r="J87" s="15"/>
    </row>
    <row r="88" spans="1:10" s="10" customFormat="1" hidden="1" outlineLevel="2">
      <c r="A88" s="70">
        <v>1</v>
      </c>
      <c r="E88" s="15" t="s">
        <v>5</v>
      </c>
      <c r="F88" s="85">
        <f>VLOOKUP(C86,Tbl_Button_Display_ASSTS,13,FALSE)</f>
        <v>2</v>
      </c>
    </row>
    <row r="89" spans="1:10" s="10" customFormat="1" hidden="1" outlineLevel="2">
      <c r="A89" s="70">
        <v>1</v>
      </c>
      <c r="F89" s="87"/>
      <c r="G89" s="10" t="e">
        <f>AutoDisp</f>
        <v>#NAME?</v>
      </c>
      <c r="I89" s="13" t="str">
        <f>VLOOKUP(C86,Tbl_Button_Display_ASSTS,14,FALSE)</f>
        <v>Off</v>
      </c>
    </row>
    <row r="90" spans="1:10" s="10" customFormat="1" hidden="1" outlineLevel="2">
      <c r="A90" s="70">
        <v>1</v>
      </c>
      <c r="F90" s="87"/>
      <c r="G90" s="10" t="e">
        <f>SyncDisp</f>
        <v>#NAME?</v>
      </c>
      <c r="I90" s="13" t="str">
        <f>VLOOKUP(C86,Tbl_Button_Display_ASSTS,15,FALSE)</f>
        <v>Off</v>
      </c>
    </row>
    <row r="91" spans="1:10" s="10" customFormat="1" hidden="1" outlineLevel="2">
      <c r="A91" s="70">
        <v>1</v>
      </c>
      <c r="F91" s="87"/>
      <c r="G91" s="10" t="e">
        <f>DrTempDispC</f>
        <v>#NAME?</v>
      </c>
      <c r="I91" s="13" t="e">
        <f>VLOOKUP(C86,Tbl_Button_Display_ASSTS,26,FALSE)</f>
        <v>#NAME?</v>
      </c>
    </row>
    <row r="92" spans="1:10" s="10" customFormat="1" hidden="1" outlineLevel="2">
      <c r="A92" s="70">
        <v>1</v>
      </c>
      <c r="F92" s="87"/>
      <c r="G92" s="10" t="e">
        <f>PsTempDispC</f>
        <v>#NAME?</v>
      </c>
      <c r="I92" s="13" t="e">
        <f>VLOOKUP(C86,Tbl_Button_Display_ASSTS,27,FALSE)</f>
        <v>#NAME?</v>
      </c>
    </row>
    <row r="93" spans="1:10" s="10" customFormat="1" hidden="1" outlineLevel="2">
      <c r="A93" s="70">
        <v>1</v>
      </c>
      <c r="F93" s="87"/>
      <c r="G93" s="10" t="e">
        <f>ModDisp</f>
        <v>#NAME?</v>
      </c>
      <c r="I93" s="13" t="e">
        <f>VLOOKUP(C86,Tbl_Button_Display_ASSTS,16,FALSE)</f>
        <v>#NAME?</v>
      </c>
    </row>
    <row r="94" spans="1:10" s="10" customFormat="1" hidden="1" outlineLevel="2">
      <c r="A94" s="70">
        <v>1</v>
      </c>
      <c r="F94" s="87"/>
      <c r="G94" s="10" t="e">
        <f>IntakeDisp</f>
        <v>#NAME?</v>
      </c>
      <c r="I94" s="13" t="str">
        <f>VLOOKUP(C86,Tbl_Button_Display_ASSTS,34,FALSE)</f>
        <v>FRE</v>
      </c>
    </row>
    <row r="95" spans="1:10" s="10" customFormat="1" hidden="1" outlineLevel="2">
      <c r="A95" s="70">
        <v>1</v>
      </c>
      <c r="F95" s="87"/>
      <c r="G95" s="10" t="e">
        <f>FrontBlwDisp</f>
        <v>#NAME?</v>
      </c>
      <c r="I95" s="13" t="str">
        <f>VLOOKUP(C86,Tbl_Button_Display_ASSTS,23,FALSE)</f>
        <v>Off</v>
      </c>
    </row>
    <row r="96" spans="1:10" s="10" customFormat="1" hidden="1" outlineLevel="2">
      <c r="A96" s="70">
        <v>1</v>
      </c>
      <c r="F96" s="87"/>
      <c r="G96" s="10" t="e">
        <f>AcDisp</f>
        <v>#NAME?</v>
      </c>
      <c r="I96" s="13" t="str">
        <f>VLOOKUP(C86,Tbl_Button_Display_ASSTS,31,FALSE)</f>
        <v>Off</v>
      </c>
    </row>
    <row r="97" spans="1:12" s="39" customFormat="1" hidden="1" outlineLevel="1">
      <c r="A97" s="73">
        <v>1</v>
      </c>
      <c r="B97" s="39" t="s">
        <v>155</v>
      </c>
      <c r="C97" s="39" t="s">
        <v>1522</v>
      </c>
      <c r="D97" s="39" t="str">
        <f>CONCATENATE(E98," ",F98,"회 선택 시, BAT. ON시, 초기화 값으로 동작 확인")</f>
        <v>Sw_DrTemp_Up 1회 선택 시, BAT. ON시, 초기화 값으로 동작 확인</v>
      </c>
      <c r="F97" s="91"/>
    </row>
    <row r="98" spans="1:12" s="10" customFormat="1" hidden="1" outlineLevel="2">
      <c r="A98" s="70">
        <v>1</v>
      </c>
      <c r="E98" s="14" t="str">
        <f>VLOOKUP(C97,Tbl_Button_Display_ASSTS,11,FALSE)</f>
        <v>Sw_DrTemp_Up</v>
      </c>
      <c r="F98" s="85">
        <f>VLOOKUP(C97,Tbl_Button_Display_ASSTS,12,FALSE)</f>
        <v>1</v>
      </c>
      <c r="J98" s="15"/>
    </row>
    <row r="99" spans="1:12" s="10" customFormat="1" hidden="1" outlineLevel="2">
      <c r="A99" s="70">
        <v>1</v>
      </c>
      <c r="E99" s="15" t="s">
        <v>5</v>
      </c>
      <c r="F99" s="85">
        <f>VLOOKUP(C97,Tbl_Button_Display_ASSTS,13,FALSE)</f>
        <v>2</v>
      </c>
    </row>
    <row r="100" spans="1:12" s="10" customFormat="1" hidden="1" outlineLevel="2">
      <c r="A100" s="70">
        <v>1</v>
      </c>
      <c r="F100" s="87"/>
      <c r="G100" s="10" t="e">
        <f>AutoDisp</f>
        <v>#NAME?</v>
      </c>
      <c r="I100" s="13" t="str">
        <f>VLOOKUP(C97,Tbl_Button_Display_ASSTS,14,FALSE)</f>
        <v>On</v>
      </c>
    </row>
    <row r="101" spans="1:12" s="10" customFormat="1" hidden="1" outlineLevel="2">
      <c r="A101" s="70">
        <v>1</v>
      </c>
      <c r="F101" s="87"/>
      <c r="G101" s="10" t="e">
        <f>SyncDisp</f>
        <v>#NAME?</v>
      </c>
      <c r="I101" s="13" t="str">
        <f>VLOOKUP(C97,Tbl_Button_Display_ASSTS,15,FALSE)</f>
        <v>On</v>
      </c>
    </row>
    <row r="102" spans="1:12" s="10" customFormat="1" hidden="1" outlineLevel="2">
      <c r="A102" s="70">
        <v>1</v>
      </c>
      <c r="F102" s="87"/>
      <c r="G102" s="10" t="e">
        <f>DrTempDispC</f>
        <v>#NAME?</v>
      </c>
      <c r="I102" s="13" t="e">
        <f>VLOOKUP(C97,Tbl_Button_Display_ASSTS,26,FALSE)</f>
        <v>#NAME?</v>
      </c>
    </row>
    <row r="103" spans="1:12" s="10" customFormat="1" hidden="1" outlineLevel="2">
      <c r="A103" s="70">
        <v>1</v>
      </c>
      <c r="F103" s="87"/>
      <c r="G103" s="10" t="e">
        <f>PsTempDispC</f>
        <v>#NAME?</v>
      </c>
      <c r="I103" s="13" t="e">
        <f>VLOOKUP(C97,Tbl_Button_Display_ASSTS,27,FALSE)</f>
        <v>#NAME?</v>
      </c>
    </row>
    <row r="104" spans="1:12" s="10" customFormat="1" hidden="1" outlineLevel="2">
      <c r="A104" s="70">
        <v>1</v>
      </c>
      <c r="F104" s="87"/>
      <c r="G104" s="10" t="e">
        <f>ModDisp</f>
        <v>#NAME?</v>
      </c>
      <c r="I104" s="13" t="str">
        <f>VLOOKUP(C97,Tbl_Button_Display_ASSTS,16,FALSE)</f>
        <v>Floor</v>
      </c>
    </row>
    <row r="105" spans="1:12" s="10" customFormat="1" hidden="1" outlineLevel="2">
      <c r="A105" s="70">
        <v>1</v>
      </c>
      <c r="F105" s="87"/>
      <c r="G105" s="10" t="e">
        <f>IntakeDisp</f>
        <v>#NAME?</v>
      </c>
      <c r="I105" s="13" t="str">
        <f>VLOOKUP(C97,Tbl_Button_Display_ASSTS,34,FALSE)</f>
        <v>FRE</v>
      </c>
    </row>
    <row r="106" spans="1:12" s="10" customFormat="1" hidden="1" outlineLevel="2">
      <c r="A106" s="70">
        <v>1</v>
      </c>
      <c r="F106" s="87"/>
      <c r="G106" s="10" t="e">
        <f>FrontBlwDisp</f>
        <v>#NAME?</v>
      </c>
      <c r="I106" s="13" t="str">
        <f>VLOOKUP(C97,Tbl_Button_Display_ASSTS,23,FALSE)</f>
        <v>Blower 제어단수 확인</v>
      </c>
    </row>
    <row r="107" spans="1:12" s="10" customFormat="1" hidden="1" outlineLevel="2">
      <c r="A107" s="70">
        <v>1</v>
      </c>
      <c r="F107" s="87"/>
      <c r="G107" s="10" t="e">
        <f>AcDisp</f>
        <v>#NAME?</v>
      </c>
      <c r="I107" s="13" t="str">
        <f>VLOOKUP(C97,Tbl_Button_Display_ASSTS,31,FALSE)</f>
        <v>Off</v>
      </c>
    </row>
    <row r="108" spans="1:12" s="40" customFormat="1" ht="15">
      <c r="A108" s="66">
        <v>1</v>
      </c>
      <c r="B108" s="40" t="s">
        <v>1524</v>
      </c>
      <c r="C108" s="40" t="s">
        <v>1525</v>
      </c>
      <c r="D108" s="40" t="str">
        <f>VLOOKUP(B108,Tbl_Button_Display_ASSTS,2,FALSE)</f>
        <v>SYSTEM MEMORY 기능</v>
      </c>
      <c r="F108" s="82"/>
    </row>
    <row r="109" spans="1:12" s="38" customFormat="1" collapsed="1">
      <c r="A109" s="71">
        <v>1</v>
      </c>
      <c r="B109" s="38" t="s">
        <v>156</v>
      </c>
      <c r="C109" s="38" t="s">
        <v>1526</v>
      </c>
      <c r="D109" s="38" t="str">
        <f>VLOOKUP(C109,Tbl_Button_Display_ASSTS, 2,FALSE)</f>
        <v>System Memory 기능 확인</v>
      </c>
      <c r="F109" s="88"/>
    </row>
    <row r="110" spans="1:12" s="11" customFormat="1" hidden="1" outlineLevel="1">
      <c r="A110" s="72">
        <v>1</v>
      </c>
      <c r="B110" s="11" t="s">
        <v>38</v>
      </c>
      <c r="C110" s="11" t="s">
        <v>1527</v>
      </c>
      <c r="D110" s="11" t="s">
        <v>39</v>
      </c>
      <c r="F110" s="89"/>
    </row>
    <row r="111" spans="1:12" s="10" customFormat="1" hidden="1" outlineLevel="2">
      <c r="A111" s="70">
        <v>1</v>
      </c>
      <c r="E111" s="14" t="str">
        <f>VLOOKUP(C110,Tbl_Button_Display_ASSTS,11,FALSE)</f>
        <v>MsgBox</v>
      </c>
      <c r="F111" s="12" t="str">
        <f>VLOOKUP(C110,Tbl_Button_Display_ASSTS,12,FALSE)</f>
        <v>설정온도 Dr != Ps (Sync=Off), Mode=Vent, Intake=REC, Blower=8단, AC=On 수동 설정</v>
      </c>
      <c r="J111" s="15"/>
      <c r="L111" s="130"/>
    </row>
    <row r="112" spans="1:12" s="10" customFormat="1" hidden="1" outlineLevel="2">
      <c r="A112" s="70">
        <v>1</v>
      </c>
      <c r="E112" s="15" t="s">
        <v>5</v>
      </c>
      <c r="F112" s="85">
        <f>VLOOKUP(C110,Tbl_Button_Display_ASSTS,13,FALSE)</f>
        <v>10</v>
      </c>
    </row>
    <row r="113" spans="1:10" s="10" customFormat="1" hidden="1" outlineLevel="2">
      <c r="A113" s="70">
        <v>1</v>
      </c>
      <c r="G113" s="10" t="e">
        <f>AutoDisp</f>
        <v>#NAME?</v>
      </c>
      <c r="I113" s="13" t="str">
        <f>VLOOKUP(C110,Tbl_Button_Display_ASSTS,14,FALSE)</f>
        <v>Off</v>
      </c>
    </row>
    <row r="114" spans="1:10" s="10" customFormat="1" hidden="1" outlineLevel="2">
      <c r="A114" s="70">
        <v>1</v>
      </c>
      <c r="G114" s="10" t="e">
        <f>SyncDisp</f>
        <v>#NAME?</v>
      </c>
      <c r="I114" s="13" t="str">
        <f>VLOOKUP(C110,Tbl_Button_Display_ASSTS,15,FALSE)</f>
        <v>Off</v>
      </c>
    </row>
    <row r="115" spans="1:10" s="10" customFormat="1" hidden="1" outlineLevel="2">
      <c r="A115" s="70">
        <v>1</v>
      </c>
      <c r="G115" s="10" t="e">
        <f>DrTempDispC</f>
        <v>#NAME?</v>
      </c>
      <c r="I115" s="13" t="e">
        <f>VLOOKUP(C110,Tbl_Button_Display_ASSTS,26,FALSE)</f>
        <v>#NAME?</v>
      </c>
    </row>
    <row r="116" spans="1:10" s="10" customFormat="1" hidden="1" outlineLevel="2">
      <c r="A116" s="70">
        <v>1</v>
      </c>
      <c r="G116" s="10" t="e">
        <f>PsTempDispC</f>
        <v>#NAME?</v>
      </c>
      <c r="I116" s="13" t="e">
        <f>VLOOKUP(C110,Tbl_Button_Display_ASSTS,27,FALSE)</f>
        <v>#NAME?</v>
      </c>
    </row>
    <row r="117" spans="1:10" s="10" customFormat="1" hidden="1" outlineLevel="2">
      <c r="A117" s="70">
        <v>1</v>
      </c>
      <c r="G117" s="10" t="e">
        <f>ModDisp</f>
        <v>#NAME?</v>
      </c>
      <c r="I117" s="13" t="str">
        <f>VLOOKUP(C110,Tbl_Button_Display_ASSTS,16,FALSE)</f>
        <v>Vent</v>
      </c>
    </row>
    <row r="118" spans="1:10" s="10" customFormat="1" hidden="1" outlineLevel="2">
      <c r="A118" s="70">
        <v>1</v>
      </c>
      <c r="G118" s="10" t="e">
        <f>IntakeDisp</f>
        <v>#NAME?</v>
      </c>
      <c r="I118" s="13" t="str">
        <f>VLOOKUP(C110,Tbl_Button_Display_ASSTS,34,FALSE)</f>
        <v>REC</v>
      </c>
    </row>
    <row r="119" spans="1:10" s="10" customFormat="1" hidden="1" outlineLevel="2">
      <c r="A119" s="70">
        <v>1</v>
      </c>
      <c r="G119" s="10" t="e">
        <f>FrontBlwDisp</f>
        <v>#NAME?</v>
      </c>
      <c r="I119" s="13">
        <f>VLOOKUP(C110,Tbl_Button_Display_ASSTS,23,FALSE)</f>
        <v>8</v>
      </c>
    </row>
    <row r="120" spans="1:10" s="10" customFormat="1" hidden="1" outlineLevel="2">
      <c r="A120" s="70">
        <v>1</v>
      </c>
      <c r="G120" s="10" t="e">
        <f>AcDisp</f>
        <v>#NAME?</v>
      </c>
      <c r="I120" s="13" t="str">
        <f>VLOOKUP(C110,Tbl_Button_Display_ASSTS,31,FALSE)</f>
        <v>On</v>
      </c>
    </row>
    <row r="121" spans="1:10" s="39" customFormat="1" hidden="1" outlineLevel="1">
      <c r="A121" s="73">
        <v>1</v>
      </c>
      <c r="B121" s="39" t="s">
        <v>155</v>
      </c>
      <c r="C121" s="39" t="s">
        <v>1528</v>
      </c>
      <c r="D121" s="39" t="e">
        <f>CONCATENATE(E8," = ",F8," 인 경우, 암전류 차단기능 동작 확인")</f>
        <v>#NAME?</v>
      </c>
      <c r="F121" s="91"/>
    </row>
    <row r="122" spans="1:10" s="10" customFormat="1" hidden="1" outlineLevel="2">
      <c r="A122" s="70">
        <v>1</v>
      </c>
      <c r="E122" s="114" t="str">
        <f>VLOOKUP(C121,Tbl_Button_Display_ASSTS,11,FALSE)</f>
        <v>IGN1,2_Off_to_On</v>
      </c>
      <c r="F122" s="85" t="str">
        <f>VLOOKUP(C121,Tbl_Button_Display_ASSTS,12,FALSE)</f>
        <v xml:space="preserve"> </v>
      </c>
      <c r="J122" s="15"/>
    </row>
    <row r="123" spans="1:10" s="10" customFormat="1" hidden="1" outlineLevel="2">
      <c r="A123" s="70">
        <v>1</v>
      </c>
      <c r="E123" s="15" t="s">
        <v>5</v>
      </c>
      <c r="F123" s="85">
        <f>VLOOKUP(C121,Tbl_Button_Display_ASSTS,13,FALSE)</f>
        <v>2</v>
      </c>
    </row>
    <row r="124" spans="1:10" s="10" customFormat="1" hidden="1" outlineLevel="2">
      <c r="A124" s="70">
        <v>1</v>
      </c>
      <c r="G124" s="10" t="e">
        <f>AutoDisp</f>
        <v>#NAME?</v>
      </c>
      <c r="I124" s="13" t="str">
        <f>VLOOKUP(C121,Tbl_Button_Display_ASSTS,14,FALSE)</f>
        <v>Off</v>
      </c>
    </row>
    <row r="125" spans="1:10" s="10" customFormat="1" hidden="1" outlineLevel="2">
      <c r="A125" s="70">
        <v>1</v>
      </c>
      <c r="G125" s="10" t="e">
        <f>SyncDisp</f>
        <v>#NAME?</v>
      </c>
      <c r="I125" s="13" t="str">
        <f>VLOOKUP(C121,Tbl_Button_Display_ASSTS,15,FALSE)</f>
        <v>Off</v>
      </c>
    </row>
    <row r="126" spans="1:10" s="10" customFormat="1" hidden="1" outlineLevel="2">
      <c r="A126" s="70">
        <v>1</v>
      </c>
      <c r="G126" s="10" t="e">
        <f>DrTempDispC</f>
        <v>#NAME?</v>
      </c>
      <c r="I126" s="13" t="e">
        <f>VLOOKUP(C121,Tbl_Button_Display_ASSTS,26,FALSE)</f>
        <v>#NAME?</v>
      </c>
    </row>
    <row r="127" spans="1:10" s="10" customFormat="1" hidden="1" outlineLevel="2">
      <c r="A127" s="70">
        <v>1</v>
      </c>
      <c r="G127" s="10" t="e">
        <f>PsTempDispC</f>
        <v>#NAME?</v>
      </c>
      <c r="I127" s="13" t="e">
        <f>VLOOKUP(C121,Tbl_Button_Display_ASSTS,27,FALSE)</f>
        <v>#NAME?</v>
      </c>
    </row>
    <row r="128" spans="1:10" s="10" customFormat="1" hidden="1" outlineLevel="2">
      <c r="A128" s="70">
        <v>1</v>
      </c>
      <c r="G128" s="10" t="e">
        <f>ModDisp</f>
        <v>#NAME?</v>
      </c>
      <c r="I128" s="13" t="e">
        <f>VLOOKUP(C121,Tbl_Button_Display_ASSTS,16,FALSE)</f>
        <v>#NAME?</v>
      </c>
    </row>
    <row r="129" spans="1:10" s="10" customFormat="1" hidden="1" outlineLevel="2">
      <c r="A129" s="70">
        <v>1</v>
      </c>
      <c r="G129" s="10" t="e">
        <f>IntakeDisp</f>
        <v>#NAME?</v>
      </c>
      <c r="I129" s="13" t="str">
        <f>VLOOKUP(C121,Tbl_Button_Display_ASSTS,34,FALSE)</f>
        <v>FRE</v>
      </c>
    </row>
    <row r="130" spans="1:10" s="10" customFormat="1" hidden="1" outlineLevel="2">
      <c r="A130" s="70">
        <v>1</v>
      </c>
      <c r="G130" s="10" t="e">
        <f>FrontBlwDisp</f>
        <v>#NAME?</v>
      </c>
      <c r="I130" s="13" t="str">
        <f>VLOOKUP(C121,Tbl_Button_Display_ASSTS,23,FALSE)</f>
        <v>Off</v>
      </c>
    </row>
    <row r="131" spans="1:10" s="10" customFormat="1" hidden="1" outlineLevel="2">
      <c r="A131" s="70">
        <v>1</v>
      </c>
      <c r="G131" s="10" t="e">
        <f>AcDisp</f>
        <v>#NAME?</v>
      </c>
      <c r="I131" s="13" t="str">
        <f>VLOOKUP(C121,Tbl_Button_Display_ASSTS,31,FALSE)</f>
        <v>Off</v>
      </c>
    </row>
    <row r="132" spans="1:10" s="39" customFormat="1" hidden="1" outlineLevel="1">
      <c r="A132" s="73">
        <v>1</v>
      </c>
      <c r="B132" s="39" t="s">
        <v>155</v>
      </c>
      <c r="C132" s="39" t="s">
        <v>1583</v>
      </c>
      <c r="D132" s="39" t="str">
        <f>CONCATENATE(E133," ",F133,"회 선택 시, BAT. ON시, 초기화 값으로 동작 확인")</f>
        <v>Sw_DrTemp_Up 1회 선택 시, BAT. ON시, 초기화 값으로 동작 확인</v>
      </c>
      <c r="F132" s="91"/>
    </row>
    <row r="133" spans="1:10" s="10" customFormat="1" hidden="1" outlineLevel="2">
      <c r="A133" s="70">
        <v>1</v>
      </c>
      <c r="E133" s="114" t="str">
        <f>VLOOKUP(C132,Tbl_Button_Display_ASSTS,11,FALSE)</f>
        <v>Sw_DrTemp_Up</v>
      </c>
      <c r="F133" s="85">
        <f>VLOOKUP(C132,Tbl_Button_Display_ASSTS,12,FALSE)</f>
        <v>1</v>
      </c>
      <c r="J133" s="15"/>
    </row>
    <row r="134" spans="1:10" s="10" customFormat="1" hidden="1" outlineLevel="2">
      <c r="A134" s="70">
        <v>1</v>
      </c>
      <c r="E134" s="15" t="s">
        <v>5</v>
      </c>
      <c r="F134" s="85">
        <f>VLOOKUP(C132,Tbl_Button_Display_ASSTS,13,FALSE)</f>
        <v>10</v>
      </c>
    </row>
    <row r="135" spans="1:10" s="10" customFormat="1" hidden="1" outlineLevel="2">
      <c r="A135" s="70">
        <v>1</v>
      </c>
      <c r="G135" s="10" t="e">
        <f>AutoDisp</f>
        <v>#NAME?</v>
      </c>
      <c r="I135" s="13" t="str">
        <f>VLOOKUP(C132,Tbl_Button_Display_ASSTS,14,FALSE)</f>
        <v>On</v>
      </c>
    </row>
    <row r="136" spans="1:10" s="10" customFormat="1" hidden="1" outlineLevel="2">
      <c r="A136" s="70">
        <v>1</v>
      </c>
      <c r="G136" s="10" t="e">
        <f>SyncDisp</f>
        <v>#NAME?</v>
      </c>
      <c r="I136" s="13" t="str">
        <f>VLOOKUP(C132,Tbl_Button_Display_ASSTS,15,FALSE)</f>
        <v>On</v>
      </c>
    </row>
    <row r="137" spans="1:10" s="10" customFormat="1" hidden="1" outlineLevel="2">
      <c r="A137" s="70">
        <v>1</v>
      </c>
      <c r="G137" s="10" t="e">
        <f>DrTempDispC</f>
        <v>#NAME?</v>
      </c>
      <c r="I137" s="13" t="e">
        <f>VLOOKUP(C132,Tbl_Button_Display_ASSTS,26,FALSE)</f>
        <v>#NAME?</v>
      </c>
    </row>
    <row r="138" spans="1:10" s="10" customFormat="1" hidden="1" outlineLevel="2">
      <c r="A138" s="70">
        <v>1</v>
      </c>
      <c r="G138" s="10" t="e">
        <f>PsTempDispC</f>
        <v>#NAME?</v>
      </c>
      <c r="I138" s="13" t="e">
        <f>VLOOKUP(C132,Tbl_Button_Display_ASSTS,27,FALSE)</f>
        <v>#NAME?</v>
      </c>
    </row>
    <row r="139" spans="1:10" s="10" customFormat="1" hidden="1" outlineLevel="2">
      <c r="A139" s="70">
        <v>1</v>
      </c>
      <c r="G139" s="10" t="e">
        <f>ModDisp</f>
        <v>#NAME?</v>
      </c>
      <c r="I139" s="13" t="str">
        <f>VLOOKUP(C132,Tbl_Button_Display_ASSTS,16,FALSE)</f>
        <v>Floor</v>
      </c>
    </row>
    <row r="140" spans="1:10" s="10" customFormat="1" hidden="1" outlineLevel="2">
      <c r="A140" s="70">
        <v>1</v>
      </c>
      <c r="G140" s="10" t="e">
        <f>IntakeDisp</f>
        <v>#NAME?</v>
      </c>
      <c r="I140" s="13" t="str">
        <f>VLOOKUP(C132,Tbl_Button_Display_ASSTS,34,FALSE)</f>
        <v>FRE</v>
      </c>
    </row>
    <row r="141" spans="1:10" s="10" customFormat="1" hidden="1" outlineLevel="2">
      <c r="A141" s="70">
        <v>1</v>
      </c>
      <c r="G141" s="10" t="e">
        <f>FrontBlwDisp</f>
        <v>#NAME?</v>
      </c>
      <c r="I141" s="13" t="str">
        <f>VLOOKUP(C132,Tbl_Button_Display_ASSTS,23,FALSE)</f>
        <v>Blower 제어단수 확인</v>
      </c>
    </row>
    <row r="142" spans="1:10" s="10" customFormat="1" hidden="1" outlineLevel="2">
      <c r="A142" s="70">
        <v>1</v>
      </c>
      <c r="G142" s="10" t="e">
        <f>AcDisp</f>
        <v>#NAME?</v>
      </c>
      <c r="I142" s="13" t="str">
        <f>VLOOKUP(C132,Tbl_Button_Display_ASSTS,31,FALSE)</f>
        <v>Off</v>
      </c>
    </row>
    <row r="143" spans="1:10" s="39" customFormat="1" hidden="1" outlineLevel="1">
      <c r="A143" s="73">
        <v>1</v>
      </c>
      <c r="B143" s="39" t="s">
        <v>155</v>
      </c>
      <c r="C143" s="39" t="s">
        <v>1584</v>
      </c>
      <c r="D143" s="39" t="str">
        <f>CONCATENATE("암전류 차단기능 로직 동작 확인을 위한 수동 설정")</f>
        <v>암전류 차단기능 로직 동작 확인을 위한 수동 설정</v>
      </c>
      <c r="F143" s="91"/>
    </row>
    <row r="144" spans="1:10" s="10" customFormat="1" ht="16.5" hidden="1" outlineLevel="2">
      <c r="A144" s="70">
        <v>1</v>
      </c>
      <c r="E144" s="14" t="s">
        <v>90</v>
      </c>
      <c r="F144" s="12" t="s">
        <v>1587</v>
      </c>
      <c r="J144" s="15"/>
    </row>
    <row r="145" spans="1:12" s="10" customFormat="1" hidden="1" outlineLevel="2">
      <c r="A145" s="70">
        <v>1</v>
      </c>
      <c r="E145" s="15" t="s">
        <v>5</v>
      </c>
      <c r="F145" s="85">
        <f>VLOOKUP(C143,Tbl_Button_Display_ASSTS,13,FALSE)</f>
        <v>2</v>
      </c>
    </row>
    <row r="146" spans="1:12" s="10" customFormat="1" hidden="1" outlineLevel="2">
      <c r="A146" s="70">
        <v>1</v>
      </c>
      <c r="G146" s="10" t="e">
        <f>AutoDisp</f>
        <v>#NAME?</v>
      </c>
      <c r="I146" s="13" t="str">
        <f>VLOOKUP(C143,Tbl_Button_Display_ASSTS,14,FALSE)</f>
        <v>Off</v>
      </c>
    </row>
    <row r="147" spans="1:12" s="10" customFormat="1" hidden="1" outlineLevel="2">
      <c r="A147" s="70">
        <v>1</v>
      </c>
      <c r="G147" s="10" t="e">
        <f>SyncDisp</f>
        <v>#NAME?</v>
      </c>
      <c r="I147" s="13" t="str">
        <f>VLOOKUP(C143,Tbl_Button_Display_ASSTS,15,FALSE)</f>
        <v>Off</v>
      </c>
    </row>
    <row r="148" spans="1:12" s="10" customFormat="1" hidden="1" outlineLevel="2">
      <c r="A148" s="70">
        <v>1</v>
      </c>
      <c r="G148" s="10" t="e">
        <f>DrTempDispC</f>
        <v>#NAME?</v>
      </c>
      <c r="I148" s="13" t="e">
        <f>VLOOKUP(C143,Tbl_Button_Display_ASSTS,26,FALSE)</f>
        <v>#NAME?</v>
      </c>
    </row>
    <row r="149" spans="1:12" s="10" customFormat="1" hidden="1" outlineLevel="2">
      <c r="A149" s="70">
        <v>1</v>
      </c>
      <c r="G149" s="10" t="e">
        <f>PsTempDispC</f>
        <v>#NAME?</v>
      </c>
      <c r="I149" s="13" t="e">
        <f>VLOOKUP(C143,Tbl_Button_Display_ASSTS,27,FALSE)</f>
        <v>#NAME?</v>
      </c>
    </row>
    <row r="150" spans="1:12" s="10" customFormat="1" hidden="1" outlineLevel="2">
      <c r="A150" s="70">
        <v>1</v>
      </c>
      <c r="G150" s="10" t="e">
        <f>ModDisp</f>
        <v>#NAME?</v>
      </c>
      <c r="I150" s="13" t="str">
        <f>VLOOKUP(C143,Tbl_Button_Display_ASSTS,16,FALSE)</f>
        <v>Vent</v>
      </c>
    </row>
    <row r="151" spans="1:12" s="10" customFormat="1" hidden="1" outlineLevel="2">
      <c r="A151" s="70">
        <v>1</v>
      </c>
      <c r="G151" s="10" t="e">
        <f>IntakeDisp</f>
        <v>#NAME?</v>
      </c>
      <c r="I151" s="13" t="str">
        <f>VLOOKUP(C143,Tbl_Button_Display_ASSTS,34,FALSE)</f>
        <v>REC</v>
      </c>
    </row>
    <row r="152" spans="1:12" s="10" customFormat="1" hidden="1" outlineLevel="2">
      <c r="A152" s="70">
        <v>1</v>
      </c>
      <c r="G152" s="10" t="e">
        <f>FrontBlwDisp</f>
        <v>#NAME?</v>
      </c>
      <c r="I152" s="13">
        <f>VLOOKUP(C143,Tbl_Button_Display_ASSTS,23,FALSE)</f>
        <v>8</v>
      </c>
    </row>
    <row r="153" spans="1:12" s="10" customFormat="1" hidden="1" outlineLevel="2">
      <c r="A153" s="70">
        <v>1</v>
      </c>
      <c r="G153" s="10" t="e">
        <f>AcDisp</f>
        <v>#NAME?</v>
      </c>
      <c r="I153" s="13" t="str">
        <f>VLOOKUP(C143,Tbl_Button_Display_ASSTS,31,FALSE)</f>
        <v>On</v>
      </c>
    </row>
    <row r="154" spans="1:12" s="39" customFormat="1" ht="16.5" hidden="1" outlineLevel="1">
      <c r="A154" s="73">
        <v>1</v>
      </c>
      <c r="B154" s="39" t="s">
        <v>155</v>
      </c>
      <c r="C154" s="39" t="s">
        <v>1585</v>
      </c>
      <c r="D154" s="39" t="e">
        <f>CONCATENATE(E155," = ",F155," 인 경우, 암전류 차단기능 동작 확인")</f>
        <v>#NAME?</v>
      </c>
      <c r="F154" s="91"/>
      <c r="L154" s="199" t="s">
        <v>1590</v>
      </c>
    </row>
    <row r="155" spans="1:12" s="10" customFormat="1" ht="16.5" hidden="1" outlineLevel="2">
      <c r="A155" s="70">
        <v>1</v>
      </c>
      <c r="E155" s="114" t="e">
        <f>VLOOKUP(C154,Tbl_Button_Display_ASSTS,11,FALSE)</f>
        <v>#NAME?</v>
      </c>
      <c r="F155" s="85">
        <f>VLOOKUP(C154,Tbl_Button_Display_ASSTS,12,FALSE)</f>
        <v>2</v>
      </c>
      <c r="J155" s="15"/>
      <c r="L155" s="130" t="s">
        <v>1591</v>
      </c>
    </row>
    <row r="156" spans="1:12" s="10" customFormat="1" hidden="1" outlineLevel="2">
      <c r="A156" s="70">
        <v>1</v>
      </c>
      <c r="E156" s="10" t="s">
        <v>207</v>
      </c>
      <c r="F156" s="85"/>
      <c r="J156" s="15"/>
    </row>
    <row r="157" spans="1:12" s="10" customFormat="1" hidden="1" outlineLevel="2">
      <c r="A157" s="70">
        <v>1</v>
      </c>
      <c r="E157" s="15" t="s">
        <v>5</v>
      </c>
      <c r="F157" s="85">
        <f>VLOOKUP(C154,Tbl_Button_Display_ASSTS,13,FALSE)</f>
        <v>10</v>
      </c>
    </row>
    <row r="158" spans="1:12" s="10" customFormat="1" hidden="1" outlineLevel="2">
      <c r="A158" s="70">
        <v>1</v>
      </c>
      <c r="G158" s="10" t="e">
        <f>AutoDisp</f>
        <v>#NAME?</v>
      </c>
      <c r="I158" s="13" t="str">
        <f>VLOOKUP(C154,Tbl_Button_Display_ASSTS,14,FALSE)</f>
        <v>Off</v>
      </c>
    </row>
    <row r="159" spans="1:12" s="10" customFormat="1" hidden="1" outlineLevel="2">
      <c r="A159" s="70">
        <v>1</v>
      </c>
      <c r="G159" s="10" t="e">
        <f>SyncDisp</f>
        <v>#NAME?</v>
      </c>
      <c r="I159" s="13" t="str">
        <f>VLOOKUP(C154,Tbl_Button_Display_ASSTS,15,FALSE)</f>
        <v>Off</v>
      </c>
    </row>
    <row r="160" spans="1:12" s="10" customFormat="1" hidden="1" outlineLevel="2">
      <c r="A160" s="70">
        <v>1</v>
      </c>
      <c r="G160" s="10" t="e">
        <f>DrTempDispC</f>
        <v>#NAME?</v>
      </c>
      <c r="I160" s="13" t="e">
        <f>VLOOKUP(C154,Tbl_Button_Display_ASSTS,26,FALSE)</f>
        <v>#NAME?</v>
      </c>
    </row>
    <row r="161" spans="1:10" s="10" customFormat="1" hidden="1" outlineLevel="2">
      <c r="A161" s="70">
        <v>1</v>
      </c>
      <c r="G161" s="10" t="e">
        <f>PsTempDispC</f>
        <v>#NAME?</v>
      </c>
      <c r="I161" s="13" t="e">
        <f>VLOOKUP(C154,Tbl_Button_Display_ASSTS,27,FALSE)</f>
        <v>#NAME?</v>
      </c>
    </row>
    <row r="162" spans="1:10" s="10" customFormat="1" hidden="1" outlineLevel="2">
      <c r="A162" s="70">
        <v>1</v>
      </c>
      <c r="G162" s="10" t="e">
        <f>ModDisp</f>
        <v>#NAME?</v>
      </c>
      <c r="I162" s="13" t="str">
        <f>VLOOKUP(C154,Tbl_Button_Display_ASSTS,16,FALSE)</f>
        <v>Vent</v>
      </c>
    </row>
    <row r="163" spans="1:10" s="10" customFormat="1" hidden="1" outlineLevel="2">
      <c r="A163" s="70">
        <v>1</v>
      </c>
      <c r="G163" s="10" t="e">
        <f>IntakeDisp</f>
        <v>#NAME?</v>
      </c>
      <c r="I163" s="13" t="str">
        <f>VLOOKUP(C154,Tbl_Button_Display_ASSTS,34,FALSE)</f>
        <v>REC</v>
      </c>
    </row>
    <row r="164" spans="1:10" s="10" customFormat="1" hidden="1" outlineLevel="2">
      <c r="A164" s="70">
        <v>1</v>
      </c>
      <c r="G164" s="10" t="e">
        <f>FrontBlwDisp</f>
        <v>#NAME?</v>
      </c>
      <c r="I164" s="13">
        <f>VLOOKUP(C154,Tbl_Button_Display_ASSTS,23,FALSE)</f>
        <v>8</v>
      </c>
    </row>
    <row r="165" spans="1:10" s="10" customFormat="1" hidden="1" outlineLevel="2">
      <c r="A165" s="70">
        <v>1</v>
      </c>
      <c r="G165" s="10" t="e">
        <f>AcDisp</f>
        <v>#NAME?</v>
      </c>
      <c r="I165" s="13" t="str">
        <f>VLOOKUP(C154,Tbl_Button_Display_ASSTS,31,FALSE)</f>
        <v>On</v>
      </c>
    </row>
    <row r="166" spans="1:10" s="39" customFormat="1" hidden="1" outlineLevel="1">
      <c r="A166" s="73">
        <v>1</v>
      </c>
      <c r="B166" s="39" t="s">
        <v>155</v>
      </c>
      <c r="C166" s="39" t="s">
        <v>1586</v>
      </c>
      <c r="D166" s="39" t="str">
        <f>CONCATENATE("BAT. ON시, 초기화 값으로 상태 저장")</f>
        <v>BAT. ON시, 초기화 값으로 상태 저장</v>
      </c>
      <c r="F166" s="91"/>
    </row>
    <row r="167" spans="1:10" s="10" customFormat="1" hidden="1" outlineLevel="2">
      <c r="A167" s="70">
        <v>1</v>
      </c>
      <c r="E167" s="114" t="str">
        <f>VLOOKUP(C166,Tbl_Button_Display_ASSTS,11,FALSE)</f>
        <v>MsgBox</v>
      </c>
      <c r="F167" s="12" t="e">
        <f>VLOOKUP(C166,Tbl_Button_Display_ASSTS,12,FALSE)</f>
        <v>#NAME?</v>
      </c>
      <c r="J167" s="15"/>
    </row>
    <row r="168" spans="1:10" s="10" customFormat="1" hidden="1" outlineLevel="2">
      <c r="A168" s="70">
        <v>1</v>
      </c>
      <c r="E168" s="10" t="s">
        <v>207</v>
      </c>
      <c r="F168" s="85"/>
      <c r="J168" s="15"/>
    </row>
    <row r="169" spans="1:10" s="10" customFormat="1" hidden="1" outlineLevel="2">
      <c r="A169" s="70">
        <v>1</v>
      </c>
      <c r="E169" s="15" t="s">
        <v>5</v>
      </c>
      <c r="F169" s="85">
        <f>VLOOKUP(C166,Tbl_Button_Display_ASSTS,13,FALSE)</f>
        <v>10</v>
      </c>
    </row>
    <row r="170" spans="1:10" s="10" customFormat="1" hidden="1" outlineLevel="2">
      <c r="A170" s="70">
        <v>1</v>
      </c>
      <c r="G170" s="10" t="e">
        <f>DrTempDispC</f>
        <v>#NAME?</v>
      </c>
      <c r="I170" s="13" t="e">
        <f>VLOOKUP(C166,Tbl_Button_Display_ASSTS,26,FALSE)</f>
        <v>#NAME?</v>
      </c>
    </row>
    <row r="171" spans="1:10" s="40" customFormat="1" ht="15">
      <c r="A171" s="66">
        <v>1</v>
      </c>
      <c r="B171" s="40" t="s">
        <v>177</v>
      </c>
      <c r="C171" s="40" t="s">
        <v>1570</v>
      </c>
      <c r="D171" s="40" t="str">
        <f>VLOOKUP(B171,Tbl_Button_Display_ASSTS,2,FALSE)</f>
        <v>TEMP DOOR 제어</v>
      </c>
      <c r="F171" s="82"/>
    </row>
    <row r="172" spans="1:10" s="38" customFormat="1" collapsed="1">
      <c r="A172" s="71">
        <v>1</v>
      </c>
      <c r="B172" s="38" t="s">
        <v>156</v>
      </c>
      <c r="C172" s="38" t="s">
        <v>1533</v>
      </c>
      <c r="D172" s="38" t="str">
        <f>VLOOKUP(C172,Tbl_Button_Display_ASSTS, 2,FALSE)</f>
        <v>TEMP DOOR 제어 확인</v>
      </c>
      <c r="F172" s="88"/>
    </row>
    <row r="173" spans="1:10" s="11" customFormat="1" hidden="1" outlineLevel="1">
      <c r="A173" s="72">
        <v>1</v>
      </c>
      <c r="B173" s="11" t="s">
        <v>38</v>
      </c>
      <c r="C173" s="11" t="s">
        <v>1571</v>
      </c>
      <c r="D173" s="11" t="s">
        <v>39</v>
      </c>
      <c r="F173" s="89"/>
    </row>
    <row r="174" spans="1:10" s="10" customFormat="1" hidden="1" outlineLevel="2">
      <c r="A174" s="70">
        <v>1</v>
      </c>
      <c r="D174" s="46"/>
      <c r="E174" s="8" t="e">
        <f>Incar_IN</f>
        <v>#NAME?</v>
      </c>
      <c r="F174" s="93" cm="1">
        <f t="array" ref="F174">VINTERPOLATION(VLOOKUP(C173,Tbl_Button_Display_ASSTS,2,FALSE),Tbl_Incar_Sensor,3)</f>
        <v>2.337198632711782</v>
      </c>
    </row>
    <row r="175" spans="1:10" s="10" customFormat="1" hidden="1" outlineLevel="2">
      <c r="A175" s="70">
        <v>1</v>
      </c>
      <c r="E175" s="8" t="e">
        <f>Amb_IN</f>
        <v>#NAME?</v>
      </c>
      <c r="F175" s="93" cm="1">
        <f t="array" ref="F175">VINTERPOLATION(VLOOKUP(C173,Tbl_Button_Display_ASSTS,3,FALSE),Tbl_Amb_Sensor,3)</f>
        <v>2.7716705043452423</v>
      </c>
    </row>
    <row r="176" spans="1:10" s="10" customFormat="1" hidden="1" outlineLevel="2">
      <c r="A176" s="70">
        <v>1</v>
      </c>
      <c r="E176" s="14" t="str">
        <f>VLOOKUP(C173,Tbl_Button_Display_ASSTS,11,FALSE)</f>
        <v>Power_Reset</v>
      </c>
      <c r="F176" s="85" t="str">
        <f>VLOOKUP(C173,Tbl_Button_Display_ASSTS,12,FALSE)</f>
        <v xml:space="preserve"> </v>
      </c>
      <c r="J176" s="15"/>
    </row>
    <row r="177" spans="1:10" s="10" customFormat="1" hidden="1" outlineLevel="2">
      <c r="A177" s="70">
        <v>1</v>
      </c>
      <c r="E177" s="15" t="s">
        <v>5</v>
      </c>
      <c r="F177" s="85">
        <f>VLOOKUP(C173,Tbl_Button_Display_ASSTS,13,FALSE)</f>
        <v>10</v>
      </c>
    </row>
    <row r="178" spans="1:10" s="10" customFormat="1" hidden="1" outlineLevel="2">
      <c r="A178" s="70">
        <v>1</v>
      </c>
      <c r="D178" s="10" t="e">
        <f>IF(BAT_ON_Initialize="X","Set_System_On","")</f>
        <v>#NAME?</v>
      </c>
      <c r="E178" s="14" t="e">
        <f>IF(D178="Set_System_On","Sw_DrTemp_Up","")</f>
        <v>#NAME?</v>
      </c>
      <c r="F178" s="85" t="e">
        <f>IF(D178="Set_System_On",1,"")</f>
        <v>#NAME?</v>
      </c>
      <c r="J178" s="15"/>
    </row>
    <row r="179" spans="1:10" s="10" customFormat="1" hidden="1" outlineLevel="2">
      <c r="A179" s="70">
        <v>1</v>
      </c>
      <c r="E179" s="15" t="e">
        <f>IF(D178="Set_System_On","Delay(Sec)","")</f>
        <v>#NAME?</v>
      </c>
      <c r="F179" s="85" t="e">
        <f>IF(D178="Set_System_On",2,"")</f>
        <v>#NAME?</v>
      </c>
    </row>
    <row r="180" spans="1:10" s="10" customFormat="1" hidden="1" outlineLevel="2">
      <c r="A180" s="70">
        <v>1</v>
      </c>
      <c r="F180" s="87"/>
      <c r="G180" s="10" t="e">
        <f>Incar_OUT</f>
        <v>#NAME?</v>
      </c>
      <c r="I180" s="13">
        <f>VLOOKUP(C173,Tbl_Button_Display_ASSTS,2,FALSE)</f>
        <v>28</v>
      </c>
    </row>
    <row r="181" spans="1:10" s="10" customFormat="1" hidden="1" outlineLevel="2">
      <c r="A181" s="70">
        <v>1</v>
      </c>
      <c r="F181" s="87"/>
      <c r="G181" s="10" t="e">
        <f>Amb_OUT</f>
        <v>#NAME?</v>
      </c>
      <c r="I181" s="13">
        <f>VLOOKUP(C173,Tbl_Button_Display_ASSTS,3,FALSE)</f>
        <v>20</v>
      </c>
    </row>
    <row r="182" spans="1:10" s="10" customFormat="1" hidden="1" outlineLevel="2">
      <c r="A182" s="70">
        <v>1</v>
      </c>
      <c r="D182" s="10" t="s">
        <v>498</v>
      </c>
      <c r="F182" s="87"/>
      <c r="G182" s="10" t="e">
        <f>Act_DrTemp</f>
        <v>#NAME?</v>
      </c>
      <c r="H182" s="49" t="str">
        <f>VLOOKUP(C173,Tbl_Button_Display_ASSTS,39,FALSE)</f>
        <v>Temp_TD 연산에 따름</v>
      </c>
      <c r="I182" s="47" t="e">
        <f>IF(H182="","",VLOOKUP(H182,Tbl_TempFB_Volt,2,FALSE))</f>
        <v>#NAME?</v>
      </c>
    </row>
    <row r="183" spans="1:10" s="10" customFormat="1" hidden="1" outlineLevel="2">
      <c r="A183" s="70">
        <v>1</v>
      </c>
      <c r="D183" s="10" t="s">
        <v>498</v>
      </c>
      <c r="F183" s="87"/>
      <c r="G183" s="10" t="e">
        <f>Act_PsTemp</f>
        <v>#NAME?</v>
      </c>
      <c r="H183" s="49" t="str">
        <f>VLOOKUP(C173,Tbl_Button_Display_ASSTS,40,FALSE)</f>
        <v>Temp_TD 연산에 따름</v>
      </c>
      <c r="I183" s="47" t="e">
        <f>IF(H183="","",VLOOKUP(H183,Tbl_TempFB_Volt,2,FALSE))</f>
        <v>#NAME?</v>
      </c>
    </row>
    <row r="184" spans="1:10" s="10" customFormat="1" hidden="1" outlineLevel="2">
      <c r="A184" s="70">
        <v>1</v>
      </c>
      <c r="D184" s="10" t="s">
        <v>498</v>
      </c>
      <c r="F184" s="87"/>
      <c r="G184" s="10" t="e">
        <f>Act_RrTemp_Cool</f>
        <v>#NAME?</v>
      </c>
      <c r="H184" s="49" t="str">
        <f>VLOOKUP(C173,Tbl_Button_Display_ASSTS,40,FALSE)</f>
        <v>Temp_TD 연산에 따름</v>
      </c>
      <c r="I184" s="47" t="e">
        <f>IF(H184="","",VLOOKUP(H184,Tbl_TempFB_Volt,2,FALSE))</f>
        <v>#NAME?</v>
      </c>
    </row>
    <row r="185" spans="1:10" s="10" customFormat="1" hidden="1" outlineLevel="2">
      <c r="A185" s="70">
        <v>1</v>
      </c>
      <c r="D185" s="10" t="s">
        <v>498</v>
      </c>
      <c r="F185" s="87"/>
      <c r="G185" s="10" t="e">
        <f>Act_RrTemp_Warm</f>
        <v>#NAME?</v>
      </c>
      <c r="H185" s="49" t="str">
        <f>VLOOKUP(C173,Tbl_Button_Display_ASSTS,40,FALSE)</f>
        <v>Temp_TD 연산에 따름</v>
      </c>
      <c r="I185" s="47" t="e">
        <f>IF(H185="","",VLOOKUP(H185,Tbl_TempFB_Volt,2,FALSE))</f>
        <v>#NAME?</v>
      </c>
    </row>
    <row r="186" spans="1:10" s="39" customFormat="1" hidden="1" outlineLevel="1">
      <c r="A186" s="73">
        <v>1</v>
      </c>
      <c r="B186" s="39" t="s">
        <v>155</v>
      </c>
      <c r="C186" s="39" t="s">
        <v>1536</v>
      </c>
      <c r="D186" s="39" t="str">
        <f>CONCATENATE("설정온도 = Lo 설정 시, Temp Actuator 동작 확인")</f>
        <v>설정온도 = Lo 설정 시, Temp Actuator 동작 확인</v>
      </c>
      <c r="F186" s="91"/>
    </row>
    <row r="187" spans="1:10" s="10" customFormat="1" hidden="1" outlineLevel="2">
      <c r="A187" s="70">
        <v>1</v>
      </c>
      <c r="E187" s="14" t="str">
        <f>VLOOKUP(C186,Tbl_Button_Display_ASSTS,11,FALSE)</f>
        <v>MsgBox</v>
      </c>
      <c r="F187" s="85" t="str">
        <f>VLOOKUP(C186,Tbl_Button_Display_ASSTS,12,FALSE)</f>
        <v>설정온도 Lo 설정</v>
      </c>
      <c r="J187" s="15"/>
    </row>
    <row r="188" spans="1:10" s="10" customFormat="1" hidden="1" outlineLevel="2">
      <c r="A188" s="70">
        <v>1</v>
      </c>
      <c r="E188" s="15" t="s">
        <v>5</v>
      </c>
      <c r="F188" s="85">
        <f>VLOOKUP(C186,Tbl_Button_Display_ASSTS,13,FALSE)</f>
        <v>2</v>
      </c>
    </row>
    <row r="189" spans="1:10" s="10" customFormat="1" hidden="1" outlineLevel="2">
      <c r="A189" s="70">
        <v>1</v>
      </c>
      <c r="F189" s="87"/>
      <c r="G189" s="10" t="e">
        <f>Act_DrTemp</f>
        <v>#NAME?</v>
      </c>
      <c r="I189" s="47">
        <f>VLOOKUP(C186,Tbl_Button_Display_ASSTS,39,FALSE)</f>
        <v>0.3</v>
      </c>
    </row>
    <row r="190" spans="1:10" s="10" customFormat="1" hidden="1" outlineLevel="2">
      <c r="A190" s="70">
        <v>1</v>
      </c>
      <c r="F190" s="87"/>
      <c r="G190" s="10" t="e">
        <f>Act_PsTemp</f>
        <v>#NAME?</v>
      </c>
      <c r="I190" s="47">
        <f>VLOOKUP(C186,Tbl_Button_Display_ASSTS,40,FALSE)</f>
        <v>0.3</v>
      </c>
    </row>
    <row r="191" spans="1:10" s="10" customFormat="1" hidden="1" outlineLevel="2">
      <c r="A191" s="70">
        <v>1</v>
      </c>
      <c r="F191" s="87"/>
      <c r="G191" s="10" t="e">
        <f>Act_RrTemp_Cool</f>
        <v>#NAME?</v>
      </c>
      <c r="I191" s="47" t="e">
        <f>VLOOKUP(C186,Tbl_Button_Display_ASSTS,46,FALSE)</f>
        <v>#VALUE!</v>
      </c>
    </row>
    <row r="192" spans="1:10" s="10" customFormat="1" hidden="1" outlineLevel="2">
      <c r="A192" s="70">
        <v>1</v>
      </c>
      <c r="F192" s="87"/>
      <c r="G192" s="10" t="e">
        <f>Act_RrTemp_Warm</f>
        <v>#NAME?</v>
      </c>
      <c r="I192" s="47" t="e">
        <f>VLOOKUP(C186,Tbl_Button_Display_ASSTS,47,FALSE)</f>
        <v>#VALUE!</v>
      </c>
    </row>
    <row r="193" spans="1:12" s="39" customFormat="1" hidden="1" outlineLevel="1">
      <c r="A193" s="73">
        <v>1</v>
      </c>
      <c r="B193" s="39" t="s">
        <v>155</v>
      </c>
      <c r="C193" s="39" t="s">
        <v>1538</v>
      </c>
      <c r="D193" s="39" t="str">
        <f>CONCATENATE("설정온도 = Hi 설정 시, Temp Actuator 동작 확인")</f>
        <v>설정온도 = Hi 설정 시, Temp Actuator 동작 확인</v>
      </c>
      <c r="F193" s="91"/>
    </row>
    <row r="194" spans="1:12" s="10" customFormat="1" hidden="1" outlineLevel="2">
      <c r="A194" s="70">
        <v>1</v>
      </c>
      <c r="E194" s="14" t="str">
        <f>VLOOKUP(C193,Tbl_Button_Display_ASSTS,11,FALSE)</f>
        <v>MsgBox</v>
      </c>
      <c r="F194" s="85" t="str">
        <f>VLOOKUP(C193,Tbl_Button_Display_ASSTS,12,FALSE)</f>
        <v>설정온도 Hi 설정</v>
      </c>
      <c r="J194" s="15"/>
    </row>
    <row r="195" spans="1:12" s="10" customFormat="1" hidden="1" outlineLevel="2">
      <c r="A195" s="70">
        <v>1</v>
      </c>
      <c r="E195" s="15" t="s">
        <v>5</v>
      </c>
      <c r="F195" s="85">
        <f>VLOOKUP(C193,Tbl_Button_Display_ASSTS,13,FALSE)</f>
        <v>2</v>
      </c>
    </row>
    <row r="196" spans="1:12" s="10" customFormat="1" hidden="1" outlineLevel="2">
      <c r="A196" s="70">
        <v>1</v>
      </c>
      <c r="F196" s="87"/>
      <c r="G196" s="10" t="e">
        <f>Act_DrTemp</f>
        <v>#NAME?</v>
      </c>
      <c r="I196" s="47">
        <f>VLOOKUP(C193,Tbl_Button_Display_ASSTS,39,FALSE)</f>
        <v>4.7</v>
      </c>
    </row>
    <row r="197" spans="1:12" s="10" customFormat="1" hidden="1" outlineLevel="2">
      <c r="A197" s="70">
        <v>1</v>
      </c>
      <c r="F197" s="87"/>
      <c r="G197" s="10" t="e">
        <f>Act_PsTemp</f>
        <v>#NAME?</v>
      </c>
      <c r="I197" s="47">
        <f>VLOOKUP(C193,Tbl_Button_Display_ASSTS,40,FALSE)</f>
        <v>4.7</v>
      </c>
    </row>
    <row r="198" spans="1:12" s="10" customFormat="1" hidden="1" outlineLevel="2">
      <c r="A198" s="70">
        <v>1</v>
      </c>
      <c r="F198" s="87"/>
      <c r="G198" s="10" t="e">
        <f>Act_RrTemp_Cool</f>
        <v>#NAME?</v>
      </c>
      <c r="I198" s="47" t="e">
        <f>VLOOKUP(C193,Tbl_Button_Display_ASSTS,46,FALSE)</f>
        <v>#VALUE!</v>
      </c>
    </row>
    <row r="199" spans="1:12" s="10" customFormat="1" hidden="1" outlineLevel="2">
      <c r="A199" s="70">
        <v>1</v>
      </c>
      <c r="F199" s="87"/>
      <c r="G199" s="10" t="e">
        <f>Act_RrTemp_Warm</f>
        <v>#NAME?</v>
      </c>
      <c r="I199" s="47" t="e">
        <f>VLOOKUP(C193,Tbl_Button_Display_ASSTS,47,FALSE)</f>
        <v>#VALUE!</v>
      </c>
    </row>
    <row r="200" spans="1:12" s="40" customFormat="1" ht="15">
      <c r="A200" s="66">
        <v>1</v>
      </c>
      <c r="B200" s="40" t="s">
        <v>1572</v>
      </c>
      <c r="C200" s="40" t="s">
        <v>217</v>
      </c>
      <c r="D200" s="40" t="str">
        <f>VLOOKUP(B200,Tbl_Button_Display_ASSTS,2,FALSE)</f>
        <v>BLOWER SPEED 제어</v>
      </c>
      <c r="F200" s="82"/>
    </row>
    <row r="201" spans="1:12" s="123" customFormat="1" collapsed="1">
      <c r="A201" s="122">
        <v>2</v>
      </c>
      <c r="B201" s="123" t="s">
        <v>156</v>
      </c>
      <c r="C201" s="123" t="s">
        <v>1785</v>
      </c>
      <c r="D201" s="123" t="str">
        <f>VLOOKUP(C201,Tbl_Button_Display_ASSTS, 2,FALSE)</f>
        <v>BLOWER SPEED 제어 - 수동제어 확인</v>
      </c>
      <c r="F201" s="88"/>
    </row>
    <row r="202" spans="1:12" s="125" customFormat="1" hidden="1" outlineLevel="1">
      <c r="A202" s="124">
        <v>2</v>
      </c>
      <c r="B202" s="125" t="s">
        <v>38</v>
      </c>
      <c r="C202" s="125" t="s">
        <v>1794</v>
      </c>
      <c r="D202" s="125" t="s">
        <v>39</v>
      </c>
      <c r="F202" s="89"/>
    </row>
    <row r="203" spans="1:12" s="10" customFormat="1" hidden="1" outlineLevel="2">
      <c r="A203" s="70">
        <v>2</v>
      </c>
      <c r="E203" s="114" t="str">
        <f>VLOOKUP(C202,Tbl_Button_Display_ASSTS,11,FALSE)</f>
        <v>MsgBox</v>
      </c>
      <c r="F203" s="85" t="e">
        <f>VLOOKUP(C202,Tbl_Button_Display_ASSTS,12,FALSE)</f>
        <v>#NAME?</v>
      </c>
      <c r="J203" s="15"/>
    </row>
    <row r="204" spans="1:12" s="10" customFormat="1" hidden="1" outlineLevel="2">
      <c r="A204" s="70">
        <v>2</v>
      </c>
      <c r="E204" s="15" t="s">
        <v>5</v>
      </c>
      <c r="F204" s="85">
        <f>VLOOKUP(C202,Tbl_Button_Display_ASSTS,13,FALSE)</f>
        <v>10</v>
      </c>
      <c r="L204" s="235"/>
    </row>
    <row r="205" spans="1:12" s="10" customFormat="1" hidden="1" outlineLevel="2">
      <c r="A205" s="70">
        <v>1</v>
      </c>
      <c r="G205" s="10" t="e">
        <f>ModDisp</f>
        <v>#NAME?</v>
      </c>
      <c r="I205" s="13" t="str">
        <f>VLOOKUP(C202,Tbl_Button_Display_ASSTS,16,FALSE)</f>
        <v>Floor</v>
      </c>
    </row>
    <row r="206" spans="1:12" s="10" customFormat="1" hidden="1" outlineLevel="2">
      <c r="A206" s="70">
        <v>1</v>
      </c>
      <c r="G206" s="10" t="e">
        <f>AcDisp</f>
        <v>#NAME?</v>
      </c>
      <c r="I206" s="13" t="str">
        <f>VLOOKUP(C202,Tbl_Button_Display_ASSTS,31,FALSE)</f>
        <v>Off</v>
      </c>
    </row>
    <row r="207" spans="1:12" s="10" customFormat="1" hidden="1" outlineLevel="2">
      <c r="A207" s="70">
        <v>2</v>
      </c>
      <c r="F207" s="87"/>
      <c r="G207" s="10" t="e">
        <f>FrontBlwDisp</f>
        <v>#NAME?</v>
      </c>
      <c r="I207" s="13">
        <f>VLOOKUP(C202,Tbl_Button_Display_ASSTS,23,FALSE)</f>
        <v>1</v>
      </c>
      <c r="L207" s="130"/>
    </row>
    <row r="208" spans="1:12" s="10" customFormat="1" hidden="1" outlineLevel="2">
      <c r="A208" s="70">
        <v>2</v>
      </c>
      <c r="F208" s="87"/>
      <c r="G208" s="10" t="e">
        <f>BLW_Front</f>
        <v>#NAME?</v>
      </c>
      <c r="H208" s="49">
        <f>VLOOKUP(C202,Tbl_Button_Display_ASSTS,24,FALSE)</f>
        <v>1</v>
      </c>
      <c r="I208" s="47" t="e">
        <f>IF(H208="","",VLOOKUP(H208,Tbl_Blower_Mode_AC_Volt,4,FALSE))</f>
        <v>#NAME?</v>
      </c>
      <c r="L208" s="130"/>
    </row>
    <row r="209" spans="1:10" s="39" customFormat="1" hidden="1" outlineLevel="1">
      <c r="A209" s="73">
        <v>2</v>
      </c>
      <c r="B209" s="39" t="s">
        <v>155</v>
      </c>
      <c r="C209" s="39" t="s">
        <v>1786</v>
      </c>
      <c r="D209" s="39" t="e">
        <f>CONCATENATE(E210," ",F210,"회 선택 시, Blower ",I214,"단 및 Blower 전압 ",I215,"V 확인")</f>
        <v>#NAME?</v>
      </c>
      <c r="F209" s="91"/>
    </row>
    <row r="210" spans="1:10" s="10" customFormat="1" hidden="1" outlineLevel="2">
      <c r="A210" s="70">
        <v>2</v>
      </c>
      <c r="E210" s="114" t="str">
        <f>VLOOKUP(C209,Tbl_Button_Display_ASSTS,11,FALSE)</f>
        <v>Sw_AC</v>
      </c>
      <c r="F210" s="85">
        <f>VLOOKUP(C209,Tbl_Button_Display_ASSTS,12,FALSE)</f>
        <v>1</v>
      </c>
      <c r="J210" s="15"/>
    </row>
    <row r="211" spans="1:10" s="10" customFormat="1" hidden="1" outlineLevel="2">
      <c r="A211" s="70">
        <v>2</v>
      </c>
      <c r="E211" s="15" t="s">
        <v>5</v>
      </c>
      <c r="F211" s="85">
        <f>VLOOKUP(C209,Tbl_Button_Display_ASSTS,13,FALSE)</f>
        <v>2</v>
      </c>
    </row>
    <row r="212" spans="1:10" s="10" customFormat="1" hidden="1" outlineLevel="2">
      <c r="A212" s="70">
        <v>1</v>
      </c>
      <c r="G212" s="10" t="e">
        <f>ModDisp</f>
        <v>#NAME?</v>
      </c>
      <c r="I212" s="13" t="str">
        <f>VLOOKUP(C209,Tbl_Button_Display_ASSTS,16,FALSE)</f>
        <v>Floor</v>
      </c>
    </row>
    <row r="213" spans="1:10" s="10" customFormat="1" hidden="1" outlineLevel="2">
      <c r="A213" s="70">
        <v>1</v>
      </c>
      <c r="G213" s="10" t="e">
        <f>AcDisp</f>
        <v>#NAME?</v>
      </c>
      <c r="I213" s="13" t="str">
        <f>VLOOKUP(C209,Tbl_Button_Display_ASSTS,31,FALSE)</f>
        <v>On</v>
      </c>
    </row>
    <row r="214" spans="1:10" s="10" customFormat="1" hidden="1" outlineLevel="2">
      <c r="A214" s="70">
        <v>2</v>
      </c>
      <c r="F214" s="87"/>
      <c r="G214" s="10" t="e">
        <f>FrontBlwDisp</f>
        <v>#NAME?</v>
      </c>
      <c r="I214" s="13">
        <f>VLOOKUP(C209,Tbl_Button_Display_ASSTS,23,FALSE)</f>
        <v>1</v>
      </c>
    </row>
    <row r="215" spans="1:10" s="10" customFormat="1" hidden="1" outlineLevel="2">
      <c r="A215" s="70">
        <v>2</v>
      </c>
      <c r="F215" s="87"/>
      <c r="G215" s="10" t="e">
        <f>BLW_Front</f>
        <v>#NAME?</v>
      </c>
      <c r="H215" s="49">
        <f>VLOOKUP(C209,Tbl_Button_Display_ASSTS,24,FALSE)</f>
        <v>1</v>
      </c>
      <c r="I215" s="47" t="e">
        <f>IF(H215="","",VLOOKUP(H215,Tbl_Blower_Mode_AC_Volt,2,FALSE))</f>
        <v>#NAME?</v>
      </c>
    </row>
    <row r="216" spans="1:10" s="39" customFormat="1" hidden="1" outlineLevel="1">
      <c r="A216" s="73">
        <v>2</v>
      </c>
      <c r="B216" s="39" t="s">
        <v>155</v>
      </c>
      <c r="C216" s="39" t="s">
        <v>1787</v>
      </c>
      <c r="D216" s="39" t="e">
        <f t="shared" ref="D216" si="0">CONCATENATE(E217," ",F217,"회 선택 시, Blower ",I221,"단 및 Blower 전압 ",I222,"V 확인")</f>
        <v>#NAME?</v>
      </c>
      <c r="F216" s="91"/>
    </row>
    <row r="217" spans="1:10" s="10" customFormat="1" hidden="1" outlineLevel="2">
      <c r="A217" s="70">
        <v>2</v>
      </c>
      <c r="E217" s="114" t="str">
        <f>VLOOKUP(C216,Tbl_Button_Display_ASSTS,11,FALSE)</f>
        <v>Sw_DrMode</v>
      </c>
      <c r="F217" s="85">
        <f>VLOOKUP(C216,Tbl_Button_Display_ASSTS,12,FALSE)</f>
        <v>2</v>
      </c>
      <c r="J217" s="15"/>
    </row>
    <row r="218" spans="1:10" s="10" customFormat="1" hidden="1" outlineLevel="2">
      <c r="A218" s="70">
        <v>2</v>
      </c>
      <c r="E218" s="15" t="s">
        <v>5</v>
      </c>
      <c r="F218" s="85">
        <f>VLOOKUP(C216,Tbl_Button_Display_ASSTS,13,FALSE)</f>
        <v>2</v>
      </c>
    </row>
    <row r="219" spans="1:10" s="10" customFormat="1" hidden="1" outlineLevel="2">
      <c r="A219" s="70">
        <v>1</v>
      </c>
      <c r="G219" s="10" t="e">
        <f>ModDisp</f>
        <v>#NAME?</v>
      </c>
      <c r="I219" s="13" t="str">
        <f>VLOOKUP(C216,Tbl_Button_Display_ASSTS,16,FALSE)</f>
        <v>Vent</v>
      </c>
    </row>
    <row r="220" spans="1:10" s="10" customFormat="1" hidden="1" outlineLevel="2">
      <c r="A220" s="70">
        <v>1</v>
      </c>
      <c r="G220" s="10" t="e">
        <f>AcDisp</f>
        <v>#NAME?</v>
      </c>
      <c r="I220" s="13" t="str">
        <f>VLOOKUP(C216,Tbl_Button_Display_ASSTS,31,FALSE)</f>
        <v>On</v>
      </c>
    </row>
    <row r="221" spans="1:10" s="10" customFormat="1" hidden="1" outlineLevel="2">
      <c r="A221" s="70">
        <v>2</v>
      </c>
      <c r="F221" s="87"/>
      <c r="G221" s="10" t="e">
        <f>FrontBlwDisp</f>
        <v>#NAME?</v>
      </c>
      <c r="I221" s="13">
        <f>VLOOKUP(C216,Tbl_Button_Display_ASSTS,23,FALSE)</f>
        <v>1</v>
      </c>
    </row>
    <row r="222" spans="1:10" s="10" customFormat="1" hidden="1" outlineLevel="2">
      <c r="A222" s="70">
        <v>2</v>
      </c>
      <c r="F222" s="87"/>
      <c r="G222" s="10" t="e">
        <f>BLW_Front</f>
        <v>#NAME?</v>
      </c>
      <c r="H222" s="49">
        <f>VLOOKUP(C216,Tbl_Button_Display_ASSTS,24,FALSE)</f>
        <v>1</v>
      </c>
      <c r="I222" s="47" t="e">
        <f>IF(H222="","",VLOOKUP(H222,Tbl_Blower_Mode_AC_Volt,3,FALSE))</f>
        <v>#NAME?</v>
      </c>
    </row>
    <row r="223" spans="1:10" s="39" customFormat="1" hidden="1" outlineLevel="1">
      <c r="A223" s="73">
        <v>2</v>
      </c>
      <c r="B223" s="39" t="s">
        <v>155</v>
      </c>
      <c r="C223" s="39" t="s">
        <v>1788</v>
      </c>
      <c r="D223" s="39" t="e">
        <f t="shared" ref="D223" si="1">CONCATENATE(E224," ",F224,"회 선택 시, Blower ",I228,"단 및 Blower 전압 ",I229,"V 확인")</f>
        <v>#NAME?</v>
      </c>
      <c r="F223" s="91"/>
    </row>
    <row r="224" spans="1:10" s="10" customFormat="1" hidden="1" outlineLevel="2">
      <c r="A224" s="70">
        <v>2</v>
      </c>
      <c r="E224" s="114" t="str">
        <f>VLOOKUP(C223,Tbl_Button_Display_ASSTS,11,FALSE)</f>
        <v>Sw_AC</v>
      </c>
      <c r="F224" s="85">
        <f>VLOOKUP(C223,Tbl_Button_Display_ASSTS,12,FALSE)</f>
        <v>1</v>
      </c>
      <c r="J224" s="15"/>
    </row>
    <row r="225" spans="1:10" s="10" customFormat="1" hidden="1" outlineLevel="2">
      <c r="A225" s="70">
        <v>2</v>
      </c>
      <c r="E225" s="15" t="s">
        <v>5</v>
      </c>
      <c r="F225" s="85">
        <f>VLOOKUP(C223,Tbl_Button_Display_ASSTS,13,FALSE)</f>
        <v>2</v>
      </c>
    </row>
    <row r="226" spans="1:10" s="10" customFormat="1" hidden="1" outlineLevel="2">
      <c r="A226" s="70">
        <v>1</v>
      </c>
      <c r="G226" s="10" t="e">
        <f>ModDisp</f>
        <v>#NAME?</v>
      </c>
      <c r="I226" s="13" t="str">
        <f>VLOOKUP(C223,Tbl_Button_Display_ASSTS,16,FALSE)</f>
        <v>Vent</v>
      </c>
    </row>
    <row r="227" spans="1:10" s="10" customFormat="1" hidden="1" outlineLevel="2">
      <c r="A227" s="70">
        <v>1</v>
      </c>
      <c r="G227" s="10" t="e">
        <f>AcDisp</f>
        <v>#NAME?</v>
      </c>
      <c r="I227" s="13" t="str">
        <f>VLOOKUP(C223,Tbl_Button_Display_ASSTS,31,FALSE)</f>
        <v>Off</v>
      </c>
    </row>
    <row r="228" spans="1:10" s="10" customFormat="1" hidden="1" outlineLevel="2">
      <c r="A228" s="70">
        <v>2</v>
      </c>
      <c r="F228" s="87"/>
      <c r="G228" s="10" t="e">
        <f>FrontBlwDisp</f>
        <v>#NAME?</v>
      </c>
      <c r="I228" s="13">
        <f>VLOOKUP(C223,Tbl_Button_Display_ASSTS,23,FALSE)</f>
        <v>1</v>
      </c>
    </row>
    <row r="229" spans="1:10" s="10" customFormat="1" hidden="1" outlineLevel="2">
      <c r="A229" s="70">
        <v>2</v>
      </c>
      <c r="F229" s="87"/>
      <c r="G229" s="10" t="e">
        <f>BLW_Front</f>
        <v>#NAME?</v>
      </c>
      <c r="H229" s="49">
        <f>VLOOKUP(C223,Tbl_Button_Display_ASSTS,24,FALSE)</f>
        <v>1</v>
      </c>
      <c r="I229" s="47" t="e">
        <f>IF(H229="","",VLOOKUP(H229,Tbl_Blower_Mode_AC_Volt,5,FALSE))</f>
        <v>#NAME?</v>
      </c>
    </row>
    <row r="230" spans="1:10" s="39" customFormat="1" hidden="1" outlineLevel="1">
      <c r="A230" s="73">
        <v>2</v>
      </c>
      <c r="B230" s="39" t="s">
        <v>155</v>
      </c>
      <c r="C230" s="39" t="s">
        <v>1789</v>
      </c>
      <c r="D230" s="39" t="e">
        <f t="shared" ref="D230" si="2">CONCATENATE(E231," ",F231,"회 선택 시, Blower ",I233,"단 및 Blower 전압 ",I234,"V 확인")</f>
        <v>#NAME?</v>
      </c>
      <c r="F230" s="91"/>
    </row>
    <row r="231" spans="1:10" s="10" customFormat="1" hidden="1" outlineLevel="2">
      <c r="A231" s="70">
        <v>2</v>
      </c>
      <c r="E231" s="114" t="str">
        <f>VLOOKUP(C230,Tbl_Button_Display_ASSTS,11,FALSE)</f>
        <v>Sw_Blower_Up</v>
      </c>
      <c r="F231" s="85">
        <f>VLOOKUP(C230,Tbl_Button_Display_ASSTS,12,FALSE)</f>
        <v>1</v>
      </c>
      <c r="J231" s="15"/>
    </row>
    <row r="232" spans="1:10" s="10" customFormat="1" hidden="1" outlineLevel="2">
      <c r="A232" s="70">
        <v>2</v>
      </c>
      <c r="E232" s="15" t="s">
        <v>5</v>
      </c>
      <c r="F232" s="85">
        <f>VLOOKUP(C230,Tbl_Button_Display_ASSTS,13,FALSE)</f>
        <v>2</v>
      </c>
    </row>
    <row r="233" spans="1:10" s="10" customFormat="1" hidden="1" outlineLevel="2">
      <c r="A233" s="70">
        <v>2</v>
      </c>
      <c r="F233" s="87"/>
      <c r="G233" s="10" t="e">
        <f>FrontBlwDisp</f>
        <v>#NAME?</v>
      </c>
      <c r="I233" s="13">
        <f>VLOOKUP(C230,Tbl_Button_Display_ASSTS,23,FALSE)</f>
        <v>2</v>
      </c>
    </row>
    <row r="234" spans="1:10" s="10" customFormat="1" hidden="1" outlineLevel="2">
      <c r="A234" s="70">
        <v>2</v>
      </c>
      <c r="F234" s="87"/>
      <c r="G234" s="10" t="e">
        <f>BLW_Front</f>
        <v>#NAME?</v>
      </c>
      <c r="H234" s="49">
        <f>VLOOKUP(C230,Tbl_Button_Display_ASSTS,24,FALSE)</f>
        <v>2</v>
      </c>
      <c r="I234" s="47" t="e">
        <f>IF(H234="","",VLOOKUP(H234,Tbl_Blower_Mode_AC_Volt,5,FALSE))</f>
        <v>#NAME?</v>
      </c>
    </row>
    <row r="235" spans="1:10" s="39" customFormat="1" hidden="1" outlineLevel="1">
      <c r="A235" s="73">
        <v>2</v>
      </c>
      <c r="B235" s="39" t="s">
        <v>155</v>
      </c>
      <c r="C235" s="39" t="s">
        <v>1790</v>
      </c>
      <c r="D235" s="39" t="e">
        <f t="shared" ref="D235" si="3">CONCATENATE(E236," ",F236,"회 선택 시, Blower ",I238,"단 및 Blower 전압 ",I239,"V 확인")</f>
        <v>#NAME?</v>
      </c>
      <c r="F235" s="91"/>
    </row>
    <row r="236" spans="1:10" s="10" customFormat="1" hidden="1" outlineLevel="2">
      <c r="A236" s="70">
        <v>2</v>
      </c>
      <c r="E236" s="114" t="str">
        <f>VLOOKUP(C235,Tbl_Button_Display_ASSTS,11,FALSE)</f>
        <v>Sw_Blower_Up</v>
      </c>
      <c r="F236" s="85">
        <f>VLOOKUP(C235,Tbl_Button_Display_ASSTS,12,FALSE)</f>
        <v>1</v>
      </c>
      <c r="J236" s="15"/>
    </row>
    <row r="237" spans="1:10" s="10" customFormat="1" hidden="1" outlineLevel="2">
      <c r="A237" s="70">
        <v>2</v>
      </c>
      <c r="E237" s="15" t="s">
        <v>5</v>
      </c>
      <c r="F237" s="85">
        <f>VLOOKUP(C235,Tbl_Button_Display_ASSTS,13,FALSE)</f>
        <v>2</v>
      </c>
    </row>
    <row r="238" spans="1:10" s="10" customFormat="1" hidden="1" outlineLevel="2">
      <c r="A238" s="70">
        <v>2</v>
      </c>
      <c r="F238" s="87"/>
      <c r="G238" s="10" t="e">
        <f>FrontBlwDisp</f>
        <v>#NAME?</v>
      </c>
      <c r="I238" s="13">
        <f>VLOOKUP(C235,Tbl_Button_Display_ASSTS,23,FALSE)</f>
        <v>3</v>
      </c>
    </row>
    <row r="239" spans="1:10" s="10" customFormat="1" hidden="1" outlineLevel="2">
      <c r="A239" s="70">
        <v>2</v>
      </c>
      <c r="F239" s="87"/>
      <c r="G239" s="10" t="e">
        <f>BLW_Front</f>
        <v>#NAME?</v>
      </c>
      <c r="H239" s="49">
        <f>VLOOKUP(C235,Tbl_Button_Display_ASSTS,24,FALSE)</f>
        <v>3</v>
      </c>
      <c r="I239" s="47" t="e">
        <f>IF(H239="","",VLOOKUP(H239,Tbl_Blower_Mode_AC_Volt,5,FALSE))</f>
        <v>#NAME?</v>
      </c>
    </row>
    <row r="240" spans="1:10" s="39" customFormat="1" hidden="1" outlineLevel="1">
      <c r="A240" s="73">
        <v>2</v>
      </c>
      <c r="B240" s="39" t="s">
        <v>155</v>
      </c>
      <c r="C240" s="39" t="s">
        <v>1791</v>
      </c>
      <c r="D240" s="39" t="e">
        <f t="shared" ref="D240" si="4">CONCATENATE(E241," ",F241,"회 선택 시, Blower ",I243,"단 및 Blower 전압 ",I244,"V 확인")</f>
        <v>#NAME?</v>
      </c>
      <c r="F240" s="91"/>
    </row>
    <row r="241" spans="1:10" s="10" customFormat="1" hidden="1" outlineLevel="2">
      <c r="A241" s="70">
        <v>2</v>
      </c>
      <c r="E241" s="114" t="str">
        <f>VLOOKUP(C240,Tbl_Button_Display_ASSTS,11,FALSE)</f>
        <v>Sw_Blower_Up</v>
      </c>
      <c r="F241" s="85">
        <f>VLOOKUP(C240,Tbl_Button_Display_ASSTS,12,FALSE)</f>
        <v>1</v>
      </c>
      <c r="J241" s="15"/>
    </row>
    <row r="242" spans="1:10" s="10" customFormat="1" hidden="1" outlineLevel="2">
      <c r="A242" s="70">
        <v>2</v>
      </c>
      <c r="E242" s="15" t="s">
        <v>5</v>
      </c>
      <c r="F242" s="85">
        <f>VLOOKUP(C240,Tbl_Button_Display_ASSTS,13,FALSE)</f>
        <v>2</v>
      </c>
    </row>
    <row r="243" spans="1:10" s="10" customFormat="1" hidden="1" outlineLevel="2">
      <c r="A243" s="70">
        <v>2</v>
      </c>
      <c r="F243" s="87"/>
      <c r="G243" s="10" t="e">
        <f>FrontBlwDisp</f>
        <v>#NAME?</v>
      </c>
      <c r="I243" s="13">
        <f>VLOOKUP(C240,Tbl_Button_Display_ASSTS,23,FALSE)</f>
        <v>4</v>
      </c>
    </row>
    <row r="244" spans="1:10" s="10" customFormat="1" hidden="1" outlineLevel="2">
      <c r="A244" s="70">
        <v>2</v>
      </c>
      <c r="F244" s="87"/>
      <c r="G244" s="10" t="e">
        <f>BLW_Front</f>
        <v>#NAME?</v>
      </c>
      <c r="H244" s="49">
        <f>VLOOKUP(C240,Tbl_Button_Display_ASSTS,24,FALSE)</f>
        <v>4</v>
      </c>
      <c r="I244" s="47" t="e">
        <f>IF(H244="","",VLOOKUP(H244,Tbl_Blower_Mode_AC_Volt,5,FALSE))</f>
        <v>#NAME?</v>
      </c>
    </row>
    <row r="245" spans="1:10" s="39" customFormat="1" hidden="1" outlineLevel="1">
      <c r="A245" s="73">
        <v>2</v>
      </c>
      <c r="B245" s="39" t="s">
        <v>155</v>
      </c>
      <c r="C245" s="39" t="s">
        <v>1792</v>
      </c>
      <c r="D245" s="39" t="e">
        <f t="shared" ref="D245" si="5">CONCATENATE(E246," ",F246,"회 선택 시, Blower ",I248,"단 및 Blower 전압 ",I249,"V 확인")</f>
        <v>#NAME?</v>
      </c>
      <c r="F245" s="91"/>
    </row>
    <row r="246" spans="1:10" s="10" customFormat="1" hidden="1" outlineLevel="2">
      <c r="A246" s="70">
        <v>2</v>
      </c>
      <c r="E246" s="114" t="str">
        <f>VLOOKUP(C245,Tbl_Button_Display_ASSTS,11,FALSE)</f>
        <v>Sw_Blower_Up</v>
      </c>
      <c r="F246" s="85">
        <f>VLOOKUP(C245,Tbl_Button_Display_ASSTS,12,FALSE)</f>
        <v>1</v>
      </c>
      <c r="J246" s="15"/>
    </row>
    <row r="247" spans="1:10" s="10" customFormat="1" hidden="1" outlineLevel="2">
      <c r="A247" s="70">
        <v>2</v>
      </c>
      <c r="E247" s="15" t="s">
        <v>5</v>
      </c>
      <c r="F247" s="85">
        <f>VLOOKUP(C245,Tbl_Button_Display_ASSTS,13,FALSE)</f>
        <v>2</v>
      </c>
    </row>
    <row r="248" spans="1:10" s="10" customFormat="1" hidden="1" outlineLevel="2">
      <c r="A248" s="70">
        <v>2</v>
      </c>
      <c r="F248" s="87"/>
      <c r="G248" s="10" t="e">
        <f>FrontBlwDisp</f>
        <v>#NAME?</v>
      </c>
      <c r="I248" s="13">
        <f>VLOOKUP(C245,Tbl_Button_Display_ASSTS,23,FALSE)</f>
        <v>5</v>
      </c>
    </row>
    <row r="249" spans="1:10" s="10" customFormat="1" hidden="1" outlineLevel="2">
      <c r="A249" s="70">
        <v>2</v>
      </c>
      <c r="F249" s="87"/>
      <c r="G249" s="10" t="e">
        <f>BLW_Front</f>
        <v>#NAME?</v>
      </c>
      <c r="H249" s="49">
        <f>VLOOKUP(C245,Tbl_Button_Display_ASSTS,24,FALSE)</f>
        <v>5</v>
      </c>
      <c r="I249" s="47" t="e">
        <f>IF(H249="","",VLOOKUP(H249,Tbl_Blower_Mode_AC_Volt,5,FALSE))</f>
        <v>#NAME?</v>
      </c>
    </row>
    <row r="250" spans="1:10" s="39" customFormat="1" hidden="1" outlineLevel="1">
      <c r="A250" s="73">
        <v>2</v>
      </c>
      <c r="B250" s="39" t="s">
        <v>155</v>
      </c>
      <c r="C250" s="39" t="s">
        <v>1807</v>
      </c>
      <c r="D250" s="39" t="e">
        <f t="shared" ref="D250" si="6">CONCATENATE(E251," ",F251,"회 선택 시, Blower ",I253,"단 및 Blower 전압 ",I254,"V 확인")</f>
        <v>#NAME?</v>
      </c>
      <c r="F250" s="91"/>
    </row>
    <row r="251" spans="1:10" s="10" customFormat="1" hidden="1" outlineLevel="2">
      <c r="A251" s="70">
        <v>2</v>
      </c>
      <c r="E251" s="114" t="str">
        <f>VLOOKUP(C250,Tbl_Button_Display_ASSTS,11,FALSE)</f>
        <v>Sw_Blower_Up</v>
      </c>
      <c r="F251" s="85">
        <f>VLOOKUP(C250,Tbl_Button_Display_ASSTS,12,FALSE)</f>
        <v>1</v>
      </c>
      <c r="J251" s="15"/>
    </row>
    <row r="252" spans="1:10" s="10" customFormat="1" hidden="1" outlineLevel="2">
      <c r="A252" s="70">
        <v>2</v>
      </c>
      <c r="E252" s="15" t="s">
        <v>5</v>
      </c>
      <c r="F252" s="85">
        <f>VLOOKUP(C250,Tbl_Button_Display_ASSTS,13,FALSE)</f>
        <v>2</v>
      </c>
    </row>
    <row r="253" spans="1:10" s="10" customFormat="1" hidden="1" outlineLevel="2">
      <c r="A253" s="70">
        <v>2</v>
      </c>
      <c r="F253" s="87"/>
      <c r="G253" s="10" t="e">
        <f>FrontBlwDisp</f>
        <v>#NAME?</v>
      </c>
      <c r="I253" s="13">
        <f>VLOOKUP(C250,Tbl_Button_Display_ASSTS,23,FALSE)</f>
        <v>6</v>
      </c>
    </row>
    <row r="254" spans="1:10" s="10" customFormat="1" hidden="1" outlineLevel="2">
      <c r="A254" s="70">
        <v>2</v>
      </c>
      <c r="F254" s="87"/>
      <c r="G254" s="10" t="e">
        <f>BLW_Front</f>
        <v>#NAME?</v>
      </c>
      <c r="H254" s="49">
        <f>VLOOKUP(C250,Tbl_Button_Display_ASSTS,24,FALSE)</f>
        <v>6</v>
      </c>
      <c r="I254" s="47" t="e">
        <f>IF(H254="","",VLOOKUP(H254,Tbl_Blower_Mode_AC_Volt,5,FALSE))</f>
        <v>#NAME?</v>
      </c>
    </row>
    <row r="255" spans="1:10" s="39" customFormat="1" hidden="1" outlineLevel="1">
      <c r="A255" s="73">
        <v>2</v>
      </c>
      <c r="B255" s="39" t="s">
        <v>155</v>
      </c>
      <c r="C255" s="39" t="s">
        <v>1808</v>
      </c>
      <c r="D255" s="39" t="e">
        <f t="shared" ref="D255" si="7">CONCATENATE(E256," ",F256,"회 선택 시, Blower ",I258,"단 및 Blower 전압 ",I259,"V 확인")</f>
        <v>#NAME?</v>
      </c>
      <c r="F255" s="91"/>
    </row>
    <row r="256" spans="1:10" s="10" customFormat="1" hidden="1" outlineLevel="2">
      <c r="A256" s="70">
        <v>2</v>
      </c>
      <c r="E256" s="114" t="str">
        <f>VLOOKUP(C255,Tbl_Button_Display_ASSTS,11,FALSE)</f>
        <v>Sw_Blower_Up</v>
      </c>
      <c r="F256" s="85">
        <f>VLOOKUP(C255,Tbl_Button_Display_ASSTS,12,FALSE)</f>
        <v>1</v>
      </c>
      <c r="J256" s="15"/>
    </row>
    <row r="257" spans="1:12" s="10" customFormat="1" hidden="1" outlineLevel="2">
      <c r="A257" s="70">
        <v>2</v>
      </c>
      <c r="E257" s="15" t="s">
        <v>5</v>
      </c>
      <c r="F257" s="85">
        <f>VLOOKUP(C255,Tbl_Button_Display_ASSTS,13,FALSE)</f>
        <v>2</v>
      </c>
    </row>
    <row r="258" spans="1:12" s="10" customFormat="1" hidden="1" outlineLevel="2">
      <c r="A258" s="70">
        <v>2</v>
      </c>
      <c r="F258" s="87"/>
      <c r="G258" s="10" t="e">
        <f>FrontBlwDisp</f>
        <v>#NAME?</v>
      </c>
      <c r="I258" s="13">
        <f>VLOOKUP(C255,Tbl_Button_Display_ASSTS,23,FALSE)</f>
        <v>7</v>
      </c>
    </row>
    <row r="259" spans="1:12" s="10" customFormat="1" hidden="1" outlineLevel="2">
      <c r="A259" s="70">
        <v>2</v>
      </c>
      <c r="F259" s="87"/>
      <c r="G259" s="10" t="e">
        <f>BLW_Front</f>
        <v>#NAME?</v>
      </c>
      <c r="H259" s="49">
        <f>VLOOKUP(C255,Tbl_Button_Display_ASSTS,24,FALSE)</f>
        <v>7</v>
      </c>
      <c r="I259" s="47" t="e">
        <f>IF(H259="","",VLOOKUP(H259,Tbl_Blower_Mode_AC_Volt,5,FALSE))</f>
        <v>#NAME?</v>
      </c>
    </row>
    <row r="260" spans="1:12" s="39" customFormat="1" hidden="1" outlineLevel="1">
      <c r="A260" s="73">
        <v>2</v>
      </c>
      <c r="B260" s="39" t="s">
        <v>155</v>
      </c>
      <c r="C260" s="39" t="s">
        <v>1809</v>
      </c>
      <c r="D260" s="39" t="e">
        <f t="shared" ref="D260" si="8">CONCATENATE(E261," ",F261,"회 선택 시, Blower ",I263,"단 및 Blower 전압 ",I264,"V 확인")</f>
        <v>#NAME?</v>
      </c>
      <c r="F260" s="91"/>
    </row>
    <row r="261" spans="1:12" s="10" customFormat="1" hidden="1" outlineLevel="2">
      <c r="A261" s="70">
        <v>2</v>
      </c>
      <c r="E261" s="114" t="str">
        <f>VLOOKUP(C260,Tbl_Button_Display_ASSTS,11,FALSE)</f>
        <v>Sw_Blower_Up</v>
      </c>
      <c r="F261" s="85">
        <f>VLOOKUP(C260,Tbl_Button_Display_ASSTS,12,FALSE)</f>
        <v>1</v>
      </c>
      <c r="J261" s="15"/>
    </row>
    <row r="262" spans="1:12" s="10" customFormat="1" hidden="1" outlineLevel="2">
      <c r="A262" s="70">
        <v>2</v>
      </c>
      <c r="E262" s="15" t="s">
        <v>5</v>
      </c>
      <c r="F262" s="85">
        <f>VLOOKUP(C260,Tbl_Button_Display_ASSTS,13,FALSE)</f>
        <v>2</v>
      </c>
    </row>
    <row r="263" spans="1:12" s="10" customFormat="1" hidden="1" outlineLevel="2">
      <c r="A263" s="70">
        <v>2</v>
      </c>
      <c r="F263" s="87"/>
      <c r="G263" s="10" t="e">
        <f>FrontBlwDisp</f>
        <v>#NAME?</v>
      </c>
      <c r="I263" s="13">
        <f>VLOOKUP(C260,Tbl_Button_Display_ASSTS,23,FALSE)</f>
        <v>8</v>
      </c>
    </row>
    <row r="264" spans="1:12" s="10" customFormat="1" hidden="1" outlineLevel="2">
      <c r="A264" s="70">
        <v>2</v>
      </c>
      <c r="F264" s="87"/>
      <c r="G264" s="10" t="e">
        <f>BLW_Front</f>
        <v>#NAME?</v>
      </c>
      <c r="H264" s="49">
        <f>VLOOKUP(C260,Tbl_Button_Display_ASSTS,24,FALSE)</f>
        <v>8</v>
      </c>
      <c r="I264" s="47" t="e">
        <f>IF(H264="","",VLOOKUP(H264,Tbl_Blower_Mode_AC_Volt,5,FALSE))</f>
        <v>#NAME?</v>
      </c>
    </row>
    <row r="265" spans="1:12" s="123" customFormat="1" ht="16.5" collapsed="1">
      <c r="A265" s="122">
        <v>2</v>
      </c>
      <c r="B265" s="123" t="s">
        <v>156</v>
      </c>
      <c r="C265" s="123" t="s">
        <v>1796</v>
      </c>
      <c r="D265" s="123" t="str">
        <f>VLOOKUP(C265,Tbl_Button_Display_ASSTS, 2,FALSE)</f>
        <v>BLOWER SPEED 제어 - AUTO 제어 확인</v>
      </c>
      <c r="E265" s="244"/>
      <c r="F265" s="88"/>
      <c r="L265" s="244"/>
    </row>
    <row r="266" spans="1:12" s="125" customFormat="1" hidden="1" outlineLevel="1">
      <c r="A266" s="124">
        <v>2</v>
      </c>
      <c r="B266" s="125" t="s">
        <v>38</v>
      </c>
      <c r="C266" s="125" t="s">
        <v>1797</v>
      </c>
      <c r="D266" s="125" t="s">
        <v>39</v>
      </c>
      <c r="F266" s="89"/>
    </row>
    <row r="267" spans="1:12" s="10" customFormat="1" hidden="1" outlineLevel="2">
      <c r="A267" s="70">
        <v>2</v>
      </c>
      <c r="E267" s="114" t="str">
        <f>VLOOKUP(C266,Tbl_Button_Display_ASSTS,11,FALSE)</f>
        <v>MsgBox</v>
      </c>
      <c r="F267" s="85" t="e">
        <f>VLOOKUP(C266,Tbl_Button_Display_ASSTS,12,FALSE)</f>
        <v>#NAME?</v>
      </c>
      <c r="J267" s="15"/>
      <c r="L267" s="130"/>
    </row>
    <row r="268" spans="1:12" s="10" customFormat="1" hidden="1" outlineLevel="2">
      <c r="A268" s="70">
        <v>2</v>
      </c>
      <c r="E268" s="15" t="s">
        <v>5</v>
      </c>
      <c r="F268" s="85"/>
      <c r="L268" s="245"/>
    </row>
    <row r="269" spans="1:12" s="10" customFormat="1" ht="16.5" hidden="1" outlineLevel="2">
      <c r="A269" s="70">
        <v>2</v>
      </c>
      <c r="D269" s="46" t="s">
        <v>1803</v>
      </c>
      <c r="F269" s="87"/>
      <c r="G269" s="10" t="e">
        <f>AutoDisp</f>
        <v>#NAME?</v>
      </c>
      <c r="I269" s="13" t="str">
        <f>VLOOKUP(C266,Tbl_Button_Display_ASSTS,14,FALSE)</f>
        <v>On</v>
      </c>
      <c r="L269" s="130"/>
    </row>
    <row r="270" spans="1:12" s="10" customFormat="1" ht="16.5" hidden="1" outlineLevel="2">
      <c r="A270" s="70">
        <v>2</v>
      </c>
      <c r="F270" s="87"/>
      <c r="G270" s="10" t="e">
        <f>FrontBlwDisp</f>
        <v>#NAME?</v>
      </c>
      <c r="I270" s="13">
        <f>VLOOKUP(C266,Tbl_Button_Display_ASSTS,23,FALSE)</f>
        <v>1</v>
      </c>
      <c r="L270" s="230"/>
    </row>
    <row r="271" spans="1:12" s="10" customFormat="1" hidden="1" outlineLevel="2">
      <c r="A271" s="70">
        <v>2</v>
      </c>
      <c r="F271" s="87"/>
      <c r="G271" s="10" t="e">
        <f>BLW_Front</f>
        <v>#NAME?</v>
      </c>
      <c r="H271" s="49" t="str">
        <f>VLOOKUP(C266,Tbl_Button_Display_ASSTS,24,FALSE)</f>
        <v>blower_TD 연산에 따름</v>
      </c>
      <c r="I271" s="47" t="e">
        <f>IF(H271="","",VLOOKUP(H271,Tbl_Blower_Volt,2,FALSE))</f>
        <v>#NAME?</v>
      </c>
      <c r="L271" s="130"/>
    </row>
    <row r="272" spans="1:12" s="39" customFormat="1" hidden="1" outlineLevel="1">
      <c r="A272" s="73">
        <v>2</v>
      </c>
      <c r="B272" s="39" t="s">
        <v>155</v>
      </c>
      <c r="C272" s="39" t="s">
        <v>1798</v>
      </c>
      <c r="D272" s="39" t="str">
        <f>CONCATENATE(F273)</f>
        <v>설정온도를 낮춰 Blower 전압 상승에 따른 변경 시점 확인 (설정온도 Lo까지 설정했으나 8단 도달하지 못할 시 Incar 온도를 높여 확인)</v>
      </c>
      <c r="F272" s="91"/>
      <c r="L272" s="246"/>
    </row>
    <row r="273" spans="1:12" s="10" customFormat="1" hidden="1" outlineLevel="2">
      <c r="A273" s="70">
        <v>2</v>
      </c>
      <c r="E273" s="114" t="str">
        <f>VLOOKUP(C272,Tbl_Button_Display_ASSTS,11,FALSE)</f>
        <v>MsgBox</v>
      </c>
      <c r="F273" s="85" t="str">
        <f>VLOOKUP(C272,Tbl_Button_Display_ASSTS,12,FALSE)</f>
        <v>설정온도를 낮춰 Blower 전압 상승에 따른 변경 시점 확인 (설정온도 Lo까지 설정했으나 8단 도달하지 못할 시 Incar 온도를 높여 확인)</v>
      </c>
      <c r="J273" s="15"/>
      <c r="L273" s="130"/>
    </row>
    <row r="274" spans="1:12" s="10" customFormat="1" hidden="1" outlineLevel="2">
      <c r="A274" s="70">
        <v>2</v>
      </c>
      <c r="F274" s="87"/>
      <c r="G274" s="10" t="e">
        <f>FrontBlwDisp</f>
        <v>#NAME?</v>
      </c>
      <c r="I274" s="13" t="e">
        <f>VLOOKUP(I275,Tbl_BlowerUp_Display,2)</f>
        <v>#NAME?</v>
      </c>
      <c r="L274" s="130"/>
    </row>
    <row r="275" spans="1:12" s="10" customFormat="1" hidden="1" outlineLevel="2">
      <c r="A275" s="70">
        <v>2</v>
      </c>
      <c r="F275" s="87"/>
      <c r="G275" s="10" t="e">
        <f>BLW_Front</f>
        <v>#NAME?</v>
      </c>
      <c r="I275" s="247" t="e">
        <f>VLOOKUP(2,Tbl_Blower_Auto_Disp,2)</f>
        <v>#NAME?</v>
      </c>
      <c r="L275" s="130"/>
    </row>
    <row r="276" spans="1:12" s="10" customFormat="1" ht="16.5" hidden="1" outlineLevel="2">
      <c r="A276" s="70">
        <v>2</v>
      </c>
      <c r="E276" s="114" t="str">
        <f>E273</f>
        <v>MsgBox</v>
      </c>
      <c r="F276" s="85" t="s">
        <v>1862</v>
      </c>
      <c r="J276" s="15"/>
      <c r="L276" s="130"/>
    </row>
    <row r="277" spans="1:12" s="10" customFormat="1" hidden="1" outlineLevel="2">
      <c r="A277" s="70">
        <v>2</v>
      </c>
      <c r="F277" s="87"/>
      <c r="G277" s="10" t="e">
        <f>FrontBlwDisp</f>
        <v>#NAME?</v>
      </c>
      <c r="I277" s="13" t="e">
        <f>VLOOKUP(I278,Tbl_BlowerUp_Display,2)</f>
        <v>#NAME?</v>
      </c>
      <c r="L277" s="130"/>
    </row>
    <row r="278" spans="1:12" s="10" customFormat="1" hidden="1" outlineLevel="2">
      <c r="A278" s="70">
        <v>2</v>
      </c>
      <c r="F278" s="87"/>
      <c r="G278" s="10" t="e">
        <f>BLW_Front</f>
        <v>#NAME?</v>
      </c>
      <c r="I278" s="247" t="e">
        <f>VLOOKUP(3,Tbl_Blower_Auto_Disp,2)</f>
        <v>#NAME?</v>
      </c>
      <c r="L278" s="130"/>
    </row>
    <row r="279" spans="1:12" s="10" customFormat="1" hidden="1" outlineLevel="2">
      <c r="A279" s="70">
        <v>2</v>
      </c>
      <c r="E279" s="114" t="str">
        <f>E276</f>
        <v>MsgBox</v>
      </c>
      <c r="F279" s="85" t="str">
        <f>F276</f>
        <v>Blower 전압 상승에 따른 변경점 확인</v>
      </c>
      <c r="J279" s="15"/>
      <c r="L279" s="130"/>
    </row>
    <row r="280" spans="1:12" s="10" customFormat="1" hidden="1" outlineLevel="2">
      <c r="A280" s="70">
        <v>2</v>
      </c>
      <c r="F280" s="87"/>
      <c r="G280" s="10" t="e">
        <f>FrontBlwDisp</f>
        <v>#NAME?</v>
      </c>
      <c r="I280" s="13" t="e">
        <f>VLOOKUP(I281,Tbl_BlowerUp_Display,2)</f>
        <v>#NAME?</v>
      </c>
      <c r="L280" s="130"/>
    </row>
    <row r="281" spans="1:12" s="10" customFormat="1" hidden="1" outlineLevel="2">
      <c r="A281" s="70">
        <v>2</v>
      </c>
      <c r="F281" s="87"/>
      <c r="G281" s="10" t="e">
        <f>BLW_Front</f>
        <v>#NAME?</v>
      </c>
      <c r="I281" s="247" t="e">
        <f>VLOOKUP(4,Tbl_Blower_Auto_Disp,2)</f>
        <v>#NAME?</v>
      </c>
      <c r="L281" s="130"/>
    </row>
    <row r="282" spans="1:12" s="10" customFormat="1" hidden="1" outlineLevel="2">
      <c r="A282" s="70">
        <v>2</v>
      </c>
      <c r="E282" s="114" t="str">
        <f>E279</f>
        <v>MsgBox</v>
      </c>
      <c r="F282" s="85" t="str">
        <f>F279</f>
        <v>Blower 전압 상승에 따른 변경점 확인</v>
      </c>
      <c r="J282" s="15"/>
      <c r="L282" s="130"/>
    </row>
    <row r="283" spans="1:12" s="10" customFormat="1" hidden="1" outlineLevel="2">
      <c r="A283" s="70">
        <v>2</v>
      </c>
      <c r="F283" s="87"/>
      <c r="G283" s="10" t="e">
        <f>FrontBlwDisp</f>
        <v>#NAME?</v>
      </c>
      <c r="I283" s="13" t="e">
        <f>VLOOKUP(I284,Tbl_BlowerUp_Display,2)</f>
        <v>#NAME?</v>
      </c>
      <c r="L283" s="130"/>
    </row>
    <row r="284" spans="1:12" s="10" customFormat="1" hidden="1" outlineLevel="2">
      <c r="A284" s="70">
        <v>2</v>
      </c>
      <c r="F284" s="87"/>
      <c r="G284" s="10" t="e">
        <f>BLW_Front</f>
        <v>#NAME?</v>
      </c>
      <c r="I284" s="247" t="e">
        <f>VLOOKUP(5,Tbl_Blower_Auto_Disp,2)</f>
        <v>#NAME?</v>
      </c>
      <c r="L284" s="130"/>
    </row>
    <row r="285" spans="1:12" s="10" customFormat="1" hidden="1" outlineLevel="2">
      <c r="A285" s="70">
        <v>2</v>
      </c>
      <c r="E285" s="114" t="str">
        <f>E282</f>
        <v>MsgBox</v>
      </c>
      <c r="F285" s="85" t="str">
        <f>F282</f>
        <v>Blower 전압 상승에 따른 변경점 확인</v>
      </c>
      <c r="J285" s="15"/>
      <c r="L285" s="130"/>
    </row>
    <row r="286" spans="1:12" s="10" customFormat="1" hidden="1" outlineLevel="2">
      <c r="A286" s="70">
        <v>2</v>
      </c>
      <c r="F286" s="87"/>
      <c r="G286" s="10" t="e">
        <f>FrontBlwDisp</f>
        <v>#NAME?</v>
      </c>
      <c r="I286" s="13" t="e">
        <f>VLOOKUP(I287,Tbl_BlowerUp_Display,2)</f>
        <v>#NAME?</v>
      </c>
      <c r="L286" s="130"/>
    </row>
    <row r="287" spans="1:12" s="10" customFormat="1" hidden="1" outlineLevel="2">
      <c r="A287" s="70">
        <v>2</v>
      </c>
      <c r="F287" s="87"/>
      <c r="G287" s="10" t="e">
        <f>BLW_Front</f>
        <v>#NAME?</v>
      </c>
      <c r="I287" s="247" t="e">
        <f>VLOOKUP(6,Tbl_Blower_Auto_Disp,2)</f>
        <v>#NAME?</v>
      </c>
      <c r="L287" s="130"/>
    </row>
    <row r="288" spans="1:12" s="10" customFormat="1" hidden="1" outlineLevel="2">
      <c r="A288" s="70">
        <v>2</v>
      </c>
      <c r="E288" s="114" t="str">
        <f>E285</f>
        <v>MsgBox</v>
      </c>
      <c r="F288" s="85" t="str">
        <f>F285</f>
        <v>Blower 전압 상승에 따른 변경점 확인</v>
      </c>
      <c r="J288" s="15"/>
      <c r="L288" s="130"/>
    </row>
    <row r="289" spans="1:12" s="10" customFormat="1" hidden="1" outlineLevel="2">
      <c r="A289" s="70">
        <v>2</v>
      </c>
      <c r="F289" s="87"/>
      <c r="G289" s="10" t="e">
        <f>FrontBlwDisp</f>
        <v>#NAME?</v>
      </c>
      <c r="I289" s="13" t="e">
        <f>VLOOKUP(I290,Tbl_BlowerUp_Display,2)</f>
        <v>#NAME?</v>
      </c>
      <c r="L289" s="130"/>
    </row>
    <row r="290" spans="1:12" s="10" customFormat="1" hidden="1" outlineLevel="2">
      <c r="A290" s="70">
        <v>2</v>
      </c>
      <c r="F290" s="87"/>
      <c r="G290" s="10" t="e">
        <f>BLW_Front</f>
        <v>#NAME?</v>
      </c>
      <c r="I290" s="247" t="e">
        <f>VLOOKUP(7,Tbl_Blower_Auto_Disp,2)</f>
        <v>#NAME?</v>
      </c>
      <c r="L290" s="130"/>
    </row>
    <row r="291" spans="1:12" s="10" customFormat="1" hidden="1" outlineLevel="2">
      <c r="A291" s="70">
        <v>2</v>
      </c>
      <c r="E291" s="114" t="str">
        <f>E288</f>
        <v>MsgBox</v>
      </c>
      <c r="F291" s="85" t="str">
        <f>F288</f>
        <v>Blower 전압 상승에 따른 변경점 확인</v>
      </c>
      <c r="J291" s="15"/>
      <c r="L291" s="130"/>
    </row>
    <row r="292" spans="1:12" s="10" customFormat="1" hidden="1" outlineLevel="2">
      <c r="A292" s="70">
        <v>2</v>
      </c>
      <c r="F292" s="87"/>
      <c r="G292" s="10" t="e">
        <f>FrontBlwDisp</f>
        <v>#NAME?</v>
      </c>
      <c r="I292" s="13" t="e">
        <f>VLOOKUP(I293,Tbl_BlowerUp_Display,2)</f>
        <v>#NAME?</v>
      </c>
      <c r="L292" s="130"/>
    </row>
    <row r="293" spans="1:12" s="10" customFormat="1" hidden="1" outlineLevel="2">
      <c r="A293" s="70">
        <v>2</v>
      </c>
      <c r="F293" s="87"/>
      <c r="G293" s="10" t="e">
        <f>BLW_Front</f>
        <v>#NAME?</v>
      </c>
      <c r="I293" s="247" t="e">
        <f>VLOOKUP(8,Tbl_Blower_Auto_Disp,2)</f>
        <v>#NAME?</v>
      </c>
      <c r="L293" s="130"/>
    </row>
    <row r="294" spans="1:12" s="39" customFormat="1" hidden="1" outlineLevel="1">
      <c r="A294" s="73">
        <v>2</v>
      </c>
      <c r="B294" s="39" t="s">
        <v>155</v>
      </c>
      <c r="C294" s="39" t="s">
        <v>1802</v>
      </c>
      <c r="D294" s="39" t="str">
        <f>CONCATENATE(F295)</f>
        <v>설정온도를 높여 Blower 전압 하강에 따른 변경 시점 확인 (설정온도 Hi까지 설정했으나 8단 도달하지 못할 시 Incar 온도를 낮춰 확인)</v>
      </c>
      <c r="F294" s="91"/>
      <c r="L294" s="246"/>
    </row>
    <row r="295" spans="1:12" s="10" customFormat="1" hidden="1" outlineLevel="2">
      <c r="A295" s="70">
        <v>2</v>
      </c>
      <c r="E295" s="114" t="str">
        <f>VLOOKUP(C294,Tbl_Button_Display_ASSTS,11,FALSE)</f>
        <v>MsgBox</v>
      </c>
      <c r="F295" s="85" t="str">
        <f>VLOOKUP(C294,Tbl_Button_Display_ASSTS,12,FALSE)</f>
        <v>설정온도를 높여 Blower 전압 하강에 따른 변경 시점 확인 (설정온도 Hi까지 설정했으나 8단 도달하지 못할 시 Incar 온도를 낮춰 확인)</v>
      </c>
      <c r="J295" s="15"/>
      <c r="L295" s="130"/>
    </row>
    <row r="296" spans="1:12" s="10" customFormat="1" hidden="1" outlineLevel="2">
      <c r="A296" s="70">
        <v>2</v>
      </c>
      <c r="F296" s="87"/>
      <c r="G296" s="10" t="e">
        <f>FrontBlwDisp</f>
        <v>#NAME?</v>
      </c>
      <c r="I296" s="13" t="e">
        <f>VLOOKUP(I297,Tbl_BlowerDn_Display,2)</f>
        <v>#NAME?</v>
      </c>
      <c r="L296" s="130"/>
    </row>
    <row r="297" spans="1:12" s="10" customFormat="1" hidden="1" outlineLevel="2">
      <c r="A297" s="70">
        <v>2</v>
      </c>
      <c r="F297" s="87"/>
      <c r="G297" s="10" t="e">
        <f>BLW_Front</f>
        <v>#NAME?</v>
      </c>
      <c r="I297" s="249" t="e">
        <f>VLOOKUP(7,Tbl_Blower_Auto_Disp,3)</f>
        <v>#NAME?</v>
      </c>
      <c r="L297" s="130"/>
    </row>
    <row r="298" spans="1:12" s="10" customFormat="1" ht="16.5" hidden="1" outlineLevel="2">
      <c r="A298" s="70">
        <v>2</v>
      </c>
      <c r="E298" s="114" t="str">
        <f>E295</f>
        <v>MsgBox</v>
      </c>
      <c r="F298" s="85" t="s">
        <v>1861</v>
      </c>
      <c r="J298" s="15"/>
      <c r="L298" s="130"/>
    </row>
    <row r="299" spans="1:12" s="10" customFormat="1" hidden="1" outlineLevel="2">
      <c r="A299" s="70">
        <v>2</v>
      </c>
      <c r="F299" s="87"/>
      <c r="G299" s="10" t="e">
        <f>FrontBlwDisp</f>
        <v>#NAME?</v>
      </c>
      <c r="I299" s="13" t="e">
        <f>VLOOKUP(I300,Tbl_BlowerDn_Display,2)</f>
        <v>#NAME?</v>
      </c>
      <c r="L299" s="130"/>
    </row>
    <row r="300" spans="1:12" s="10" customFormat="1" hidden="1" outlineLevel="2">
      <c r="A300" s="70">
        <v>2</v>
      </c>
      <c r="F300" s="87"/>
      <c r="G300" s="10" t="e">
        <f>BLW_Front</f>
        <v>#NAME?</v>
      </c>
      <c r="I300" s="249" t="e">
        <f>VLOOKUP(6,Tbl_Blower_Auto_Disp,3)</f>
        <v>#NAME?</v>
      </c>
      <c r="L300" s="130"/>
    </row>
    <row r="301" spans="1:12" s="10" customFormat="1" hidden="1" outlineLevel="2">
      <c r="A301" s="70">
        <v>2</v>
      </c>
      <c r="E301" s="114" t="str">
        <f>E298</f>
        <v>MsgBox</v>
      </c>
      <c r="F301" s="85" t="str">
        <f>F298</f>
        <v>Blower 전압 하강에 따른 변경점 확인</v>
      </c>
      <c r="J301" s="15"/>
      <c r="L301" s="130"/>
    </row>
    <row r="302" spans="1:12" s="10" customFormat="1" hidden="1" outlineLevel="2">
      <c r="A302" s="70">
        <v>2</v>
      </c>
      <c r="F302" s="87"/>
      <c r="G302" s="10" t="e">
        <f>FrontBlwDisp</f>
        <v>#NAME?</v>
      </c>
      <c r="I302" s="13" t="e">
        <f>VLOOKUP(I303,Tbl_BlowerDn_Display,2)</f>
        <v>#NAME?</v>
      </c>
      <c r="L302" s="130"/>
    </row>
    <row r="303" spans="1:12" s="10" customFormat="1" hidden="1" outlineLevel="2">
      <c r="A303" s="70">
        <v>2</v>
      </c>
      <c r="F303" s="87"/>
      <c r="G303" s="10" t="e">
        <f>BLW_Front</f>
        <v>#NAME?</v>
      </c>
      <c r="I303" s="249" t="e">
        <f>VLOOKUP(5,Tbl_Blower_Auto_Disp,3)</f>
        <v>#NAME?</v>
      </c>
      <c r="L303" s="130"/>
    </row>
    <row r="304" spans="1:12" s="10" customFormat="1" hidden="1" outlineLevel="2">
      <c r="A304" s="70">
        <v>2</v>
      </c>
      <c r="E304" s="114" t="str">
        <f>E301</f>
        <v>MsgBox</v>
      </c>
      <c r="F304" s="85" t="str">
        <f>F301</f>
        <v>Blower 전압 하강에 따른 변경점 확인</v>
      </c>
      <c r="J304" s="15"/>
      <c r="L304" s="130"/>
    </row>
    <row r="305" spans="1:12" s="10" customFormat="1" hidden="1" outlineLevel="2">
      <c r="A305" s="70">
        <v>2</v>
      </c>
      <c r="F305" s="87"/>
      <c r="G305" s="10" t="e">
        <f>FrontBlwDisp</f>
        <v>#NAME?</v>
      </c>
      <c r="I305" s="13" t="e">
        <f>VLOOKUP(I306,Tbl_BlowerDn_Display,2)</f>
        <v>#NAME?</v>
      </c>
      <c r="L305" s="130"/>
    </row>
    <row r="306" spans="1:12" s="10" customFormat="1" hidden="1" outlineLevel="2">
      <c r="A306" s="70">
        <v>2</v>
      </c>
      <c r="F306" s="87"/>
      <c r="G306" s="10" t="e">
        <f>BLW_Front</f>
        <v>#NAME?</v>
      </c>
      <c r="I306" s="249" t="e">
        <f>VLOOKUP(4,Tbl_Blower_Auto_Disp,3)</f>
        <v>#NAME?</v>
      </c>
      <c r="L306" s="130"/>
    </row>
    <row r="307" spans="1:12" s="10" customFormat="1" hidden="1" outlineLevel="2">
      <c r="A307" s="70">
        <v>2</v>
      </c>
      <c r="E307" s="114" t="str">
        <f>E304</f>
        <v>MsgBox</v>
      </c>
      <c r="F307" s="85" t="str">
        <f>F304</f>
        <v>Blower 전압 하강에 따른 변경점 확인</v>
      </c>
      <c r="J307" s="15"/>
      <c r="L307" s="130"/>
    </row>
    <row r="308" spans="1:12" s="10" customFormat="1" hidden="1" outlineLevel="2">
      <c r="A308" s="70">
        <v>2</v>
      </c>
      <c r="F308" s="87"/>
      <c r="G308" s="10" t="e">
        <f>FrontBlwDisp</f>
        <v>#NAME?</v>
      </c>
      <c r="I308" s="13" t="e">
        <f>VLOOKUP(I309,Tbl_BlowerDn_Display,2)</f>
        <v>#NAME?</v>
      </c>
      <c r="L308" s="130"/>
    </row>
    <row r="309" spans="1:12" s="10" customFormat="1" hidden="1" outlineLevel="2">
      <c r="A309" s="70">
        <v>2</v>
      </c>
      <c r="F309" s="87"/>
      <c r="G309" s="10" t="e">
        <f>BLW_Front</f>
        <v>#NAME?</v>
      </c>
      <c r="I309" s="249" t="e">
        <f>VLOOKUP(3,Tbl_Blower_Auto_Disp,3)</f>
        <v>#NAME?</v>
      </c>
      <c r="L309" s="130"/>
    </row>
    <row r="310" spans="1:12" s="10" customFormat="1" hidden="1" outlineLevel="2">
      <c r="A310" s="70">
        <v>2</v>
      </c>
      <c r="E310" s="114" t="str">
        <f>E307</f>
        <v>MsgBox</v>
      </c>
      <c r="F310" s="85" t="str">
        <f>F307</f>
        <v>Blower 전압 하강에 따른 변경점 확인</v>
      </c>
      <c r="J310" s="15"/>
      <c r="L310" s="130"/>
    </row>
    <row r="311" spans="1:12" s="10" customFormat="1" hidden="1" outlineLevel="2">
      <c r="A311" s="70">
        <v>2</v>
      </c>
      <c r="F311" s="87"/>
      <c r="G311" s="10" t="e">
        <f>FrontBlwDisp</f>
        <v>#NAME?</v>
      </c>
      <c r="I311" s="13" t="e">
        <f>VLOOKUP(I312,Tbl_BlowerDn_Display,2)</f>
        <v>#NAME?</v>
      </c>
      <c r="L311" s="130"/>
    </row>
    <row r="312" spans="1:12" s="10" customFormat="1" hidden="1" outlineLevel="2">
      <c r="A312" s="70">
        <v>2</v>
      </c>
      <c r="F312" s="87"/>
      <c r="G312" s="10" t="e">
        <f>BLW_Front</f>
        <v>#NAME?</v>
      </c>
      <c r="I312" s="249" t="e">
        <f>VLOOKUP(2,Tbl_Blower_Auto_Disp,3)</f>
        <v>#NAME?</v>
      </c>
      <c r="L312" s="130"/>
    </row>
    <row r="313" spans="1:12" s="10" customFormat="1" hidden="1" outlineLevel="2">
      <c r="A313" s="70">
        <v>2</v>
      </c>
      <c r="E313" s="114" t="str">
        <f>E310</f>
        <v>MsgBox</v>
      </c>
      <c r="F313" s="85" t="str">
        <f>F310</f>
        <v>Blower 전압 하강에 따른 변경점 확인</v>
      </c>
      <c r="J313" s="15"/>
      <c r="L313" s="130"/>
    </row>
    <row r="314" spans="1:12" s="10" customFormat="1" hidden="1" outlineLevel="2">
      <c r="A314" s="70">
        <v>2</v>
      </c>
      <c r="D314" s="231"/>
      <c r="F314" s="87"/>
      <c r="G314" s="10" t="e">
        <f>FrontBlwDisp</f>
        <v>#NAME?</v>
      </c>
      <c r="I314" s="13" t="e">
        <f>VLOOKUP(I315,Tbl_BlowerDn_Display,2)</f>
        <v>#NAME?</v>
      </c>
      <c r="L314" s="130"/>
    </row>
    <row r="315" spans="1:12" s="10" customFormat="1" hidden="1" outlineLevel="2">
      <c r="A315" s="70">
        <v>2</v>
      </c>
      <c r="D315" s="231"/>
      <c r="F315" s="87"/>
      <c r="G315" s="10" t="e">
        <f>BLW_Front</f>
        <v>#NAME?</v>
      </c>
      <c r="I315" s="249" t="e">
        <f>VLOOKUP(1,Tbl_Blower_Auto_Disp,3)</f>
        <v>#NAME?</v>
      </c>
      <c r="L315" s="130"/>
    </row>
    <row r="316" spans="1:12" s="40" customFormat="1" ht="15">
      <c r="A316" s="66">
        <v>1</v>
      </c>
      <c r="B316" s="40" t="s">
        <v>1573</v>
      </c>
      <c r="C316" s="40" t="s">
        <v>249</v>
      </c>
      <c r="D316" s="40" t="str">
        <f>VLOOKUP(B316,Tbl_Button_Display_ASSTS,2,FALSE)</f>
        <v>기동 풍량 제어</v>
      </c>
      <c r="F316" s="82"/>
    </row>
    <row r="317" spans="1:12" s="123" customFormat="1" ht="16.5" collapsed="1">
      <c r="A317" s="122">
        <v>2</v>
      </c>
      <c r="B317" s="123" t="s">
        <v>156</v>
      </c>
      <c r="C317" s="123" t="s">
        <v>1810</v>
      </c>
      <c r="D317" s="123" t="str">
        <f>VLOOKUP(C317,Tbl_Button_Display_ASSTS, 2,FALSE)</f>
        <v>기동 풍량 제어 동작 확인</v>
      </c>
      <c r="E317" s="244"/>
      <c r="F317" s="88"/>
      <c r="L317" s="244"/>
    </row>
    <row r="318" spans="1:12" s="125" customFormat="1" hidden="1" outlineLevel="1">
      <c r="A318" s="124">
        <v>2</v>
      </c>
      <c r="B318" s="125" t="s">
        <v>38</v>
      </c>
      <c r="C318" s="125" t="s">
        <v>1811</v>
      </c>
      <c r="D318" s="125" t="s">
        <v>39</v>
      </c>
      <c r="F318" s="89"/>
    </row>
    <row r="319" spans="1:12" hidden="1" outlineLevel="2">
      <c r="A319" s="69">
        <v>2</v>
      </c>
      <c r="E319" s="8" t="e">
        <f>Incar_IN</f>
        <v>#NAME?</v>
      </c>
      <c r="F319" s="65" cm="1">
        <f t="array" ref="F319">VINTERPOLATION(VLOOKUP(C318,Tbl_Button_Display_ASSTS,2,FALSE),Tbl_Incar_Sensor,3)</f>
        <v>2.337198632711782</v>
      </c>
    </row>
    <row r="320" spans="1:12" hidden="1" outlineLevel="2">
      <c r="A320" s="69">
        <v>2</v>
      </c>
      <c r="E320" s="8" t="e">
        <f>Amb_IN</f>
        <v>#NAME?</v>
      </c>
      <c r="F320" s="65" cm="1">
        <f t="array" ref="F320">VINTERPOLATION(VLOOKUP(C318,Tbl_Button_Display_ASSTS,3,FALSE),Tbl_Amb_Sensor,3)</f>
        <v>2.7716705043452423</v>
      </c>
    </row>
    <row r="321" spans="1:12" hidden="1" outlineLevel="2">
      <c r="A321" s="69">
        <v>2</v>
      </c>
      <c r="E321" s="8" t="s">
        <v>95</v>
      </c>
      <c r="F321" s="65" t="s">
        <v>1189</v>
      </c>
    </row>
    <row r="322" spans="1:12" s="10" customFormat="1" hidden="1" outlineLevel="2">
      <c r="A322" s="70">
        <v>2</v>
      </c>
      <c r="E322" s="114" t="str">
        <f>VLOOKUP(C318,Tbl_Button_Display_ASSTS,11,FALSE)</f>
        <v>MsgBox</v>
      </c>
      <c r="F322" s="85" t="e">
        <f>VLOOKUP(C318,Tbl_Button_Display_ASSTS,12,FALSE)</f>
        <v>#NAME?</v>
      </c>
      <c r="J322" s="15"/>
      <c r="L322" s="130"/>
    </row>
    <row r="323" spans="1:12" s="10" customFormat="1" hidden="1" outlineLevel="2">
      <c r="A323" s="70">
        <v>2</v>
      </c>
      <c r="E323" s="15" t="s">
        <v>5</v>
      </c>
      <c r="F323" s="12">
        <f>VLOOKUP(C318,Tbl_Button_Display_ASSTS,13,FALSE)</f>
        <v>10</v>
      </c>
      <c r="L323" s="245"/>
    </row>
    <row r="324" spans="1:12" s="10" customFormat="1" hidden="1" outlineLevel="2">
      <c r="A324" s="70">
        <v>2</v>
      </c>
      <c r="F324" s="87"/>
      <c r="G324" s="10" t="e">
        <f>Incar_OUT</f>
        <v>#NAME?</v>
      </c>
      <c r="I324" s="13">
        <f>VLOOKUP(C318,Tbl_Button_Display_ASSTS,2,FALSE)</f>
        <v>28</v>
      </c>
      <c r="L324" s="130"/>
    </row>
    <row r="325" spans="1:12" s="10" customFormat="1" hidden="1" outlineLevel="2">
      <c r="A325" s="70">
        <v>2</v>
      </c>
      <c r="F325" s="87"/>
      <c r="G325" s="10" t="e">
        <f>Amb_OUT</f>
        <v>#NAME?</v>
      </c>
      <c r="I325" s="13">
        <f>VLOOKUP(C318,Tbl_Button_Display_ASSTS,3,FALSE)</f>
        <v>20</v>
      </c>
      <c r="L325" s="130"/>
    </row>
    <row r="326" spans="1:12" s="10" customFormat="1" ht="16.5" hidden="1" outlineLevel="2">
      <c r="A326" s="70">
        <v>2</v>
      </c>
      <c r="F326" s="87"/>
      <c r="G326" s="10" t="e">
        <f>FrontBlwDisp</f>
        <v>#NAME?</v>
      </c>
      <c r="I326" s="13">
        <f>VLOOKUP(C318,Tbl_Button_Display_ASSTS,23,FALSE)</f>
        <v>8</v>
      </c>
      <c r="L326" s="230"/>
    </row>
    <row r="327" spans="1:12" s="10" customFormat="1" hidden="1" outlineLevel="2">
      <c r="A327" s="70">
        <v>2</v>
      </c>
      <c r="F327" s="87"/>
      <c r="G327" s="10" t="e">
        <f>BLW_Front</f>
        <v>#NAME?</v>
      </c>
      <c r="H327" s="49">
        <f>VLOOKUP(C318,Tbl_Button_Display_ASSTS,24,FALSE)</f>
        <v>8</v>
      </c>
      <c r="I327" s="47" t="e">
        <f>IF(H327="","",VLOOKUP(H327,Tbl_Blower_Volt,2,FALSE))</f>
        <v>#NAME?</v>
      </c>
      <c r="L327" s="130"/>
    </row>
    <row r="328" spans="1:12" s="39" customFormat="1" hidden="1" outlineLevel="1">
      <c r="A328" s="73">
        <v>2</v>
      </c>
      <c r="B328" s="39" t="s">
        <v>155</v>
      </c>
      <c r="C328" s="39" t="s">
        <v>1812</v>
      </c>
      <c r="D328" s="39" t="str">
        <f>CONCATENATE(E329," ",F329,"회 선택 시, Blower ",I331," 확인")</f>
        <v>Sw_OFF 1회 선택 시, Blower Off 확인</v>
      </c>
      <c r="F328" s="91"/>
      <c r="L328" s="246"/>
    </row>
    <row r="329" spans="1:12" s="10" customFormat="1" hidden="1" outlineLevel="2">
      <c r="A329" s="70">
        <v>2</v>
      </c>
      <c r="E329" s="114" t="str">
        <f>VLOOKUP(C328,Tbl_Button_Display_ASSTS,11,FALSE)</f>
        <v>Sw_OFF</v>
      </c>
      <c r="F329" s="85">
        <f>VLOOKUP(C328,Tbl_Button_Display_ASSTS,12,FALSE)</f>
        <v>1</v>
      </c>
      <c r="J329" s="15"/>
      <c r="L329" s="130"/>
    </row>
    <row r="330" spans="1:12" s="10" customFormat="1" hidden="1" outlineLevel="2">
      <c r="A330" s="70">
        <v>2</v>
      </c>
      <c r="E330" s="15" t="s">
        <v>5</v>
      </c>
      <c r="F330" s="12">
        <f>VLOOKUP(C328,Tbl_Button_Display_ASSTS,13,FALSE)</f>
        <v>2</v>
      </c>
      <c r="L330" s="245"/>
    </row>
    <row r="331" spans="1:12" s="10" customFormat="1" hidden="1" outlineLevel="2">
      <c r="A331" s="70">
        <v>2</v>
      </c>
      <c r="F331" s="87"/>
      <c r="G331" s="10" t="e">
        <f>FrontBlwDisp</f>
        <v>#NAME?</v>
      </c>
      <c r="I331" s="13" t="str">
        <f>VLOOKUP(C328,Tbl_Button_Display_ASSTS,23,FALSE)</f>
        <v>Off</v>
      </c>
      <c r="L331" s="130"/>
    </row>
    <row r="332" spans="1:12" s="10" customFormat="1" hidden="1" outlineLevel="2">
      <c r="A332" s="70">
        <v>2</v>
      </c>
      <c r="F332" s="87"/>
      <c r="G332" s="10" t="e">
        <f>BLW_Front</f>
        <v>#NAME?</v>
      </c>
      <c r="H332" s="49" t="str">
        <f>VLOOKUP(C328,Tbl_Button_Display_ASSTS,24,FALSE)</f>
        <v>Off</v>
      </c>
      <c r="I332" s="47" t="e">
        <f>IF(H332="","",VLOOKUP(H332,Tbl_Blower_Mode_AC_Volt,5,FALSE))</f>
        <v>#NAME?</v>
      </c>
      <c r="L332" s="130"/>
    </row>
    <row r="333" spans="1:12" s="39" customFormat="1" hidden="1" outlineLevel="1">
      <c r="A333" s="73">
        <v>2</v>
      </c>
      <c r="B333" s="39" t="s">
        <v>155</v>
      </c>
      <c r="C333" s="39" t="s">
        <v>1817</v>
      </c>
      <c r="D333" s="39" t="e">
        <f t="shared" ref="D333" si="9">CONCATENATE(E334," ",F334,"회 선택 시, Blower ",I337,"단 및 Blower 전압 ",I338,"V 확인")</f>
        <v>#NAME?</v>
      </c>
      <c r="F333" s="91"/>
      <c r="L333" s="246"/>
    </row>
    <row r="334" spans="1:12" s="10" customFormat="1" hidden="1" outlineLevel="2">
      <c r="A334" s="70">
        <v>2</v>
      </c>
      <c r="E334" s="114" t="str">
        <f>VLOOKUP(C333,Tbl_Button_Display_ASSTS,11,FALSE)</f>
        <v>Sw_DrTemp_Up</v>
      </c>
      <c r="F334" s="85">
        <f>VLOOKUP(C333,Tbl_Button_Display_ASSTS,12,FALSE)</f>
        <v>1</v>
      </c>
      <c r="J334" s="15"/>
      <c r="L334" s="130"/>
    </row>
    <row r="335" spans="1:12" s="10" customFormat="1" hidden="1" outlineLevel="2">
      <c r="A335" s="70">
        <v>2</v>
      </c>
      <c r="E335" s="15" t="s">
        <v>5</v>
      </c>
      <c r="F335" s="12" t="str">
        <f>VLOOKUP(C333,Tbl_Button_Display_ASSTS,13,FALSE)</f>
        <v>1.0V/초 속도로 증가하는지 확인</v>
      </c>
      <c r="L335" s="245"/>
    </row>
    <row r="336" spans="1:12" s="10" customFormat="1" hidden="1" outlineLevel="2">
      <c r="A336" s="70">
        <v>2</v>
      </c>
      <c r="F336" s="87"/>
      <c r="G336" s="10" t="e">
        <f>FrontBlwDisp</f>
        <v>#NAME?</v>
      </c>
      <c r="I336" s="13">
        <f>VLOOKUP(C333,Tbl_Button_Display_ASSTS,23,FALSE)</f>
        <v>8</v>
      </c>
      <c r="L336" s="130"/>
    </row>
    <row r="337" spans="1:12" s="10" customFormat="1" hidden="1" outlineLevel="2">
      <c r="A337" s="70">
        <v>2</v>
      </c>
      <c r="F337" s="87"/>
      <c r="G337" s="10" t="e">
        <f>BLW_Front</f>
        <v>#NAME?</v>
      </c>
      <c r="H337" s="49">
        <f>VLOOKUP(C333,Tbl_Button_Display_ASSTS,24,FALSE)</f>
        <v>8</v>
      </c>
      <c r="I337" s="47" t="e">
        <f>IF(H337="","",VLOOKUP(H337,Tbl_Blower_Mode_AC_Volt,5,FALSE))</f>
        <v>#NAME?</v>
      </c>
      <c r="L337" s="130"/>
    </row>
    <row r="338" spans="1:12" s="40" customFormat="1" ht="15">
      <c r="A338" s="66">
        <v>1</v>
      </c>
      <c r="B338" s="40" t="s">
        <v>375</v>
      </c>
      <c r="C338" s="40" t="s">
        <v>1574</v>
      </c>
      <c r="D338" s="40" t="str">
        <f>VLOOKUP(B338,Tbl_Button_Display_ASSTS,2,FALSE)</f>
        <v>일사 보상</v>
      </c>
      <c r="F338" s="82"/>
    </row>
    <row r="339" spans="1:12" s="38" customFormat="1" collapsed="1">
      <c r="A339" s="71">
        <v>1</v>
      </c>
      <c r="B339" s="38" t="s">
        <v>156</v>
      </c>
      <c r="C339" s="38" t="s">
        <v>368</v>
      </c>
      <c r="D339" s="38" t="str">
        <f>VLOOKUP(C339,Tbl_Button_Display_ASSTS, 2,FALSE)</f>
        <v>LHD 사양 일사보상 동작 확인</v>
      </c>
      <c r="F339" s="88"/>
    </row>
    <row r="340" spans="1:12" s="11" customFormat="1" hidden="1" outlineLevel="1">
      <c r="A340" s="72">
        <v>1</v>
      </c>
      <c r="B340" s="11" t="s">
        <v>38</v>
      </c>
      <c r="C340" s="11" t="s">
        <v>369</v>
      </c>
      <c r="D340" s="11" t="s">
        <v>39</v>
      </c>
      <c r="F340" s="89"/>
    </row>
    <row r="341" spans="1:12" s="10" customFormat="1" hidden="1" outlineLevel="2">
      <c r="A341" s="70">
        <v>1</v>
      </c>
      <c r="E341" s="14" t="str">
        <f>VLOOKUP(C340,Tbl_Button_Display_ASSTS,11,FALSE)</f>
        <v>MsgBox</v>
      </c>
      <c r="F341" s="12" t="e">
        <f>VLOOKUP(C340,Tbl_Button_Display_ASSTS,12,FALSE)</f>
        <v>#NAME?</v>
      </c>
    </row>
    <row r="342" spans="1:12" s="10" customFormat="1" hidden="1" outlineLevel="2">
      <c r="A342" s="70">
        <v>1</v>
      </c>
      <c r="E342" s="15" t="s">
        <v>5</v>
      </c>
      <c r="F342" s="85">
        <f>VLOOKUP(C340,Tbl_Button_Display_ASSTS,13,FALSE)</f>
        <v>10</v>
      </c>
    </row>
    <row r="343" spans="1:12" s="10" customFormat="1" hidden="1" outlineLevel="2">
      <c r="A343" s="70">
        <v>1</v>
      </c>
      <c r="F343" s="87"/>
      <c r="G343" s="10" t="e">
        <f>Photo_L_OUT_V</f>
        <v>#NAME?</v>
      </c>
      <c r="I343" s="47">
        <v>0</v>
      </c>
    </row>
    <row r="344" spans="1:12" s="10" customFormat="1" hidden="1" outlineLevel="2">
      <c r="A344" s="70">
        <v>1</v>
      </c>
      <c r="F344" s="87"/>
      <c r="G344" s="10" t="e">
        <f>Photo_R_OUT_V</f>
        <v>#NAME?</v>
      </c>
      <c r="I344" s="47">
        <v>0</v>
      </c>
    </row>
    <row r="345" spans="1:12" s="10" customFormat="1" hidden="1" outlineLevel="2">
      <c r="A345" s="70">
        <v>1</v>
      </c>
      <c r="D345" s="10" t="s">
        <v>498</v>
      </c>
      <c r="F345" s="87"/>
      <c r="G345" s="10" t="e">
        <f>Act_DrTemp</f>
        <v>#NAME?</v>
      </c>
      <c r="I345" s="47" t="str">
        <f>VLOOKUP(C340,Tbl_Button_Display_ASSTS,39,FALSE)</f>
        <v>Temp_TD 연산에 따름</v>
      </c>
    </row>
    <row r="346" spans="1:12" s="10" customFormat="1" hidden="1" outlineLevel="2">
      <c r="A346" s="70">
        <v>1</v>
      </c>
      <c r="D346" s="10" t="s">
        <v>498</v>
      </c>
      <c r="F346" s="87"/>
      <c r="G346" s="10" t="e">
        <f>Act_PsTemp</f>
        <v>#NAME?</v>
      </c>
      <c r="I346" s="47" t="str">
        <f>VLOOKUP(C340,Tbl_Button_Display_ASSTS,40,FALSE)</f>
        <v>Temp_TD 연산에 따름</v>
      </c>
    </row>
    <row r="347" spans="1:12" s="39" customFormat="1" hidden="1" outlineLevel="1">
      <c r="A347" s="73">
        <v>1</v>
      </c>
      <c r="B347" s="39" t="s">
        <v>155</v>
      </c>
      <c r="C347" s="39" t="s">
        <v>370</v>
      </c>
      <c r="D347" s="39" t="e">
        <f>CONCATENATE(E348," = ",F348," 설정 시, Dr/Ps Temp Actuator 동작 확인")</f>
        <v>#NAME?</v>
      </c>
      <c r="F347" s="91"/>
    </row>
    <row r="348" spans="1:12" s="10" customFormat="1" hidden="1" outlineLevel="2">
      <c r="A348" s="70">
        <v>1</v>
      </c>
      <c r="E348" s="14" t="e">
        <f>VLOOKUP(C347,Tbl_Button_Display_ASSTS,11,FALSE)</f>
        <v>#NAME?</v>
      </c>
      <c r="F348" s="85">
        <f>VLOOKUP(C347,Tbl_Button_Display_ASSTS,12,FALSE)</f>
        <v>5</v>
      </c>
      <c r="J348" s="15"/>
    </row>
    <row r="349" spans="1:12" s="10" customFormat="1" hidden="1" outlineLevel="2">
      <c r="A349" s="70">
        <v>1</v>
      </c>
      <c r="E349" s="15" t="s">
        <v>5</v>
      </c>
      <c r="F349" s="85">
        <f>VLOOKUP(C347,Tbl_Button_Display_ASSTS,13,FALSE)</f>
        <v>112</v>
      </c>
    </row>
    <row r="350" spans="1:12" s="10" customFormat="1" hidden="1" outlineLevel="2">
      <c r="A350" s="70">
        <v>1</v>
      </c>
      <c r="F350" s="87"/>
      <c r="G350" s="10" t="e">
        <f>Photo_L_OUT_V</f>
        <v>#NAME?</v>
      </c>
      <c r="I350" s="47">
        <f>F348</f>
        <v>5</v>
      </c>
    </row>
    <row r="351" spans="1:12" s="10" customFormat="1" hidden="1" outlineLevel="2">
      <c r="A351" s="70">
        <v>1</v>
      </c>
      <c r="F351" s="87"/>
      <c r="G351" s="10" t="e">
        <f>Photo_R_OUT_V</f>
        <v>#NAME?</v>
      </c>
      <c r="I351" s="47">
        <f>I344</f>
        <v>0</v>
      </c>
    </row>
    <row r="352" spans="1:12" s="10" customFormat="1" hidden="1" outlineLevel="2">
      <c r="A352" s="70">
        <v>1</v>
      </c>
      <c r="F352" s="87"/>
      <c r="G352" s="10" t="e">
        <f>Act_DrTemp</f>
        <v>#NAME?</v>
      </c>
      <c r="I352" s="47" t="e">
        <f>VLOOKUP(C347,Tbl_Button_Display_ASSTS,39,FALSE)</f>
        <v>#NAME?</v>
      </c>
    </row>
    <row r="353" spans="1:10" s="10" customFormat="1" hidden="1" outlineLevel="2">
      <c r="A353" s="70">
        <v>1</v>
      </c>
      <c r="F353" s="87"/>
      <c r="G353" s="10" t="e">
        <f>Act_PsTemp</f>
        <v>#NAME?</v>
      </c>
      <c r="I353" s="47" t="e">
        <f>VLOOKUP(C347,Tbl_Button_Display_ASSTS,40,FALSE)</f>
        <v>#NAME?</v>
      </c>
    </row>
    <row r="354" spans="1:10" s="39" customFormat="1" hidden="1" outlineLevel="1">
      <c r="A354" s="73">
        <v>1</v>
      </c>
      <c r="B354" s="39" t="s">
        <v>155</v>
      </c>
      <c r="C354" s="39" t="s">
        <v>371</v>
      </c>
      <c r="D354" s="39" t="e">
        <f>CONCATENATE(E355," = ",F355," 설정 시, Dr/Ps Temp Actuator 동작 및 Blower 하한치 제어 확인")</f>
        <v>#NAME?</v>
      </c>
      <c r="F354" s="91"/>
    </row>
    <row r="355" spans="1:10" s="10" customFormat="1" hidden="1" outlineLevel="2">
      <c r="A355" s="70">
        <v>1</v>
      </c>
      <c r="E355" s="14" t="e">
        <f>VLOOKUP(C354,Tbl_Button_Display_ASSTS,11,FALSE)</f>
        <v>#NAME?</v>
      </c>
      <c r="F355" s="85">
        <f>VLOOKUP(C354,Tbl_Button_Display_ASSTS,12,FALSE)</f>
        <v>5</v>
      </c>
      <c r="J355" s="15"/>
    </row>
    <row r="356" spans="1:10" s="10" customFormat="1" hidden="1" outlineLevel="2">
      <c r="A356" s="70">
        <v>1</v>
      </c>
      <c r="E356" s="15" t="s">
        <v>5</v>
      </c>
      <c r="F356" s="85">
        <f>VLOOKUP(C354,Tbl_Button_Display_ASSTS,13,FALSE)</f>
        <v>112</v>
      </c>
    </row>
    <row r="357" spans="1:10" s="10" customFormat="1" hidden="1" outlineLevel="2">
      <c r="A357" s="70">
        <v>1</v>
      </c>
      <c r="F357" s="87"/>
      <c r="G357" s="10" t="e">
        <f>Photo_L_OUT_V</f>
        <v>#NAME?</v>
      </c>
      <c r="I357" s="47">
        <f>I350</f>
        <v>5</v>
      </c>
    </row>
    <row r="358" spans="1:10" s="10" customFormat="1" hidden="1" outlineLevel="2">
      <c r="A358" s="70">
        <v>1</v>
      </c>
      <c r="F358" s="87"/>
      <c r="G358" s="10" t="e">
        <f>Photo_R_OUT_V</f>
        <v>#NAME?</v>
      </c>
      <c r="I358" s="47">
        <f>F355</f>
        <v>5</v>
      </c>
    </row>
    <row r="359" spans="1:10" s="10" customFormat="1" hidden="1" outlineLevel="2">
      <c r="A359" s="70">
        <v>1</v>
      </c>
      <c r="F359" s="87"/>
      <c r="G359" s="10" t="e">
        <f>Act_DrTemp</f>
        <v>#NAME?</v>
      </c>
      <c r="I359" s="47" t="e">
        <f>VLOOKUP(C354,Tbl_Button_Display_ASSTS,39,FALSE)</f>
        <v>#NAME?</v>
      </c>
    </row>
    <row r="360" spans="1:10" s="10" customFormat="1" hidden="1" outlineLevel="2">
      <c r="A360" s="70">
        <v>1</v>
      </c>
      <c r="F360" s="87"/>
      <c r="G360" s="10" t="e">
        <f>Act_PsTemp</f>
        <v>#NAME?</v>
      </c>
      <c r="I360" s="47" t="e">
        <f>VLOOKUP(C354,Tbl_Button_Display_ASSTS,40,FALSE)</f>
        <v>#NAME?</v>
      </c>
    </row>
    <row r="361" spans="1:10" s="39" customFormat="1" hidden="1" outlineLevel="1">
      <c r="A361" s="73">
        <v>1</v>
      </c>
      <c r="B361" s="39" t="s">
        <v>155</v>
      </c>
      <c r="C361" s="39" t="s">
        <v>1542</v>
      </c>
      <c r="D361" s="39" t="str">
        <f>CONCATENATE(F362," 시, Dr/Ps Temp Actuator 동작 및 Blower 제어 확인")</f>
        <v>Snr_Proto(V) Defualt 값 설정 시, Dr/Ps Temp Actuator 동작 및 Blower 제어 확인</v>
      </c>
      <c r="F361" s="91"/>
    </row>
    <row r="362" spans="1:10" s="10" customFormat="1" hidden="1" outlineLevel="2">
      <c r="A362" s="70">
        <v>1</v>
      </c>
      <c r="E362" s="14" t="str">
        <f>VLOOKUP(C361,Tbl_Button_Display_ASSTS,11,FALSE)</f>
        <v>MsgBox</v>
      </c>
      <c r="F362" s="85" t="str">
        <f>VLOOKUP(C361,Tbl_Button_Display_ASSTS,12,FALSE)</f>
        <v>Snr_Proto(V) Defualt 값 설정</v>
      </c>
      <c r="J362" s="15"/>
    </row>
    <row r="363" spans="1:10" s="10" customFormat="1" hidden="1" outlineLevel="2">
      <c r="A363" s="70">
        <v>1</v>
      </c>
      <c r="E363" s="8" t="e">
        <f>Photo_L_V</f>
        <v>#NAME?</v>
      </c>
      <c r="F363" s="9">
        <v>0</v>
      </c>
      <c r="J363" s="15"/>
    </row>
    <row r="364" spans="1:10" s="10" customFormat="1" hidden="1" outlineLevel="2">
      <c r="A364" s="70">
        <v>1</v>
      </c>
      <c r="E364" s="8" t="e">
        <f>Photo_R_V</f>
        <v>#NAME?</v>
      </c>
      <c r="F364" s="9">
        <v>0</v>
      </c>
      <c r="J364" s="15"/>
    </row>
    <row r="365" spans="1:10" s="10" customFormat="1" hidden="1" outlineLevel="2">
      <c r="A365" s="70">
        <v>1</v>
      </c>
      <c r="E365" s="15" t="s">
        <v>5</v>
      </c>
      <c r="F365" s="85">
        <f>VLOOKUP(C361,Tbl_Button_Display_ASSTS,13,FALSE)</f>
        <v>224</v>
      </c>
    </row>
    <row r="366" spans="1:10" s="10" customFormat="1" hidden="1" outlineLevel="2">
      <c r="A366" s="70">
        <v>1</v>
      </c>
      <c r="F366" s="87"/>
      <c r="G366" s="10" t="e">
        <f>Photo_L_OUT_V</f>
        <v>#NAME?</v>
      </c>
      <c r="I366" s="47">
        <f>F363</f>
        <v>0</v>
      </c>
    </row>
    <row r="367" spans="1:10" s="10" customFormat="1" hidden="1" outlineLevel="2">
      <c r="A367" s="70">
        <v>1</v>
      </c>
      <c r="F367" s="87"/>
      <c r="G367" s="10" t="e">
        <f>Photo_R_OUT_V</f>
        <v>#NAME?</v>
      </c>
      <c r="I367" s="47">
        <f>F364</f>
        <v>0</v>
      </c>
    </row>
    <row r="368" spans="1:10" s="10" customFormat="1" hidden="1" outlineLevel="2">
      <c r="A368" s="70">
        <v>1</v>
      </c>
      <c r="F368" s="87"/>
      <c r="G368" s="10" t="e">
        <f>Act_DrTemp</f>
        <v>#NAME?</v>
      </c>
      <c r="I368" s="47" t="str">
        <f>VLOOKUP(C361,Tbl_Button_Display_ASSTS,39,FALSE)</f>
        <v>Temp_TD 연산에 따름</v>
      </c>
    </row>
    <row r="369" spans="1:12" s="10" customFormat="1" hidden="1" outlineLevel="2">
      <c r="A369" s="70">
        <v>1</v>
      </c>
      <c r="F369" s="87"/>
      <c r="G369" s="10" t="e">
        <f>Act_PsTemp</f>
        <v>#NAME?</v>
      </c>
      <c r="I369" s="47" t="str">
        <f>VLOOKUP(C361,Tbl_Button_Display_ASSTS,40,FALSE)</f>
        <v>Temp_TD 연산에 따름</v>
      </c>
    </row>
    <row r="370" spans="1:12" s="40" customFormat="1" ht="15">
      <c r="A370" s="66">
        <v>1</v>
      </c>
      <c r="B370" s="40" t="s">
        <v>1575</v>
      </c>
      <c r="C370" s="40" t="s">
        <v>583</v>
      </c>
      <c r="D370" s="40" t="str">
        <f>VLOOKUP(B370,Tbl_Button_Display_ASSTS,2,FALSE)</f>
        <v>MODE ACT'R 제어 &lt;5 MODE + DEFOG ACT'R&gt;</v>
      </c>
      <c r="F370" s="82"/>
    </row>
    <row r="371" spans="1:12" s="38" customFormat="1" collapsed="1">
      <c r="A371" s="71">
        <v>1</v>
      </c>
      <c r="B371" s="38" t="s">
        <v>156</v>
      </c>
      <c r="C371" s="38" t="s">
        <v>1819</v>
      </c>
      <c r="D371" s="38" t="str">
        <f>VLOOKUP(C371,Tbl_Button_Display_ASSTS, 2,FALSE)</f>
        <v>MODE ACT'R 제어 동작 확인</v>
      </c>
    </row>
    <row r="372" spans="1:12" s="11" customFormat="1" hidden="1" outlineLevel="1">
      <c r="A372" s="72">
        <v>1</v>
      </c>
      <c r="B372" s="11" t="s">
        <v>38</v>
      </c>
      <c r="C372" s="11" t="s">
        <v>1820</v>
      </c>
      <c r="D372" s="11" t="s">
        <v>39</v>
      </c>
    </row>
    <row r="373" spans="1:12" s="10" customFormat="1" hidden="1" outlineLevel="2">
      <c r="A373" s="70">
        <v>1</v>
      </c>
      <c r="E373" s="8" t="e">
        <f>Incar_IN</f>
        <v>#NAME?</v>
      </c>
      <c r="F373" s="65" cm="1">
        <f t="array" ref="F373">VINTERPOLATION(VLOOKUP(C372,Tbl_Button_Display_ASSTS,2,FALSE),Tbl_Incar_Sensor,3)</f>
        <v>3.3272756433630186</v>
      </c>
    </row>
    <row r="374" spans="1:12" s="10" customFormat="1" hidden="1" outlineLevel="2">
      <c r="A374" s="70">
        <v>1</v>
      </c>
      <c r="E374" s="8" t="e">
        <f>Amb_IN</f>
        <v>#NAME?</v>
      </c>
      <c r="F374" s="65" cm="1">
        <f t="array" ref="F374">VINTERPOLATION(VLOOKUP(C372,Tbl_Button_Display_ASSTS,3,FALSE),Tbl_Amb_Sensor,3)</f>
        <v>3.5649228885232098</v>
      </c>
    </row>
    <row r="375" spans="1:12" s="10" customFormat="1" hidden="1" outlineLevel="2">
      <c r="A375" s="70">
        <v>1</v>
      </c>
      <c r="E375" s="14" t="s">
        <v>95</v>
      </c>
      <c r="F375" s="12" t="s">
        <v>1189</v>
      </c>
    </row>
    <row r="376" spans="1:12" s="10" customFormat="1" hidden="1" outlineLevel="2">
      <c r="A376" s="70">
        <v>1</v>
      </c>
      <c r="E376" s="14" t="str">
        <f>VLOOKUP(C372,Tbl_Button_Display_ASSTS,11,FALSE)</f>
        <v>MsgBox</v>
      </c>
      <c r="F376" s="12" t="e">
        <f>VLOOKUP(C372,Tbl_Button_Display_ASSTS,12,FALSE)</f>
        <v>#NAME?</v>
      </c>
      <c r="J376" s="15"/>
    </row>
    <row r="377" spans="1:12" s="10" customFormat="1" hidden="1" outlineLevel="2">
      <c r="A377" s="70">
        <v>1</v>
      </c>
      <c r="E377" s="15" t="s">
        <v>5</v>
      </c>
      <c r="F377" s="12">
        <f>VLOOKUP(C372,Tbl_Button_Display_ASSTS,13,FALSE)</f>
        <v>10</v>
      </c>
    </row>
    <row r="378" spans="1:12" s="10" customFormat="1" hidden="1" outlineLevel="2">
      <c r="A378" s="70">
        <v>1</v>
      </c>
      <c r="G378" s="10" t="e">
        <f>Incar_OUT</f>
        <v>#NAME?</v>
      </c>
      <c r="I378" s="13">
        <f>VLOOKUP(C372,Tbl_Button_Display_ASSTS,2,FALSE)</f>
        <v>10</v>
      </c>
    </row>
    <row r="379" spans="1:12" s="10" customFormat="1" hidden="1" outlineLevel="2">
      <c r="A379" s="70">
        <v>1</v>
      </c>
      <c r="G379" s="10" t="e">
        <f>Amb_OUT</f>
        <v>#NAME?</v>
      </c>
      <c r="I379" s="13">
        <f>VLOOKUP(C372,Tbl_Button_Display_ASSTS,3,FALSE)</f>
        <v>5</v>
      </c>
    </row>
    <row r="380" spans="1:12" s="10" customFormat="1" hidden="1" outlineLevel="2">
      <c r="A380" s="70">
        <v>1</v>
      </c>
      <c r="G380" s="10" t="e">
        <f>ModDisp</f>
        <v>#NAME?</v>
      </c>
      <c r="I380" s="13" t="str">
        <f>VLOOKUP(C372,Tbl_Button_Display_ASSTS,16,FALSE)</f>
        <v>Floor</v>
      </c>
    </row>
    <row r="381" spans="1:12" s="10" customFormat="1" hidden="1" outlineLevel="2">
      <c r="A381" s="70">
        <v>1</v>
      </c>
      <c r="G381" s="10" t="e">
        <f>Act_DrMode</f>
        <v>#NAME?</v>
      </c>
      <c r="H381" s="49" t="str">
        <f>VLOOKUP(C372,Tbl_Button_Display_ASSTS,19,FALSE)</f>
        <v>Floor</v>
      </c>
      <c r="I381" s="47" t="e">
        <f>IF(H381="","",VLOOKUP(H381,Tbl_ModeFB_Volt,2,FALSE))</f>
        <v>#NAME?</v>
      </c>
    </row>
    <row r="382" spans="1:12" s="10" customFormat="1" hidden="1" outlineLevel="2">
      <c r="A382" s="70">
        <v>1</v>
      </c>
      <c r="G382" s="10" t="e">
        <f>Act_Def</f>
        <v>#NAME?</v>
      </c>
      <c r="H382" s="49" t="str">
        <f>VLOOKUP(C372,Tbl_Button_Display_ASSTS,22,FALSE)</f>
        <v>Floor</v>
      </c>
      <c r="I382" s="47" t="e">
        <f>IF(H382="","",VLOOKUP(H382,Tbl_DefFB_Volt,2,FALSE))</f>
        <v>#NAME?</v>
      </c>
    </row>
    <row r="383" spans="1:12" s="39" customFormat="1" hidden="1" outlineLevel="1">
      <c r="A383" s="73">
        <v>1</v>
      </c>
      <c r="B383" s="39" t="s">
        <v>155</v>
      </c>
      <c r="C383" s="39" t="s">
        <v>1821</v>
      </c>
      <c r="D383" s="39" t="str">
        <f>CONCATENATE(E384," ",F384,"회 선택 시 ",I386," MODE ACT'R 제어 동작 확인")</f>
        <v>Sw_DrMode 1회 선택 시 Mix MODE ACT'R 제어 동작 확인</v>
      </c>
      <c r="L383" s="199"/>
    </row>
    <row r="384" spans="1:12" s="10" customFormat="1" hidden="1" outlineLevel="2">
      <c r="A384" s="70">
        <v>1</v>
      </c>
      <c r="E384" s="14" t="str">
        <f>VLOOKUP(C383,Tbl_Button_Display_ASSTS,11,FALSE)</f>
        <v>Sw_DrMode</v>
      </c>
      <c r="F384" s="12">
        <f>VLOOKUP(C383,Tbl_Button_Display_ASSTS,12,FALSE)</f>
        <v>1</v>
      </c>
      <c r="J384" s="15"/>
      <c r="L384" s="130"/>
    </row>
    <row r="385" spans="1:12" s="10" customFormat="1" hidden="1" outlineLevel="2">
      <c r="A385" s="70">
        <v>1</v>
      </c>
      <c r="E385" s="15" t="s">
        <v>5</v>
      </c>
      <c r="F385" s="12">
        <f>VLOOKUP(C383,Tbl_Button_Display_ASSTS,13,FALSE)</f>
        <v>5</v>
      </c>
    </row>
    <row r="386" spans="1:12" s="10" customFormat="1" hidden="1" outlineLevel="2">
      <c r="A386" s="70">
        <v>1</v>
      </c>
      <c r="G386" s="10" t="e">
        <f>ModDisp</f>
        <v>#NAME?</v>
      </c>
      <c r="I386" s="13" t="str">
        <f>VLOOKUP(C383,Tbl_Button_Display_ASSTS,16,FALSE)</f>
        <v>Mix</v>
      </c>
    </row>
    <row r="387" spans="1:12" s="10" customFormat="1" hidden="1" outlineLevel="2">
      <c r="A387" s="70">
        <v>1</v>
      </c>
      <c r="G387" s="10" t="e">
        <f>Act_DrMode</f>
        <v>#NAME?</v>
      </c>
      <c r="H387" s="49" t="str">
        <f>VLOOKUP(C383,Tbl_Button_Display_ASSTS,19,FALSE)</f>
        <v>Mix</v>
      </c>
      <c r="I387" s="47" t="e">
        <f>IF(H387="","",VLOOKUP(H387,Tbl_ModeFB_Volt,2,FALSE))</f>
        <v>#NAME?</v>
      </c>
    </row>
    <row r="388" spans="1:12" s="10" customFormat="1" hidden="1" outlineLevel="2">
      <c r="A388" s="70">
        <v>1</v>
      </c>
      <c r="G388" s="10" t="e">
        <f>Act_Def</f>
        <v>#NAME?</v>
      </c>
      <c r="H388" s="49" t="str">
        <f>VLOOKUP(C383,Tbl_Button_Display_ASSTS,22,FALSE)</f>
        <v>Mix</v>
      </c>
      <c r="I388" s="47" t="e">
        <f>IF(H388="","",VLOOKUP(H388,Tbl_DefFB_Volt,2,FALSE))</f>
        <v>#NAME?</v>
      </c>
    </row>
    <row r="389" spans="1:12" s="39" customFormat="1" hidden="1" outlineLevel="1">
      <c r="A389" s="73">
        <v>1</v>
      </c>
      <c r="B389" s="39" t="s">
        <v>155</v>
      </c>
      <c r="C389" s="39" t="s">
        <v>1822</v>
      </c>
      <c r="D389" s="39" t="str">
        <f>CONCATENATE(E390," ",F390,"회 선택 시 ",I392," MODE ACT'R 제어 동작 확인")</f>
        <v>Sw_DrMode 1회 선택 시 Vent MODE ACT'R 제어 동작 확인</v>
      </c>
    </row>
    <row r="390" spans="1:12" s="10" customFormat="1" hidden="1" outlineLevel="2">
      <c r="A390" s="70">
        <v>1</v>
      </c>
      <c r="E390" s="14" t="str">
        <f>VLOOKUP(C389,Tbl_Button_Display_ASSTS,11,FALSE)</f>
        <v>Sw_DrMode</v>
      </c>
      <c r="F390" s="12">
        <f>VLOOKUP(C389,Tbl_Button_Display_ASSTS,12,FALSE)</f>
        <v>1</v>
      </c>
      <c r="J390" s="15"/>
    </row>
    <row r="391" spans="1:12" s="10" customFormat="1" hidden="1" outlineLevel="2">
      <c r="A391" s="70">
        <v>1</v>
      </c>
      <c r="E391" s="15" t="s">
        <v>5</v>
      </c>
      <c r="F391" s="12">
        <f>VLOOKUP(C389,Tbl_Button_Display_ASSTS,13,FALSE)</f>
        <v>5</v>
      </c>
    </row>
    <row r="392" spans="1:12" s="10" customFormat="1" hidden="1" outlineLevel="2">
      <c r="A392" s="70">
        <v>1</v>
      </c>
      <c r="G392" s="10" t="e">
        <f>ModDisp</f>
        <v>#NAME?</v>
      </c>
      <c r="I392" s="13" t="str">
        <f>VLOOKUP(C389,Tbl_Button_Display_ASSTS,16,FALSE)</f>
        <v>Vent</v>
      </c>
    </row>
    <row r="393" spans="1:12" s="10" customFormat="1" hidden="1" outlineLevel="2">
      <c r="A393" s="70">
        <v>1</v>
      </c>
      <c r="G393" s="10" t="e">
        <f>Act_DrMode</f>
        <v>#NAME?</v>
      </c>
      <c r="H393" s="49" t="str">
        <f>VLOOKUP(C389,Tbl_Button_Display_ASSTS,19,FALSE)</f>
        <v>Vent</v>
      </c>
      <c r="I393" s="47" t="e">
        <f>IF(H393="","",VLOOKUP(H393,Tbl_ModeFB_Volt,2,FALSE))</f>
        <v>#NAME?</v>
      </c>
    </row>
    <row r="394" spans="1:12" s="10" customFormat="1" hidden="1" outlineLevel="2">
      <c r="A394" s="70">
        <v>1</v>
      </c>
      <c r="G394" s="10" t="e">
        <f>Act_Def</f>
        <v>#NAME?</v>
      </c>
      <c r="H394" s="49" t="str">
        <f>VLOOKUP(C389,Tbl_Button_Display_ASSTS,22,FALSE)</f>
        <v>Vent</v>
      </c>
      <c r="I394" s="47" t="e">
        <f>IF(H394="","",VLOOKUP(H394,Tbl_DefFB_Volt,2,FALSE))</f>
        <v>#NAME?</v>
      </c>
    </row>
    <row r="395" spans="1:12" s="39" customFormat="1" hidden="1" outlineLevel="1">
      <c r="A395" s="73">
        <v>1</v>
      </c>
      <c r="B395" s="39" t="s">
        <v>155</v>
      </c>
      <c r="C395" s="39" t="s">
        <v>1827</v>
      </c>
      <c r="D395" s="39" t="str">
        <f>CONCATENATE(E396," ",F396,"회 선택 시 ",I398," MODE ACT'R 제어 동작 확인")</f>
        <v>Sw_DrMode 1회 선택 시 BL MODE ACT'R 제어 동작 확인</v>
      </c>
      <c r="L395" s="199"/>
    </row>
    <row r="396" spans="1:12" s="10" customFormat="1" hidden="1" outlineLevel="2">
      <c r="A396" s="70">
        <v>1</v>
      </c>
      <c r="E396" s="14" t="str">
        <f>VLOOKUP(C395,Tbl_Button_Display_ASSTS,11,FALSE)</f>
        <v>Sw_DrMode</v>
      </c>
      <c r="F396" s="12">
        <f>VLOOKUP(C395,Tbl_Button_Display_ASSTS,12,FALSE)</f>
        <v>1</v>
      </c>
      <c r="J396" s="15"/>
      <c r="L396" s="130"/>
    </row>
    <row r="397" spans="1:12" s="10" customFormat="1" hidden="1" outlineLevel="2">
      <c r="A397" s="70">
        <v>1</v>
      </c>
      <c r="E397" s="15" t="s">
        <v>5</v>
      </c>
      <c r="F397" s="12">
        <f>VLOOKUP(C395,Tbl_Button_Display_ASSTS,13,FALSE)</f>
        <v>5</v>
      </c>
    </row>
    <row r="398" spans="1:12" s="10" customFormat="1" hidden="1" outlineLevel="2">
      <c r="A398" s="70">
        <v>1</v>
      </c>
      <c r="G398" s="10" t="e">
        <f>ModDisp</f>
        <v>#NAME?</v>
      </c>
      <c r="I398" s="13" t="str">
        <f>VLOOKUP(C395,Tbl_Button_Display_ASSTS,16,FALSE)</f>
        <v>BL</v>
      </c>
    </row>
    <row r="399" spans="1:12" s="10" customFormat="1" hidden="1" outlineLevel="2">
      <c r="A399" s="70">
        <v>1</v>
      </c>
      <c r="G399" s="10" t="e">
        <f>Act_DrMode</f>
        <v>#NAME?</v>
      </c>
      <c r="H399" s="49" t="str">
        <f>VLOOKUP(C395,Tbl_Button_Display_ASSTS,19,FALSE)</f>
        <v>BL</v>
      </c>
      <c r="I399" s="47" t="e">
        <f>IF(H399="","",VLOOKUP(H399,Tbl_ModeFB_Volt,2,FALSE))</f>
        <v>#NAME?</v>
      </c>
    </row>
    <row r="400" spans="1:12" s="10" customFormat="1" hidden="1" outlineLevel="2">
      <c r="A400" s="70">
        <v>1</v>
      </c>
      <c r="G400" s="10" t="e">
        <f>Act_Def</f>
        <v>#NAME?</v>
      </c>
      <c r="H400" s="49" t="str">
        <f>VLOOKUP(C395,Tbl_Button_Display_ASSTS,22,FALSE)</f>
        <v>BL</v>
      </c>
      <c r="I400" s="47" t="e">
        <f>IF(H400="","",VLOOKUP(H400,Tbl_DefFB_Volt,2,FALSE))</f>
        <v>#NAME?</v>
      </c>
    </row>
    <row r="401" spans="1:10" s="39" customFormat="1" hidden="1" outlineLevel="1">
      <c r="A401" s="73">
        <v>1</v>
      </c>
      <c r="B401" s="39" t="s">
        <v>155</v>
      </c>
      <c r="C401" s="39" t="s">
        <v>1828</v>
      </c>
      <c r="D401" s="39" t="str">
        <f>CONCATENATE(E402," ",F402,"회 선택 시 ",I404," MODE ACT'R 제어 동작 확인")</f>
        <v>Sw_DEF 1회 선택 시 DEF MODE ACT'R 제어 동작 확인</v>
      </c>
    </row>
    <row r="402" spans="1:10" s="10" customFormat="1" hidden="1" outlineLevel="2">
      <c r="A402" s="70">
        <v>1</v>
      </c>
      <c r="E402" s="14" t="str">
        <f>VLOOKUP(C401,Tbl_Button_Display_ASSTS,11,FALSE)</f>
        <v>Sw_DEF</v>
      </c>
      <c r="F402" s="12">
        <f>VLOOKUP(C401,Tbl_Button_Display_ASSTS,12,FALSE)</f>
        <v>1</v>
      </c>
      <c r="J402" s="15"/>
    </row>
    <row r="403" spans="1:10" s="10" customFormat="1" hidden="1" outlineLevel="2">
      <c r="A403" s="70">
        <v>1</v>
      </c>
      <c r="E403" s="15" t="s">
        <v>5</v>
      </c>
      <c r="F403" s="12">
        <f>VLOOKUP(C401,Tbl_Button_Display_ASSTS,13,FALSE)</f>
        <v>5</v>
      </c>
    </row>
    <row r="404" spans="1:10" s="10" customFormat="1" hidden="1" outlineLevel="2">
      <c r="A404" s="70">
        <v>1</v>
      </c>
      <c r="G404" s="10" t="e">
        <f>ModDisp</f>
        <v>#NAME?</v>
      </c>
      <c r="I404" s="13" t="str">
        <f>VLOOKUP(C401,Tbl_Button_Display_ASSTS,16,FALSE)</f>
        <v>DEF</v>
      </c>
    </row>
    <row r="405" spans="1:10" s="10" customFormat="1" hidden="1" outlineLevel="2">
      <c r="A405" s="70">
        <v>1</v>
      </c>
      <c r="G405" s="10" t="e">
        <f>Act_DrMode</f>
        <v>#NAME?</v>
      </c>
      <c r="H405" s="49" t="str">
        <f>VLOOKUP(C401,Tbl_Button_Display_ASSTS,19,FALSE)</f>
        <v>DEF</v>
      </c>
      <c r="I405" s="47" t="e">
        <f>IF(H405="","",VLOOKUP(H405,Tbl_ModeFB_Volt,2,FALSE))</f>
        <v>#NAME?</v>
      </c>
    </row>
    <row r="406" spans="1:10" s="10" customFormat="1" hidden="1" outlineLevel="2">
      <c r="A406" s="70">
        <v>1</v>
      </c>
      <c r="G406" s="10" t="e">
        <f>Act_Def</f>
        <v>#NAME?</v>
      </c>
      <c r="H406" s="49" t="str">
        <f>VLOOKUP(C401,Tbl_Button_Display_ASSTS,22,FALSE)</f>
        <v>DEF</v>
      </c>
      <c r="I406" s="47" t="e">
        <f>IF(H406="","",VLOOKUP(H406,Tbl_DefFB_Volt,2,FALSE))</f>
        <v>#NAME?</v>
      </c>
    </row>
    <row r="407" spans="1:10" s="40" customFormat="1" ht="15">
      <c r="A407" s="66">
        <v>1</v>
      </c>
      <c r="B407" s="40" t="s">
        <v>1576</v>
      </c>
      <c r="C407" s="40" t="s">
        <v>584</v>
      </c>
      <c r="D407" s="40" t="str">
        <f>VLOOKUP(B407,Tbl_Button_Display_ASSTS,2,FALSE)</f>
        <v>MIX/DEF LOGIC 제어 (내수/일반/인도) =&gt; 버튼 작동 TC 확인</v>
      </c>
      <c r="F407" s="82"/>
    </row>
    <row r="408" spans="1:10" s="38" customFormat="1" collapsed="1">
      <c r="A408" s="71">
        <v>1</v>
      </c>
      <c r="B408" s="38" t="s">
        <v>156</v>
      </c>
      <c r="C408" s="38" t="s">
        <v>1544</v>
      </c>
      <c r="D408" s="38" t="str">
        <f>VLOOKUP(C408,Tbl_Button_Display_ASSTS, 2,FALSE)</f>
        <v>MIX Mode 선택 시 로직 작동 확인 - Auto Floor 상태 (AC Off, Intake FRE)</v>
      </c>
    </row>
    <row r="409" spans="1:10" s="11" customFormat="1" hidden="1" outlineLevel="1">
      <c r="A409" s="72">
        <v>1</v>
      </c>
      <c r="B409" s="11" t="s">
        <v>38</v>
      </c>
      <c r="C409" s="11" t="s">
        <v>1545</v>
      </c>
      <c r="D409" s="11" t="s">
        <v>39</v>
      </c>
    </row>
    <row r="410" spans="1:10" s="10" customFormat="1" hidden="1" outlineLevel="2">
      <c r="A410" s="70">
        <v>1</v>
      </c>
      <c r="E410" s="8" t="e">
        <f>Incar_IN</f>
        <v>#NAME?</v>
      </c>
      <c r="F410" s="65" cm="1">
        <f t="array" ref="F410">VINTERPOLATION(VLOOKUP(C409,Tbl_Button_Display_ASSTS,2,FALSE),Tbl_Incar_Sensor,3)</f>
        <v>3.3272756433630186</v>
      </c>
    </row>
    <row r="411" spans="1:10" s="10" customFormat="1" hidden="1" outlineLevel="2">
      <c r="A411" s="70">
        <v>1</v>
      </c>
      <c r="E411" s="8" t="e">
        <f>Amb_IN</f>
        <v>#NAME?</v>
      </c>
      <c r="F411" s="65" cm="1">
        <f t="array" ref="F411">VINTERPOLATION(VLOOKUP(C409,Tbl_Button_Display_ASSTS,3,FALSE),Tbl_Amb_Sensor,3)</f>
        <v>3.5649228885232098</v>
      </c>
    </row>
    <row r="412" spans="1:10" s="10" customFormat="1" hidden="1" outlineLevel="2">
      <c r="A412" s="70">
        <v>1</v>
      </c>
      <c r="E412" s="14" t="s">
        <v>95</v>
      </c>
      <c r="F412" s="12" t="s">
        <v>1189</v>
      </c>
    </row>
    <row r="413" spans="1:10" s="10" customFormat="1" hidden="1" outlineLevel="2">
      <c r="A413" s="70">
        <v>1</v>
      </c>
      <c r="E413" s="15" t="s">
        <v>5</v>
      </c>
      <c r="F413" s="12">
        <f>VLOOKUP(C409,Tbl_Button_Display_ASSTS,13,FALSE)</f>
        <v>10</v>
      </c>
    </row>
    <row r="414" spans="1:10" s="10" customFormat="1" hidden="1" outlineLevel="2">
      <c r="A414" s="70">
        <v>1</v>
      </c>
      <c r="D414" s="10" t="e">
        <f>IF(BAT_ON_Initialize="X","Set_System_On","")</f>
        <v>#NAME?</v>
      </c>
      <c r="E414" s="14" t="e">
        <f>IF(D414="Set_System_On","Sw_DrTemp_Up","")</f>
        <v>#NAME?</v>
      </c>
      <c r="F414" s="85" t="e">
        <f>IF(D414="Set_System_On",1,"")</f>
        <v>#NAME?</v>
      </c>
      <c r="J414" s="15"/>
    </row>
    <row r="415" spans="1:10" s="10" customFormat="1" hidden="1" outlineLevel="2">
      <c r="A415" s="70">
        <v>1</v>
      </c>
      <c r="E415" s="15" t="e">
        <f>IF(D414="Set_System_On","Delay(Sec)","")</f>
        <v>#NAME?</v>
      </c>
      <c r="F415" s="85" t="e">
        <f>IF(D414="Set_System_On",2,"")</f>
        <v>#NAME?</v>
      </c>
    </row>
    <row r="416" spans="1:10" s="10" customFormat="1" hidden="1" outlineLevel="2">
      <c r="A416" s="70">
        <v>1</v>
      </c>
      <c r="E416" s="14" t="str">
        <f>VLOOKUP(C409,Tbl_Button_Display_ASSTS,11,FALSE)</f>
        <v>MsgBox</v>
      </c>
      <c r="F416" s="12" t="str">
        <f>VLOOKUP(C409,Tbl_Button_Display_ASSTS,12,FALSE)</f>
        <v>Intake=REC 수동 설정</v>
      </c>
      <c r="J416" s="15"/>
    </row>
    <row r="417" spans="1:12" s="10" customFormat="1" hidden="1" outlineLevel="2">
      <c r="A417" s="70">
        <v>1</v>
      </c>
      <c r="E417" s="15" t="s">
        <v>5</v>
      </c>
      <c r="F417" s="85">
        <v>2</v>
      </c>
    </row>
    <row r="418" spans="1:12" s="10" customFormat="1" hidden="1" outlineLevel="2">
      <c r="A418" s="70">
        <v>1</v>
      </c>
      <c r="G418" s="10" t="e">
        <f>Incar_OUT</f>
        <v>#NAME?</v>
      </c>
      <c r="I418" s="13">
        <f>VLOOKUP(C409,Tbl_Button_Display_ASSTS,2,FALSE)</f>
        <v>10</v>
      </c>
    </row>
    <row r="419" spans="1:12" s="10" customFormat="1" hidden="1" outlineLevel="2">
      <c r="A419" s="70">
        <v>1</v>
      </c>
      <c r="G419" s="10" t="e">
        <f>Amb_OUT</f>
        <v>#NAME?</v>
      </c>
      <c r="I419" s="13">
        <f>VLOOKUP(C409,Tbl_Button_Display_ASSTS,3,FALSE)</f>
        <v>5</v>
      </c>
    </row>
    <row r="420" spans="1:12" s="10" customFormat="1" hidden="1" outlineLevel="2">
      <c r="A420" s="70">
        <v>1</v>
      </c>
      <c r="G420" s="10" t="e">
        <f>AutoDisp</f>
        <v>#NAME?</v>
      </c>
      <c r="I420" s="13" t="str">
        <f>VLOOKUP(C409,Tbl_Button_Display_ASSTS,14,FALSE)</f>
        <v>On</v>
      </c>
    </row>
    <row r="421" spans="1:12" s="10" customFormat="1" hidden="1" outlineLevel="2">
      <c r="A421" s="70">
        <v>1</v>
      </c>
      <c r="G421" s="10" t="e">
        <f>ModDisp</f>
        <v>#NAME?</v>
      </c>
      <c r="I421" s="13" t="str">
        <f>VLOOKUP(C409,Tbl_Button_Display_ASSTS,16,FALSE)</f>
        <v>Floor</v>
      </c>
    </row>
    <row r="422" spans="1:12" s="10" customFormat="1" hidden="1" outlineLevel="2">
      <c r="A422" s="70">
        <v>1</v>
      </c>
      <c r="G422" s="10" t="e">
        <f>IntakeDisp</f>
        <v>#NAME?</v>
      </c>
      <c r="I422" s="13" t="str">
        <f>VLOOKUP(C409,Tbl_Button_Display_ASSTS,34,FALSE)</f>
        <v>REC</v>
      </c>
    </row>
    <row r="423" spans="1:12" s="10" customFormat="1" hidden="1" outlineLevel="2">
      <c r="A423" s="70">
        <v>1</v>
      </c>
      <c r="G423" s="10" t="e">
        <f>AcDisp</f>
        <v>#NAME?</v>
      </c>
      <c r="I423" s="13" t="str">
        <f>VLOOKUP(C409,Tbl_Button_Display_ASSTS,31,FALSE)</f>
        <v>Off</v>
      </c>
    </row>
    <row r="424" spans="1:12" s="39" customFormat="1" ht="16.5" hidden="1" outlineLevel="1">
      <c r="A424" s="73">
        <v>1</v>
      </c>
      <c r="B424" s="39" t="s">
        <v>155</v>
      </c>
      <c r="C424" s="39" t="s">
        <v>1546</v>
      </c>
      <c r="D424" s="39" t="str">
        <f>CONCATENATE(E425," ",F425,"회 선택 시 MIX 진입 확인")</f>
        <v>Sw_DrMode 1회 선택 시 MIX 진입 확인</v>
      </c>
      <c r="L424" s="199" t="s">
        <v>1499</v>
      </c>
    </row>
    <row r="425" spans="1:12" s="10" customFormat="1" ht="16.5" hidden="1" outlineLevel="2">
      <c r="A425" s="70">
        <v>1</v>
      </c>
      <c r="E425" s="14" t="str">
        <f>VLOOKUP(C424,Tbl_Button_Display_ASSTS,11,FALSE)</f>
        <v>Sw_DrMode</v>
      </c>
      <c r="F425" s="12">
        <f>VLOOKUP(C424,Tbl_Button_Display_ASSTS,12,FALSE)</f>
        <v>1</v>
      </c>
      <c r="J425" s="15"/>
      <c r="L425" s="130" t="s">
        <v>1593</v>
      </c>
    </row>
    <row r="426" spans="1:12" s="10" customFormat="1" hidden="1" outlineLevel="2">
      <c r="A426" s="70">
        <v>1</v>
      </c>
      <c r="E426" s="15" t="s">
        <v>5</v>
      </c>
      <c r="F426" s="12">
        <f>VLOOKUP(C424,Tbl_Button_Display_ASSTS,13,FALSE)</f>
        <v>2</v>
      </c>
    </row>
    <row r="427" spans="1:12" s="10" customFormat="1" hidden="1" outlineLevel="2">
      <c r="A427" s="70">
        <v>1</v>
      </c>
      <c r="G427" s="10" t="e">
        <f>ModDisp</f>
        <v>#NAME?</v>
      </c>
      <c r="I427" s="13" t="str">
        <f>VLOOKUP(C424,Tbl_Button_Display_ASSTS,16,FALSE)</f>
        <v>Mix</v>
      </c>
    </row>
    <row r="428" spans="1:12" s="10" customFormat="1" hidden="1" outlineLevel="2">
      <c r="A428" s="70">
        <v>1</v>
      </c>
      <c r="G428" s="10" t="e">
        <f>IntakeDisp</f>
        <v>#NAME?</v>
      </c>
      <c r="I428" s="13" t="str">
        <f>VLOOKUP(C424,Tbl_Button_Display_ASSTS,34,FALSE)</f>
        <v>FRE</v>
      </c>
    </row>
    <row r="429" spans="1:12" s="10" customFormat="1" hidden="1" outlineLevel="2">
      <c r="A429" s="70">
        <v>1</v>
      </c>
      <c r="G429" s="10" t="e">
        <f>AcDisp</f>
        <v>#NAME?</v>
      </c>
      <c r="I429" s="13" t="str">
        <f>VLOOKUP(C424,Tbl_Button_Display_ASSTS,31,FALSE)</f>
        <v>On</v>
      </c>
    </row>
    <row r="430" spans="1:12" s="39" customFormat="1" hidden="1" outlineLevel="1">
      <c r="A430" s="73">
        <v>1</v>
      </c>
      <c r="B430" s="39" t="s">
        <v>155</v>
      </c>
      <c r="C430" s="39" t="s">
        <v>1547</v>
      </c>
      <c r="D430" s="39" t="str">
        <f>CONCATENATE(E431," ",F431,"회 선택 시 MIX 해제 확인")</f>
        <v>Sw_DrMode 1회 선택 시 MIX 해제 확인</v>
      </c>
    </row>
    <row r="431" spans="1:12" s="10" customFormat="1" hidden="1" outlineLevel="2">
      <c r="A431" s="70">
        <v>1</v>
      </c>
      <c r="E431" s="14" t="str">
        <f>VLOOKUP(C430,Tbl_Button_Display_ASSTS,11,FALSE)</f>
        <v>Sw_DrMode</v>
      </c>
      <c r="F431" s="12">
        <f>VLOOKUP(C430,Tbl_Button_Display_ASSTS,12,FALSE)</f>
        <v>1</v>
      </c>
      <c r="J431" s="15"/>
    </row>
    <row r="432" spans="1:12" s="10" customFormat="1" hidden="1" outlineLevel="2">
      <c r="A432" s="70">
        <v>1</v>
      </c>
      <c r="E432" s="15" t="s">
        <v>5</v>
      </c>
      <c r="F432" s="12">
        <f>VLOOKUP(C430,Tbl_Button_Display_ASSTS,13,FALSE)</f>
        <v>2</v>
      </c>
    </row>
    <row r="433" spans="1:12" s="10" customFormat="1" hidden="1" outlineLevel="2">
      <c r="A433" s="70">
        <v>1</v>
      </c>
      <c r="G433" s="10" t="e">
        <f>ModDisp</f>
        <v>#NAME?</v>
      </c>
      <c r="I433" s="13" t="str">
        <f>VLOOKUP(C430,Tbl_Button_Display_ASSTS,16,FALSE)</f>
        <v>Vent</v>
      </c>
    </row>
    <row r="434" spans="1:12" s="10" customFormat="1" hidden="1" outlineLevel="2">
      <c r="A434" s="70">
        <v>1</v>
      </c>
      <c r="G434" s="10" t="e">
        <f>IntakeDisp</f>
        <v>#NAME?</v>
      </c>
      <c r="I434" s="13" t="str">
        <f>VLOOKUP(C430,Tbl_Button_Display_ASSTS,34,FALSE)</f>
        <v>REC</v>
      </c>
    </row>
    <row r="435" spans="1:12" s="10" customFormat="1" hidden="1" outlineLevel="2">
      <c r="A435" s="70">
        <v>1</v>
      </c>
      <c r="G435" s="10" t="e">
        <f>AcDisp</f>
        <v>#NAME?</v>
      </c>
      <c r="I435" s="13" t="str">
        <f>VLOOKUP(C430,Tbl_Button_Display_ASSTS,31,FALSE)</f>
        <v>Off</v>
      </c>
    </row>
    <row r="436" spans="1:12" s="38" customFormat="1" collapsed="1">
      <c r="A436" s="71">
        <v>1</v>
      </c>
      <c r="B436" s="38" t="s">
        <v>156</v>
      </c>
      <c r="C436" s="38" t="s">
        <v>1548</v>
      </c>
      <c r="D436" s="38" t="str">
        <f>VLOOKUP(C436,Tbl_Button_Display_ASSTS, 2,FALSE)</f>
        <v>DEF 선택 시 DEF 로직 작동 확인 - Auto Floor 상태 (AC Off, Intake FRE, Blower &lt; 6.5)  =&gt; 버튼 작동 TC 확인</v>
      </c>
    </row>
    <row r="437" spans="1:12" s="39" customFormat="1" ht="16.5" hidden="1" outlineLevel="1">
      <c r="A437" s="73">
        <v>1</v>
      </c>
      <c r="B437" s="39" t="s">
        <v>155</v>
      </c>
      <c r="C437" s="39" t="s">
        <v>1549</v>
      </c>
      <c r="D437" s="39" t="str">
        <f>CONCATENATE(E438," ",F438,"회 선택 시 DEF 진입 확인")</f>
        <v>Sw_DEF 1회 선택 시 DEF 진입 확인</v>
      </c>
      <c r="L437" s="199" t="s">
        <v>1499</v>
      </c>
    </row>
    <row r="438" spans="1:12" s="10" customFormat="1" ht="16.5" hidden="1" outlineLevel="2">
      <c r="A438" s="70">
        <v>1</v>
      </c>
      <c r="E438" s="14" t="str">
        <f>VLOOKUP(C437,Tbl_Button_Display_ASSTS,11,FALSE)</f>
        <v>Sw_DEF</v>
      </c>
      <c r="F438" s="12">
        <f>VLOOKUP(C437,Tbl_Button_Display_ASSTS,12,FALSE)</f>
        <v>1</v>
      </c>
      <c r="J438" s="15"/>
      <c r="L438" s="130" t="s">
        <v>1500</v>
      </c>
    </row>
    <row r="439" spans="1:12" s="10" customFormat="1" hidden="1" outlineLevel="2">
      <c r="A439" s="70">
        <v>1</v>
      </c>
      <c r="E439" s="15" t="s">
        <v>5</v>
      </c>
      <c r="F439" s="12">
        <f>VLOOKUP(C437,Tbl_Button_Display_ASSTS,13,FALSE)</f>
        <v>2</v>
      </c>
    </row>
    <row r="440" spans="1:12" s="10" customFormat="1" hidden="1" outlineLevel="2">
      <c r="A440" s="70">
        <v>1</v>
      </c>
      <c r="G440" s="10" t="e">
        <f>DEFDisp</f>
        <v>#NAME?</v>
      </c>
      <c r="I440" s="13" t="str">
        <f>VLOOKUP(C437,Tbl_Button_Display_ASSTS,36,FALSE)</f>
        <v>On</v>
      </c>
    </row>
    <row r="441" spans="1:12" s="10" customFormat="1" hidden="1" outlineLevel="2">
      <c r="A441" s="70">
        <v>1</v>
      </c>
      <c r="G441" s="10" t="e">
        <f>ModDisp</f>
        <v>#NAME?</v>
      </c>
      <c r="I441" s="13" t="str">
        <f>VLOOKUP(C437,Tbl_Button_Display_ASSTS,16,FALSE)</f>
        <v>Def</v>
      </c>
    </row>
    <row r="442" spans="1:12" s="10" customFormat="1" hidden="1" outlineLevel="2">
      <c r="A442" s="70">
        <v>1</v>
      </c>
      <c r="G442" s="10" t="e">
        <f>IntakeDisp</f>
        <v>#NAME?</v>
      </c>
      <c r="I442" s="13" t="str">
        <f>VLOOKUP(C437,Tbl_Button_Display_ASSTS,34,FALSE)</f>
        <v>FRE</v>
      </c>
    </row>
    <row r="443" spans="1:12" s="10" customFormat="1" hidden="1" outlineLevel="2">
      <c r="A443" s="70">
        <v>1</v>
      </c>
      <c r="G443" s="10" t="e">
        <f>AcDisp</f>
        <v>#NAME?</v>
      </c>
      <c r="I443" s="13" t="str">
        <f>VLOOKUP(C437,Tbl_Button_Display_ASSTS,31,FALSE)</f>
        <v>On</v>
      </c>
    </row>
    <row r="444" spans="1:12" s="39" customFormat="1" hidden="1" outlineLevel="1">
      <c r="A444" s="73">
        <v>1</v>
      </c>
      <c r="B444" s="39" t="s">
        <v>155</v>
      </c>
      <c r="C444" s="39" t="s">
        <v>1550</v>
      </c>
      <c r="D444" s="39" t="str">
        <f>CONCATENATE(E445," ",F445,"회 선택 시 DEF 해제 확인")</f>
        <v>Sw_DEF 1회 선택 시 DEF 해제 확인</v>
      </c>
    </row>
    <row r="445" spans="1:12" s="10" customFormat="1" hidden="1" outlineLevel="2">
      <c r="A445" s="70">
        <v>1</v>
      </c>
      <c r="E445" s="14" t="str">
        <f>VLOOKUP(C444,Tbl_Button_Display_ASSTS,11,FALSE)</f>
        <v>Sw_DEF</v>
      </c>
      <c r="F445" s="12">
        <f>VLOOKUP(C444,Tbl_Button_Display_ASSTS,12,FALSE)</f>
        <v>1</v>
      </c>
      <c r="J445" s="15"/>
    </row>
    <row r="446" spans="1:12" s="10" customFormat="1" hidden="1" outlineLevel="2">
      <c r="A446" s="70">
        <v>1</v>
      </c>
      <c r="E446" s="15" t="s">
        <v>5</v>
      </c>
      <c r="F446" s="12">
        <f>VLOOKUP(C444,Tbl_Button_Display_ASSTS,13,FALSE)</f>
        <v>2</v>
      </c>
    </row>
    <row r="447" spans="1:12" s="10" customFormat="1" hidden="1" outlineLevel="2">
      <c r="A447" s="70">
        <v>1</v>
      </c>
      <c r="G447" s="10" t="e">
        <f>DEFDisp</f>
        <v>#NAME?</v>
      </c>
      <c r="I447" s="13" t="str">
        <f>VLOOKUP(C444,Tbl_Button_Display_ASSTS,36,FALSE)</f>
        <v>Off</v>
      </c>
    </row>
    <row r="448" spans="1:12" s="10" customFormat="1" hidden="1" outlineLevel="2">
      <c r="A448" s="70">
        <v>1</v>
      </c>
      <c r="G448" s="10" t="e">
        <f>ModDisp</f>
        <v>#NAME?</v>
      </c>
      <c r="I448" s="13" t="str">
        <f>VLOOKUP(C444,Tbl_Button_Display_ASSTS,16,FALSE)</f>
        <v>Vent</v>
      </c>
    </row>
    <row r="449" spans="1:10" s="10" customFormat="1" hidden="1" outlineLevel="2">
      <c r="A449" s="70">
        <v>1</v>
      </c>
      <c r="G449" s="10" t="e">
        <f>IntakeDisp</f>
        <v>#NAME?</v>
      </c>
      <c r="I449" s="13" t="str">
        <f>VLOOKUP(C444,Tbl_Button_Display_ASSTS,34,FALSE)</f>
        <v>REC</v>
      </c>
    </row>
    <row r="450" spans="1:10" s="10" customFormat="1" hidden="1" outlineLevel="2">
      <c r="A450" s="70">
        <v>1</v>
      </c>
      <c r="G450" s="10" t="e">
        <f>AcDisp</f>
        <v>#NAME?</v>
      </c>
      <c r="I450" s="13" t="str">
        <f>VLOOKUP(C444,Tbl_Button_Display_ASSTS,31,FALSE)</f>
        <v>Off</v>
      </c>
    </row>
    <row r="451" spans="1:10" s="40" customFormat="1" ht="15">
      <c r="A451" s="66">
        <v>1</v>
      </c>
      <c r="B451" s="40" t="s">
        <v>422</v>
      </c>
      <c r="C451" s="40" t="s">
        <v>423</v>
      </c>
      <c r="D451" s="40" t="str">
        <f t="shared" ref="D451:D730" si="10">VLOOKUP(B451,Tbl_Button_Display_ASSTS,2,FALSE)</f>
        <v xml:space="preserve">DEFOG LOGIC 제어 (내수/일반/인도) </v>
      </c>
      <c r="F451" s="82"/>
    </row>
    <row r="452" spans="1:10" s="38" customFormat="1" collapsed="1">
      <c r="A452" s="71">
        <v>1</v>
      </c>
      <c r="B452" s="38" t="s">
        <v>156</v>
      </c>
      <c r="C452" s="38" t="s">
        <v>1551</v>
      </c>
      <c r="D452" s="38" t="str">
        <f>VLOOKUP(C452,Tbl_Button_Display_ASSTS, 2,FALSE)</f>
        <v>DEFOG LOGIC 제어 확인 - Mode, Mix/Def 외</v>
      </c>
      <c r="F452" s="88"/>
    </row>
    <row r="453" spans="1:10" s="11" customFormat="1" hidden="1" outlineLevel="1">
      <c r="A453" s="72">
        <v>1</v>
      </c>
      <c r="B453" s="11" t="s">
        <v>38</v>
      </c>
      <c r="C453" s="11" t="s">
        <v>1562</v>
      </c>
      <c r="D453" s="11" t="s">
        <v>39</v>
      </c>
      <c r="F453" s="89"/>
    </row>
    <row r="454" spans="1:10" s="10" customFormat="1" hidden="1" outlineLevel="2">
      <c r="A454" s="70">
        <v>1</v>
      </c>
      <c r="E454" s="14" t="str">
        <f>VLOOKUP(C453,Tbl_Button_Display_ASSTS,11,FALSE)</f>
        <v>Sw_OFF</v>
      </c>
      <c r="F454" s="85">
        <f>VLOOKUP(C453,Tbl_Button_Display_ASSTS,12,FALSE)</f>
        <v>1</v>
      </c>
      <c r="J454" s="15"/>
    </row>
    <row r="455" spans="1:10" s="10" customFormat="1" hidden="1" outlineLevel="2">
      <c r="A455" s="70">
        <v>1</v>
      </c>
      <c r="E455" s="15" t="s">
        <v>5</v>
      </c>
      <c r="F455" s="85">
        <f>VLOOKUP(C453,Tbl_Button_Display_ASSTS,13,FALSE)</f>
        <v>2</v>
      </c>
    </row>
    <row r="456" spans="1:10" s="10" customFormat="1" hidden="1" outlineLevel="2">
      <c r="A456" s="70">
        <v>1</v>
      </c>
      <c r="F456" s="87"/>
      <c r="G456" s="10" t="e">
        <f>ModDisp</f>
        <v>#NAME?</v>
      </c>
      <c r="I456" s="13" t="e">
        <f>VLOOKUP(C453,Tbl_Button_Display_ASSTS,16,FALSE)</f>
        <v>#NAME?</v>
      </c>
    </row>
    <row r="457" spans="1:10" s="10" customFormat="1" hidden="1" outlineLevel="2">
      <c r="A457" s="70">
        <v>1</v>
      </c>
      <c r="F457" s="87"/>
      <c r="G457" s="10" t="e">
        <f>IntakeDisp</f>
        <v>#NAME?</v>
      </c>
      <c r="I457" s="13" t="str">
        <f>VLOOKUP(C453,Tbl_Button_Display_ASSTS,34,FALSE)</f>
        <v>REC</v>
      </c>
    </row>
    <row r="458" spans="1:10" s="10" customFormat="1" hidden="1" outlineLevel="2">
      <c r="A458" s="70">
        <v>1</v>
      </c>
      <c r="F458" s="87"/>
      <c r="G458" s="10" t="e">
        <f>AcDisp</f>
        <v>#NAME?</v>
      </c>
      <c r="I458" s="13" t="str">
        <f>VLOOKUP(C453,Tbl_Button_Display_ASSTS,31,FALSE)</f>
        <v>Off</v>
      </c>
    </row>
    <row r="459" spans="1:10" s="39" customFormat="1" hidden="1" outlineLevel="1">
      <c r="A459" s="73">
        <v>1</v>
      </c>
      <c r="B459" s="39" t="s">
        <v>155</v>
      </c>
      <c r="C459" s="39" t="s">
        <v>1595</v>
      </c>
      <c r="D459" s="39" t="str">
        <f>CONCATENATE(E460," ",F460,"회 선택 시 이전 선택 상태 유지 확인")</f>
        <v>Sw_DrTemp_Up 1회 선택 시 이전 선택 상태 유지 확인</v>
      </c>
      <c r="F459" s="91"/>
    </row>
    <row r="460" spans="1:10" s="10" customFormat="1" hidden="1" outlineLevel="2">
      <c r="A460" s="70">
        <v>1</v>
      </c>
      <c r="E460" s="14" t="str">
        <f>VLOOKUP(C459,Tbl_Button_Display_ASSTS,11,FALSE)</f>
        <v>Sw_DrTemp_Up</v>
      </c>
      <c r="F460" s="85">
        <f>VLOOKUP(C459,Tbl_Button_Display_ASSTS,12,FALSE)</f>
        <v>1</v>
      </c>
      <c r="J460" s="15"/>
    </row>
    <row r="461" spans="1:10" s="10" customFormat="1" hidden="1" outlineLevel="2">
      <c r="A461" s="70">
        <v>1</v>
      </c>
      <c r="E461" s="15" t="s">
        <v>5</v>
      </c>
      <c r="F461" s="85">
        <f>VLOOKUP(C459,Tbl_Button_Display_ASSTS,13,FALSE)</f>
        <v>2</v>
      </c>
    </row>
    <row r="462" spans="1:10" s="10" customFormat="1" hidden="1" outlineLevel="2">
      <c r="A462" s="70">
        <v>1</v>
      </c>
      <c r="F462" s="87"/>
      <c r="G462" s="10" t="e">
        <f>ModDisp</f>
        <v>#NAME?</v>
      </c>
      <c r="I462" s="13" t="str">
        <f>VLOOKUP(C459,Tbl_Button_Display_ASSTS,16,FALSE)</f>
        <v>Vent</v>
      </c>
    </row>
    <row r="463" spans="1:10" s="10" customFormat="1" hidden="1" outlineLevel="2">
      <c r="A463" s="70">
        <v>1</v>
      </c>
      <c r="F463" s="87"/>
      <c r="G463" s="10" t="e">
        <f>IntakeDisp</f>
        <v>#NAME?</v>
      </c>
      <c r="I463" s="13" t="str">
        <f>VLOOKUP(C459,Tbl_Button_Display_ASSTS,34,FALSE)</f>
        <v>REC</v>
      </c>
    </row>
    <row r="464" spans="1:10" s="10" customFormat="1" hidden="1" outlineLevel="2">
      <c r="A464" s="70">
        <v>1</v>
      </c>
      <c r="F464" s="87"/>
      <c r="G464" s="10" t="e">
        <f>AcDisp</f>
        <v>#NAME?</v>
      </c>
      <c r="I464" s="13" t="str">
        <f>VLOOKUP(C459,Tbl_Button_Display_ASSTS,31,FALSE)</f>
        <v>Off</v>
      </c>
    </row>
    <row r="465" spans="1:10" s="39" customFormat="1" hidden="1" outlineLevel="1">
      <c r="A465" s="73">
        <v>1</v>
      </c>
      <c r="B465" s="39" t="s">
        <v>155</v>
      </c>
      <c r="C465" s="39" t="s">
        <v>1596</v>
      </c>
      <c r="D465" s="39" t="str">
        <f>CONCATENATE(E466," ",F466,"시 이전 선택 상태 유지 확인")</f>
        <v>IGN1,2_Off_to_On  시 이전 선택 상태 유지 확인</v>
      </c>
      <c r="F465" s="91"/>
    </row>
    <row r="466" spans="1:10" s="10" customFormat="1" hidden="1" outlineLevel="2">
      <c r="A466" s="70">
        <v>1</v>
      </c>
      <c r="E466" s="14" t="str">
        <f>VLOOKUP(C465,Tbl_Button_Display_ASSTS,11,FALSE)</f>
        <v>IGN1,2_Off_to_On</v>
      </c>
      <c r="F466" s="85" t="str">
        <f>VLOOKUP(C465,Tbl_Button_Display_ASSTS,12,FALSE)</f>
        <v xml:space="preserve"> </v>
      </c>
      <c r="J466" s="15"/>
    </row>
    <row r="467" spans="1:10" s="10" customFormat="1" hidden="1" outlineLevel="2">
      <c r="A467" s="70">
        <v>1</v>
      </c>
      <c r="E467" s="15" t="s">
        <v>5</v>
      </c>
      <c r="F467" s="85">
        <f>VLOOKUP(C465,Tbl_Button_Display_ASSTS,13,FALSE)</f>
        <v>10</v>
      </c>
    </row>
    <row r="468" spans="1:10" s="10" customFormat="1" hidden="1" outlineLevel="2">
      <c r="A468" s="70">
        <v>1</v>
      </c>
      <c r="F468" s="87"/>
      <c r="G468" s="10" t="e">
        <f>ModDisp</f>
        <v>#NAME?</v>
      </c>
      <c r="I468" s="13" t="str">
        <f>VLOOKUP(C465,Tbl_Button_Display_ASSTS,16,FALSE)</f>
        <v>Vent</v>
      </c>
    </row>
    <row r="469" spans="1:10" s="10" customFormat="1" hidden="1" outlineLevel="2">
      <c r="A469" s="70">
        <v>1</v>
      </c>
      <c r="F469" s="87"/>
      <c r="G469" s="10" t="e">
        <f>IntakeDisp</f>
        <v>#NAME?</v>
      </c>
      <c r="I469" s="13" t="str">
        <f>VLOOKUP(C465,Tbl_Button_Display_ASSTS,34,FALSE)</f>
        <v>REC</v>
      </c>
    </row>
    <row r="470" spans="1:10" s="10" customFormat="1" hidden="1" outlineLevel="2">
      <c r="A470" s="70">
        <v>1</v>
      </c>
      <c r="F470" s="87"/>
      <c r="G470" s="10" t="e">
        <f>AcDisp</f>
        <v>#NAME?</v>
      </c>
      <c r="I470" s="13" t="str">
        <f>VLOOKUP(C465,Tbl_Button_Display_ASSTS,31,FALSE)</f>
        <v>Off</v>
      </c>
    </row>
    <row r="471" spans="1:10" s="38" customFormat="1" collapsed="1">
      <c r="A471" s="71">
        <v>1</v>
      </c>
      <c r="B471" s="38" t="s">
        <v>156</v>
      </c>
      <c r="C471" s="38" t="s">
        <v>1552</v>
      </c>
      <c r="D471" s="38" t="str">
        <f>VLOOKUP(C471,Tbl_Button_Display_ASSTS, 2,FALSE)</f>
        <v>DEFOG LOGIC 제어 확인 - Mix/Def</v>
      </c>
      <c r="F471" s="88"/>
    </row>
    <row r="472" spans="1:10" s="39" customFormat="1" hidden="1" outlineLevel="1">
      <c r="A472" s="73">
        <v>1</v>
      </c>
      <c r="B472" s="39" t="s">
        <v>155</v>
      </c>
      <c r="C472" s="39" t="s">
        <v>1603</v>
      </c>
      <c r="D472" s="39" t="str">
        <f>CONCATENATE(E473," ",F473,"회 선택, Mix 진입")</f>
        <v>Sw_DrMode 1회 선택, Mix 진입</v>
      </c>
      <c r="F472" s="91"/>
    </row>
    <row r="473" spans="1:10" s="10" customFormat="1" hidden="1" outlineLevel="2">
      <c r="A473" s="70">
        <v>1</v>
      </c>
      <c r="E473" s="14" t="str">
        <f>VLOOKUP(C472,Tbl_Button_Display_ASSTS,11,FALSE)</f>
        <v>Sw_DrMode</v>
      </c>
      <c r="F473" s="85">
        <f>VLOOKUP(C472,Tbl_Button_Display_ASSTS,12,FALSE)</f>
        <v>1</v>
      </c>
      <c r="J473" s="15"/>
    </row>
    <row r="474" spans="1:10" s="10" customFormat="1" hidden="1" outlineLevel="2">
      <c r="A474" s="70">
        <v>1</v>
      </c>
      <c r="E474" s="15" t="s">
        <v>5</v>
      </c>
      <c r="F474" s="85">
        <f>VLOOKUP(C472,Tbl_Button_Display_ASSTS,13,FALSE)</f>
        <v>2</v>
      </c>
    </row>
    <row r="475" spans="1:10" s="10" customFormat="1" hidden="1" outlineLevel="2">
      <c r="A475" s="70">
        <v>1</v>
      </c>
      <c r="F475" s="87"/>
      <c r="G475" s="10" t="e">
        <f>ModDisp</f>
        <v>#NAME?</v>
      </c>
      <c r="I475" s="13" t="str">
        <f>VLOOKUP(C472,Tbl_Button_Display_ASSTS,16,FALSE)</f>
        <v>Mix</v>
      </c>
    </row>
    <row r="476" spans="1:10" s="10" customFormat="1" hidden="1" outlineLevel="2">
      <c r="A476" s="70">
        <v>1</v>
      </c>
      <c r="F476" s="87"/>
      <c r="G476" s="10" t="e">
        <f>IntakeDisp</f>
        <v>#NAME?</v>
      </c>
      <c r="I476" s="13" t="str">
        <f>VLOOKUP(C472,Tbl_Button_Display_ASSTS,34,FALSE)</f>
        <v>FRE</v>
      </c>
    </row>
    <row r="477" spans="1:10" s="10" customFormat="1" hidden="1" outlineLevel="2">
      <c r="A477" s="70">
        <v>1</v>
      </c>
      <c r="F477" s="87"/>
      <c r="G477" s="10" t="e">
        <f>AcDisp</f>
        <v>#NAME?</v>
      </c>
      <c r="I477" s="13" t="str">
        <f>VLOOKUP(C472,Tbl_Button_Display_ASSTS,31,FALSE)</f>
        <v>On</v>
      </c>
    </row>
    <row r="478" spans="1:10" s="39" customFormat="1" hidden="1" outlineLevel="1">
      <c r="A478" s="73">
        <v>1</v>
      </c>
      <c r="B478" s="39" t="s">
        <v>155</v>
      </c>
      <c r="C478" s="39" t="s">
        <v>1604</v>
      </c>
      <c r="D478" s="39" t="str">
        <f>CONCATENATE(E479," ",F479,"회 선택")</f>
        <v>MsgBox AC=Off, Intake=REC 수동 설정 후 System Off회 선택</v>
      </c>
      <c r="F478" s="91"/>
    </row>
    <row r="479" spans="1:10" s="10" customFormat="1" hidden="1" outlineLevel="2">
      <c r="A479" s="70">
        <v>1</v>
      </c>
      <c r="E479" s="14" t="str">
        <f>VLOOKUP(C478,Tbl_Button_Display_ASSTS,11,FALSE)</f>
        <v>MsgBox</v>
      </c>
      <c r="F479" s="12" t="str">
        <f>VLOOKUP(C478,Tbl_Button_Display_ASSTS,12,FALSE)</f>
        <v>AC=Off, Intake=REC 수동 설정 후 System Off</v>
      </c>
      <c r="J479" s="15"/>
    </row>
    <row r="480" spans="1:10" s="10" customFormat="1" hidden="1" outlineLevel="2">
      <c r="A480" s="70">
        <v>1</v>
      </c>
      <c r="E480" s="15" t="s">
        <v>5</v>
      </c>
      <c r="F480" s="85">
        <f>VLOOKUP(C478,Tbl_Button_Display_ASSTS,13,FALSE)</f>
        <v>2</v>
      </c>
    </row>
    <row r="481" spans="1:10" s="10" customFormat="1" hidden="1" outlineLevel="2">
      <c r="A481" s="70">
        <v>1</v>
      </c>
      <c r="F481" s="87"/>
      <c r="G481" s="10" t="e">
        <f>ModDisp</f>
        <v>#NAME?</v>
      </c>
      <c r="I481" s="13" t="e">
        <f>VLOOKUP(C478,Tbl_Button_Display_ASSTS,16,FALSE)</f>
        <v>#NAME?</v>
      </c>
    </row>
    <row r="482" spans="1:10" s="10" customFormat="1" hidden="1" outlineLevel="2">
      <c r="A482" s="70">
        <v>1</v>
      </c>
      <c r="F482" s="87"/>
      <c r="G482" s="10" t="e">
        <f>IntakeDisp</f>
        <v>#NAME?</v>
      </c>
      <c r="I482" s="13" t="str">
        <f>VLOOKUP(C478,Tbl_Button_Display_ASSTS,34,FALSE)</f>
        <v>REC</v>
      </c>
    </row>
    <row r="483" spans="1:10" s="10" customFormat="1" hidden="1" outlineLevel="2">
      <c r="A483" s="70">
        <v>1</v>
      </c>
      <c r="F483" s="87"/>
      <c r="G483" s="10" t="e">
        <f>AcDisp</f>
        <v>#NAME?</v>
      </c>
      <c r="I483" s="13" t="str">
        <f>VLOOKUP(C478,Tbl_Button_Display_ASSTS,31,FALSE)</f>
        <v>Off</v>
      </c>
    </row>
    <row r="484" spans="1:10" s="39" customFormat="1" hidden="1" outlineLevel="1">
      <c r="A484" s="73">
        <v>1</v>
      </c>
      <c r="B484" s="39" t="s">
        <v>155</v>
      </c>
      <c r="C484" s="39" t="s">
        <v>1605</v>
      </c>
      <c r="D484" s="39" t="str">
        <f>CONCATENATE(E485," ",F485,"회 선택 시 AC 이전 선택 상태 유지, Intake FRE 확인")</f>
        <v>Sw_DrTemp_Up 1회 선택 시 AC 이전 선택 상태 유지, Intake FRE 확인</v>
      </c>
      <c r="F484" s="91"/>
    </row>
    <row r="485" spans="1:10" s="10" customFormat="1" hidden="1" outlineLevel="2">
      <c r="A485" s="70">
        <v>1</v>
      </c>
      <c r="E485" s="14" t="str">
        <f>VLOOKUP(C484,Tbl_Button_Display_ASSTS,11,FALSE)</f>
        <v>Sw_DrTemp_Up</v>
      </c>
      <c r="F485" s="85">
        <f>VLOOKUP(C484,Tbl_Button_Display_ASSTS,12,FALSE)</f>
        <v>1</v>
      </c>
      <c r="J485" s="15"/>
    </row>
    <row r="486" spans="1:10" s="10" customFormat="1" hidden="1" outlineLevel="2">
      <c r="A486" s="70">
        <v>1</v>
      </c>
      <c r="E486" s="15" t="s">
        <v>5</v>
      </c>
      <c r="F486" s="85">
        <f>VLOOKUP(C484,Tbl_Button_Display_ASSTS,13,FALSE)</f>
        <v>2</v>
      </c>
    </row>
    <row r="487" spans="1:10" s="10" customFormat="1" hidden="1" outlineLevel="2">
      <c r="A487" s="70">
        <v>1</v>
      </c>
      <c r="F487" s="87"/>
      <c r="G487" s="10" t="e">
        <f>ModDisp</f>
        <v>#NAME?</v>
      </c>
      <c r="I487" s="13" t="str">
        <f>VLOOKUP(C484,Tbl_Button_Display_ASSTS,16,FALSE)</f>
        <v>Mix</v>
      </c>
    </row>
    <row r="488" spans="1:10" s="10" customFormat="1" hidden="1" outlineLevel="2">
      <c r="A488" s="70">
        <v>1</v>
      </c>
      <c r="F488" s="87"/>
      <c r="G488" s="10" t="e">
        <f>IntakeDisp</f>
        <v>#NAME?</v>
      </c>
      <c r="I488" s="13" t="str">
        <f>VLOOKUP(C484,Tbl_Button_Display_ASSTS,34,FALSE)</f>
        <v>FRE</v>
      </c>
    </row>
    <row r="489" spans="1:10" s="10" customFormat="1" hidden="1" outlineLevel="2">
      <c r="A489" s="70">
        <v>1</v>
      </c>
      <c r="F489" s="87"/>
      <c r="G489" s="10" t="e">
        <f>AcDisp</f>
        <v>#NAME?</v>
      </c>
      <c r="I489" s="13" t="str">
        <f>VLOOKUP(C484,Tbl_Button_Display_ASSTS,31,FALSE)</f>
        <v>Off</v>
      </c>
    </row>
    <row r="490" spans="1:10" s="39" customFormat="1" hidden="1" outlineLevel="1">
      <c r="A490" s="73">
        <v>1</v>
      </c>
      <c r="B490" s="39" t="s">
        <v>155</v>
      </c>
      <c r="C490" s="39" t="s">
        <v>1606</v>
      </c>
      <c r="D490" s="39" t="str">
        <f>CONCATENATE(E491," ",F491,"회 선택")</f>
        <v>Sw_REC 1회 선택</v>
      </c>
      <c r="F490" s="91"/>
    </row>
    <row r="491" spans="1:10" s="10" customFormat="1" hidden="1" outlineLevel="2">
      <c r="A491" s="70">
        <v>1</v>
      </c>
      <c r="E491" s="14" t="str">
        <f>VLOOKUP(C490,Tbl_Button_Display_ASSTS,11,FALSE)</f>
        <v>Sw_REC</v>
      </c>
      <c r="F491" s="85">
        <f>VLOOKUP(C490,Tbl_Button_Display_ASSTS,12,FALSE)</f>
        <v>1</v>
      </c>
      <c r="J491" s="15"/>
    </row>
    <row r="492" spans="1:10" s="10" customFormat="1" hidden="1" outlineLevel="2">
      <c r="A492" s="70">
        <v>1</v>
      </c>
      <c r="E492" s="15" t="s">
        <v>5</v>
      </c>
      <c r="F492" s="85">
        <f>VLOOKUP(C490,Tbl_Button_Display_ASSTS,13,FALSE)</f>
        <v>2</v>
      </c>
    </row>
    <row r="493" spans="1:10" s="10" customFormat="1" hidden="1" outlineLevel="2">
      <c r="A493" s="70">
        <v>1</v>
      </c>
      <c r="F493" s="87"/>
      <c r="G493" s="10" t="e">
        <f>ModDisp</f>
        <v>#NAME?</v>
      </c>
      <c r="I493" s="13" t="str">
        <f>VLOOKUP(C490,Tbl_Button_Display_ASSTS,16,FALSE)</f>
        <v>Mix</v>
      </c>
    </row>
    <row r="494" spans="1:10" s="10" customFormat="1" hidden="1" outlineLevel="2">
      <c r="A494" s="70">
        <v>1</v>
      </c>
      <c r="F494" s="87"/>
      <c r="G494" s="10" t="e">
        <f>IntakeDisp</f>
        <v>#NAME?</v>
      </c>
      <c r="I494" s="13" t="str">
        <f>VLOOKUP(C490,Tbl_Button_Display_ASSTS,34,FALSE)</f>
        <v>REC</v>
      </c>
    </row>
    <row r="495" spans="1:10" s="10" customFormat="1" hidden="1" outlineLevel="2">
      <c r="A495" s="70">
        <v>1</v>
      </c>
      <c r="F495" s="87"/>
      <c r="G495" s="10" t="e">
        <f>AcDisp</f>
        <v>#NAME?</v>
      </c>
      <c r="I495" s="13" t="str">
        <f>VLOOKUP(C490,Tbl_Button_Display_ASSTS,31,FALSE)</f>
        <v>Off</v>
      </c>
    </row>
    <row r="496" spans="1:10" s="39" customFormat="1" hidden="1" outlineLevel="1">
      <c r="A496" s="73">
        <v>1</v>
      </c>
      <c r="B496" s="39" t="s">
        <v>155</v>
      </c>
      <c r="C496" s="39" t="s">
        <v>1607</v>
      </c>
      <c r="D496" s="39" t="str">
        <f>CONCATENATE(E497," ",F497,"회 선택 시 MIX 재진입 확인")</f>
        <v>IGN1,2_Off_to_On  회 선택 시 MIX 재진입 확인</v>
      </c>
      <c r="F496" s="91"/>
    </row>
    <row r="497" spans="1:10" s="10" customFormat="1" hidden="1" outlineLevel="2">
      <c r="A497" s="70">
        <v>1</v>
      </c>
      <c r="E497" s="14" t="str">
        <f>VLOOKUP(C496,Tbl_Button_Display_ASSTS,11,FALSE)</f>
        <v>IGN1,2_Off_to_On</v>
      </c>
      <c r="F497" s="85" t="str">
        <f>VLOOKUP(C496,Tbl_Button_Display_ASSTS,12,FALSE)</f>
        <v xml:space="preserve"> </v>
      </c>
      <c r="J497" s="15"/>
    </row>
    <row r="498" spans="1:10" s="10" customFormat="1" hidden="1" outlineLevel="2">
      <c r="A498" s="70">
        <v>1</v>
      </c>
      <c r="E498" s="15" t="s">
        <v>5</v>
      </c>
      <c r="F498" s="85">
        <f>VLOOKUP(C496,Tbl_Button_Display_ASSTS,13,FALSE)</f>
        <v>10</v>
      </c>
    </row>
    <row r="499" spans="1:10" s="10" customFormat="1" hidden="1" outlineLevel="2">
      <c r="A499" s="70">
        <v>1</v>
      </c>
      <c r="F499" s="87"/>
      <c r="G499" s="10" t="e">
        <f>ModDisp</f>
        <v>#NAME?</v>
      </c>
      <c r="I499" s="13" t="str">
        <f>VLOOKUP(C496,Tbl_Button_Display_ASSTS,16,FALSE)</f>
        <v>Mix</v>
      </c>
    </row>
    <row r="500" spans="1:10" s="10" customFormat="1" hidden="1" outlineLevel="2">
      <c r="A500" s="70">
        <v>1</v>
      </c>
      <c r="F500" s="87"/>
      <c r="G500" s="10" t="e">
        <f>IntakeDisp</f>
        <v>#NAME?</v>
      </c>
      <c r="I500" s="13" t="str">
        <f>VLOOKUP(C496,Tbl_Button_Display_ASSTS,34,FALSE)</f>
        <v>FRE</v>
      </c>
    </row>
    <row r="501" spans="1:10" s="10" customFormat="1" hidden="1" outlineLevel="2">
      <c r="A501" s="70">
        <v>1</v>
      </c>
      <c r="F501" s="87"/>
      <c r="G501" s="10" t="e">
        <f>AcDisp</f>
        <v>#NAME?</v>
      </c>
      <c r="I501" s="13" t="str">
        <f>VLOOKUP(C496,Tbl_Button_Display_ASSTS,31,FALSE)</f>
        <v>On</v>
      </c>
    </row>
    <row r="502" spans="1:10" s="39" customFormat="1" hidden="1" outlineLevel="1">
      <c r="A502" s="73">
        <v>1</v>
      </c>
      <c r="B502" s="39" t="s">
        <v>155</v>
      </c>
      <c r="C502" s="39" t="s">
        <v>1608</v>
      </c>
      <c r="D502" s="39" t="str">
        <f>CONCATENATE(E503," ",F503,"회 선택")</f>
        <v>Sw_DEF 1회 선택</v>
      </c>
      <c r="F502" s="91"/>
    </row>
    <row r="503" spans="1:10" s="10" customFormat="1" hidden="1" outlineLevel="2">
      <c r="A503" s="70">
        <v>1</v>
      </c>
      <c r="E503" s="14" t="str">
        <f>VLOOKUP(C502,Tbl_Button_Display_ASSTS,11,FALSE)</f>
        <v>Sw_DEF</v>
      </c>
      <c r="F503" s="85">
        <f>VLOOKUP(C502,Tbl_Button_Display_ASSTS,12,FALSE)</f>
        <v>1</v>
      </c>
      <c r="J503" s="15"/>
    </row>
    <row r="504" spans="1:10" s="10" customFormat="1" hidden="1" outlineLevel="2">
      <c r="A504" s="70">
        <v>1</v>
      </c>
      <c r="E504" s="15" t="s">
        <v>5</v>
      </c>
      <c r="F504" s="85">
        <f>VLOOKUP(C502,Tbl_Button_Display_ASSTS,13,FALSE)</f>
        <v>2</v>
      </c>
    </row>
    <row r="505" spans="1:10" s="10" customFormat="1" hidden="1" outlineLevel="2">
      <c r="A505" s="70">
        <v>1</v>
      </c>
      <c r="F505" s="87"/>
      <c r="G505" s="10" t="e">
        <f>ModDisp</f>
        <v>#NAME?</v>
      </c>
      <c r="I505" s="13" t="str">
        <f>VLOOKUP(C502,Tbl_Button_Display_ASSTS,16,FALSE)</f>
        <v>Def</v>
      </c>
    </row>
    <row r="506" spans="1:10" s="10" customFormat="1" hidden="1" outlineLevel="2">
      <c r="A506" s="70">
        <v>1</v>
      </c>
      <c r="F506" s="87"/>
      <c r="G506" s="10" t="e">
        <f>IntakeDisp</f>
        <v>#NAME?</v>
      </c>
      <c r="I506" s="13" t="str">
        <f>VLOOKUP(C502,Tbl_Button_Display_ASSTS,34,FALSE)</f>
        <v>FRE</v>
      </c>
    </row>
    <row r="507" spans="1:10" s="10" customFormat="1" hidden="1" outlineLevel="2">
      <c r="A507" s="70">
        <v>1</v>
      </c>
      <c r="F507" s="87"/>
      <c r="G507" s="10" t="e">
        <f>AcDisp</f>
        <v>#NAME?</v>
      </c>
      <c r="I507" s="13" t="str">
        <f>VLOOKUP(C502,Tbl_Button_Display_ASSTS,31,FALSE)</f>
        <v>On</v>
      </c>
    </row>
    <row r="508" spans="1:10" s="39" customFormat="1" hidden="1" outlineLevel="1">
      <c r="A508" s="73">
        <v>1</v>
      </c>
      <c r="B508" s="39" t="s">
        <v>155</v>
      </c>
      <c r="C508" s="39" t="s">
        <v>1609</v>
      </c>
      <c r="D508" s="39" t="str">
        <f>CONCATENATE(E509," ",F509,"회 선택")</f>
        <v>MsgBox AC=Off, Intake=REC 수동 설정 후 System Off회 선택</v>
      </c>
      <c r="F508" s="91"/>
    </row>
    <row r="509" spans="1:10" s="10" customFormat="1" hidden="1" outlineLevel="2">
      <c r="A509" s="70">
        <v>1</v>
      </c>
      <c r="E509" s="14" t="str">
        <f>VLOOKUP(C508,Tbl_Button_Display_ASSTS,11,FALSE)</f>
        <v>MsgBox</v>
      </c>
      <c r="F509" s="12" t="str">
        <f>VLOOKUP(C508,Tbl_Button_Display_ASSTS,12,FALSE)</f>
        <v>AC=Off, Intake=REC 수동 설정 후 System Off</v>
      </c>
      <c r="J509" s="15"/>
    </row>
    <row r="510" spans="1:10" s="10" customFormat="1" hidden="1" outlineLevel="2">
      <c r="A510" s="70">
        <v>1</v>
      </c>
      <c r="E510" s="15" t="s">
        <v>5</v>
      </c>
      <c r="F510" s="85">
        <f>VLOOKUP(C508,Tbl_Button_Display_ASSTS,13,FALSE)</f>
        <v>2</v>
      </c>
    </row>
    <row r="511" spans="1:10" s="10" customFormat="1" hidden="1" outlineLevel="2">
      <c r="A511" s="70">
        <v>1</v>
      </c>
      <c r="F511" s="87"/>
      <c r="G511" s="10" t="e">
        <f>ModDisp</f>
        <v>#NAME?</v>
      </c>
      <c r="I511" s="13" t="e">
        <f>VLOOKUP(C508,Tbl_Button_Display_ASSTS,16,FALSE)</f>
        <v>#NAME?</v>
      </c>
    </row>
    <row r="512" spans="1:10" s="10" customFormat="1" hidden="1" outlineLevel="2">
      <c r="A512" s="70">
        <v>1</v>
      </c>
      <c r="F512" s="87"/>
      <c r="G512" s="10" t="e">
        <f>IntakeDisp</f>
        <v>#NAME?</v>
      </c>
      <c r="I512" s="13" t="str">
        <f>VLOOKUP(C508,Tbl_Button_Display_ASSTS,34,FALSE)</f>
        <v>REC</v>
      </c>
    </row>
    <row r="513" spans="1:10" s="10" customFormat="1" hidden="1" outlineLevel="2">
      <c r="A513" s="70">
        <v>1</v>
      </c>
      <c r="F513" s="87"/>
      <c r="G513" s="10" t="e">
        <f>AcDisp</f>
        <v>#NAME?</v>
      </c>
      <c r="I513" s="13" t="str">
        <f>VLOOKUP(C508,Tbl_Button_Display_ASSTS,31,FALSE)</f>
        <v>Off</v>
      </c>
    </row>
    <row r="514" spans="1:10" s="39" customFormat="1" hidden="1" outlineLevel="1">
      <c r="A514" s="73">
        <v>1</v>
      </c>
      <c r="B514" s="39" t="s">
        <v>155</v>
      </c>
      <c r="C514" s="39" t="s">
        <v>1610</v>
      </c>
      <c r="D514" s="39" t="str">
        <f>CONCATENATE(E515," ",F515,"회 선택 시 AC 이전 선택 상태 유지, Intake FRE 확인")</f>
        <v>Sw_DrTemp_Up 1회 선택 시 AC 이전 선택 상태 유지, Intake FRE 확인</v>
      </c>
      <c r="F514" s="91"/>
    </row>
    <row r="515" spans="1:10" s="10" customFormat="1" hidden="1" outlineLevel="2">
      <c r="A515" s="70">
        <v>1</v>
      </c>
      <c r="E515" s="14" t="str">
        <f>VLOOKUP(C514,Tbl_Button_Display_ASSTS,11,FALSE)</f>
        <v>Sw_DrTemp_Up</v>
      </c>
      <c r="F515" s="85">
        <f>VLOOKUP(C514,Tbl_Button_Display_ASSTS,12,FALSE)</f>
        <v>1</v>
      </c>
      <c r="J515" s="15"/>
    </row>
    <row r="516" spans="1:10" s="10" customFormat="1" hidden="1" outlineLevel="2">
      <c r="A516" s="70">
        <v>1</v>
      </c>
      <c r="E516" s="15" t="s">
        <v>5</v>
      </c>
      <c r="F516" s="85">
        <f>VLOOKUP(C514,Tbl_Button_Display_ASSTS,13,FALSE)</f>
        <v>2</v>
      </c>
    </row>
    <row r="517" spans="1:10" s="10" customFormat="1" hidden="1" outlineLevel="2">
      <c r="A517" s="70">
        <v>1</v>
      </c>
      <c r="F517" s="87"/>
      <c r="G517" s="10" t="e">
        <f>ModDisp</f>
        <v>#NAME?</v>
      </c>
      <c r="I517" s="13" t="str">
        <f>VLOOKUP(C514,Tbl_Button_Display_ASSTS,16,FALSE)</f>
        <v>Def</v>
      </c>
    </row>
    <row r="518" spans="1:10" s="10" customFormat="1" hidden="1" outlineLevel="2">
      <c r="A518" s="70">
        <v>1</v>
      </c>
      <c r="F518" s="87"/>
      <c r="G518" s="10" t="e">
        <f>IntakeDisp</f>
        <v>#NAME?</v>
      </c>
      <c r="I518" s="13" t="str">
        <f>VLOOKUP(C514,Tbl_Button_Display_ASSTS,34,FALSE)</f>
        <v>FRE</v>
      </c>
    </row>
    <row r="519" spans="1:10" s="10" customFormat="1" hidden="1" outlineLevel="2">
      <c r="A519" s="70">
        <v>1</v>
      </c>
      <c r="F519" s="87"/>
      <c r="G519" s="10" t="e">
        <f>AcDisp</f>
        <v>#NAME?</v>
      </c>
      <c r="I519" s="13" t="str">
        <f>VLOOKUP(C514,Tbl_Button_Display_ASSTS,31,FALSE)</f>
        <v>Off</v>
      </c>
    </row>
    <row r="520" spans="1:10" s="39" customFormat="1" hidden="1" outlineLevel="1">
      <c r="A520" s="73">
        <v>1</v>
      </c>
      <c r="B520" s="39" t="s">
        <v>155</v>
      </c>
      <c r="C520" s="39" t="s">
        <v>1611</v>
      </c>
      <c r="D520" s="39" t="str">
        <f>CONCATENATE(E521," ",F521,"회 선택")</f>
        <v>Sw_REC 1회 선택</v>
      </c>
      <c r="F520" s="91"/>
    </row>
    <row r="521" spans="1:10" s="10" customFormat="1" hidden="1" outlineLevel="2">
      <c r="A521" s="70">
        <v>1</v>
      </c>
      <c r="E521" s="14" t="str">
        <f>VLOOKUP(C520,Tbl_Button_Display_ASSTS,11,FALSE)</f>
        <v>Sw_REC</v>
      </c>
      <c r="F521" s="85">
        <f>VLOOKUP(C520,Tbl_Button_Display_ASSTS,12,FALSE)</f>
        <v>1</v>
      </c>
      <c r="J521" s="15"/>
    </row>
    <row r="522" spans="1:10" s="10" customFormat="1" hidden="1" outlineLevel="2">
      <c r="A522" s="70">
        <v>1</v>
      </c>
      <c r="E522" s="15" t="s">
        <v>5</v>
      </c>
      <c r="F522" s="85">
        <f>VLOOKUP(C520,Tbl_Button_Display_ASSTS,13,FALSE)</f>
        <v>2</v>
      </c>
    </row>
    <row r="523" spans="1:10" s="10" customFormat="1" hidden="1" outlineLevel="2">
      <c r="A523" s="70">
        <v>1</v>
      </c>
      <c r="F523" s="87"/>
      <c r="G523" s="10" t="e">
        <f>ModDisp</f>
        <v>#NAME?</v>
      </c>
      <c r="I523" s="13" t="str">
        <f>VLOOKUP(C520,Tbl_Button_Display_ASSTS,16,FALSE)</f>
        <v>Def</v>
      </c>
    </row>
    <row r="524" spans="1:10" s="10" customFormat="1" hidden="1" outlineLevel="2">
      <c r="A524" s="70">
        <v>1</v>
      </c>
      <c r="F524" s="87"/>
      <c r="G524" s="10" t="e">
        <f>IntakeDisp</f>
        <v>#NAME?</v>
      </c>
      <c r="I524" s="13" t="str">
        <f>VLOOKUP(C520,Tbl_Button_Display_ASSTS,34,FALSE)</f>
        <v>REC</v>
      </c>
    </row>
    <row r="525" spans="1:10" s="10" customFormat="1" hidden="1" outlineLevel="2">
      <c r="A525" s="70">
        <v>1</v>
      </c>
      <c r="F525" s="87"/>
      <c r="G525" s="10" t="e">
        <f>AcDisp</f>
        <v>#NAME?</v>
      </c>
      <c r="I525" s="13" t="str">
        <f>VLOOKUP(C520,Tbl_Button_Display_ASSTS,31,FALSE)</f>
        <v>Off</v>
      </c>
    </row>
    <row r="526" spans="1:10" s="39" customFormat="1" hidden="1" outlineLevel="1">
      <c r="A526" s="73">
        <v>1</v>
      </c>
      <c r="B526" s="39" t="s">
        <v>155</v>
      </c>
      <c r="C526" s="39" t="s">
        <v>1612</v>
      </c>
      <c r="D526" s="39" t="str">
        <f>CONCATENATE(E527," ",F527,"회 선택 시 DEF 재진입 확인")</f>
        <v>IGN1,2_Off_to_On  회 선택 시 DEF 재진입 확인</v>
      </c>
      <c r="F526" s="91"/>
    </row>
    <row r="527" spans="1:10" s="10" customFormat="1" hidden="1" outlineLevel="2">
      <c r="A527" s="70">
        <v>1</v>
      </c>
      <c r="E527" s="14" t="str">
        <f>VLOOKUP(C526,Tbl_Button_Display_ASSTS,11,FALSE)</f>
        <v>IGN1,2_Off_to_On</v>
      </c>
      <c r="F527" s="85" t="str">
        <f>VLOOKUP(C526,Tbl_Button_Display_ASSTS,12,FALSE)</f>
        <v xml:space="preserve"> </v>
      </c>
      <c r="J527" s="15"/>
    </row>
    <row r="528" spans="1:10" s="10" customFormat="1" hidden="1" outlineLevel="2">
      <c r="A528" s="70">
        <v>1</v>
      </c>
      <c r="E528" s="15" t="s">
        <v>5</v>
      </c>
      <c r="F528" s="85">
        <f>VLOOKUP(C526,Tbl_Button_Display_ASSTS,13,FALSE)</f>
        <v>10</v>
      </c>
    </row>
    <row r="529" spans="1:12" s="10" customFormat="1" hidden="1" outlineLevel="2">
      <c r="A529" s="70">
        <v>1</v>
      </c>
      <c r="F529" s="87"/>
      <c r="G529" s="10" t="e">
        <f>ModDisp</f>
        <v>#NAME?</v>
      </c>
      <c r="I529" s="13" t="str">
        <f>VLOOKUP(C526,Tbl_Button_Display_ASSTS,16,FALSE)</f>
        <v>Def</v>
      </c>
    </row>
    <row r="530" spans="1:12" s="10" customFormat="1" hidden="1" outlineLevel="2">
      <c r="A530" s="70">
        <v>1</v>
      </c>
      <c r="F530" s="87"/>
      <c r="G530" s="10" t="e">
        <f>IntakeDisp</f>
        <v>#NAME?</v>
      </c>
      <c r="I530" s="13" t="str">
        <f>VLOOKUP(C526,Tbl_Button_Display_ASSTS,34,FALSE)</f>
        <v>FRE</v>
      </c>
    </row>
    <row r="531" spans="1:12" s="10" customFormat="1" hidden="1" outlineLevel="2">
      <c r="A531" s="70">
        <v>1</v>
      </c>
      <c r="F531" s="87"/>
      <c r="G531" s="10" t="e">
        <f>AcDisp</f>
        <v>#NAME?</v>
      </c>
      <c r="I531" s="13" t="str">
        <f>VLOOKUP(C526,Tbl_Button_Display_ASSTS,31,FALSE)</f>
        <v>On</v>
      </c>
    </row>
    <row r="532" spans="1:12" s="40" customFormat="1" ht="15">
      <c r="A532" s="66">
        <v>1</v>
      </c>
      <c r="B532" s="40" t="s">
        <v>1577</v>
      </c>
      <c r="C532" s="40" t="s">
        <v>1578</v>
      </c>
      <c r="D532" s="40" t="str">
        <f t="shared" si="10"/>
        <v>INTAKE DOOR 제어 (내수/일반)</v>
      </c>
      <c r="F532" s="82"/>
    </row>
    <row r="533" spans="1:12" s="38" customFormat="1" collapsed="1">
      <c r="A533" s="71">
        <v>1</v>
      </c>
      <c r="B533" s="38" t="s">
        <v>156</v>
      </c>
      <c r="C533" s="38" t="s">
        <v>1829</v>
      </c>
      <c r="D533" s="38" t="str">
        <f>VLOOKUP(C533,Tbl_Button_Display_ASSTS, 2,FALSE)</f>
        <v>INTAKE DOOR 제어 동작 확인</v>
      </c>
    </row>
    <row r="534" spans="1:12" s="11" customFormat="1" hidden="1" outlineLevel="1">
      <c r="A534" s="72">
        <v>1</v>
      </c>
      <c r="B534" s="11" t="s">
        <v>38</v>
      </c>
      <c r="C534" s="11" t="s">
        <v>1830</v>
      </c>
      <c r="D534" s="11" t="s">
        <v>39</v>
      </c>
    </row>
    <row r="535" spans="1:12" s="10" customFormat="1" hidden="1" outlineLevel="2">
      <c r="A535" s="70">
        <v>1</v>
      </c>
      <c r="E535" s="14" t="str">
        <f>VLOOKUP(C534,Tbl_Button_Display_ASSTS,11,FALSE)</f>
        <v>MsgBox</v>
      </c>
      <c r="F535" s="12" t="e">
        <f>VLOOKUP(C534,Tbl_Button_Display_ASSTS,12,FALSE)</f>
        <v>#NAME?</v>
      </c>
      <c r="J535" s="15"/>
    </row>
    <row r="536" spans="1:12" s="10" customFormat="1" hidden="1" outlineLevel="2">
      <c r="A536" s="70">
        <v>1</v>
      </c>
      <c r="E536" s="15" t="s">
        <v>5</v>
      </c>
      <c r="F536" s="12">
        <f>VLOOKUP(C534,Tbl_Button_Display_ASSTS,13,FALSE)</f>
        <v>10</v>
      </c>
    </row>
    <row r="537" spans="1:12" s="10" customFormat="1" hidden="1" outlineLevel="2">
      <c r="A537" s="70">
        <v>1</v>
      </c>
      <c r="G537" s="10" t="e">
        <f>IntakeDisp</f>
        <v>#NAME?</v>
      </c>
      <c r="I537" s="13" t="str">
        <f>VLOOKUP(C534,Tbl_Button_Display_ASSTS,34,FALSE)</f>
        <v>FRE</v>
      </c>
    </row>
    <row r="538" spans="1:12" s="10" customFormat="1" hidden="1" outlineLevel="2">
      <c r="A538" s="70">
        <v>1</v>
      </c>
      <c r="F538" s="87"/>
      <c r="G538" s="10" t="e">
        <f>Act_Intake</f>
        <v>#NAME?</v>
      </c>
      <c r="H538" s="49" t="str">
        <f>VLOOKUP(C534,Tbl_Button_Display_ASSTS,35,FALSE)</f>
        <v>Intake_TD 연산에 따름</v>
      </c>
      <c r="I538" s="48" t="e">
        <f>IF(H538="","",VLOOKUP(H538,Tbl_IntakeFB_Volt,2,FALSE))</f>
        <v>#NAME?</v>
      </c>
    </row>
    <row r="539" spans="1:12" s="39" customFormat="1" hidden="1" outlineLevel="1">
      <c r="A539" s="73">
        <v>1</v>
      </c>
      <c r="B539" s="39" t="s">
        <v>155</v>
      </c>
      <c r="C539" s="39" t="s">
        <v>1831</v>
      </c>
      <c r="D539" s="39" t="str">
        <f>CONCATENATE(E540," ",F540,"회 선택 시, INTAKE ACT'R 제어 동작 확인")</f>
        <v>Sw_REC 1회 선택 시, INTAKE ACT'R 제어 동작 확인</v>
      </c>
      <c r="L539" s="199"/>
    </row>
    <row r="540" spans="1:12" s="10" customFormat="1" hidden="1" outlineLevel="2">
      <c r="A540" s="70">
        <v>1</v>
      </c>
      <c r="E540" s="14" t="str">
        <f>VLOOKUP(C539,Tbl_Button_Display_ASSTS,11,FALSE)</f>
        <v>Sw_REC</v>
      </c>
      <c r="F540" s="12">
        <f>VLOOKUP(C539,Tbl_Button_Display_ASSTS,12,FALSE)</f>
        <v>1</v>
      </c>
      <c r="J540" s="15"/>
      <c r="L540" s="130"/>
    </row>
    <row r="541" spans="1:12" s="10" customFormat="1" hidden="1" outlineLevel="2">
      <c r="A541" s="70">
        <v>1</v>
      </c>
      <c r="E541" s="15" t="s">
        <v>5</v>
      </c>
      <c r="F541" s="12">
        <f>VLOOKUP(C539,Tbl_Button_Display_ASSTS,13,FALSE)</f>
        <v>5</v>
      </c>
    </row>
    <row r="542" spans="1:12" s="10" customFormat="1" hidden="1" outlineLevel="2">
      <c r="A542" s="70">
        <v>1</v>
      </c>
      <c r="G542" s="10" t="e">
        <f>IntakeDisp</f>
        <v>#NAME?</v>
      </c>
      <c r="I542" s="13" t="str">
        <f>VLOOKUP(C539,Tbl_Button_Display_ASSTS,34,FALSE)</f>
        <v>REC</v>
      </c>
    </row>
    <row r="543" spans="1:12" s="10" customFormat="1" hidden="1" outlineLevel="2">
      <c r="A543" s="70">
        <v>1</v>
      </c>
      <c r="G543" s="10" t="e">
        <f>Act_Intake</f>
        <v>#NAME?</v>
      </c>
      <c r="H543" s="49" t="str">
        <f>VLOOKUP(C539,Tbl_Button_Display_ASSTS,35,FALSE)</f>
        <v>REC</v>
      </c>
      <c r="I543" s="48" t="e">
        <f>IF(H543="","",VLOOKUP(H543,Tbl_IntakeFB_Volt,2,FALSE))</f>
        <v>#NAME?</v>
      </c>
    </row>
    <row r="544" spans="1:12" s="39" customFormat="1" hidden="1" outlineLevel="1">
      <c r="A544" s="73">
        <v>1</v>
      </c>
      <c r="B544" s="39" t="s">
        <v>155</v>
      </c>
      <c r="C544" s="39" t="s">
        <v>1832</v>
      </c>
      <c r="D544" s="39" t="str">
        <f>CONCATENATE(E545," ",F545,"회 선택 시, INTAKE ACT'R 제어 동작 확인")</f>
        <v>Sw_REC 1회 선택 시, INTAKE ACT'R 제어 동작 확인</v>
      </c>
    </row>
    <row r="545" spans="1:12" s="10" customFormat="1" hidden="1" outlineLevel="2">
      <c r="A545" s="70">
        <v>1</v>
      </c>
      <c r="E545" s="14" t="str">
        <f>VLOOKUP(C544,Tbl_Button_Display_ASSTS,11,FALSE)</f>
        <v>Sw_REC</v>
      </c>
      <c r="F545" s="12">
        <f>VLOOKUP(C544,Tbl_Button_Display_ASSTS,12,FALSE)</f>
        <v>1</v>
      </c>
      <c r="J545" s="15"/>
    </row>
    <row r="546" spans="1:12" s="10" customFormat="1" hidden="1" outlineLevel="2">
      <c r="A546" s="70">
        <v>1</v>
      </c>
      <c r="E546" s="15" t="s">
        <v>5</v>
      </c>
      <c r="F546" s="12">
        <f>VLOOKUP(C544,Tbl_Button_Display_ASSTS,13,FALSE)</f>
        <v>5</v>
      </c>
    </row>
    <row r="547" spans="1:12" s="10" customFormat="1" hidden="1" outlineLevel="2">
      <c r="A547" s="70">
        <v>1</v>
      </c>
      <c r="G547" s="10" t="e">
        <f>IntakeDisp</f>
        <v>#NAME?</v>
      </c>
      <c r="I547" s="13" t="str">
        <f>VLOOKUP(C544,Tbl_Button_Display_ASSTS,34,FALSE)</f>
        <v>FRE</v>
      </c>
    </row>
    <row r="548" spans="1:12" s="10" customFormat="1" ht="16.5" hidden="1" outlineLevel="2">
      <c r="A548" s="70">
        <v>1</v>
      </c>
      <c r="D548" s="252" t="s">
        <v>1864</v>
      </c>
      <c r="G548" s="10" t="e">
        <f>Act_Intake</f>
        <v>#NAME?</v>
      </c>
      <c r="H548" s="49" t="str">
        <f>VLOOKUP(C544,Tbl_Button_Display_ASSTS,35,FALSE)</f>
        <v>공조제어에 따름</v>
      </c>
      <c r="I548" s="48" t="e">
        <f>IF(H548="","",VLOOKUP(H548,Tbl_IntakeFB_Volt,2,FALSE))</f>
        <v>#NAME?</v>
      </c>
    </row>
    <row r="549" spans="1:12" s="40" customFormat="1" ht="15">
      <c r="A549" s="66">
        <v>1</v>
      </c>
      <c r="B549" s="40" t="s">
        <v>1579</v>
      </c>
      <c r="C549" s="40" t="s">
        <v>1580</v>
      </c>
      <c r="D549" s="40" t="str">
        <f t="shared" si="10"/>
        <v>A/C 자동제어 (내수/일반)</v>
      </c>
      <c r="F549" s="82"/>
      <c r="G549" s="206"/>
    </row>
    <row r="550" spans="1:12" s="38" customFormat="1" collapsed="1">
      <c r="A550" s="71">
        <v>1</v>
      </c>
      <c r="B550" s="38" t="s">
        <v>156</v>
      </c>
      <c r="C550" s="38" t="s">
        <v>1833</v>
      </c>
      <c r="D550" s="38" t="str">
        <f>VLOOKUP(C550,Tbl_Button_Display_ASSTS, 2,FALSE)</f>
        <v>A/C 자동제어 동작 확인</v>
      </c>
    </row>
    <row r="551" spans="1:12" s="11" customFormat="1" hidden="1" outlineLevel="1">
      <c r="A551" s="72">
        <v>1</v>
      </c>
      <c r="B551" s="11" t="s">
        <v>38</v>
      </c>
      <c r="C551" s="11" t="s">
        <v>1834</v>
      </c>
      <c r="D551" s="11" t="s">
        <v>39</v>
      </c>
    </row>
    <row r="552" spans="1:12" s="10" customFormat="1" hidden="1" outlineLevel="2">
      <c r="A552" s="70">
        <v>1</v>
      </c>
      <c r="E552" s="14" t="str">
        <f>VLOOKUP(C551,Tbl_Button_Display_ASSTS,11,FALSE)</f>
        <v>MsgBox</v>
      </c>
      <c r="F552" s="12" t="e">
        <f>VLOOKUP(C551,Tbl_Button_Display_ASSTS,12,FALSE)</f>
        <v>#NAME?</v>
      </c>
      <c r="J552" s="15"/>
    </row>
    <row r="553" spans="1:12" s="10" customFormat="1" hidden="1" outlineLevel="2">
      <c r="A553" s="70">
        <v>1</v>
      </c>
      <c r="E553" s="15" t="s">
        <v>5</v>
      </c>
      <c r="F553" s="12">
        <f>VLOOKUP(C551,Tbl_Button_Display_ASSTS,13,FALSE)</f>
        <v>10</v>
      </c>
    </row>
    <row r="554" spans="1:12" s="10" customFormat="1" hidden="1" outlineLevel="2">
      <c r="A554" s="70">
        <v>1</v>
      </c>
      <c r="F554" s="87"/>
      <c r="G554" s="10" t="e">
        <f>AcDisp</f>
        <v>#NAME?</v>
      </c>
      <c r="I554" s="13" t="str">
        <f>VLOOKUP(C551,Tbl_Button_Display_ASSTS,31,FALSE)</f>
        <v>Off</v>
      </c>
    </row>
    <row r="555" spans="1:12" s="10" customFormat="1" hidden="1" outlineLevel="2">
      <c r="A555" s="70">
        <v>1</v>
      </c>
      <c r="F555" s="87"/>
      <c r="G555" s="10" t="e">
        <f>AcnReqSwi</f>
        <v>#NAME?</v>
      </c>
      <c r="I555" s="13" t="str">
        <f>VLOOKUP(C551,Tbl_Button_Display_ASSTS,32,FALSE)</f>
        <v>Off</v>
      </c>
    </row>
    <row r="556" spans="1:12" s="10" customFormat="1" hidden="1" outlineLevel="2">
      <c r="A556" s="70">
        <v>1</v>
      </c>
      <c r="F556" s="87"/>
      <c r="G556" s="10" t="e" cm="1">
        <f t="array" ref="G556">CompSpd_rpm</f>
        <v>#NAME?</v>
      </c>
      <c r="I556" s="13" t="str">
        <f>VLOOKUP(C551,Tbl_Button_Display_ASSTS,33,FALSE)</f>
        <v>Off</v>
      </c>
    </row>
    <row r="557" spans="1:12" s="39" customFormat="1" hidden="1" outlineLevel="1">
      <c r="A557" s="73">
        <v>1</v>
      </c>
      <c r="B557" s="39" t="s">
        <v>155</v>
      </c>
      <c r="C557" s="39" t="s">
        <v>1835</v>
      </c>
      <c r="D557" s="39" t="str">
        <f>CONCATENATE(E558," ",F558,"회 선택 시, AC 제어 동작 확인")</f>
        <v>Sw_AC 1회 선택 시, AC 제어 동작 확인</v>
      </c>
      <c r="L557" s="199"/>
    </row>
    <row r="558" spans="1:12" s="10" customFormat="1" hidden="1" outlineLevel="2">
      <c r="A558" s="70">
        <v>1</v>
      </c>
      <c r="E558" s="14" t="str">
        <f>VLOOKUP(C557,Tbl_Button_Display_ASSTS,11,FALSE)</f>
        <v>Sw_AC</v>
      </c>
      <c r="F558" s="12">
        <f>VLOOKUP(C557,Tbl_Button_Display_ASSTS,12,FALSE)</f>
        <v>1</v>
      </c>
      <c r="J558" s="15"/>
      <c r="L558" s="130"/>
    </row>
    <row r="559" spans="1:12" s="10" customFormat="1" hidden="1" outlineLevel="2">
      <c r="A559" s="70">
        <v>1</v>
      </c>
      <c r="E559" s="15" t="s">
        <v>5</v>
      </c>
      <c r="F559" s="12">
        <f>VLOOKUP(C557,Tbl_Button_Display_ASSTS,13,FALSE)</f>
        <v>5</v>
      </c>
    </row>
    <row r="560" spans="1:12" s="10" customFormat="1" hidden="1" outlineLevel="2">
      <c r="A560" s="70">
        <v>1</v>
      </c>
      <c r="F560" s="87"/>
      <c r="G560" s="10" t="e">
        <f>AcDisp</f>
        <v>#NAME?</v>
      </c>
      <c r="I560" s="13" t="str">
        <f>VLOOKUP(C557,Tbl_Button_Display_ASSTS,31,FALSE)</f>
        <v>On</v>
      </c>
    </row>
    <row r="561" spans="1:12" s="10" customFormat="1" hidden="1" outlineLevel="2">
      <c r="A561" s="70">
        <v>1</v>
      </c>
      <c r="F561" s="87"/>
      <c r="G561" s="10" t="e">
        <f>AcnReqSwi</f>
        <v>#NAME?</v>
      </c>
      <c r="I561" s="13" t="str">
        <f>VLOOKUP(C557,Tbl_Button_Display_ASSTS,32,FALSE)</f>
        <v>On</v>
      </c>
    </row>
    <row r="562" spans="1:12" s="10" customFormat="1" hidden="1" outlineLevel="2">
      <c r="A562" s="70">
        <v>1</v>
      </c>
      <c r="F562" s="87"/>
      <c r="G562" s="10" t="e" cm="1">
        <f t="array" ref="G562">CompSpd_rpm</f>
        <v>#NAME?</v>
      </c>
      <c r="I562" s="13" t="str">
        <f>VLOOKUP(C557,Tbl_Button_Display_ASSTS,33,FALSE)</f>
        <v>On</v>
      </c>
    </row>
    <row r="563" spans="1:12" s="39" customFormat="1" hidden="1" outlineLevel="1">
      <c r="A563" s="73">
        <v>1</v>
      </c>
      <c r="B563" s="39" t="s">
        <v>155</v>
      </c>
      <c r="C563" s="39" t="s">
        <v>1840</v>
      </c>
      <c r="D563" s="39" t="str">
        <f>CONCATENATE(E564," ",F564,"회 선택 시, AC 제어 동작 확인")</f>
        <v>Sw_AUTO 1회 선택 시, AC 제어 동작 확인</v>
      </c>
    </row>
    <row r="564" spans="1:12" s="10" customFormat="1" hidden="1" outlineLevel="2">
      <c r="A564" s="70">
        <v>1</v>
      </c>
      <c r="E564" s="14" t="str">
        <f>VLOOKUP(C563,Tbl_Button_Display_ASSTS,11,FALSE)</f>
        <v>Sw_AUTO</v>
      </c>
      <c r="F564" s="12">
        <f>VLOOKUP(C563,Tbl_Button_Display_ASSTS,12,FALSE)</f>
        <v>1</v>
      </c>
      <c r="J564" s="15"/>
    </row>
    <row r="565" spans="1:12" s="10" customFormat="1" hidden="1" outlineLevel="2">
      <c r="A565" s="70">
        <v>1</v>
      </c>
      <c r="E565" s="15" t="s">
        <v>5</v>
      </c>
      <c r="F565" s="12">
        <f>VLOOKUP(C563,Tbl_Button_Display_ASSTS,13,FALSE)</f>
        <v>5</v>
      </c>
    </row>
    <row r="566" spans="1:12" s="10" customFormat="1" hidden="1" outlineLevel="2">
      <c r="A566" s="70">
        <v>1</v>
      </c>
      <c r="F566" s="87"/>
      <c r="G566" s="10" t="e">
        <f>AcDisp</f>
        <v>#NAME?</v>
      </c>
      <c r="I566" s="13" t="str">
        <f>VLOOKUP(C563,Tbl_Button_Display_ASSTS,31,FALSE)</f>
        <v>Off</v>
      </c>
    </row>
    <row r="567" spans="1:12" s="10" customFormat="1" hidden="1" outlineLevel="2">
      <c r="A567" s="70">
        <v>1</v>
      </c>
      <c r="F567" s="87"/>
      <c r="G567" s="10" t="e">
        <f>AcnReqSwi</f>
        <v>#NAME?</v>
      </c>
      <c r="I567" s="13" t="str">
        <f>VLOOKUP(C563,Tbl_Button_Display_ASSTS,32,FALSE)</f>
        <v>Off</v>
      </c>
    </row>
    <row r="568" spans="1:12" s="10" customFormat="1" hidden="1" outlineLevel="2">
      <c r="A568" s="70">
        <v>1</v>
      </c>
      <c r="F568" s="87"/>
      <c r="G568" s="10" t="e" cm="1">
        <f t="array" ref="G568">CompSpd_rpm</f>
        <v>#NAME?</v>
      </c>
      <c r="I568" s="13" t="str">
        <f>VLOOKUP(C563,Tbl_Button_Display_ASSTS,33,FALSE)</f>
        <v>Off</v>
      </c>
    </row>
    <row r="569" spans="1:12" s="39" customFormat="1" hidden="1" outlineLevel="1">
      <c r="A569" s="73">
        <v>1</v>
      </c>
      <c r="B569" s="39" t="s">
        <v>155</v>
      </c>
      <c r="C569" s="39" t="s">
        <v>1849</v>
      </c>
      <c r="D569" s="39" t="e">
        <f>CONCATENATE("Incar 온도를 ",VLOOKUP(C569,Tbl_Button_Display_ASSTS,2,FALSE)," degC 설정 시, ",G572, " = ",I572, " 동작 확인")</f>
        <v>#NAME?</v>
      </c>
      <c r="L569" s="199"/>
    </row>
    <row r="570" spans="1:12" s="10" customFormat="1" hidden="1" outlineLevel="2">
      <c r="A570" s="70">
        <v>1</v>
      </c>
      <c r="E570" s="14" t="e">
        <f>VLOOKUP(C569,Tbl_Button_Display_ASSTS,11,FALSE)</f>
        <v>#NAME?</v>
      </c>
      <c r="F570" s="65" cm="1">
        <f t="array" ref="F570">VINTERPOLATION(VLOOKUP(C569,Tbl_Button_Display_ASSTS,2,FALSE),Tbl_Incar_Sensor,3)</f>
        <v>0.99601123277225601</v>
      </c>
      <c r="J570" s="15"/>
      <c r="L570" s="130"/>
    </row>
    <row r="571" spans="1:12" s="10" customFormat="1" hidden="1" outlineLevel="2">
      <c r="A571" s="70">
        <v>1</v>
      </c>
      <c r="E571" s="15" t="s">
        <v>5</v>
      </c>
      <c r="F571" s="12" t="str">
        <f>VLOOKUP(C569,Tbl_Button_Display_ASSTS,13,FALSE)</f>
        <v>AC AUTO ON 까지 대기</v>
      </c>
    </row>
    <row r="572" spans="1:12" s="10" customFormat="1" hidden="1" outlineLevel="2">
      <c r="A572" s="70">
        <v>1</v>
      </c>
      <c r="F572" s="87"/>
      <c r="G572" s="10" t="e">
        <f>AcDisp</f>
        <v>#NAME?</v>
      </c>
      <c r="I572" s="13" t="str">
        <f>VLOOKUP(C569,Tbl_Button_Display_ASSTS,31,FALSE)</f>
        <v>On</v>
      </c>
    </row>
    <row r="573" spans="1:12" s="10" customFormat="1" hidden="1" outlineLevel="2">
      <c r="A573" s="70">
        <v>1</v>
      </c>
      <c r="F573" s="87"/>
      <c r="G573" s="10" t="e">
        <f>AcnReqSwi</f>
        <v>#NAME?</v>
      </c>
      <c r="I573" s="13" t="str">
        <f>VLOOKUP(C569,Tbl_Button_Display_ASSTS,32,FALSE)</f>
        <v>On</v>
      </c>
    </row>
    <row r="574" spans="1:12" s="10" customFormat="1" hidden="1" outlineLevel="2">
      <c r="A574" s="70">
        <v>1</v>
      </c>
      <c r="F574" s="87"/>
      <c r="G574" s="10" t="e" cm="1">
        <f t="array" ref="G574">CompSpd_rpm</f>
        <v>#NAME?</v>
      </c>
      <c r="I574" s="13" t="str">
        <f>VLOOKUP(C569,Tbl_Button_Display_ASSTS,33,FALSE)</f>
        <v>On</v>
      </c>
    </row>
    <row r="575" spans="1:12" s="39" customFormat="1" hidden="1" outlineLevel="1">
      <c r="A575" s="73">
        <v>1</v>
      </c>
      <c r="B575" s="39" t="s">
        <v>155</v>
      </c>
      <c r="C575" s="39" t="s">
        <v>1850</v>
      </c>
      <c r="D575" s="39" t="str">
        <f>CONCATENATE(E576," ",F576,"회 선택 시, AC 제어 동작 확인")</f>
        <v>Sw_AC 1회 선택 시, AC 제어 동작 확인</v>
      </c>
    </row>
    <row r="576" spans="1:12" s="10" customFormat="1" hidden="1" outlineLevel="2">
      <c r="A576" s="70">
        <v>1</v>
      </c>
      <c r="E576" s="14" t="str">
        <f>VLOOKUP(C575,Tbl_Button_Display_ASSTS,11,FALSE)</f>
        <v>Sw_AC</v>
      </c>
      <c r="F576" s="12">
        <f>VLOOKUP(C575,Tbl_Button_Display_ASSTS,12,FALSE)</f>
        <v>1</v>
      </c>
      <c r="J576" s="15"/>
    </row>
    <row r="577" spans="1:12" s="10" customFormat="1" hidden="1" outlineLevel="2">
      <c r="A577" s="70">
        <v>1</v>
      </c>
      <c r="E577" s="15" t="s">
        <v>5</v>
      </c>
      <c r="F577" s="12">
        <f>VLOOKUP(C575,Tbl_Button_Display_ASSTS,13,FALSE)</f>
        <v>5</v>
      </c>
    </row>
    <row r="578" spans="1:12" s="10" customFormat="1" hidden="1" outlineLevel="2">
      <c r="A578" s="70">
        <v>1</v>
      </c>
      <c r="F578" s="87"/>
      <c r="G578" s="10" t="e">
        <f>AcDisp</f>
        <v>#NAME?</v>
      </c>
      <c r="I578" s="13" t="str">
        <f>VLOOKUP(C575,Tbl_Button_Display_ASSTS,31,FALSE)</f>
        <v>Off</v>
      </c>
    </row>
    <row r="579" spans="1:12" s="10" customFormat="1" hidden="1" outlineLevel="2">
      <c r="A579" s="70">
        <v>1</v>
      </c>
      <c r="F579" s="87"/>
      <c r="G579" s="10" t="e">
        <f>AcnReqSwi</f>
        <v>#NAME?</v>
      </c>
      <c r="I579" s="13" t="str">
        <f>VLOOKUP(C575,Tbl_Button_Display_ASSTS,32,FALSE)</f>
        <v>Off</v>
      </c>
    </row>
    <row r="580" spans="1:12" s="10" customFormat="1" hidden="1" outlineLevel="2">
      <c r="A580" s="70">
        <v>1</v>
      </c>
      <c r="F580" s="87"/>
      <c r="G580" s="10" t="e" cm="1">
        <f t="array" ref="G580">CompSpd_rpm</f>
        <v>#NAME?</v>
      </c>
      <c r="I580" s="13" t="str">
        <f>VLOOKUP(C575,Tbl_Button_Display_ASSTS,33,FALSE)</f>
        <v>Off</v>
      </c>
    </row>
    <row r="581" spans="1:12" s="39" customFormat="1" hidden="1" outlineLevel="1">
      <c r="A581" s="73">
        <v>1</v>
      </c>
      <c r="B581" s="39" t="s">
        <v>155</v>
      </c>
      <c r="C581" s="39" t="s">
        <v>1851</v>
      </c>
      <c r="D581" s="39" t="str">
        <f>CONCATENATE(E582," ",F582,"회 선택 시, AC 제어 동작 확인")</f>
        <v>Sw_AUTO 1회 선택 시, AC 제어 동작 확인</v>
      </c>
      <c r="L581" s="199"/>
    </row>
    <row r="582" spans="1:12" s="10" customFormat="1" hidden="1" outlineLevel="2">
      <c r="A582" s="70">
        <v>1</v>
      </c>
      <c r="E582" s="14" t="str">
        <f>VLOOKUP(C581,Tbl_Button_Display_ASSTS,11,FALSE)</f>
        <v>Sw_AUTO</v>
      </c>
      <c r="F582" s="12">
        <f>VLOOKUP(C581,Tbl_Button_Display_ASSTS,12,FALSE)</f>
        <v>1</v>
      </c>
      <c r="J582" s="15"/>
      <c r="L582" s="130"/>
    </row>
    <row r="583" spans="1:12" s="10" customFormat="1" hidden="1" outlineLevel="2">
      <c r="A583" s="70">
        <v>1</v>
      </c>
      <c r="E583" s="15" t="s">
        <v>5</v>
      </c>
      <c r="F583" s="12">
        <f>VLOOKUP(C581,Tbl_Button_Display_ASSTS,13,FALSE)</f>
        <v>5</v>
      </c>
    </row>
    <row r="584" spans="1:12" s="10" customFormat="1" hidden="1" outlineLevel="2">
      <c r="A584" s="70">
        <v>1</v>
      </c>
      <c r="F584" s="87"/>
      <c r="G584" s="10" t="e">
        <f>AcDisp</f>
        <v>#NAME?</v>
      </c>
      <c r="I584" s="13" t="str">
        <f>VLOOKUP(C581,Tbl_Button_Display_ASSTS,31,FALSE)</f>
        <v>On</v>
      </c>
    </row>
    <row r="585" spans="1:12" s="10" customFormat="1" hidden="1" outlineLevel="2">
      <c r="A585" s="70">
        <v>1</v>
      </c>
      <c r="F585" s="87"/>
      <c r="G585" s="10" t="e">
        <f>AcnReqSwi</f>
        <v>#NAME?</v>
      </c>
      <c r="I585" s="13" t="str">
        <f>VLOOKUP(C581,Tbl_Button_Display_ASSTS,32,FALSE)</f>
        <v>On</v>
      </c>
    </row>
    <row r="586" spans="1:12" s="10" customFormat="1" hidden="1" outlineLevel="2">
      <c r="A586" s="70">
        <v>1</v>
      </c>
      <c r="F586" s="87"/>
      <c r="G586" s="10" t="e" cm="1">
        <f t="array" ref="G586">CompSpd_rpm</f>
        <v>#NAME?</v>
      </c>
      <c r="I586" s="13" t="str">
        <f>VLOOKUP(C581,Tbl_Button_Display_ASSTS,33,FALSE)</f>
        <v>On</v>
      </c>
    </row>
    <row r="587" spans="1:12" s="40" customFormat="1" ht="15">
      <c r="A587" s="66">
        <v>1</v>
      </c>
      <c r="B587" s="40" t="s">
        <v>536</v>
      </c>
      <c r="C587" s="40" t="s">
        <v>585</v>
      </c>
      <c r="D587" s="40" t="str">
        <f t="shared" si="10"/>
        <v>AUTO DEFOG에 의한 A/C ON/OFF 제어</v>
      </c>
      <c r="F587" s="82"/>
    </row>
    <row r="588" spans="1:12" s="38" customFormat="1" collapsed="1">
      <c r="A588" s="71">
        <v>1</v>
      </c>
      <c r="B588" s="38" t="s">
        <v>156</v>
      </c>
      <c r="C588" s="38" t="s">
        <v>700</v>
      </c>
      <c r="D588" s="38" t="str">
        <f>VLOOKUP(C588,Tbl_Button_Display_ASSTS, 2,FALSE)</f>
        <v>AUTO DEFOG에 의한 A/C ON/OFF 제어 동작 확인</v>
      </c>
      <c r="F588" s="88"/>
    </row>
    <row r="589" spans="1:12" s="11" customFormat="1" hidden="1" outlineLevel="1">
      <c r="A589" s="72">
        <v>1</v>
      </c>
      <c r="B589" s="11" t="s">
        <v>38</v>
      </c>
      <c r="C589" s="11" t="s">
        <v>701</v>
      </c>
      <c r="D589" s="11" t="s">
        <v>39</v>
      </c>
      <c r="F589" s="89"/>
    </row>
    <row r="590" spans="1:12" s="10" customFormat="1" hidden="1" outlineLevel="2">
      <c r="A590" s="70">
        <v>1</v>
      </c>
      <c r="E590" s="8" t="e">
        <f>Incar_IN</f>
        <v>#NAME?</v>
      </c>
      <c r="F590" s="65" cm="1">
        <f t="array" ref="F590">VINTERPOLATION(VLOOKUP(C589,Tbl_Button_Display_ASSTS,2,FALSE),Tbl_Incar_Sensor,3)</f>
        <v>3.3272756433630186</v>
      </c>
    </row>
    <row r="591" spans="1:12" s="10" customFormat="1" hidden="1" outlineLevel="2">
      <c r="A591" s="70">
        <v>1</v>
      </c>
      <c r="E591" s="8" t="e">
        <f>Amb_IN</f>
        <v>#NAME?</v>
      </c>
      <c r="F591" s="93" cm="1">
        <f t="array" ref="F591">VINTERPOLATION(VLOOKUP(C589,Tbl_Button_Display_ASSTS,3,FALSE),Tbl_Amb_Sensor,3)</f>
        <v>3.7554036226051895</v>
      </c>
    </row>
    <row r="592" spans="1:12" s="10" customFormat="1" hidden="1" outlineLevel="2">
      <c r="A592" s="70">
        <v>1</v>
      </c>
      <c r="E592" s="14" t="s">
        <v>95</v>
      </c>
      <c r="F592" s="85" t="s">
        <v>1189</v>
      </c>
    </row>
    <row r="593" spans="1:10" s="10" customFormat="1" hidden="1" outlineLevel="2">
      <c r="A593" s="70">
        <v>1</v>
      </c>
      <c r="E593" s="14" t="str">
        <f>VLOOKUP(C589,Tbl_Button_Display_ASSTS,11,FALSE)</f>
        <v>MsgBox</v>
      </c>
      <c r="F593" s="85" t="e">
        <f>VLOOKUP(C589,Tbl_Button_Display_ASSTS,12,FALSE)</f>
        <v>#NAME?</v>
      </c>
    </row>
    <row r="594" spans="1:10" s="10" customFormat="1" hidden="1" outlineLevel="2">
      <c r="A594" s="70">
        <v>1</v>
      </c>
      <c r="E594" s="15" t="s">
        <v>5</v>
      </c>
      <c r="F594" s="85">
        <f>VLOOKUP(C589,Tbl_Button_Display_ASSTS,13,FALSE)</f>
        <v>10</v>
      </c>
    </row>
    <row r="595" spans="1:10" s="10" customFormat="1" hidden="1" outlineLevel="2">
      <c r="A595" s="70">
        <v>1</v>
      </c>
      <c r="G595" s="10" t="e">
        <f>Incar_OUT</f>
        <v>#NAME?</v>
      </c>
      <c r="I595" s="13">
        <f>VLOOKUP(C589,Tbl_Button_Display_ASSTS,2,FALSE)</f>
        <v>10</v>
      </c>
    </row>
    <row r="596" spans="1:10" s="10" customFormat="1" hidden="1" outlineLevel="2">
      <c r="A596" s="70">
        <v>1</v>
      </c>
      <c r="F596" s="87"/>
      <c r="G596" s="10" t="e">
        <f>Amb_OUT</f>
        <v>#NAME?</v>
      </c>
      <c r="I596" s="13">
        <f>VLOOKUP(C589,Tbl_Button_Display_ASSTS,3,FALSE)</f>
        <v>1</v>
      </c>
    </row>
    <row r="597" spans="1:10" s="10" customFormat="1" hidden="1" outlineLevel="2">
      <c r="A597" s="70">
        <v>1</v>
      </c>
      <c r="F597" s="87"/>
      <c r="G597" s="10" t="e">
        <f>AcDisp</f>
        <v>#NAME?</v>
      </c>
      <c r="I597" s="13" t="str">
        <f>VLOOKUP(C589,Tbl_Button_Display_ASSTS,31,FALSE)</f>
        <v>Off</v>
      </c>
    </row>
    <row r="598" spans="1:10" s="10" customFormat="1" hidden="1" outlineLevel="2">
      <c r="A598" s="70">
        <v>1</v>
      </c>
      <c r="F598" s="87"/>
      <c r="G598" s="10" t="e">
        <f>AcnReqSwi</f>
        <v>#NAME?</v>
      </c>
      <c r="I598" s="13" t="str">
        <f>VLOOKUP(C589,Tbl_Button_Display_ASSTS,32,FALSE)</f>
        <v>Off</v>
      </c>
    </row>
    <row r="599" spans="1:10" s="10" customFormat="1" hidden="1" outlineLevel="2">
      <c r="A599" s="70">
        <v>1</v>
      </c>
      <c r="F599" s="87"/>
      <c r="G599" s="10" t="e" cm="1">
        <f t="array" ref="G599">CompSpd_rpm</f>
        <v>#NAME?</v>
      </c>
      <c r="I599" s="13" t="str">
        <f>VLOOKUP(C589,Tbl_Button_Display_ASSTS,33,FALSE)</f>
        <v>Off</v>
      </c>
    </row>
    <row r="600" spans="1:10" s="39" customFormat="1" hidden="1" outlineLevel="1">
      <c r="A600" s="73">
        <v>1</v>
      </c>
      <c r="B600" s="39" t="s">
        <v>155</v>
      </c>
      <c r="C600" s="39" t="s">
        <v>702</v>
      </c>
      <c r="D600" s="39" t="e">
        <f>CONCATENATE("ADS 진입 설정 시, ",G605, " = ",I605, " 동작 확인")</f>
        <v>#NAME?</v>
      </c>
      <c r="F600" s="91"/>
    </row>
    <row r="601" spans="1:10" s="10" customFormat="1" hidden="1" outlineLevel="2">
      <c r="A601" s="70">
        <v>1</v>
      </c>
      <c r="E601" s="14" t="e">
        <f>VLOOKUP(C600,Tbl_Button_Display_ASSTS,11,FALSE)</f>
        <v>#NAME?</v>
      </c>
      <c r="F601" s="65" cm="1">
        <f t="array" ref="F601">VINTERPOLATION(VLOOKUP(C600,Tbl_Button_Display_ASSTS,7,FALSE),Tbl_GlassTemp_Sensor,3)</f>
        <v>3.6758507312217219</v>
      </c>
      <c r="J601" s="15"/>
    </row>
    <row r="602" spans="1:10" s="10" customFormat="1" hidden="1" outlineLevel="2">
      <c r="A602" s="70">
        <v>1</v>
      </c>
      <c r="E602" s="15" t="s">
        <v>5</v>
      </c>
      <c r="F602" s="85">
        <f>VLOOKUP(C600,Tbl_Button_Display_ASSTS,13,FALSE)</f>
        <v>13</v>
      </c>
    </row>
    <row r="603" spans="1:10" s="10" customFormat="1" hidden="1" outlineLevel="2">
      <c r="A603" s="70">
        <v>1</v>
      </c>
      <c r="F603" s="87"/>
      <c r="G603" s="10" t="e">
        <f>AcDisp</f>
        <v>#NAME?</v>
      </c>
      <c r="I603" s="13" t="str">
        <f>VLOOKUP(C600,Tbl_Button_Display_ASSTS,31,FALSE)</f>
        <v>Off</v>
      </c>
    </row>
    <row r="604" spans="1:10" s="10" customFormat="1" hidden="1" outlineLevel="2">
      <c r="A604" s="70">
        <v>1</v>
      </c>
      <c r="F604" s="87"/>
      <c r="G604" s="10" t="e">
        <f>AcnReqSwi</f>
        <v>#NAME?</v>
      </c>
      <c r="I604" s="13" t="str">
        <f>VLOOKUP(C600,Tbl_Button_Display_ASSTS,32,FALSE)</f>
        <v>On</v>
      </c>
    </row>
    <row r="605" spans="1:10" s="10" customFormat="1" hidden="1" outlineLevel="2">
      <c r="A605" s="70">
        <v>1</v>
      </c>
      <c r="F605" s="87"/>
      <c r="G605" s="10" t="e" cm="1">
        <f t="array" ref="G605">CompSpd_rpm</f>
        <v>#NAME?</v>
      </c>
      <c r="I605" s="13" t="str">
        <f>VLOOKUP(C600,Tbl_Button_Display_ASSTS,33,FALSE)</f>
        <v>On</v>
      </c>
    </row>
    <row r="606" spans="1:10" s="39" customFormat="1" hidden="1" outlineLevel="1">
      <c r="A606" s="73">
        <v>1</v>
      </c>
      <c r="B606" s="39" t="s">
        <v>155</v>
      </c>
      <c r="C606" s="39" t="s">
        <v>703</v>
      </c>
      <c r="D606" s="39" t="e">
        <f>CONCATENATE("외기온 ",VLOOKUP(C606,Tbl_Button_Display_ASSTS,3,FALSE)," degC 이하 설정 시, ",G611, " = ",I611, " 동작 확인")</f>
        <v>#NAME?</v>
      </c>
      <c r="F606" s="91"/>
    </row>
    <row r="607" spans="1:10" s="10" customFormat="1" hidden="1" outlineLevel="2">
      <c r="A607" s="70">
        <v>1</v>
      </c>
      <c r="E607" s="14" t="e">
        <f>VLOOKUP(C606,Tbl_Button_Display_ASSTS,11,FALSE)</f>
        <v>#NAME?</v>
      </c>
      <c r="F607" s="93" cm="1">
        <f t="array" ref="F607">VINTERPOLATION(VLOOKUP(C606,Tbl_Button_Display_ASSTS,3,FALSE),Tbl_Amb_Sensor,3)</f>
        <v>4.0144546649145862</v>
      </c>
      <c r="J607" s="15"/>
    </row>
    <row r="608" spans="1:10" s="10" customFormat="1" hidden="1" outlineLevel="2">
      <c r="A608" s="70">
        <v>1</v>
      </c>
      <c r="E608" s="15" t="s">
        <v>5</v>
      </c>
      <c r="F608" s="85">
        <f>VLOOKUP(C606,Tbl_Button_Display_ASSTS,13,FALSE)</f>
        <v>30</v>
      </c>
    </row>
    <row r="609" spans="1:10" s="10" customFormat="1" hidden="1" outlineLevel="2">
      <c r="A609" s="70">
        <v>1</v>
      </c>
      <c r="F609" s="87"/>
      <c r="G609" s="10" t="e">
        <f>AcDisp</f>
        <v>#NAME?</v>
      </c>
      <c r="I609" s="13" t="str">
        <f>VLOOKUP(C606,Tbl_Button_Display_ASSTS,31,FALSE)</f>
        <v>Off</v>
      </c>
    </row>
    <row r="610" spans="1:10" s="10" customFormat="1" hidden="1" outlineLevel="2">
      <c r="A610" s="70">
        <v>1</v>
      </c>
      <c r="F610" s="87"/>
      <c r="G610" s="10" t="e">
        <f>AcnReqSwi</f>
        <v>#NAME?</v>
      </c>
      <c r="I610" s="13" t="str">
        <f>VLOOKUP(C606,Tbl_Button_Display_ASSTS,32,FALSE)</f>
        <v>Off</v>
      </c>
    </row>
    <row r="611" spans="1:10" s="10" customFormat="1" hidden="1" outlineLevel="2">
      <c r="A611" s="70">
        <v>1</v>
      </c>
      <c r="F611" s="87"/>
      <c r="G611" s="10" t="e" cm="1">
        <f t="array" ref="G611">CompSpd_rpm</f>
        <v>#NAME?</v>
      </c>
      <c r="I611" s="13" t="str">
        <f>VLOOKUP(C606,Tbl_Button_Display_ASSTS,33,FALSE)</f>
        <v>Off</v>
      </c>
    </row>
    <row r="612" spans="1:10" s="40" customFormat="1" ht="15">
      <c r="A612" s="66">
        <v>1</v>
      </c>
      <c r="B612" s="40" t="s">
        <v>537</v>
      </c>
      <c r="C612" s="40" t="s">
        <v>586</v>
      </c>
      <c r="D612" s="40" t="str">
        <f t="shared" si="10"/>
        <v>EVAP.SNS에 의한 A/C ON/OFF 제어 &lt;ECV&gt;</v>
      </c>
      <c r="F612" s="82"/>
    </row>
    <row r="613" spans="1:10" s="38" customFormat="1" collapsed="1">
      <c r="A613" s="71">
        <v>1</v>
      </c>
      <c r="B613" s="38" t="s">
        <v>156</v>
      </c>
      <c r="C613" s="38" t="s">
        <v>696</v>
      </c>
      <c r="D613" s="38" t="str">
        <f>VLOOKUP(C613,Tbl_Button_Display_ASSTS, 2,FALSE)</f>
        <v>EVAP.SNS에 의한 A/C ON/OFF 제어 동작 확인</v>
      </c>
      <c r="F613" s="88"/>
    </row>
    <row r="614" spans="1:10" s="11" customFormat="1" hidden="1" outlineLevel="1">
      <c r="A614" s="72">
        <v>1</v>
      </c>
      <c r="B614" s="11" t="s">
        <v>38</v>
      </c>
      <c r="C614" s="11" t="s">
        <v>697</v>
      </c>
      <c r="D614" s="11" t="s">
        <v>39</v>
      </c>
      <c r="F614" s="89"/>
    </row>
    <row r="615" spans="1:10" s="10" customFormat="1" hidden="1" outlineLevel="2">
      <c r="A615" s="70">
        <v>1</v>
      </c>
      <c r="E615" s="8" t="e">
        <f>Incar_IN</f>
        <v>#NAME?</v>
      </c>
      <c r="F615" s="93" cm="1">
        <f t="array" ref="F615">VINTERPOLATION(VLOOKUP(C614,Tbl_Button_Display_ASSTS,2,FALSE),Tbl_Incar_Sensor,3)</f>
        <v>0.99601123277225601</v>
      </c>
    </row>
    <row r="616" spans="1:10" s="10" customFormat="1" hidden="1" outlineLevel="2">
      <c r="A616" s="70">
        <v>1</v>
      </c>
      <c r="E616" s="8" t="e">
        <f>Amb_IN</f>
        <v>#NAME?</v>
      </c>
      <c r="F616" s="93" cm="1">
        <f t="array" ref="F616">VINTERPOLATION(VLOOKUP(C614,Tbl_Button_Display_ASSTS,3,FALSE),Tbl_Amb_Sensor,3)</f>
        <v>1.7483199653154129</v>
      </c>
    </row>
    <row r="617" spans="1:10" s="10" customFormat="1" hidden="1" outlineLevel="2">
      <c r="A617" s="70">
        <v>1</v>
      </c>
      <c r="E617" s="8" t="e">
        <f>EvaDr_IN</f>
        <v>#NAME?</v>
      </c>
      <c r="F617" s="93" cm="1">
        <f t="array" ref="F617">VINTERPOLATION(VLOOKUP(C614,Tbl_Button_Display_ASSTS,4,FALSE),Tbl_Eva_Sensor,3)</f>
        <v>1.7384213959556425</v>
      </c>
    </row>
    <row r="618" spans="1:10" s="10" customFormat="1" hidden="1" outlineLevel="2">
      <c r="A618" s="70">
        <v>1</v>
      </c>
      <c r="E618" s="14" t="e">
        <f>T_windshield</f>
        <v>#NAME?</v>
      </c>
      <c r="F618" s="65" cm="1">
        <f t="array" ref="F618">VINTERPOLATION(VLOOKUP(C614,Tbl_Button_Display_ASSTS,7,FALSE),Tbl_GlassTemp_Sensor,3)</f>
        <v>1.4614241999700592</v>
      </c>
      <c r="J618" s="15"/>
    </row>
    <row r="619" spans="1:10" s="10" customFormat="1" hidden="1" outlineLevel="2">
      <c r="A619" s="70">
        <v>1</v>
      </c>
      <c r="E619" s="14" t="s">
        <v>95</v>
      </c>
      <c r="F619" s="85" t="s">
        <v>1189</v>
      </c>
    </row>
    <row r="620" spans="1:10" s="10" customFormat="1" hidden="1" outlineLevel="2">
      <c r="A620" s="70">
        <v>1</v>
      </c>
      <c r="E620" s="14" t="str">
        <f>VLOOKUP(C614,Tbl_Button_Display_ASSTS,11,FALSE)</f>
        <v>MsgBox</v>
      </c>
      <c r="F620" s="12" t="str">
        <f>VLOOKUP(C614,Tbl_Button_Display_ASSTS,12,FALSE)</f>
        <v>Blower=1단 수동 설정</v>
      </c>
    </row>
    <row r="621" spans="1:10" s="10" customFormat="1" hidden="1" outlineLevel="2">
      <c r="A621" s="70">
        <v>1</v>
      </c>
      <c r="E621" s="15" t="s">
        <v>5</v>
      </c>
      <c r="F621" s="85">
        <f>VLOOKUP(C614,Tbl_Button_Display_ASSTS,13,FALSE)</f>
        <v>10</v>
      </c>
    </row>
    <row r="622" spans="1:10" s="10" customFormat="1" hidden="1" outlineLevel="2">
      <c r="A622" s="70">
        <v>1</v>
      </c>
      <c r="F622" s="87"/>
      <c r="G622" s="10" t="e">
        <f>Incar_OUT</f>
        <v>#NAME?</v>
      </c>
      <c r="I622" s="13">
        <f>VLOOKUP(C614,Tbl_Button_Display_ASSTS,2,FALSE)</f>
        <v>60</v>
      </c>
    </row>
    <row r="623" spans="1:10" s="10" customFormat="1" hidden="1" outlineLevel="2">
      <c r="A623" s="70">
        <v>1</v>
      </c>
      <c r="F623" s="87"/>
      <c r="G623" s="10" t="e">
        <f>Amb_OUT</f>
        <v>#NAME?</v>
      </c>
      <c r="I623" s="13">
        <f>VLOOKUP(C614,Tbl_Button_Display_ASSTS,3,FALSE)</f>
        <v>40</v>
      </c>
    </row>
    <row r="624" spans="1:10" s="10" customFormat="1" hidden="1" outlineLevel="2">
      <c r="A624" s="70">
        <v>1</v>
      </c>
      <c r="F624" s="87"/>
      <c r="G624" s="10" t="e">
        <f>EvaDr_OUT</f>
        <v>#NAME?</v>
      </c>
      <c r="I624" s="13">
        <f>VLOOKUP(C614,Tbl_Button_Display_ASSTS,4,FALSE)</f>
        <v>13</v>
      </c>
    </row>
    <row r="625" spans="1:10" s="10" customFormat="1" hidden="1" outlineLevel="2">
      <c r="A625" s="70">
        <v>1</v>
      </c>
      <c r="F625" s="87"/>
      <c r="G625" s="10" t="e">
        <f>AcDisp</f>
        <v>#NAME?</v>
      </c>
      <c r="I625" s="13" t="str">
        <f>VLOOKUP(C614,Tbl_Button_Display_ASSTS,31,FALSE)</f>
        <v>On</v>
      </c>
    </row>
    <row r="626" spans="1:10" s="10" customFormat="1" hidden="1" outlineLevel="2">
      <c r="A626" s="70">
        <v>1</v>
      </c>
      <c r="F626" s="87"/>
      <c r="G626" s="10" t="e">
        <f>AcnReqSwi</f>
        <v>#NAME?</v>
      </c>
      <c r="I626" s="13" t="str">
        <f>VLOOKUP(C614,Tbl_Button_Display_ASSTS,32,FALSE)</f>
        <v>On</v>
      </c>
    </row>
    <row r="627" spans="1:10" s="10" customFormat="1" hidden="1" outlineLevel="2">
      <c r="A627" s="70">
        <v>1</v>
      </c>
      <c r="F627" s="87"/>
      <c r="G627" s="10" t="e" cm="1">
        <f t="array" ref="G627">CompSpd_rpm</f>
        <v>#NAME?</v>
      </c>
      <c r="I627" s="13" t="str">
        <f>VLOOKUP(C614,Tbl_Button_Display_ASSTS,33,FALSE)</f>
        <v>On</v>
      </c>
    </row>
    <row r="628" spans="1:10" s="39" customFormat="1" hidden="1" outlineLevel="1">
      <c r="A628" s="73">
        <v>1</v>
      </c>
      <c r="B628" s="39" t="s">
        <v>155</v>
      </c>
      <c r="C628" s="39" t="s">
        <v>698</v>
      </c>
      <c r="D628" s="39" t="e">
        <f>CONCATENATE("Eva 온도 ",VLOOKUP(C628,Tbl_Button_Display_ASSTS,4,FALSE)," degC 이하 설정 시, ",G633, " = ",I633, " 동작 확인")</f>
        <v>#NAME?</v>
      </c>
      <c r="F628" s="91"/>
    </row>
    <row r="629" spans="1:10" s="10" customFormat="1" hidden="1" outlineLevel="2">
      <c r="A629" s="70">
        <v>1</v>
      </c>
      <c r="E629" s="14" t="e">
        <f>VLOOKUP(C628,Tbl_Button_Display_ASSTS,11,FALSE)</f>
        <v>#NAME?</v>
      </c>
      <c r="F629" s="65" cm="1">
        <f t="array" ref="F629">VINTERPOLATION(VLOOKUP(C628,Tbl_Button_Display_ASSTS,4,FALSE),Tbl_Eva_Sensor,3)</f>
        <v>2.3151959906926791</v>
      </c>
      <c r="J629" s="15"/>
    </row>
    <row r="630" spans="1:10" s="10" customFormat="1" hidden="1" outlineLevel="2">
      <c r="A630" s="70">
        <v>1</v>
      </c>
      <c r="E630" s="15" t="s">
        <v>5</v>
      </c>
      <c r="F630" s="85">
        <f>VLOOKUP(C628,Tbl_Button_Display_ASSTS,13,FALSE)</f>
        <v>1</v>
      </c>
    </row>
    <row r="631" spans="1:10" s="10" customFormat="1" hidden="1" outlineLevel="2">
      <c r="A631" s="70">
        <v>1</v>
      </c>
      <c r="F631" s="87"/>
      <c r="G631" s="10" t="e">
        <f>AcDisp</f>
        <v>#NAME?</v>
      </c>
      <c r="I631" s="13" t="str">
        <f>VLOOKUP(C628,Tbl_Button_Display_ASSTS,31,FALSE)</f>
        <v>On</v>
      </c>
    </row>
    <row r="632" spans="1:10" s="10" customFormat="1" hidden="1" outlineLevel="2">
      <c r="A632" s="70">
        <v>1</v>
      </c>
      <c r="F632" s="87"/>
      <c r="G632" s="10" t="e">
        <f>AcnReqSwi</f>
        <v>#NAME?</v>
      </c>
      <c r="I632" s="13" t="str">
        <f>VLOOKUP(C628,Tbl_Button_Display_ASSTS,32,FALSE)</f>
        <v>On</v>
      </c>
    </row>
    <row r="633" spans="1:10" s="10" customFormat="1" hidden="1" outlineLevel="2">
      <c r="A633" s="70">
        <v>1</v>
      </c>
      <c r="F633" s="87"/>
      <c r="G633" s="10" t="e" cm="1">
        <f t="array" ref="G633">CompSpd_rpm</f>
        <v>#NAME?</v>
      </c>
      <c r="I633" s="13" t="str">
        <f>VLOOKUP(C628,Tbl_Button_Display_ASSTS,33,FALSE)</f>
        <v>Off</v>
      </c>
    </row>
    <row r="634" spans="1:10" s="39" customFormat="1" hidden="1" outlineLevel="1">
      <c r="A634" s="73">
        <v>1</v>
      </c>
      <c r="B634" s="39" t="s">
        <v>155</v>
      </c>
      <c r="C634" s="39" t="s">
        <v>699</v>
      </c>
      <c r="D634" s="39" t="e">
        <f>CONCATENATE("Eva 온도 ",VLOOKUP(C634,Tbl_Button_Display_ASSTS,4,FALSE)," degC 이상 설정 시, ",G639, " = ",I639, " 동작 확인")</f>
        <v>#NAME?</v>
      </c>
      <c r="F634" s="91"/>
    </row>
    <row r="635" spans="1:10" s="10" customFormat="1" hidden="1" outlineLevel="2">
      <c r="A635" s="70">
        <v>1</v>
      </c>
      <c r="E635" s="14" t="e">
        <f>VLOOKUP(C634,Tbl_Button_Display_ASSTS,11,FALSE)</f>
        <v>#NAME?</v>
      </c>
      <c r="F635" s="65" cm="1">
        <f t="array" ref="F635">VINTERPOLATION(VLOOKUP(C634,Tbl_Button_Display_ASSTS,4,FALSE),Tbl_Eva_Sensor,3)</f>
        <v>2.2350230414746544</v>
      </c>
      <c r="J635" s="15"/>
    </row>
    <row r="636" spans="1:10" s="10" customFormat="1" hidden="1" outlineLevel="2">
      <c r="A636" s="70">
        <v>1</v>
      </c>
      <c r="E636" s="15" t="s">
        <v>5</v>
      </c>
      <c r="F636" s="85">
        <f>VLOOKUP(C634,Tbl_Button_Display_ASSTS,13,FALSE)</f>
        <v>1</v>
      </c>
    </row>
    <row r="637" spans="1:10" s="10" customFormat="1" hidden="1" outlineLevel="2">
      <c r="A637" s="70">
        <v>1</v>
      </c>
      <c r="F637" s="87"/>
      <c r="G637" s="10" t="e">
        <f>AcDisp</f>
        <v>#NAME?</v>
      </c>
      <c r="I637" s="13" t="str">
        <f>VLOOKUP(C634,Tbl_Button_Display_ASSTS,31,FALSE)</f>
        <v>On</v>
      </c>
    </row>
    <row r="638" spans="1:10" s="10" customFormat="1" hidden="1" outlineLevel="2">
      <c r="A638" s="70">
        <v>1</v>
      </c>
      <c r="F638" s="87"/>
      <c r="G638" s="10" t="e">
        <f>AcnReqSwi</f>
        <v>#NAME?</v>
      </c>
      <c r="I638" s="13" t="str">
        <f>VLOOKUP(C634,Tbl_Button_Display_ASSTS,32,FALSE)</f>
        <v>On</v>
      </c>
    </row>
    <row r="639" spans="1:10" s="10" customFormat="1" hidden="1" outlineLevel="2">
      <c r="A639" s="70">
        <v>1</v>
      </c>
      <c r="F639" s="87"/>
      <c r="G639" s="10" t="e" cm="1">
        <f t="array" ref="G639">CompSpd_rpm</f>
        <v>#NAME?</v>
      </c>
      <c r="I639" s="13" t="str">
        <f>VLOOKUP(C634,Tbl_Button_Display_ASSTS,33,FALSE)</f>
        <v>On</v>
      </c>
    </row>
    <row r="640" spans="1:10" s="40" customFormat="1" ht="15">
      <c r="A640" s="66">
        <v>1</v>
      </c>
      <c r="B640" s="40" t="s">
        <v>538</v>
      </c>
      <c r="C640" s="40" t="s">
        <v>587</v>
      </c>
      <c r="D640" s="40" t="str">
        <f t="shared" si="10"/>
        <v>MAX HOT 기능</v>
      </c>
      <c r="F640" s="82"/>
    </row>
    <row r="641" spans="1:12" s="38" customFormat="1" collapsed="1">
      <c r="A641" s="71">
        <v>1</v>
      </c>
      <c r="B641" s="38" t="s">
        <v>7</v>
      </c>
      <c r="C641" s="38" t="s">
        <v>692</v>
      </c>
      <c r="D641" s="38" t="e">
        <f>VLOOKUP(C641,Tbl_Button_Display_ASSTS, 2,FALSE)</f>
        <v>#NAME?</v>
      </c>
    </row>
    <row r="642" spans="1:12" s="11" customFormat="1" hidden="1" outlineLevel="1">
      <c r="A642" s="72">
        <v>1</v>
      </c>
      <c r="B642" s="11" t="s">
        <v>38</v>
      </c>
      <c r="C642" s="11" t="s">
        <v>693</v>
      </c>
      <c r="D642" s="11" t="s">
        <v>39</v>
      </c>
      <c r="L642" s="207"/>
    </row>
    <row r="643" spans="1:12" s="10" customFormat="1" hidden="1" outlineLevel="2">
      <c r="A643" s="70">
        <v>1</v>
      </c>
      <c r="E643" s="8" t="e">
        <f>EvaDr_IN</f>
        <v>#NAME?</v>
      </c>
      <c r="F643" s="93" cm="1">
        <f t="array" ref="F643">VINTERPOLATION(VLOOKUP(C642,Tbl_Button_Display_ASSTS,4,FALSE),Tbl_Eva_Sensor,3)</f>
        <v>1.7384213959556425</v>
      </c>
      <c r="L643" s="130"/>
    </row>
    <row r="644" spans="1:12" s="10" customFormat="1" hidden="1" outlineLevel="2">
      <c r="A644" s="70">
        <v>1</v>
      </c>
      <c r="E644" s="14" t="str">
        <f>VLOOKUP(C642,Tbl_Button_Display_ASSTS,11,FALSE)</f>
        <v>MsgBox</v>
      </c>
      <c r="F644" s="12" t="e">
        <f>VLOOKUP(C642,Tbl_Button_Display_ASSTS,12,FALSE)</f>
        <v>#NAME?</v>
      </c>
    </row>
    <row r="645" spans="1:12" s="10" customFormat="1" hidden="1" outlineLevel="2">
      <c r="A645" s="70">
        <v>1</v>
      </c>
      <c r="E645" s="14" t="s">
        <v>1613</v>
      </c>
      <c r="F645" s="85">
        <v>1</v>
      </c>
      <c r="J645" s="15"/>
    </row>
    <row r="646" spans="1:12" s="10" customFormat="1" hidden="1" outlineLevel="2">
      <c r="A646" s="70">
        <v>1</v>
      </c>
      <c r="E646" s="15" t="s">
        <v>5</v>
      </c>
      <c r="F646" s="12">
        <f>VLOOKUP(C642,Tbl_Button_Display_ASSTS,13,FALSE)</f>
        <v>10</v>
      </c>
    </row>
    <row r="647" spans="1:12" s="10" customFormat="1" hidden="1" outlineLevel="2">
      <c r="A647" s="70">
        <v>1</v>
      </c>
      <c r="F647" s="87"/>
      <c r="G647" s="10" t="e">
        <f>EvaDr_OUT</f>
        <v>#NAME?</v>
      </c>
      <c r="I647" s="13">
        <f>VLOOKUP(C642,Tbl_Button_Display_ASSTS,4,FALSE)</f>
        <v>13</v>
      </c>
    </row>
    <row r="648" spans="1:12" s="10" customFormat="1" hidden="1" outlineLevel="2">
      <c r="A648" s="70">
        <v>1</v>
      </c>
      <c r="G648" s="10" t="e">
        <f>SyncDisp</f>
        <v>#NAME?</v>
      </c>
      <c r="I648" s="13" t="str">
        <f>VLOOKUP(C642,Tbl_Button_Display_ASSTS,15,FALSE)</f>
        <v>On</v>
      </c>
    </row>
    <row r="649" spans="1:12" s="10" customFormat="1" hidden="1" outlineLevel="2">
      <c r="A649" s="70">
        <v>1</v>
      </c>
      <c r="G649" s="10" t="e">
        <f>AutoDisp</f>
        <v>#NAME?</v>
      </c>
      <c r="I649" s="13" t="str">
        <f>VLOOKUP(C642,Tbl_Button_Display_ASSTS,14,FALSE)</f>
        <v>On</v>
      </c>
    </row>
    <row r="650" spans="1:12" s="10" customFormat="1" hidden="1" outlineLevel="2">
      <c r="A650" s="70">
        <v>1</v>
      </c>
      <c r="G650" s="10" t="e">
        <f>DrTempDispC</f>
        <v>#NAME?</v>
      </c>
      <c r="I650" s="13" t="e">
        <f>VLOOKUP(C642,Tbl_Button_Display_ASSTS,26,FALSE)</f>
        <v>#NAME?</v>
      </c>
    </row>
    <row r="651" spans="1:12" s="10" customFormat="1" hidden="1" outlineLevel="2">
      <c r="A651" s="70">
        <v>1</v>
      </c>
      <c r="G651" s="10" t="e">
        <f>PsTempDispC</f>
        <v>#NAME?</v>
      </c>
      <c r="I651" s="13" t="e">
        <f>VLOOKUP(C642,Tbl_Button_Display_ASSTS,27,FALSE)</f>
        <v>#NAME?</v>
      </c>
    </row>
    <row r="652" spans="1:12" s="10" customFormat="1" hidden="1" outlineLevel="2">
      <c r="A652" s="70">
        <v>1</v>
      </c>
      <c r="G652" s="10" t="e">
        <f>ModDisp</f>
        <v>#NAME?</v>
      </c>
      <c r="I652" s="13" t="str">
        <f>VLOOKUP(C642,Tbl_Button_Display_ASSTS,16,FALSE)</f>
        <v>Vent</v>
      </c>
    </row>
    <row r="653" spans="1:12" s="10" customFormat="1" hidden="1" outlineLevel="2">
      <c r="A653" s="70">
        <v>1</v>
      </c>
      <c r="G653" s="10" t="e">
        <f>IntakeDisp</f>
        <v>#NAME?</v>
      </c>
      <c r="I653" s="13" t="str">
        <f>VLOOKUP(C642,Tbl_Button_Display_ASSTS,34,FALSE)</f>
        <v>REC</v>
      </c>
    </row>
    <row r="654" spans="1:12" s="10" customFormat="1" hidden="1" outlineLevel="2">
      <c r="A654" s="70">
        <v>1</v>
      </c>
      <c r="G654" s="10" t="e">
        <f>FrontBlwDisp</f>
        <v>#NAME?</v>
      </c>
      <c r="I654" s="13" t="str">
        <f>VLOOKUP(C642,Tbl_Button_Display_ASSTS,23,FALSE)</f>
        <v>Blower 제어단수 확인</v>
      </c>
    </row>
    <row r="655" spans="1:12" s="10" customFormat="1" hidden="1" outlineLevel="2">
      <c r="A655" s="70">
        <v>1</v>
      </c>
      <c r="G655" s="10" t="e">
        <f>AcDisp</f>
        <v>#NAME?</v>
      </c>
      <c r="I655" s="13" t="str">
        <f>VLOOKUP(C642,Tbl_Button_Display_ASSTS,31,FALSE)</f>
        <v>On</v>
      </c>
    </row>
    <row r="656" spans="1:12" s="10" customFormat="1" hidden="1" outlineLevel="2">
      <c r="A656" s="70">
        <v>1</v>
      </c>
      <c r="G656" s="10" t="e" cm="1">
        <f t="array" ref="G656">CompSpd_rpm</f>
        <v>#NAME?</v>
      </c>
      <c r="I656" s="13" t="str">
        <f>VLOOKUP(C642,Tbl_Button_Display_ASSTS,33,FALSE)</f>
        <v>On</v>
      </c>
    </row>
    <row r="657" spans="1:12" s="10" customFormat="1" hidden="1" outlineLevel="2">
      <c r="A657" s="70">
        <v>1</v>
      </c>
      <c r="D657" s="10" t="s">
        <v>498</v>
      </c>
      <c r="G657" s="10" t="e">
        <f>Act_DrTemp</f>
        <v>#NAME?</v>
      </c>
      <c r="H657" s="49" t="str">
        <f>VLOOKUP(C642,Tbl_Button_Display_ASSTS,39,FALSE)</f>
        <v>Temp_TD 연산에 따름</v>
      </c>
      <c r="I657" s="47" t="e">
        <f>IF(H657="","",VLOOKUP(H657,Tbl_TempFB_Volt,2,FALSE))</f>
        <v>#NAME?</v>
      </c>
    </row>
    <row r="658" spans="1:12" s="10" customFormat="1" hidden="1" outlineLevel="2">
      <c r="A658" s="70">
        <v>1</v>
      </c>
      <c r="D658" s="10" t="s">
        <v>498</v>
      </c>
      <c r="G658" s="10" t="e">
        <f>Act_PsTemp</f>
        <v>#NAME?</v>
      </c>
      <c r="H658" s="49" t="str">
        <f>VLOOKUP(C642,Tbl_Button_Display_ASSTS,40,FALSE)</f>
        <v>Temp_TD 연산에 따름</v>
      </c>
      <c r="I658" s="47" t="e">
        <f>IF(H658="","",VLOOKUP(H658,Tbl_TempFB_Volt,2,FALSE))</f>
        <v>#NAME?</v>
      </c>
    </row>
    <row r="659" spans="1:12" s="10" customFormat="1" hidden="1" outlineLevel="2">
      <c r="A659" s="70">
        <v>1</v>
      </c>
      <c r="G659" s="10" t="e">
        <f>BLW_Front</f>
        <v>#NAME?</v>
      </c>
      <c r="H659" s="49" t="str">
        <f>VLOOKUP(C642,Tbl_Button_Display_ASSTS,24,FALSE)</f>
        <v>blower_TD 연산에 따름</v>
      </c>
      <c r="I659" s="47" t="e">
        <f>IF(H659="","",VLOOKUP(H659,Tbl_Blower_Volt,2,FALSE))</f>
        <v>#NAME?</v>
      </c>
    </row>
    <row r="660" spans="1:12" s="39" customFormat="1" hidden="1" outlineLevel="1">
      <c r="A660" s="73">
        <v>1</v>
      </c>
      <c r="B660" s="39" t="s">
        <v>155</v>
      </c>
      <c r="C660" s="39" t="s">
        <v>694</v>
      </c>
      <c r="D660" s="39" t="str">
        <f>CONCATENATE("설정온도 = Hi 설정")</f>
        <v>설정온도 = Hi 설정</v>
      </c>
      <c r="L660" s="199"/>
    </row>
    <row r="661" spans="1:12" s="10" customFormat="1" hidden="1" outlineLevel="2">
      <c r="A661" s="70">
        <v>1</v>
      </c>
      <c r="E661" s="14" t="str">
        <f>VLOOKUP(C660,Tbl_Button_Display_ASSTS,11,FALSE)</f>
        <v>Sw_DrTemp_Up</v>
      </c>
      <c r="F661" s="12">
        <f>VLOOKUP(C660,Tbl_Button_Display_ASSTS,12,FALSE)</f>
        <v>1</v>
      </c>
      <c r="J661" s="15"/>
      <c r="L661" s="130"/>
    </row>
    <row r="662" spans="1:12" s="10" customFormat="1" hidden="1" outlineLevel="2">
      <c r="A662" s="70">
        <v>1</v>
      </c>
      <c r="E662" s="15" t="s">
        <v>5</v>
      </c>
      <c r="F662" s="12">
        <f>VLOOKUP(C660,Tbl_Button_Display_ASSTS,13,FALSE)</f>
        <v>10</v>
      </c>
    </row>
    <row r="663" spans="1:12" s="10" customFormat="1" hidden="1" outlineLevel="2">
      <c r="A663" s="70">
        <v>1</v>
      </c>
      <c r="G663" s="10" t="e">
        <f>DrTempDispC</f>
        <v>#NAME?</v>
      </c>
      <c r="I663" s="13" t="e">
        <f>VLOOKUP(C660,Tbl_Button_Display_ASSTS,26,FALSE)</f>
        <v>#NAME?</v>
      </c>
    </row>
    <row r="664" spans="1:12" s="10" customFormat="1" hidden="1" outlineLevel="2">
      <c r="A664" s="70">
        <v>1</v>
      </c>
      <c r="G664" s="10" t="e">
        <f>ModDisp</f>
        <v>#NAME?</v>
      </c>
      <c r="I664" s="13" t="e">
        <f>VLOOKUP(C660,Tbl_Button_Display_ASSTS,16,FALSE)</f>
        <v>#NAME?</v>
      </c>
    </row>
    <row r="665" spans="1:12" s="10" customFormat="1" hidden="1" outlineLevel="2">
      <c r="A665" s="70">
        <v>1</v>
      </c>
      <c r="G665" s="10" t="e">
        <f>IntakeDisp</f>
        <v>#NAME?</v>
      </c>
      <c r="I665" s="13" t="e">
        <f>VLOOKUP(C660,Tbl_Button_Display_ASSTS,34,FALSE)</f>
        <v>#NAME?</v>
      </c>
    </row>
    <row r="666" spans="1:12" s="10" customFormat="1" hidden="1" outlineLevel="2">
      <c r="A666" s="70">
        <v>1</v>
      </c>
      <c r="D666" s="10" t="e">
        <f>IF(MAX_HOT="O","","공조제어 연산에 따름")</f>
        <v>#NAME?</v>
      </c>
      <c r="G666" s="10" t="e">
        <f>FrontBlwDisp</f>
        <v>#NAME?</v>
      </c>
      <c r="I666" s="13" t="e">
        <f>VLOOKUP(C660,Tbl_Button_Display_ASSTS,23,FALSE)</f>
        <v>#NAME?</v>
      </c>
    </row>
    <row r="667" spans="1:12" s="10" customFormat="1" hidden="1" outlineLevel="2">
      <c r="A667" s="70">
        <v>1</v>
      </c>
      <c r="G667" s="10" t="e">
        <f>AcDisp</f>
        <v>#NAME?</v>
      </c>
      <c r="I667" s="13" t="str">
        <f>VLOOKUP(C660,Tbl_Button_Display_ASSTS,31,FALSE)</f>
        <v>On</v>
      </c>
    </row>
    <row r="668" spans="1:12" s="10" customFormat="1" hidden="1" outlineLevel="2">
      <c r="A668" s="70">
        <v>1</v>
      </c>
      <c r="G668" s="10" t="e" cm="1">
        <f t="array" ref="G668">CompSpd_rpm</f>
        <v>#NAME?</v>
      </c>
      <c r="I668" s="13" t="str">
        <f>VLOOKUP(C660,Tbl_Button_Display_ASSTS,33,FALSE)</f>
        <v>On</v>
      </c>
    </row>
    <row r="669" spans="1:12" s="10" customFormat="1" hidden="1" outlineLevel="2">
      <c r="A669" s="70">
        <v>1</v>
      </c>
      <c r="D669" s="10" t="e">
        <f>IF(MAX_HOT="O","","공조제어 연산에 따름")</f>
        <v>#NAME?</v>
      </c>
      <c r="G669" s="10" t="e">
        <f>Act_DrTemp</f>
        <v>#NAME?</v>
      </c>
      <c r="H669" s="49" t="e">
        <f>VLOOKUP(C660,Tbl_Button_Display_ASSTS,39,FALSE)</f>
        <v>#NAME?</v>
      </c>
      <c r="I669" s="47" t="e">
        <f>IF(H669="","",VLOOKUP(H669,Tbl_TempFB_Volt,2,FALSE))</f>
        <v>#NAME?</v>
      </c>
    </row>
    <row r="670" spans="1:12" s="10" customFormat="1" hidden="1" outlineLevel="2">
      <c r="A670" s="70">
        <v>1</v>
      </c>
      <c r="D670" s="10" t="e">
        <f>IF(MAX_HOT="O","","공조제어 연산에 따름")</f>
        <v>#NAME?</v>
      </c>
      <c r="G670" s="10" t="e">
        <f>Act_PsTemp</f>
        <v>#NAME?</v>
      </c>
      <c r="H670" s="49" t="e">
        <f>VLOOKUP(C660,Tbl_Button_Display_ASSTS,40,FALSE)</f>
        <v>#NAME?</v>
      </c>
      <c r="I670" s="47" t="e">
        <f>IF(H670="","",VLOOKUP(H670,Tbl_TempFB_Volt,2,FALSE))</f>
        <v>#NAME?</v>
      </c>
    </row>
    <row r="671" spans="1:12" s="10" customFormat="1" hidden="1" outlineLevel="2">
      <c r="A671" s="70">
        <v>1</v>
      </c>
      <c r="D671" s="10" t="e">
        <f>IF(MAX_HOT="O","","공조제어 연산에 따름")</f>
        <v>#NAME?</v>
      </c>
      <c r="G671" s="10" t="e">
        <f>BLW_Front</f>
        <v>#NAME?</v>
      </c>
      <c r="H671" s="49" t="e">
        <f>VLOOKUP(C660,Tbl_Button_Display_ASSTS,24,FALSE)</f>
        <v>#NAME?</v>
      </c>
      <c r="I671" s="47" t="e">
        <f>IF(H671="","",VLOOKUP(H671,Tbl_Blower_Volt,2,FALSE))</f>
        <v>#NAME?</v>
      </c>
    </row>
    <row r="672" spans="1:12" s="39" customFormat="1" hidden="1" outlineLevel="1">
      <c r="A672" s="73">
        <v>1</v>
      </c>
      <c r="B672" s="39" t="s">
        <v>155</v>
      </c>
      <c r="C672" s="39" t="s">
        <v>695</v>
      </c>
      <c r="D672" s="39" t="e">
        <f>CONCATENATE("설정온도 = Hi - ",const_Tset_resolution_1," ",IF(FLAG_Country&lt;&gt;"USA","degC","degF")," 설정")</f>
        <v>#NAME?</v>
      </c>
      <c r="L672" s="199"/>
    </row>
    <row r="673" spans="1:10" s="10" customFormat="1" hidden="1" outlineLevel="2">
      <c r="A673" s="70">
        <v>1</v>
      </c>
      <c r="E673" s="14" t="str">
        <f>VLOOKUP(C672,Tbl_Button_Display_ASSTS,11,FALSE)</f>
        <v>Sw_DrTemp_Dn</v>
      </c>
      <c r="F673" s="12">
        <f>VLOOKUP(C672,Tbl_Button_Display_ASSTS,12,FALSE)</f>
        <v>1</v>
      </c>
      <c r="J673" s="15"/>
    </row>
    <row r="674" spans="1:10" s="10" customFormat="1" hidden="1" outlineLevel="2">
      <c r="A674" s="70">
        <v>1</v>
      </c>
      <c r="E674" s="15" t="s">
        <v>5</v>
      </c>
      <c r="F674" s="12">
        <f>VLOOKUP(C672,Tbl_Button_Display_ASSTS,13,FALSE)</f>
        <v>10</v>
      </c>
    </row>
    <row r="675" spans="1:10" s="10" customFormat="1" hidden="1" outlineLevel="2">
      <c r="A675" s="70">
        <v>1</v>
      </c>
      <c r="G675" s="10" t="e">
        <f>DrTempDispC</f>
        <v>#NAME?</v>
      </c>
      <c r="I675" s="13" t="e">
        <f>VLOOKUP(C672,Tbl_Button_Display_ASSTS,26,FALSE)</f>
        <v>#NAME?</v>
      </c>
    </row>
    <row r="676" spans="1:10" s="10" customFormat="1" hidden="1" outlineLevel="2">
      <c r="A676" s="70">
        <v>1</v>
      </c>
      <c r="G676" s="10" t="e">
        <f>ModDisp</f>
        <v>#NAME?</v>
      </c>
      <c r="I676" s="13" t="str">
        <f>VLOOKUP(C672,Tbl_Button_Display_ASSTS,16,FALSE)</f>
        <v>Vent</v>
      </c>
    </row>
    <row r="677" spans="1:10" s="10" customFormat="1" hidden="1" outlineLevel="2">
      <c r="A677" s="70">
        <v>1</v>
      </c>
      <c r="G677" s="10" t="e">
        <f>IntakeDisp</f>
        <v>#NAME?</v>
      </c>
      <c r="I677" s="13" t="str">
        <f>VLOOKUP(C672,Tbl_Button_Display_ASSTS,34,FALSE)</f>
        <v>REC</v>
      </c>
    </row>
    <row r="678" spans="1:10" s="10" customFormat="1" hidden="1" outlineLevel="2">
      <c r="A678" s="70">
        <v>1</v>
      </c>
      <c r="D678" s="10" t="s">
        <v>498</v>
      </c>
      <c r="G678" s="10" t="e">
        <f>FrontBlwDisp</f>
        <v>#NAME?</v>
      </c>
      <c r="I678" s="13" t="str">
        <f>VLOOKUP(C672,Tbl_Button_Display_ASSTS,23,FALSE)</f>
        <v>Blower 제어단수 확인</v>
      </c>
    </row>
    <row r="679" spans="1:10" s="10" customFormat="1" hidden="1" outlineLevel="2">
      <c r="A679" s="70">
        <v>1</v>
      </c>
      <c r="G679" s="10" t="e">
        <f>AcDisp</f>
        <v>#NAME?</v>
      </c>
      <c r="I679" s="13" t="str">
        <f>VLOOKUP(C672,Tbl_Button_Display_ASSTS,31,FALSE)</f>
        <v>On</v>
      </c>
    </row>
    <row r="680" spans="1:10" s="10" customFormat="1" hidden="1" outlineLevel="2">
      <c r="A680" s="70">
        <v>1</v>
      </c>
      <c r="G680" s="10" t="e" cm="1">
        <f t="array" ref="G680">CompSpd_rpm</f>
        <v>#NAME?</v>
      </c>
      <c r="I680" s="13" t="str">
        <f>VLOOKUP(C672,Tbl_Button_Display_ASSTS,33,FALSE)</f>
        <v>On</v>
      </c>
    </row>
    <row r="681" spans="1:10" s="10" customFormat="1" hidden="1" outlineLevel="2">
      <c r="A681" s="70">
        <v>1</v>
      </c>
      <c r="D681" s="10" t="s">
        <v>498</v>
      </c>
      <c r="G681" s="10" t="e">
        <f>Act_DrTemp</f>
        <v>#NAME?</v>
      </c>
      <c r="H681" s="49" t="str">
        <f>VLOOKUP(C672,Tbl_Button_Display_ASSTS,39,FALSE)</f>
        <v>Temp_TD 연산에 따름</v>
      </c>
      <c r="I681" s="47" t="e">
        <f>IF(H681="","",VLOOKUP(H681,Tbl_TempFB_Volt,2,FALSE))</f>
        <v>#NAME?</v>
      </c>
    </row>
    <row r="682" spans="1:10" s="10" customFormat="1" hidden="1" outlineLevel="2">
      <c r="A682" s="70">
        <v>1</v>
      </c>
      <c r="D682" s="10" t="s">
        <v>498</v>
      </c>
      <c r="G682" s="10" t="e">
        <f>Act_PsTemp</f>
        <v>#NAME?</v>
      </c>
      <c r="H682" s="49" t="str">
        <f>VLOOKUP(C672,Tbl_Button_Display_ASSTS,40,FALSE)</f>
        <v>Temp_TD 연산에 따름</v>
      </c>
      <c r="I682" s="47" t="e">
        <f>IF(H682="","",VLOOKUP(H682,Tbl_TempFB_Volt,2,FALSE))</f>
        <v>#NAME?</v>
      </c>
    </row>
    <row r="683" spans="1:10" s="10" customFormat="1" hidden="1" outlineLevel="2">
      <c r="A683" s="70">
        <v>1</v>
      </c>
      <c r="D683" s="10" t="s">
        <v>498</v>
      </c>
      <c r="G683" s="10" t="e">
        <f>BLW_Front</f>
        <v>#NAME?</v>
      </c>
      <c r="H683" s="49" t="str">
        <f>VLOOKUP(C672,Tbl_Button_Display_ASSTS,24,FALSE)</f>
        <v>blower_TD 연산에 따름</v>
      </c>
      <c r="I683" s="47" t="e">
        <f>IF(H683="","",VLOOKUP(H683,Tbl_Blower_Volt,2,FALSE))</f>
        <v>#NAME?</v>
      </c>
    </row>
    <row r="684" spans="1:10" s="40" customFormat="1" ht="15">
      <c r="A684" s="66">
        <v>1</v>
      </c>
      <c r="B684" s="40" t="s">
        <v>539</v>
      </c>
      <c r="C684" s="40" t="s">
        <v>588</v>
      </c>
      <c r="D684" s="40" t="str">
        <f t="shared" si="10"/>
        <v>MAX COOL 기능</v>
      </c>
      <c r="F684" s="82"/>
    </row>
    <row r="685" spans="1:10" s="38" customFormat="1" collapsed="1">
      <c r="A685" s="71">
        <v>1</v>
      </c>
      <c r="B685" s="38" t="s">
        <v>7</v>
      </c>
      <c r="C685" s="38" t="s">
        <v>637</v>
      </c>
      <c r="D685" s="38" t="e">
        <f>VLOOKUP(C685,Tbl_Button_Display_ASSTS, 2,FALSE)</f>
        <v>#NAME?</v>
      </c>
    </row>
    <row r="686" spans="1:10" s="11" customFormat="1" hidden="1" outlineLevel="1">
      <c r="A686" s="72">
        <v>1</v>
      </c>
      <c r="B686" s="11" t="s">
        <v>38</v>
      </c>
      <c r="C686" s="11" t="s">
        <v>638</v>
      </c>
      <c r="D686" s="11" t="s">
        <v>39</v>
      </c>
    </row>
    <row r="687" spans="1:10" s="10" customFormat="1" hidden="1" outlineLevel="2">
      <c r="A687" s="70">
        <v>1</v>
      </c>
      <c r="E687" s="8" t="e">
        <f>Incar_IN</f>
        <v>#NAME?</v>
      </c>
      <c r="F687" s="65" cm="1">
        <f t="array" ref="F687">VINTERPOLATION(VLOOKUP(C686,Tbl_Button_Display_ASSTS,2,FALSE),Tbl_Incar_Sensor,3)</f>
        <v>4.8442589619656111</v>
      </c>
    </row>
    <row r="688" spans="1:10" s="10" customFormat="1" hidden="1" outlineLevel="2">
      <c r="A688" s="70">
        <v>1</v>
      </c>
      <c r="E688" s="8" t="e">
        <f>Amb_IN</f>
        <v>#NAME?</v>
      </c>
      <c r="F688" s="65" cm="1">
        <f t="array" ref="F688">VINTERPOLATION(VLOOKUP(C686,Tbl_Button_Display_ASSTS,3,FALSE),Tbl_Amb_Sensor,3)</f>
        <v>3.5649228885232098</v>
      </c>
    </row>
    <row r="689" spans="1:9" s="10" customFormat="1" hidden="1" outlineLevel="2">
      <c r="A689" s="70">
        <v>1</v>
      </c>
      <c r="E689" s="14" t="s">
        <v>95</v>
      </c>
      <c r="F689" s="85" t="s">
        <v>1189</v>
      </c>
    </row>
    <row r="690" spans="1:9" s="10" customFormat="1" hidden="1" outlineLevel="2">
      <c r="A690" s="70">
        <v>1</v>
      </c>
      <c r="E690" s="14" t="str">
        <f>VLOOKUP(C686,Tbl_Button_Display_ASSTS,11,FALSE)</f>
        <v>MsgBox</v>
      </c>
      <c r="F690" s="12" t="e">
        <f>VLOOKUP(C686,Tbl_Button_Display_ASSTS,12,FALSE)</f>
        <v>#NAME?</v>
      </c>
    </row>
    <row r="691" spans="1:9" s="10" customFormat="1" hidden="1" outlineLevel="2">
      <c r="A691" s="70">
        <v>1</v>
      </c>
      <c r="E691" s="15" t="s">
        <v>5</v>
      </c>
      <c r="F691" s="12">
        <f>VLOOKUP(C686,Tbl_Button_Display_ASSTS,13,FALSE)</f>
        <v>10</v>
      </c>
    </row>
    <row r="692" spans="1:9" s="10" customFormat="1" hidden="1" outlineLevel="2">
      <c r="A692" s="70">
        <v>1</v>
      </c>
      <c r="G692" s="10" t="e">
        <f>Incar_OUT</f>
        <v>#NAME?</v>
      </c>
      <c r="I692" s="13">
        <f>VLOOKUP(C686,Tbl_Button_Display_ASSTS,2,FALSE)</f>
        <v>-40</v>
      </c>
    </row>
    <row r="693" spans="1:9" s="10" customFormat="1" hidden="1" outlineLevel="2">
      <c r="A693" s="70">
        <v>1</v>
      </c>
      <c r="G693" s="10" t="e">
        <f>Amb_OUT</f>
        <v>#NAME?</v>
      </c>
      <c r="I693" s="13">
        <f>VLOOKUP(C686,Tbl_Button_Display_ASSTS,3,FALSE)</f>
        <v>5</v>
      </c>
    </row>
    <row r="694" spans="1:9" s="10" customFormat="1" hidden="1" outlineLevel="2">
      <c r="A694" s="70">
        <v>1</v>
      </c>
      <c r="G694" s="10" t="e">
        <f>SyncDisp</f>
        <v>#NAME?</v>
      </c>
      <c r="I694" s="13" t="str">
        <f>VLOOKUP(C686,Tbl_Button_Display_ASSTS,15,FALSE)</f>
        <v>On</v>
      </c>
    </row>
    <row r="695" spans="1:9" s="10" customFormat="1" hidden="1" outlineLevel="2">
      <c r="A695" s="70">
        <v>1</v>
      </c>
      <c r="G695" s="10" t="e">
        <f>AutoDisp</f>
        <v>#NAME?</v>
      </c>
      <c r="I695" s="13" t="str">
        <f>VLOOKUP(C686,Tbl_Button_Display_ASSTS,14,FALSE)</f>
        <v>On</v>
      </c>
    </row>
    <row r="696" spans="1:9" s="10" customFormat="1" hidden="1" outlineLevel="2">
      <c r="A696" s="70">
        <v>1</v>
      </c>
      <c r="G696" s="10" t="e">
        <f>DrTempDispC</f>
        <v>#NAME?</v>
      </c>
      <c r="I696" s="13" t="e">
        <f>VLOOKUP(C686,Tbl_Button_Display_ASSTS,26,FALSE)</f>
        <v>#NAME?</v>
      </c>
    </row>
    <row r="697" spans="1:9" s="10" customFormat="1" hidden="1" outlineLevel="2">
      <c r="A697" s="70">
        <v>1</v>
      </c>
      <c r="G697" s="10" t="e">
        <f>PsTempDispC</f>
        <v>#NAME?</v>
      </c>
      <c r="I697" s="13" t="e">
        <f>VLOOKUP(C686,Tbl_Button_Display_ASSTS,27,FALSE)</f>
        <v>#NAME?</v>
      </c>
    </row>
    <row r="698" spans="1:9" s="10" customFormat="1" hidden="1" outlineLevel="2">
      <c r="A698" s="70">
        <v>1</v>
      </c>
      <c r="G698" s="10" t="e">
        <f>ModDisp</f>
        <v>#NAME?</v>
      </c>
      <c r="I698" s="13" t="str">
        <f>VLOOKUP(C686,Tbl_Button_Display_ASSTS,16,FALSE)</f>
        <v>Floor</v>
      </c>
    </row>
    <row r="699" spans="1:9" s="10" customFormat="1" hidden="1" outlineLevel="2">
      <c r="A699" s="70">
        <v>1</v>
      </c>
      <c r="G699" s="10" t="e">
        <f>IntakeDisp</f>
        <v>#NAME?</v>
      </c>
      <c r="I699" s="13" t="str">
        <f>VLOOKUP(C686,Tbl_Button_Display_ASSTS,34,FALSE)</f>
        <v>FRE</v>
      </c>
    </row>
    <row r="700" spans="1:9" s="10" customFormat="1" hidden="1" outlineLevel="2">
      <c r="A700" s="70">
        <v>1</v>
      </c>
      <c r="G700" s="10" t="e">
        <f>FrontBlwDisp</f>
        <v>#NAME?</v>
      </c>
      <c r="I700" s="13" t="str">
        <f>VLOOKUP(C686,Tbl_Button_Display_ASSTS,23,FALSE)</f>
        <v>Blower 제어단수 확인</v>
      </c>
    </row>
    <row r="701" spans="1:9" s="10" customFormat="1" hidden="1" outlineLevel="2">
      <c r="A701" s="70">
        <v>1</v>
      </c>
      <c r="G701" s="10" t="e">
        <f>AcDisp</f>
        <v>#NAME?</v>
      </c>
      <c r="I701" s="13" t="str">
        <f>VLOOKUP(C686,Tbl_Button_Display_ASSTS,31,FALSE)</f>
        <v>Off</v>
      </c>
    </row>
    <row r="702" spans="1:9" s="10" customFormat="1" hidden="1" outlineLevel="2">
      <c r="A702" s="70">
        <v>1</v>
      </c>
      <c r="G702" s="10" t="e" cm="1">
        <f t="array" ref="G702">CompSpd_rpm</f>
        <v>#NAME?</v>
      </c>
      <c r="I702" s="13" t="str">
        <f>VLOOKUP(C686,Tbl_Button_Display_ASSTS,33,FALSE)</f>
        <v>Off</v>
      </c>
    </row>
    <row r="703" spans="1:9" s="10" customFormat="1" hidden="1" outlineLevel="2">
      <c r="A703" s="70">
        <v>1</v>
      </c>
      <c r="D703" s="10" t="s">
        <v>498</v>
      </c>
      <c r="G703" s="10" t="e">
        <f>Act_DrTemp</f>
        <v>#NAME?</v>
      </c>
      <c r="H703" s="49" t="str">
        <f>VLOOKUP(C686,Tbl_Button_Display_ASSTS,39,FALSE)</f>
        <v>Temp_TD 연산에 따름</v>
      </c>
      <c r="I703" s="47" t="e">
        <f>IF(H703="","",VLOOKUP(H703,Tbl_TempFB_Volt,2,FALSE))</f>
        <v>#NAME?</v>
      </c>
    </row>
    <row r="704" spans="1:9" s="10" customFormat="1" hidden="1" outlineLevel="2">
      <c r="A704" s="70">
        <v>1</v>
      </c>
      <c r="D704" s="10" t="s">
        <v>498</v>
      </c>
      <c r="G704" s="10" t="e">
        <f>Act_PsTemp</f>
        <v>#NAME?</v>
      </c>
      <c r="H704" s="49" t="str">
        <f>VLOOKUP(C686,Tbl_Button_Display_ASSTS,40,FALSE)</f>
        <v>Temp_TD 연산에 따름</v>
      </c>
      <c r="I704" s="47" t="e">
        <f>IF(H704="","",VLOOKUP(H704,Tbl_TempFB_Volt,2,FALSE))</f>
        <v>#NAME?</v>
      </c>
    </row>
    <row r="705" spans="1:12" s="10" customFormat="1" hidden="1" outlineLevel="2">
      <c r="A705" s="70">
        <v>1</v>
      </c>
      <c r="G705" s="10" t="e">
        <f>BLW_Front</f>
        <v>#NAME?</v>
      </c>
      <c r="H705" s="49" t="str">
        <f>VLOOKUP(C686,Tbl_Button_Display_ASSTS,24,FALSE)</f>
        <v>blower_TD 연산에 따름</v>
      </c>
      <c r="I705" s="47" t="e">
        <f>IF(H705="","",VLOOKUP(H705,Tbl_Blower_Volt,2,FALSE))</f>
        <v>#NAME?</v>
      </c>
    </row>
    <row r="706" spans="1:12" s="39" customFormat="1" hidden="1" outlineLevel="1">
      <c r="A706" s="73">
        <v>1</v>
      </c>
      <c r="B706" s="39" t="s">
        <v>155</v>
      </c>
      <c r="C706" s="39" t="s">
        <v>639</v>
      </c>
      <c r="D706" s="39" t="str">
        <f>CONCATENATE("설정온도 = Lo 설정")</f>
        <v>설정온도 = Lo 설정</v>
      </c>
      <c r="L706" s="199"/>
    </row>
    <row r="707" spans="1:12" s="10" customFormat="1" hidden="1" outlineLevel="2">
      <c r="A707" s="70">
        <v>1</v>
      </c>
      <c r="E707" s="14" t="str">
        <f>VLOOKUP(C706,Tbl_Button_Display_ASSTS,11,FALSE)</f>
        <v>Sw_DrTemp_Dn</v>
      </c>
      <c r="F707" s="12">
        <f>VLOOKUP(C706,Tbl_Button_Display_ASSTS,12,FALSE)</f>
        <v>1</v>
      </c>
      <c r="J707" s="15"/>
    </row>
    <row r="708" spans="1:12" s="10" customFormat="1" hidden="1" outlineLevel="2">
      <c r="A708" s="70">
        <v>1</v>
      </c>
      <c r="E708" s="15" t="s">
        <v>5</v>
      </c>
      <c r="F708" s="12">
        <f>VLOOKUP(C706,Tbl_Button_Display_ASSTS,13,FALSE)</f>
        <v>10</v>
      </c>
    </row>
    <row r="709" spans="1:12" s="10" customFormat="1" hidden="1" outlineLevel="2">
      <c r="A709" s="70">
        <v>1</v>
      </c>
      <c r="D709" s="10" t="e">
        <f>IF(FLAG_Country&lt;&gt;"USA",const_Tset_resolution_2,const_Tset_resolution_1)</f>
        <v>#NAME?</v>
      </c>
      <c r="G709" s="10" t="e">
        <f>DrTempDispC</f>
        <v>#NAME?</v>
      </c>
      <c r="I709" s="13" t="e">
        <f>VLOOKUP(C706,Tbl_Button_Display_ASSTS,26,FALSE)</f>
        <v>#NAME?</v>
      </c>
    </row>
    <row r="710" spans="1:12" s="10" customFormat="1" hidden="1" outlineLevel="2">
      <c r="A710" s="70">
        <v>1</v>
      </c>
      <c r="G710" s="10" t="e">
        <f>ModDisp</f>
        <v>#NAME?</v>
      </c>
      <c r="I710" s="13" t="e">
        <f>VLOOKUP(C706,Tbl_Button_Display_ASSTS,16,FALSE)</f>
        <v>#NAME?</v>
      </c>
    </row>
    <row r="711" spans="1:12" s="10" customFormat="1" hidden="1" outlineLevel="2">
      <c r="A711" s="70">
        <v>1</v>
      </c>
      <c r="G711" s="10" t="e">
        <f>IntakeDisp</f>
        <v>#NAME?</v>
      </c>
      <c r="I711" s="13" t="e">
        <f>VLOOKUP(C706,Tbl_Button_Display_ASSTS,34,FALSE)</f>
        <v>#NAME?</v>
      </c>
    </row>
    <row r="712" spans="1:12" s="10" customFormat="1" hidden="1" outlineLevel="2">
      <c r="A712" s="70">
        <v>1</v>
      </c>
      <c r="D712" s="10" t="e">
        <f>IF(MAX_COOL="O","","공조제어 연산에 따름")</f>
        <v>#NAME?</v>
      </c>
      <c r="G712" s="10" t="e">
        <f>FrontBlwDisp</f>
        <v>#NAME?</v>
      </c>
      <c r="I712" s="13" t="e">
        <f>VLOOKUP(C706,Tbl_Button_Display_ASSTS,23,FALSE)</f>
        <v>#NAME?</v>
      </c>
    </row>
    <row r="713" spans="1:12" s="10" customFormat="1" hidden="1" outlineLevel="2">
      <c r="A713" s="70">
        <v>1</v>
      </c>
      <c r="G713" s="10" t="e">
        <f>AcDisp</f>
        <v>#NAME?</v>
      </c>
      <c r="I713" s="13" t="e">
        <f>VLOOKUP(C706,Tbl_Button_Display_ASSTS,31,FALSE)</f>
        <v>#NAME?</v>
      </c>
    </row>
    <row r="714" spans="1:12" s="10" customFormat="1" hidden="1" outlineLevel="2">
      <c r="A714" s="70">
        <v>1</v>
      </c>
      <c r="G714" s="10" t="e" cm="1">
        <f t="array" ref="G714">CompSpd_rpm</f>
        <v>#NAME?</v>
      </c>
      <c r="I714" s="13" t="e">
        <f>VLOOKUP(C706,Tbl_Button_Display_ASSTS,33,FALSE)</f>
        <v>#NAME?</v>
      </c>
    </row>
    <row r="715" spans="1:12" s="10" customFormat="1" hidden="1" outlineLevel="2">
      <c r="A715" s="70">
        <v>1</v>
      </c>
      <c r="D715" s="10" t="e">
        <f>IF(MAX_COOL="O","","공조제어 연산에 따름")</f>
        <v>#NAME?</v>
      </c>
      <c r="G715" s="10" t="e">
        <f>Act_DrTemp</f>
        <v>#NAME?</v>
      </c>
      <c r="H715" s="49" t="e">
        <f>VLOOKUP(C706,Tbl_Button_Display_ASSTS,39,FALSE)</f>
        <v>#NAME?</v>
      </c>
      <c r="I715" s="47" t="e">
        <f>IF(H715="","",VLOOKUP(H715,Tbl_TempFB_Volt,2,FALSE))</f>
        <v>#NAME?</v>
      </c>
    </row>
    <row r="716" spans="1:12" s="10" customFormat="1" hidden="1" outlineLevel="2">
      <c r="A716" s="70">
        <v>1</v>
      </c>
      <c r="D716" s="10" t="e">
        <f>IF(MAX_COOL="O","","공조제어 연산에 따름")</f>
        <v>#NAME?</v>
      </c>
      <c r="G716" s="10" t="e">
        <f>Act_PsTemp</f>
        <v>#NAME?</v>
      </c>
      <c r="H716" s="49" t="e">
        <f>VLOOKUP(C706,Tbl_Button_Display_ASSTS,40,FALSE)</f>
        <v>#NAME?</v>
      </c>
      <c r="I716" s="47" t="e">
        <f>IF(H716="","",VLOOKUP(H716,Tbl_TempFB_Volt,2,FALSE))</f>
        <v>#NAME?</v>
      </c>
    </row>
    <row r="717" spans="1:12" s="10" customFormat="1" hidden="1" outlineLevel="2">
      <c r="A717" s="70">
        <v>1</v>
      </c>
      <c r="D717" s="10" t="e">
        <f>IF(MAX_COOL="O","","공조제어 연산에 따름")</f>
        <v>#NAME?</v>
      </c>
      <c r="G717" s="10" t="e">
        <f>BLW_Front</f>
        <v>#NAME?</v>
      </c>
      <c r="H717" s="49" t="e">
        <f>VLOOKUP(C706,Tbl_Button_Display_ASSTS,24,FALSE)</f>
        <v>#NAME?</v>
      </c>
      <c r="I717" s="47" t="e">
        <f>IF(H717="","",VLOOKUP(H717,Tbl_Blower_Volt,2,FALSE))</f>
        <v>#NAME?</v>
      </c>
    </row>
    <row r="718" spans="1:12" s="39" customFormat="1" hidden="1" outlineLevel="1">
      <c r="A718" s="73">
        <v>1</v>
      </c>
      <c r="B718" s="39" t="s">
        <v>155</v>
      </c>
      <c r="C718" s="39" t="s">
        <v>640</v>
      </c>
      <c r="D718" s="39" t="e">
        <f>CONCATENATE("설정온도 = Lo + ",const_Tset_resolution_1," ",IF(FLAG_Country&lt;&gt;"USA","degC","degF")," 설정")</f>
        <v>#NAME?</v>
      </c>
      <c r="L718" s="199"/>
    </row>
    <row r="719" spans="1:12" s="10" customFormat="1" hidden="1" outlineLevel="2">
      <c r="A719" s="70">
        <v>1</v>
      </c>
      <c r="E719" s="14" t="str">
        <f>VLOOKUP(C718,Tbl_Button_Display_ASSTS,11,FALSE)</f>
        <v>Sw_DrTemp_Up</v>
      </c>
      <c r="F719" s="12">
        <f>VLOOKUP(C718,Tbl_Button_Display_ASSTS,12,FALSE)</f>
        <v>1</v>
      </c>
      <c r="J719" s="15"/>
    </row>
    <row r="720" spans="1:12" s="10" customFormat="1" hidden="1" outlineLevel="2">
      <c r="A720" s="70">
        <v>1</v>
      </c>
      <c r="E720" s="15" t="s">
        <v>5</v>
      </c>
      <c r="F720" s="12">
        <f>VLOOKUP(C718,Tbl_Button_Display_ASSTS,13,FALSE)</f>
        <v>10</v>
      </c>
    </row>
    <row r="721" spans="1:10" s="10" customFormat="1" hidden="1" outlineLevel="2">
      <c r="A721" s="70">
        <v>1</v>
      </c>
      <c r="G721" s="10" t="e">
        <f>DrTempDispC</f>
        <v>#NAME?</v>
      </c>
      <c r="I721" s="13" t="e">
        <f>VLOOKUP(C718,Tbl_Button_Display_ASSTS,26,FALSE)</f>
        <v>#NAME?</v>
      </c>
    </row>
    <row r="722" spans="1:10" s="10" customFormat="1" hidden="1" outlineLevel="2">
      <c r="A722" s="70">
        <v>1</v>
      </c>
      <c r="G722" s="10" t="e">
        <f>ModDisp</f>
        <v>#NAME?</v>
      </c>
      <c r="I722" s="13" t="str">
        <f>VLOOKUP(C718,Tbl_Button_Display_ASSTS,16,FALSE)</f>
        <v>Floor</v>
      </c>
    </row>
    <row r="723" spans="1:10" s="10" customFormat="1" hidden="1" outlineLevel="2">
      <c r="A723" s="70">
        <v>1</v>
      </c>
      <c r="G723" s="10" t="e">
        <f>IntakeDisp</f>
        <v>#NAME?</v>
      </c>
      <c r="I723" s="13" t="str">
        <f>VLOOKUP(C718,Tbl_Button_Display_ASSTS,34,FALSE)</f>
        <v>FRE</v>
      </c>
    </row>
    <row r="724" spans="1:10" s="10" customFormat="1" hidden="1" outlineLevel="2">
      <c r="A724" s="70">
        <v>1</v>
      </c>
      <c r="D724" s="10" t="s">
        <v>498</v>
      </c>
      <c r="G724" s="10" t="e">
        <f>FrontBlwDisp</f>
        <v>#NAME?</v>
      </c>
      <c r="I724" s="13" t="str">
        <f>VLOOKUP(C718,Tbl_Button_Display_ASSTS,23,FALSE)</f>
        <v>Blower 제어단수 확인</v>
      </c>
    </row>
    <row r="725" spans="1:10" s="10" customFormat="1" hidden="1" outlineLevel="2">
      <c r="A725" s="70">
        <v>1</v>
      </c>
      <c r="G725" s="10" t="e">
        <f>AcDisp</f>
        <v>#NAME?</v>
      </c>
      <c r="I725" s="13" t="str">
        <f>VLOOKUP(C718,Tbl_Button_Display_ASSTS,31,FALSE)</f>
        <v>Off</v>
      </c>
    </row>
    <row r="726" spans="1:10" s="10" customFormat="1" hidden="1" outlineLevel="2">
      <c r="A726" s="70">
        <v>1</v>
      </c>
      <c r="G726" s="10" t="e" cm="1">
        <f t="array" ref="G726">CompSpd_rpm</f>
        <v>#NAME?</v>
      </c>
      <c r="I726" s="13" t="str">
        <f>VLOOKUP(C718,Tbl_Button_Display_ASSTS,33,FALSE)</f>
        <v>Off</v>
      </c>
    </row>
    <row r="727" spans="1:10" s="10" customFormat="1" hidden="1" outlineLevel="2">
      <c r="A727" s="70">
        <v>1</v>
      </c>
      <c r="D727" s="10" t="s">
        <v>498</v>
      </c>
      <c r="G727" s="10" t="e">
        <f>Act_DrTemp</f>
        <v>#NAME?</v>
      </c>
      <c r="H727" s="49" t="str">
        <f>VLOOKUP(C718,Tbl_Button_Display_ASSTS,39,FALSE)</f>
        <v>Temp_TD 연산에 따름</v>
      </c>
      <c r="I727" s="47" t="e">
        <f>IF(H727="","",VLOOKUP(H727,Tbl_TempFB_Volt,2,FALSE))</f>
        <v>#NAME?</v>
      </c>
    </row>
    <row r="728" spans="1:10" s="10" customFormat="1" hidden="1" outlineLevel="2">
      <c r="A728" s="70">
        <v>1</v>
      </c>
      <c r="D728" s="10" t="s">
        <v>498</v>
      </c>
      <c r="G728" s="10" t="e">
        <f>Act_PsTemp</f>
        <v>#NAME?</v>
      </c>
      <c r="H728" s="49" t="str">
        <f>VLOOKUP(C718,Tbl_Button_Display_ASSTS,40,FALSE)</f>
        <v>Temp_TD 연산에 따름</v>
      </c>
      <c r="I728" s="47" t="e">
        <f>IF(H728="","",VLOOKUP(H728,Tbl_TempFB_Volt,2,FALSE))</f>
        <v>#NAME?</v>
      </c>
    </row>
    <row r="729" spans="1:10" s="10" customFormat="1" hidden="1" outlineLevel="2">
      <c r="A729" s="70">
        <v>1</v>
      </c>
      <c r="D729" s="10" t="s">
        <v>498</v>
      </c>
      <c r="G729" s="10" t="e">
        <f>BLW_Front</f>
        <v>#NAME?</v>
      </c>
      <c r="H729" s="49" t="str">
        <f>VLOOKUP(C718,Tbl_Button_Display_ASSTS,24,FALSE)</f>
        <v>blower_TD 연산에 따름</v>
      </c>
      <c r="I729" s="47" t="e">
        <f>IF(H729="","",VLOOKUP(H729,Tbl_Blower_Volt,2,FALSE))</f>
        <v>#NAME?</v>
      </c>
    </row>
    <row r="730" spans="1:10" s="40" customFormat="1" ht="15">
      <c r="A730" s="66">
        <v>1</v>
      </c>
      <c r="B730" s="40" t="s">
        <v>540</v>
      </c>
      <c r="C730" s="40" t="s">
        <v>1581</v>
      </c>
      <c r="D730" s="40" t="str">
        <f t="shared" si="10"/>
        <v>난방기동 제어</v>
      </c>
      <c r="F730" s="82"/>
    </row>
    <row r="731" spans="1:10" s="38" customFormat="1" collapsed="1">
      <c r="A731" s="71">
        <v>1</v>
      </c>
      <c r="B731" s="38" t="s">
        <v>156</v>
      </c>
      <c r="C731" s="38" t="s">
        <v>832</v>
      </c>
      <c r="D731" s="38" t="str">
        <f>VLOOKUP(C731,Tbl_Button_Display_ASSTS, 2,FALSE)</f>
        <v>난방기동제어 로직 확인</v>
      </c>
    </row>
    <row r="732" spans="1:10" s="11" customFormat="1" hidden="1" outlineLevel="1">
      <c r="A732" s="72">
        <v>1</v>
      </c>
      <c r="B732" s="11" t="s">
        <v>38</v>
      </c>
      <c r="C732" s="11" t="s">
        <v>833</v>
      </c>
      <c r="D732" s="11" t="s">
        <v>39</v>
      </c>
    </row>
    <row r="733" spans="1:10" s="10" customFormat="1" hidden="1" outlineLevel="2">
      <c r="A733" s="70">
        <v>1</v>
      </c>
      <c r="E733" s="14" t="str">
        <f>VLOOKUP(C732,Tbl_Button_Display_ASSTS,11,FALSE)</f>
        <v>MsgBox</v>
      </c>
      <c r="F733" s="12" t="e">
        <f>VLOOKUP(C732,Tbl_Button_Display_ASSTS,12,FALSE)</f>
        <v>#NAME?</v>
      </c>
    </row>
    <row r="734" spans="1:10" s="10" customFormat="1" hidden="1" outlineLevel="2">
      <c r="A734" s="70">
        <v>1</v>
      </c>
      <c r="E734" s="8" t="e">
        <f>Incar_IN</f>
        <v>#NAME?</v>
      </c>
      <c r="F734" s="65" cm="1">
        <f t="array" ref="F734">VINTERPOLATION(VLOOKUP(C732,Tbl_Button_Display_ASSTS,2,FALSE),Tbl_Incar_Sensor,3)</f>
        <v>3.825426970550478</v>
      </c>
    </row>
    <row r="735" spans="1:10" s="10" customFormat="1" hidden="1" outlineLevel="2">
      <c r="A735" s="70">
        <v>1</v>
      </c>
      <c r="E735" s="8" t="e">
        <f>Amb_IN</f>
        <v>#NAME?</v>
      </c>
      <c r="F735" s="65" cm="1">
        <f t="array" ref="F735">VINTERPOLATION(VLOOKUP(C732,Tbl_Button_Display_ASSTS,3,FALSE),Tbl_Amb_Sensor,3)</f>
        <v>3.8009208927543647</v>
      </c>
    </row>
    <row r="736" spans="1:10" s="10" customFormat="1" hidden="1" outlineLevel="2">
      <c r="A736" s="70">
        <v>1</v>
      </c>
      <c r="E736" s="14" t="e">
        <f>IF(EngColTemp_ECT="O",EngColTemp,"Snr_DuctVent_DR(degC)_IN")</f>
        <v>#NAME?</v>
      </c>
      <c r="F736" s="12" t="e">
        <f>VLOOKUP(C732,Tbl_Button_Display_ASSTS,5,FALSE)</f>
        <v>#NAME?</v>
      </c>
      <c r="J736" s="15"/>
    </row>
    <row r="737" spans="1:12" s="10" customFormat="1" hidden="1" outlineLevel="2">
      <c r="A737" s="70">
        <v>1</v>
      </c>
      <c r="E737" s="14" t="s">
        <v>95</v>
      </c>
      <c r="F737" s="12" t="s">
        <v>1189</v>
      </c>
    </row>
    <row r="738" spans="1:12" s="10" customFormat="1" hidden="1" outlineLevel="2">
      <c r="A738" s="70">
        <v>1</v>
      </c>
      <c r="E738" s="15" t="s">
        <v>5</v>
      </c>
      <c r="F738" s="12">
        <f>VLOOKUP(C732,Tbl_Button_Display_ASSTS,13,FALSE)</f>
        <v>10</v>
      </c>
    </row>
    <row r="739" spans="1:12" s="10" customFormat="1" hidden="1" outlineLevel="2">
      <c r="A739" s="70">
        <v>1</v>
      </c>
      <c r="G739" s="10" t="e">
        <f>Incar_OUT</f>
        <v>#NAME?</v>
      </c>
      <c r="I739" s="13">
        <f>VLOOKUP(C732,Tbl_Button_Display_ASSTS,2,FALSE)</f>
        <v>0</v>
      </c>
    </row>
    <row r="740" spans="1:12" s="10" customFormat="1" hidden="1" outlineLevel="2">
      <c r="A740" s="70">
        <v>1</v>
      </c>
      <c r="G740" s="10" t="e">
        <f>Amb_OUT</f>
        <v>#NAME?</v>
      </c>
      <c r="I740" s="13">
        <f>VLOOKUP(C732,Tbl_Button_Display_ASSTS,3,FALSE)</f>
        <v>0</v>
      </c>
    </row>
    <row r="741" spans="1:12" s="10" customFormat="1" hidden="1" outlineLevel="2">
      <c r="A741" s="70">
        <v>1</v>
      </c>
      <c r="G741" s="10" t="e">
        <f>CELOModeSta</f>
        <v>#NAME?</v>
      </c>
      <c r="I741" s="13" t="e">
        <f>VLOOKUP(C732,Tbl_Button_Display_ASSTS,37,FALSE)</f>
        <v>#NAME?</v>
      </c>
    </row>
    <row r="742" spans="1:12" s="10" customFormat="1" hidden="1" outlineLevel="2">
      <c r="A742" s="70">
        <v>1</v>
      </c>
      <c r="G742" s="10" t="e">
        <f>DEFDisp</f>
        <v>#NAME?</v>
      </c>
      <c r="I742" s="13" t="str">
        <f>VLOOKUP(C732,Tbl_Button_Display_ASSTS,36,FALSE)</f>
        <v>Off</v>
      </c>
    </row>
    <row r="743" spans="1:12" s="10" customFormat="1" hidden="1" outlineLevel="2">
      <c r="A743" s="70">
        <v>1</v>
      </c>
      <c r="G743" s="10" t="e">
        <f>ModDisp</f>
        <v>#NAME?</v>
      </c>
      <c r="I743" s="13" t="e">
        <f>VLOOKUP(C732,Tbl_Button_Display_ASSTS,16,FALSE)</f>
        <v>#NAME?</v>
      </c>
    </row>
    <row r="744" spans="1:12" s="10" customFormat="1" hidden="1" outlineLevel="2">
      <c r="A744" s="70">
        <v>1</v>
      </c>
      <c r="G744" s="10" t="e">
        <f>FrontBlwDisp</f>
        <v>#NAME?</v>
      </c>
      <c r="I744" s="13" t="str">
        <f>VLOOKUP(C732,Tbl_Button_Display_ASSTS,23,FALSE)</f>
        <v>Off</v>
      </c>
    </row>
    <row r="745" spans="1:12" s="10" customFormat="1" hidden="1" outlineLevel="2">
      <c r="A745" s="70">
        <v>1</v>
      </c>
      <c r="G745" s="10" t="e">
        <f>Act_DrMode</f>
        <v>#NAME?</v>
      </c>
      <c r="H745" s="49" t="str">
        <f>VLOOKUP(C732,Tbl_Button_Display_ASSTS,19,FALSE)</f>
        <v>Floor</v>
      </c>
      <c r="I745" s="47" t="e">
        <f>IF(H745="","",VLOOKUP(H745,Tbl_ModeFB_Volt,2,FALSE))</f>
        <v>#NAME?</v>
      </c>
    </row>
    <row r="746" spans="1:12" s="10" customFormat="1" hidden="1" outlineLevel="2">
      <c r="A746" s="70">
        <v>1</v>
      </c>
      <c r="G746" s="10" t="e">
        <f>Act_Def</f>
        <v>#NAME?</v>
      </c>
      <c r="H746" s="49" t="str">
        <f>VLOOKUP(C732,Tbl_Button_Display_ASSTS,22,FALSE)</f>
        <v>Floor</v>
      </c>
      <c r="I746" s="47" t="e">
        <f>IF(H746="","",VLOOKUP(H746,Tbl_DefFB_Volt,2,FALSE))</f>
        <v>#NAME?</v>
      </c>
    </row>
    <row r="747" spans="1:12" s="10" customFormat="1" hidden="1" outlineLevel="2">
      <c r="A747" s="70">
        <v>1</v>
      </c>
      <c r="G747" s="10" t="e">
        <f>BLW_Front</f>
        <v>#NAME?</v>
      </c>
      <c r="I747" s="47">
        <f>VLOOKUP(C732,Tbl_Button_Display_ASSTS,24,FALSE)</f>
        <v>0</v>
      </c>
    </row>
    <row r="748" spans="1:12" s="39" customFormat="1" hidden="1" outlineLevel="1">
      <c r="A748" s="73">
        <v>1</v>
      </c>
      <c r="B748" s="39" t="s">
        <v>155</v>
      </c>
      <c r="C748" s="39" t="s">
        <v>834</v>
      </c>
      <c r="D748" s="39" t="str">
        <f>CONCATENATE(E749," ",F749,"회 선택 시 System On, 난방기동제어 DEF 진입 확인")</f>
        <v>Sw_DrTemp_Up 1회 선택 시 System On, 난방기동제어 DEF 진입 확인</v>
      </c>
      <c r="L748" s="199"/>
    </row>
    <row r="749" spans="1:12" s="10" customFormat="1" hidden="1" outlineLevel="2">
      <c r="A749" s="70">
        <v>1</v>
      </c>
      <c r="E749" s="14" t="str">
        <f>VLOOKUP(C748,Tbl_Button_Display_ASSTS,11,FALSE)</f>
        <v>Sw_DrTemp_Up</v>
      </c>
      <c r="F749" s="12">
        <f>VLOOKUP(C748,Tbl_Button_Display_ASSTS,12,FALSE)</f>
        <v>1</v>
      </c>
      <c r="J749" s="15"/>
      <c r="L749" s="130"/>
    </row>
    <row r="750" spans="1:12" s="10" customFormat="1" hidden="1" outlineLevel="2">
      <c r="A750" s="70">
        <v>1</v>
      </c>
      <c r="E750" s="15" t="s">
        <v>5</v>
      </c>
      <c r="F750" s="12">
        <f>VLOOKUP(C748,Tbl_Button_Display_ASSTS,13,FALSE)</f>
        <v>1</v>
      </c>
    </row>
    <row r="751" spans="1:12" s="10" customFormat="1" hidden="1" outlineLevel="2">
      <c r="A751" s="70">
        <v>1</v>
      </c>
      <c r="G751" s="10" t="e">
        <f>CELOModeSta</f>
        <v>#NAME?</v>
      </c>
      <c r="I751" s="13">
        <f>VLOOKUP(C748,Tbl_Button_Display_ASSTS,37,FALSE)</f>
        <v>1</v>
      </c>
    </row>
    <row r="752" spans="1:12" s="10" customFormat="1" hidden="1" outlineLevel="2">
      <c r="A752" s="70">
        <v>1</v>
      </c>
      <c r="G752" s="10" t="e">
        <f>DEFDisp</f>
        <v>#NAME?</v>
      </c>
      <c r="I752" s="13" t="str">
        <f>VLOOKUP(C748,Tbl_Button_Display_ASSTS,36,FALSE)</f>
        <v>Off</v>
      </c>
    </row>
    <row r="753" spans="1:10" s="10" customFormat="1" hidden="1" outlineLevel="2">
      <c r="A753" s="70">
        <v>1</v>
      </c>
      <c r="G753" s="10" t="e">
        <f>ModDisp</f>
        <v>#NAME?</v>
      </c>
      <c r="I753" s="13" t="str">
        <f>VLOOKUP(C748,Tbl_Button_Display_ASSTS,16,FALSE)</f>
        <v>Def</v>
      </c>
    </row>
    <row r="754" spans="1:10" s="10" customFormat="1" hidden="1" outlineLevel="2">
      <c r="A754" s="70">
        <v>1</v>
      </c>
      <c r="G754" s="10" t="e">
        <f>FrontBlwDisp</f>
        <v>#NAME?</v>
      </c>
      <c r="I754" s="13" t="e">
        <f>VLOOKUP(C748,Tbl_Button_Display_ASSTS,23,FALSE)</f>
        <v>#VALUE!</v>
      </c>
    </row>
    <row r="755" spans="1:10" s="10" customFormat="1" hidden="1" outlineLevel="2">
      <c r="A755" s="70">
        <v>1</v>
      </c>
      <c r="G755" s="10" t="e">
        <f>Act_DrMode</f>
        <v>#NAME?</v>
      </c>
      <c r="H755" s="49" t="str">
        <f>VLOOKUP(C748,Tbl_Button_Display_ASSTS,19,FALSE)</f>
        <v>Def</v>
      </c>
      <c r="I755" s="47" t="e">
        <f>IF(H755="","",VLOOKUP(H755,Tbl_ModeFB_Volt,2,FALSE))</f>
        <v>#NAME?</v>
      </c>
    </row>
    <row r="756" spans="1:10" s="10" customFormat="1" hidden="1" outlineLevel="2">
      <c r="A756" s="70">
        <v>1</v>
      </c>
      <c r="G756" s="10" t="e">
        <f>Act_Def</f>
        <v>#NAME?</v>
      </c>
      <c r="H756" s="49" t="str">
        <f>VLOOKUP(C748,Tbl_Button_Display_ASSTS,22,FALSE)</f>
        <v>Def</v>
      </c>
      <c r="I756" s="47" t="e">
        <f>IF(H756="","",VLOOKUP(H756,Tbl_DefFB_Volt,2,FALSE))</f>
        <v>#NAME?</v>
      </c>
    </row>
    <row r="757" spans="1:10" s="10" customFormat="1" hidden="1" outlineLevel="2">
      <c r="A757" s="70">
        <v>1</v>
      </c>
      <c r="G757" s="10" t="e">
        <f>BLW_Front</f>
        <v>#NAME?</v>
      </c>
      <c r="I757" s="47" t="e">
        <f>VLOOKUP(C748,Tbl_Button_Display_ASSTS,24,FALSE)</f>
        <v>#VALUE!</v>
      </c>
    </row>
    <row r="758" spans="1:10" s="39" customFormat="1" hidden="1" outlineLevel="1">
      <c r="A758" s="73">
        <v>1</v>
      </c>
      <c r="B758" s="39" t="s">
        <v>155</v>
      </c>
      <c r="C758" s="39" t="s">
        <v>774</v>
      </c>
      <c r="D758" s="39" t="e">
        <f>CONCATENATE(E759," = ",F759,"degC 설정 시 Blower 난방기동제어 해제 확인")</f>
        <v>#NAME?</v>
      </c>
    </row>
    <row r="759" spans="1:10" s="10" customFormat="1" hidden="1" outlineLevel="2">
      <c r="A759" s="70">
        <v>1</v>
      </c>
      <c r="E759" s="14" t="e">
        <f>VLOOKUP(C758,Tbl_Button_Display_ASSTS,11,FALSE)</f>
        <v>#NAME?</v>
      </c>
      <c r="F759" s="12">
        <f>VLOOKUP(C758,Tbl_Button_Display_ASSTS,12,FALSE)</f>
        <v>80.25</v>
      </c>
      <c r="J759" s="15"/>
    </row>
    <row r="760" spans="1:10" s="10" customFormat="1" hidden="1" outlineLevel="2">
      <c r="A760" s="70">
        <v>1</v>
      </c>
      <c r="E760" s="15" t="s">
        <v>5</v>
      </c>
      <c r="F760" s="12" t="str">
        <f>VLOOKUP(C758,Tbl_Button_Display_ASSTS,13,FALSE)</f>
        <v>냉각수온 도달 시까지 대기</v>
      </c>
    </row>
    <row r="761" spans="1:10" s="10" customFormat="1" hidden="1" outlineLevel="2">
      <c r="A761" s="70">
        <v>1</v>
      </c>
      <c r="G761" s="10" t="e">
        <f>CELOModeSta</f>
        <v>#NAME?</v>
      </c>
      <c r="I761" s="13">
        <f>VLOOKUP(C758,Tbl_Button_Display_ASSTS,37,FALSE)</f>
        <v>0</v>
      </c>
    </row>
    <row r="762" spans="1:10" s="10" customFormat="1" hidden="1" outlineLevel="2">
      <c r="A762" s="70">
        <v>1</v>
      </c>
      <c r="G762" s="10" t="e">
        <f>DEFDisp</f>
        <v>#NAME?</v>
      </c>
      <c r="I762" s="13" t="str">
        <f>VLOOKUP(C758,Tbl_Button_Display_ASSTS,36,FALSE)</f>
        <v>Off</v>
      </c>
    </row>
    <row r="763" spans="1:10" s="10" customFormat="1" hidden="1" outlineLevel="2">
      <c r="A763" s="70">
        <v>1</v>
      </c>
      <c r="G763" s="10" t="e">
        <f>ModDisp</f>
        <v>#NAME?</v>
      </c>
      <c r="I763" s="13" t="str">
        <f>VLOOKUP(C758,Tbl_Button_Display_ASSTS,16,FALSE)</f>
        <v>Floor</v>
      </c>
    </row>
    <row r="764" spans="1:10" s="10" customFormat="1" hidden="1" outlineLevel="2">
      <c r="A764" s="70">
        <v>1</v>
      </c>
      <c r="G764" s="10" t="e">
        <f>FrontBlwDisp</f>
        <v>#NAME?</v>
      </c>
      <c r="I764" s="13" t="e">
        <f>VLOOKUP(C758,Tbl_Button_Display_ASSTS,23,FALSE)</f>
        <v>#VALUE!</v>
      </c>
    </row>
    <row r="765" spans="1:10" s="10" customFormat="1" hidden="1" outlineLevel="2">
      <c r="A765" s="70">
        <v>1</v>
      </c>
      <c r="G765" s="10" t="e">
        <f>Act_DrMode</f>
        <v>#NAME?</v>
      </c>
      <c r="H765" s="49" t="str">
        <f>VLOOKUP(C758,Tbl_Button_Display_ASSTS,19,FALSE)</f>
        <v>Floor</v>
      </c>
      <c r="I765" s="47" t="e">
        <f>IF(H765="","",VLOOKUP(H765,Tbl_ModeFB_Volt,2,FALSE))</f>
        <v>#NAME?</v>
      </c>
    </row>
    <row r="766" spans="1:10" s="10" customFormat="1" hidden="1" outlineLevel="2">
      <c r="A766" s="70">
        <v>1</v>
      </c>
      <c r="G766" s="10" t="e">
        <f>Act_Def</f>
        <v>#NAME?</v>
      </c>
      <c r="H766" s="49" t="str">
        <f>VLOOKUP(C758,Tbl_Button_Display_ASSTS,22,FALSE)</f>
        <v>Floor</v>
      </c>
      <c r="I766" s="47" t="e">
        <f>IF(H766="","",VLOOKUP(H766,Tbl_DefFB_Volt,2,FALSE))</f>
        <v>#NAME?</v>
      </c>
    </row>
    <row r="767" spans="1:10" s="10" customFormat="1" hidden="1" outlineLevel="2">
      <c r="A767" s="70">
        <v>1</v>
      </c>
      <c r="G767" s="10" t="e">
        <f>BLW_Front</f>
        <v>#NAME?</v>
      </c>
      <c r="I767" s="47" t="e">
        <f>VLOOKUP(C758,Tbl_Button_Display_ASSTS,24,FALSE)</f>
        <v>#VALUE!</v>
      </c>
    </row>
    <row r="768" spans="1:10" s="40" customFormat="1" ht="15">
      <c r="A768" s="66">
        <v>1</v>
      </c>
      <c r="B768" s="40" t="s">
        <v>541</v>
      </c>
      <c r="C768" s="40" t="s">
        <v>589</v>
      </c>
      <c r="D768" s="40" t="str">
        <f t="shared" ref="D768:D1579" si="11">VLOOKUP(B768,Tbl_Button_Display_ASSTS,2,FALSE)</f>
        <v>DEF 풍량 증대 LOGIC</v>
      </c>
      <c r="F768" s="82"/>
    </row>
    <row r="769" spans="1:10" s="38" customFormat="1" collapsed="1">
      <c r="A769" s="71">
        <v>1</v>
      </c>
      <c r="B769" s="38" t="s">
        <v>156</v>
      </c>
      <c r="C769" s="38" t="s">
        <v>704</v>
      </c>
      <c r="D769" s="38" t="str">
        <f>VLOOKUP(C769,Tbl_Button_Display_ASSTS, 2,FALSE)</f>
        <v>DEF 선택 시 DEF 로직 및 DEF 풍량 증대 로직 확인</v>
      </c>
    </row>
    <row r="770" spans="1:10" s="11" customFormat="1" hidden="1" outlineLevel="1">
      <c r="A770" s="72">
        <v>1</v>
      </c>
      <c r="B770" s="11" t="s">
        <v>38</v>
      </c>
      <c r="C770" s="11" t="s">
        <v>705</v>
      </c>
      <c r="D770" s="11" t="s">
        <v>39</v>
      </c>
    </row>
    <row r="771" spans="1:10" s="10" customFormat="1" hidden="1" outlineLevel="2">
      <c r="A771" s="70">
        <v>1</v>
      </c>
      <c r="E771" s="8" t="e">
        <f>Incar_IN</f>
        <v>#NAME?</v>
      </c>
      <c r="F771" s="65" cm="1">
        <f t="array" ref="F771">VINTERPOLATION(VLOOKUP(C770,Tbl_Button_Display_ASSTS,2,FALSE),Tbl_Incar_Sensor,3)</f>
        <v>3.3272756433630186</v>
      </c>
    </row>
    <row r="772" spans="1:10" s="10" customFormat="1" hidden="1" outlineLevel="2">
      <c r="A772" s="70">
        <v>1</v>
      </c>
      <c r="E772" s="8" t="e">
        <f>Amb_IN</f>
        <v>#NAME?</v>
      </c>
      <c r="F772" s="65" cm="1">
        <f t="array" ref="F772">VINTERPOLATION(VLOOKUP(C770,Tbl_Button_Display_ASSTS,3,FALSE),Tbl_Amb_Sensor,3)</f>
        <v>3.5649228885232098</v>
      </c>
    </row>
    <row r="773" spans="1:10" s="10" customFormat="1" hidden="1" outlineLevel="2">
      <c r="A773" s="70">
        <v>1</v>
      </c>
      <c r="E773" s="14" t="s">
        <v>95</v>
      </c>
      <c r="F773" s="12" t="s">
        <v>1189</v>
      </c>
    </row>
    <row r="774" spans="1:10" s="10" customFormat="1" hidden="1" outlineLevel="2">
      <c r="A774" s="70">
        <v>1</v>
      </c>
      <c r="E774" s="14" t="str">
        <f>VLOOKUP(C770,Tbl_Button_Display_ASSTS,11,FALSE)</f>
        <v>MsgBox</v>
      </c>
      <c r="F774" s="12" t="str">
        <f>VLOOKUP(C770,Tbl_Button_Display_ASSTS,12,FALSE)</f>
        <v>Blower=1단 수동 설정</v>
      </c>
    </row>
    <row r="775" spans="1:10" s="10" customFormat="1" hidden="1" outlineLevel="2">
      <c r="A775" s="70">
        <v>1</v>
      </c>
      <c r="E775" s="15" t="s">
        <v>5</v>
      </c>
      <c r="F775" s="12">
        <f>VLOOKUP(C770,Tbl_Button_Display_ASSTS,13,FALSE)</f>
        <v>10</v>
      </c>
    </row>
    <row r="776" spans="1:10" s="10" customFormat="1" hidden="1" outlineLevel="2">
      <c r="A776" s="70">
        <v>1</v>
      </c>
      <c r="G776" s="10" t="e">
        <f>Incar_OUT</f>
        <v>#NAME?</v>
      </c>
      <c r="I776" s="13">
        <f>VLOOKUP(C770,Tbl_Button_Display_ASSTS,2,FALSE)</f>
        <v>10</v>
      </c>
    </row>
    <row r="777" spans="1:10" s="10" customFormat="1" hidden="1" outlineLevel="2">
      <c r="A777" s="70">
        <v>1</v>
      </c>
      <c r="G777" s="10" t="e">
        <f>Amb_OUT</f>
        <v>#NAME?</v>
      </c>
      <c r="I777" s="13">
        <f>VLOOKUP(C770,Tbl_Button_Display_ASSTS,3,FALSE)</f>
        <v>5</v>
      </c>
    </row>
    <row r="778" spans="1:10" s="10" customFormat="1" hidden="1" outlineLevel="2">
      <c r="A778" s="70">
        <v>1</v>
      </c>
      <c r="G778" s="10" t="e">
        <f>FrontBlwDisp</f>
        <v>#NAME?</v>
      </c>
      <c r="I778" s="13">
        <f>VLOOKUP(C770,Tbl_Button_Display_ASSTS,23,FALSE)</f>
        <v>1</v>
      </c>
    </row>
    <row r="779" spans="1:10" s="10" customFormat="1" hidden="1" outlineLevel="2">
      <c r="A779" s="70">
        <v>1</v>
      </c>
      <c r="G779" s="10" t="e">
        <f>BLW_Front</f>
        <v>#NAME?</v>
      </c>
      <c r="H779" s="49">
        <f>VLOOKUP(C770,Tbl_Button_Display_ASSTS,24,FALSE)</f>
        <v>1</v>
      </c>
      <c r="I779" s="47" t="e">
        <f>IF(H779="","",VLOOKUP(H779,Tbl_Blower_Volt,2,FALSE))</f>
        <v>#NAME?</v>
      </c>
    </row>
    <row r="780" spans="1:10" s="39" customFormat="1" hidden="1" outlineLevel="1">
      <c r="A780" s="73">
        <v>1</v>
      </c>
      <c r="B780" s="39" t="s">
        <v>155</v>
      </c>
      <c r="C780" s="39" t="s">
        <v>706</v>
      </c>
      <c r="D780" s="39" t="str">
        <f>CONCATENATE(E781," ",F781,"회 선택 시 DEF Blower 동작 확인")</f>
        <v>Sw_DEF 1회 선택 시 DEF Blower 동작 확인</v>
      </c>
    </row>
    <row r="781" spans="1:10" s="10" customFormat="1" hidden="1" outlineLevel="2">
      <c r="A781" s="70">
        <v>1</v>
      </c>
      <c r="E781" s="14" t="str">
        <f>VLOOKUP(C780,Tbl_Button_Display_ASSTS,11,FALSE)</f>
        <v>Sw_DEF</v>
      </c>
      <c r="F781" s="12">
        <f>VLOOKUP(C780,Tbl_Button_Display_ASSTS,12,FALSE)</f>
        <v>1</v>
      </c>
      <c r="J781" s="15"/>
    </row>
    <row r="782" spans="1:10" s="10" customFormat="1" hidden="1" outlineLevel="2">
      <c r="A782" s="70">
        <v>1</v>
      </c>
      <c r="E782" s="15" t="s">
        <v>5</v>
      </c>
      <c r="F782" s="12">
        <f>VLOOKUP(C780,Tbl_Button_Display_ASSTS,13,FALSE)</f>
        <v>2</v>
      </c>
    </row>
    <row r="783" spans="1:10" s="10" customFormat="1" hidden="1" outlineLevel="2">
      <c r="A783" s="70">
        <v>1</v>
      </c>
      <c r="G783" s="10" t="e">
        <f>FrontBlwDisp</f>
        <v>#NAME?</v>
      </c>
      <c r="I783" s="13">
        <f>VLOOKUP(C780,Tbl_Button_Display_ASSTS,23,FALSE)</f>
        <v>3</v>
      </c>
    </row>
    <row r="784" spans="1:10" s="10" customFormat="1" hidden="1" outlineLevel="2">
      <c r="A784" s="70">
        <v>1</v>
      </c>
      <c r="G784" s="10" t="e">
        <f>BLW_Front</f>
        <v>#NAME?</v>
      </c>
      <c r="H784" s="49" t="str">
        <f>VLOOKUP(C780,Tbl_Button_Display_ASSTS,24,FALSE)</f>
        <v>DEF_blower</v>
      </c>
      <c r="I784" s="47" t="e">
        <f>IF(H784="","",VLOOKUP(H784,Tbl_Blower_Volt,2,FALSE))</f>
        <v>#NAME?</v>
      </c>
    </row>
    <row r="785" spans="1:10" s="39" customFormat="1" hidden="1" outlineLevel="1">
      <c r="A785" s="73">
        <v>1</v>
      </c>
      <c r="B785" s="39" t="s">
        <v>155</v>
      </c>
      <c r="C785" s="39" t="s">
        <v>707</v>
      </c>
      <c r="D785" s="39" t="str">
        <f>CONCATENATE(E786," ",F786,"회 선택 시 DEF 해제 확인")</f>
        <v>Sw_DEF 1회 선택 시 DEF 해제 확인</v>
      </c>
    </row>
    <row r="786" spans="1:10" s="10" customFormat="1" hidden="1" outlineLevel="2">
      <c r="A786" s="70">
        <v>1</v>
      </c>
      <c r="E786" s="14" t="str">
        <f>VLOOKUP(C785,Tbl_Button_Display_ASSTS,11,FALSE)</f>
        <v>Sw_DEF</v>
      </c>
      <c r="F786" s="12">
        <f>VLOOKUP(C785,Tbl_Button_Display_ASSTS,12,FALSE)</f>
        <v>1</v>
      </c>
      <c r="J786" s="15"/>
    </row>
    <row r="787" spans="1:10" s="10" customFormat="1" hidden="1" outlineLevel="2">
      <c r="A787" s="70">
        <v>1</v>
      </c>
      <c r="E787" s="15" t="s">
        <v>5</v>
      </c>
      <c r="F787" s="12">
        <f>VLOOKUP(C785,Tbl_Button_Display_ASSTS,13,FALSE)</f>
        <v>2</v>
      </c>
    </row>
    <row r="788" spans="1:10" s="10" customFormat="1" hidden="1" outlineLevel="2">
      <c r="A788" s="70">
        <v>1</v>
      </c>
      <c r="G788" s="10" t="e">
        <f>FrontBlwDisp</f>
        <v>#NAME?</v>
      </c>
      <c r="I788" s="13">
        <f>VLOOKUP(C785,Tbl_Button_Display_ASSTS,23,FALSE)</f>
        <v>1</v>
      </c>
    </row>
    <row r="789" spans="1:10" s="10" customFormat="1" ht="16.5" hidden="1" outlineLevel="2">
      <c r="A789" s="70">
        <v>1</v>
      </c>
      <c r="D789" s="10" t="s">
        <v>1599</v>
      </c>
      <c r="G789" s="10" t="e">
        <f>BLW_Front</f>
        <v>#NAME?</v>
      </c>
      <c r="H789" s="49">
        <f>VLOOKUP(C785,Tbl_Button_Display_ASSTS,24,FALSE)</f>
        <v>1</v>
      </c>
      <c r="I789" s="47" t="e">
        <f>IF(H789="","",VLOOKUP(H789,Tbl_Blower_Volt,2,FALSE))</f>
        <v>#NAME?</v>
      </c>
    </row>
    <row r="790" spans="1:10" s="39" customFormat="1" hidden="1" outlineLevel="1">
      <c r="A790" s="73">
        <v>1</v>
      </c>
      <c r="B790" s="39" t="s">
        <v>155</v>
      </c>
      <c r="C790" s="39" t="s">
        <v>708</v>
      </c>
      <c r="D790" s="39" t="str">
        <f>CONCATENATE(E791," ",F791,"회 선택")</f>
        <v>Sw_Blower_Up 5회 선택</v>
      </c>
    </row>
    <row r="791" spans="1:10" s="10" customFormat="1" hidden="1" outlineLevel="2">
      <c r="A791" s="70">
        <v>1</v>
      </c>
      <c r="E791" s="14" t="str">
        <f>VLOOKUP(C790,Tbl_Button_Display_ASSTS,11,FALSE)</f>
        <v>Sw_Blower_Up</v>
      </c>
      <c r="F791" s="12">
        <f>VLOOKUP(C790,Tbl_Button_Display_ASSTS,12,FALSE)</f>
        <v>5</v>
      </c>
      <c r="J791" s="15"/>
    </row>
    <row r="792" spans="1:10" s="10" customFormat="1" hidden="1" outlineLevel="2">
      <c r="A792" s="70">
        <v>1</v>
      </c>
      <c r="E792" s="15" t="s">
        <v>5</v>
      </c>
      <c r="F792" s="12">
        <f>VLOOKUP(C790,Tbl_Button_Display_ASSTS,13,FALSE)</f>
        <v>2</v>
      </c>
    </row>
    <row r="793" spans="1:10" s="10" customFormat="1" hidden="1" outlineLevel="2">
      <c r="A793" s="70">
        <v>1</v>
      </c>
      <c r="G793" s="10" t="e">
        <f>FrontBlwDisp</f>
        <v>#NAME?</v>
      </c>
      <c r="I793" s="13">
        <f>VLOOKUP(C790,Tbl_Button_Display_ASSTS,23,FALSE)</f>
        <v>6</v>
      </c>
    </row>
    <row r="794" spans="1:10" s="10" customFormat="1" hidden="1" outlineLevel="2">
      <c r="A794" s="70">
        <v>1</v>
      </c>
      <c r="G794" s="10" t="e">
        <f>BLW_Front</f>
        <v>#NAME?</v>
      </c>
      <c r="H794" s="49">
        <f>VLOOKUP(C790,Tbl_Button_Display_ASSTS,24,FALSE)</f>
        <v>6</v>
      </c>
      <c r="I794" s="47" t="e">
        <f>IF(H794="","",VLOOKUP(H794,Tbl_Blower_Volt,2,FALSE))</f>
        <v>#NAME?</v>
      </c>
    </row>
    <row r="795" spans="1:10" s="39" customFormat="1" hidden="1" outlineLevel="1">
      <c r="A795" s="73">
        <v>1</v>
      </c>
      <c r="B795" s="39" t="s">
        <v>155</v>
      </c>
      <c r="C795" s="39" t="s">
        <v>709</v>
      </c>
      <c r="D795" s="39" t="str">
        <f>CONCATENATE(E796," ",F796,"회 선택 시 Blower 유지 확인")</f>
        <v>Sw_DEF 1회 선택 시 Blower 유지 확인</v>
      </c>
    </row>
    <row r="796" spans="1:10" s="10" customFormat="1" hidden="1" outlineLevel="2">
      <c r="A796" s="70">
        <v>1</v>
      </c>
      <c r="E796" s="14" t="str">
        <f>VLOOKUP(C795,Tbl_Button_Display_ASSTS,11,FALSE)</f>
        <v>Sw_DEF</v>
      </c>
      <c r="F796" s="12">
        <f>VLOOKUP(C795,Tbl_Button_Display_ASSTS,12,FALSE)</f>
        <v>1</v>
      </c>
      <c r="J796" s="15"/>
    </row>
    <row r="797" spans="1:10" s="10" customFormat="1" hidden="1" outlineLevel="2">
      <c r="A797" s="70">
        <v>1</v>
      </c>
      <c r="E797" s="15" t="s">
        <v>5</v>
      </c>
      <c r="F797" s="12">
        <f>VLOOKUP(C795,Tbl_Button_Display_ASSTS,13,FALSE)</f>
        <v>2</v>
      </c>
    </row>
    <row r="798" spans="1:10" s="10" customFormat="1" hidden="1" outlineLevel="2">
      <c r="A798" s="70">
        <v>1</v>
      </c>
      <c r="G798" s="10" t="e">
        <f>FrontBlwDisp</f>
        <v>#NAME?</v>
      </c>
      <c r="I798" s="13">
        <f>VLOOKUP(C795,Tbl_Button_Display_ASSTS,23,FALSE)</f>
        <v>6</v>
      </c>
    </row>
    <row r="799" spans="1:10" s="10" customFormat="1" hidden="1" outlineLevel="2">
      <c r="A799" s="70">
        <v>1</v>
      </c>
      <c r="G799" s="10" t="e">
        <f>BLW_Front</f>
        <v>#NAME?</v>
      </c>
      <c r="H799" s="49">
        <f>VLOOKUP(C795,Tbl_Button_Display_ASSTS,24,FALSE)</f>
        <v>6</v>
      </c>
      <c r="I799" s="47" t="e">
        <f>IF(H799="","",VLOOKUP(H799,Tbl_Blower_Volt,2,FALSE))</f>
        <v>#NAME?</v>
      </c>
    </row>
    <row r="800" spans="1:10" s="40" customFormat="1" ht="15">
      <c r="A800" s="66">
        <v>1</v>
      </c>
      <c r="B800" s="40" t="s">
        <v>542</v>
      </c>
      <c r="C800" s="40" t="s">
        <v>590</v>
      </c>
      <c r="D800" s="40" t="str">
        <f t="shared" si="11"/>
        <v>해제/복귀 로직(북미/중국 외)</v>
      </c>
      <c r="F800" s="82"/>
    </row>
    <row r="801" spans="1:10" s="38" customFormat="1" collapsed="1">
      <c r="A801" s="71">
        <v>1</v>
      </c>
      <c r="B801" s="38" t="s">
        <v>7</v>
      </c>
      <c r="C801" s="38" t="s">
        <v>673</v>
      </c>
      <c r="D801" s="38" t="str">
        <f>VLOOKUP(C801,Tbl_Button_Display_ASSTS, 2,FALSE)</f>
        <v>Key 조합 입력에 의한 A/C &amp; INTAKE 해제복귀 로직 동작 확인</v>
      </c>
    </row>
    <row r="802" spans="1:10" s="11" customFormat="1" hidden="1" outlineLevel="1">
      <c r="A802" s="72">
        <v>1</v>
      </c>
      <c r="B802" s="11" t="s">
        <v>38</v>
      </c>
      <c r="C802" s="11" t="s">
        <v>674</v>
      </c>
      <c r="D802" s="11" t="s">
        <v>39</v>
      </c>
    </row>
    <row r="803" spans="1:10" s="10" customFormat="1" hidden="1" outlineLevel="2">
      <c r="A803" s="70">
        <v>1</v>
      </c>
      <c r="E803" s="14" t="str">
        <f>VLOOKUP(C802,Tbl_Button_Display_ASSTS,11,FALSE)</f>
        <v>Sw_AUTO</v>
      </c>
      <c r="F803" s="12">
        <f>VLOOKUP(C802,Tbl_Button_Display_ASSTS,12,FALSE)</f>
        <v>1</v>
      </c>
    </row>
    <row r="804" spans="1:10" s="10" customFormat="1" hidden="1" outlineLevel="2">
      <c r="A804" s="70">
        <v>1</v>
      </c>
      <c r="E804" s="15" t="s">
        <v>5</v>
      </c>
      <c r="F804" s="12">
        <f>VLOOKUP(C802,Tbl_Button_Display_ASSTS,13,FALSE)</f>
        <v>10</v>
      </c>
    </row>
    <row r="805" spans="1:10" s="10" customFormat="1" hidden="1" outlineLevel="2">
      <c r="A805" s="70">
        <v>1</v>
      </c>
      <c r="G805" s="10" t="e">
        <f>DfgLgcUSMSta</f>
        <v>#NAME?</v>
      </c>
      <c r="I805" s="13">
        <f>VLOOKUP(C802,Tbl_Button_Display_ASSTS,41,FALSE)</f>
        <v>2</v>
      </c>
    </row>
    <row r="806" spans="1:10" s="10" customFormat="1" hidden="1" outlineLevel="2">
      <c r="A806" s="70">
        <v>1</v>
      </c>
      <c r="G806" s="10" t="e">
        <f>DEFDisp</f>
        <v>#NAME?</v>
      </c>
      <c r="I806" s="13" t="str">
        <f>IF(VLOOKUP(C802,Tbl_Button_Display_ASSTS,16,FALSE)="DEF","On","Off")</f>
        <v>Off</v>
      </c>
    </row>
    <row r="807" spans="1:10" s="10" customFormat="1" hidden="1" outlineLevel="2">
      <c r="A807" s="70">
        <v>1</v>
      </c>
      <c r="G807" s="10" t="e">
        <f>AutoDisp</f>
        <v>#NAME?</v>
      </c>
      <c r="I807" s="13" t="str">
        <f>VLOOKUP(C802,Tbl_Button_Display_ASSTS,14,FALSE)</f>
        <v>On</v>
      </c>
    </row>
    <row r="808" spans="1:10" s="10" customFormat="1" hidden="1" outlineLevel="2">
      <c r="A808" s="70">
        <v>1</v>
      </c>
      <c r="G808" s="10" t="e">
        <f>AcDisp</f>
        <v>#NAME?</v>
      </c>
      <c r="I808" s="13" t="str">
        <f>VLOOKUP(C802,Tbl_Button_Display_ASSTS,31,FALSE)</f>
        <v>Off</v>
      </c>
    </row>
    <row r="809" spans="1:10" s="10" customFormat="1" hidden="1" outlineLevel="2">
      <c r="A809" s="70">
        <v>1</v>
      </c>
      <c r="G809" s="10" t="e">
        <f>ModDisp</f>
        <v>#NAME?</v>
      </c>
      <c r="I809" s="13" t="str">
        <f>VLOOKUP(C802,Tbl_Button_Display_ASSTS,16,FALSE)</f>
        <v>Floor</v>
      </c>
    </row>
    <row r="810" spans="1:10" s="10" customFormat="1" hidden="1" outlineLevel="2">
      <c r="A810" s="70">
        <v>1</v>
      </c>
      <c r="G810" s="10" t="e">
        <f>IntakeDisp</f>
        <v>#NAME?</v>
      </c>
      <c r="I810" s="13" t="str">
        <f>VLOOKUP(C802,Tbl_Button_Display_ASSTS,34,FALSE)</f>
        <v>FRE</v>
      </c>
    </row>
    <row r="811" spans="1:10" s="10" customFormat="1" hidden="1" outlineLevel="2">
      <c r="A811" s="70">
        <v>1</v>
      </c>
      <c r="G811" s="10" t="e">
        <f>FrontBlwDisp</f>
        <v>#NAME?</v>
      </c>
      <c r="I811" s="13" t="str">
        <f>VLOOKUP(C802,Tbl_Button_Display_ASSTS,23,FALSE)</f>
        <v>Blower 제어단수 확인</v>
      </c>
    </row>
    <row r="812" spans="1:10" s="39" customFormat="1" hidden="1" outlineLevel="1">
      <c r="A812" s="73">
        <v>1</v>
      </c>
      <c r="B812" s="39" t="s">
        <v>155</v>
      </c>
      <c r="C812" s="39" t="s">
        <v>675</v>
      </c>
      <c r="D812" s="39" t="e">
        <f>CONCATENATE(F813," 시 ",I819," 확인")</f>
        <v>#NAME?</v>
      </c>
    </row>
    <row r="813" spans="1:10" s="10" customFormat="1" hidden="1" outlineLevel="2">
      <c r="A813" s="70">
        <v>1</v>
      </c>
      <c r="E813" s="14" t="str">
        <f>VLOOKUP(C812,Tbl_Button_Display_ASSTS,11,FALSE)</f>
        <v>MsgBox</v>
      </c>
      <c r="F813" s="12" t="e">
        <f>VLOOKUP(C812,Tbl_Button_Display_ASSTS,12,FALSE)</f>
        <v>#NAME?</v>
      </c>
      <c r="J813" s="15"/>
    </row>
    <row r="814" spans="1:10" s="10" customFormat="1" hidden="1" outlineLevel="2">
      <c r="A814" s="70">
        <v>1</v>
      </c>
      <c r="E814" s="15" t="s">
        <v>5</v>
      </c>
      <c r="F814" s="12">
        <f>VLOOKUP(C812,Tbl_Button_Display_ASSTS,13,FALSE)</f>
        <v>1</v>
      </c>
    </row>
    <row r="815" spans="1:10" s="10" customFormat="1" hidden="1" outlineLevel="2">
      <c r="A815" s="70">
        <v>1</v>
      </c>
      <c r="E815" s="10" t="s">
        <v>90</v>
      </c>
      <c r="F815" s="43" t="str">
        <f>CONCATENATE("Panel Display&amp;Indicator ",I819," 동작은 눈으로 확인 할것!")</f>
        <v>Panel Display&amp;Indicator 0.5초 간격 3회 점/소등 후 FRE 동작은 눈으로 확인 할것!</v>
      </c>
      <c r="G815" s="43"/>
      <c r="H815" s="43"/>
      <c r="I815" s="43"/>
    </row>
    <row r="816" spans="1:10" s="10" customFormat="1" hidden="1" outlineLevel="2">
      <c r="A816" s="70">
        <v>1</v>
      </c>
      <c r="G816" s="10" t="e">
        <f>DfgLgcUSMSta</f>
        <v>#NAME?</v>
      </c>
      <c r="I816" s="13">
        <f>VLOOKUP(C812,Tbl_Button_Display_ASSTS,41,FALSE)</f>
        <v>1</v>
      </c>
    </row>
    <row r="817" spans="1:12" s="10" customFormat="1" hidden="1" outlineLevel="2">
      <c r="A817" s="70">
        <v>1</v>
      </c>
      <c r="G817" s="10" t="e">
        <f>AcDisp</f>
        <v>#NAME?</v>
      </c>
      <c r="I817" s="13" t="str">
        <f>VLOOKUP(C812,Tbl_Button_Display_ASSTS,31,FALSE)</f>
        <v>Off</v>
      </c>
    </row>
    <row r="818" spans="1:12" s="10" customFormat="1" hidden="1" outlineLevel="2">
      <c r="A818" s="70">
        <v>1</v>
      </c>
      <c r="G818" s="10" t="e">
        <f>ModDisp</f>
        <v>#NAME?</v>
      </c>
      <c r="I818" s="13" t="str">
        <f>VLOOKUP(C812,Tbl_Button_Display_ASSTS,16,FALSE)</f>
        <v>Floor</v>
      </c>
    </row>
    <row r="819" spans="1:12" s="10" customFormat="1" hidden="1" outlineLevel="2">
      <c r="A819" s="70">
        <v>1</v>
      </c>
      <c r="G819" s="10" t="e">
        <f>IntakeDisp</f>
        <v>#NAME?</v>
      </c>
      <c r="I819" s="13" t="str">
        <f>VLOOKUP(C812,Tbl_Button_Display_ASSTS,34,FALSE)</f>
        <v>0.5초 간격 3회 점/소등 후 FRE</v>
      </c>
    </row>
    <row r="820" spans="1:12" s="10" customFormat="1" hidden="1" outlineLevel="2">
      <c r="A820" s="70">
        <v>1</v>
      </c>
      <c r="G820" s="10" t="e">
        <f>FrontBlwDisp</f>
        <v>#NAME?</v>
      </c>
      <c r="I820" s="13" t="str">
        <f>VLOOKUP(C812,Tbl_Button_Display_ASSTS,23,FALSE)</f>
        <v>Blower 제어단수 확인</v>
      </c>
    </row>
    <row r="821" spans="1:12" s="39" customFormat="1" ht="16.5" hidden="1" outlineLevel="1">
      <c r="A821" s="73">
        <v>1</v>
      </c>
      <c r="B821" s="39" t="s">
        <v>155</v>
      </c>
      <c r="C821" s="39" t="s">
        <v>717</v>
      </c>
      <c r="D821" s="39" t="str">
        <f>CONCATENATE("A/C &amp; INTAKE 해제복귀 동작을 확인하기 위한 수동 설정")</f>
        <v>A/C &amp; INTAKE 해제복귀 동작을 확인하기 위한 수동 설정</v>
      </c>
      <c r="L821" s="199" t="s">
        <v>1592</v>
      </c>
    </row>
    <row r="822" spans="1:12" s="10" customFormat="1" ht="16.5" hidden="1" outlineLevel="2">
      <c r="A822" s="70">
        <v>1</v>
      </c>
      <c r="E822" s="14" t="str">
        <f>VLOOKUP(C821,Tbl_Button_Display_ASSTS,11,FALSE)</f>
        <v>MsgBox</v>
      </c>
      <c r="F822" s="12" t="str">
        <f>VLOOKUP(C821,Tbl_Button_Display_ASSTS,12,FALSE)</f>
        <v>AC=Off, Intake=REC, Blower=1단 수동 설정</v>
      </c>
      <c r="J822" s="15"/>
      <c r="L822" s="130" t="s">
        <v>1502</v>
      </c>
    </row>
    <row r="823" spans="1:12" s="10" customFormat="1" hidden="1" outlineLevel="2">
      <c r="A823" s="70">
        <v>1</v>
      </c>
      <c r="E823" s="15" t="s">
        <v>5</v>
      </c>
      <c r="F823" s="12">
        <f>VLOOKUP(C821,Tbl_Button_Display_ASSTS,13,FALSE)</f>
        <v>2</v>
      </c>
    </row>
    <row r="824" spans="1:12" s="10" customFormat="1" hidden="1" outlineLevel="2">
      <c r="A824" s="70">
        <v>1</v>
      </c>
      <c r="G824" s="10" t="e">
        <f>DfgLgcUSMSta</f>
        <v>#NAME?</v>
      </c>
      <c r="I824" s="13">
        <f>VLOOKUP(C821,Tbl_Button_Display_ASSTS,41,FALSE)</f>
        <v>1</v>
      </c>
    </row>
    <row r="825" spans="1:12" s="10" customFormat="1" hidden="1" outlineLevel="2">
      <c r="A825" s="70">
        <v>1</v>
      </c>
      <c r="G825" s="10" t="e">
        <f>AcDisp</f>
        <v>#NAME?</v>
      </c>
      <c r="I825" s="13" t="str">
        <f>VLOOKUP(C821,Tbl_Button_Display_ASSTS,31,FALSE)</f>
        <v>Off</v>
      </c>
    </row>
    <row r="826" spans="1:12" s="10" customFormat="1" hidden="1" outlineLevel="2">
      <c r="A826" s="70">
        <v>1</v>
      </c>
      <c r="G826" s="10" t="e">
        <f>ModDisp</f>
        <v>#NAME?</v>
      </c>
      <c r="I826" s="13" t="str">
        <f>VLOOKUP(C821,Tbl_Button_Display_ASSTS,16,FALSE)</f>
        <v>Floor</v>
      </c>
    </row>
    <row r="827" spans="1:12" s="10" customFormat="1" hidden="1" outlineLevel="2">
      <c r="A827" s="70">
        <v>1</v>
      </c>
      <c r="G827" s="10" t="e">
        <f>IntakeDisp</f>
        <v>#NAME?</v>
      </c>
      <c r="I827" s="13" t="str">
        <f>VLOOKUP(C821,Tbl_Button_Display_ASSTS,34,FALSE)</f>
        <v>REC</v>
      </c>
    </row>
    <row r="828" spans="1:12" s="10" customFormat="1" hidden="1" outlineLevel="2">
      <c r="A828" s="70">
        <v>1</v>
      </c>
      <c r="G828" s="10" t="e">
        <f>FrontBlwDisp</f>
        <v>#NAME?</v>
      </c>
      <c r="I828" s="13">
        <f>VLOOKUP(C821,Tbl_Button_Display_ASSTS,23,FALSE)</f>
        <v>1</v>
      </c>
    </row>
    <row r="829" spans="1:12" s="39" customFormat="1" hidden="1" outlineLevel="1">
      <c r="A829" s="73">
        <v>1</v>
      </c>
      <c r="B829" s="39" t="s">
        <v>155</v>
      </c>
      <c r="C829" s="39" t="s">
        <v>718</v>
      </c>
      <c r="D829" s="39" t="str">
        <f>CONCATENATE(E830," ",F830,"회 선택, Mix 진입 동작 확인")</f>
        <v>Sw_DrMode 1회 선택, Mix 진입 동작 확인</v>
      </c>
    </row>
    <row r="830" spans="1:12" s="10" customFormat="1" hidden="1" outlineLevel="2">
      <c r="A830" s="70">
        <v>1</v>
      </c>
      <c r="E830" s="14" t="str">
        <f>VLOOKUP(C829,Tbl_Button_Display_ASSTS,11,FALSE)</f>
        <v>Sw_DrMode</v>
      </c>
      <c r="F830" s="12">
        <f>VLOOKUP(C829,Tbl_Button_Display_ASSTS,12,FALSE)</f>
        <v>1</v>
      </c>
      <c r="J830" s="15"/>
    </row>
    <row r="831" spans="1:12" s="10" customFormat="1" hidden="1" outlineLevel="2">
      <c r="A831" s="70">
        <v>1</v>
      </c>
      <c r="E831" s="15" t="s">
        <v>5</v>
      </c>
      <c r="F831" s="12">
        <f>VLOOKUP(C829,Tbl_Button_Display_ASSTS,13,FALSE)</f>
        <v>1</v>
      </c>
    </row>
    <row r="832" spans="1:12" s="10" customFormat="1" hidden="1" outlineLevel="2">
      <c r="A832" s="70">
        <v>1</v>
      </c>
      <c r="G832" s="10" t="e">
        <f>DfgLgcUSMSta</f>
        <v>#NAME?</v>
      </c>
      <c r="I832" s="13">
        <f>VLOOKUP(C829,Tbl_Button_Display_ASSTS,41,FALSE)</f>
        <v>1</v>
      </c>
    </row>
    <row r="833" spans="1:10" s="10" customFormat="1" hidden="1" outlineLevel="2">
      <c r="A833" s="70">
        <v>1</v>
      </c>
      <c r="G833" s="10" t="e">
        <f>AcDisp</f>
        <v>#NAME?</v>
      </c>
      <c r="I833" s="13" t="str">
        <f>VLOOKUP(C829,Tbl_Button_Display_ASSTS,31,FALSE)</f>
        <v>Off</v>
      </c>
    </row>
    <row r="834" spans="1:10" s="10" customFormat="1" hidden="1" outlineLevel="2">
      <c r="A834" s="70">
        <v>1</v>
      </c>
      <c r="G834" s="10" t="e">
        <f>ModDisp</f>
        <v>#NAME?</v>
      </c>
      <c r="I834" s="13" t="str">
        <f>VLOOKUP(C829,Tbl_Button_Display_ASSTS,16,FALSE)</f>
        <v>Mix</v>
      </c>
    </row>
    <row r="835" spans="1:10" s="10" customFormat="1" hidden="1" outlineLevel="2">
      <c r="A835" s="70">
        <v>1</v>
      </c>
      <c r="G835" s="10" t="e">
        <f>IntakeDisp</f>
        <v>#NAME?</v>
      </c>
      <c r="I835" s="13" t="str">
        <f>VLOOKUP(C829,Tbl_Button_Display_ASSTS,34,FALSE)</f>
        <v>REC</v>
      </c>
    </row>
    <row r="836" spans="1:10" s="10" customFormat="1" hidden="1" outlineLevel="2">
      <c r="A836" s="70">
        <v>1</v>
      </c>
      <c r="G836" s="10" t="e">
        <f>FrontBlwDisp</f>
        <v>#NAME?</v>
      </c>
      <c r="I836" s="13">
        <f>VLOOKUP(C829,Tbl_Button_Display_ASSTS,23,FALSE)</f>
        <v>1</v>
      </c>
    </row>
    <row r="837" spans="1:10" s="39" customFormat="1" hidden="1" outlineLevel="1">
      <c r="A837" s="73">
        <v>1</v>
      </c>
      <c r="B837" s="39" t="s">
        <v>155</v>
      </c>
      <c r="C837" s="39" t="s">
        <v>719</v>
      </c>
      <c r="D837" s="39" t="str">
        <f>CONCATENATE(E838," ",F838,"회 선택, DEF 진입 동작 확인")</f>
        <v>Sw_DEF 1회 선택, DEF 진입 동작 확인</v>
      </c>
    </row>
    <row r="838" spans="1:10" s="10" customFormat="1" hidden="1" outlineLevel="2">
      <c r="A838" s="70">
        <v>1</v>
      </c>
      <c r="E838" s="14" t="str">
        <f>VLOOKUP(C837,Tbl_Button_Display_ASSTS,11,FALSE)</f>
        <v>Sw_DEF</v>
      </c>
      <c r="F838" s="12">
        <f>VLOOKUP(C837,Tbl_Button_Display_ASSTS,12,FALSE)</f>
        <v>1</v>
      </c>
      <c r="J838" s="15"/>
    </row>
    <row r="839" spans="1:10" s="10" customFormat="1" hidden="1" outlineLevel="2">
      <c r="A839" s="70">
        <v>1</v>
      </c>
      <c r="E839" s="15" t="s">
        <v>5</v>
      </c>
      <c r="F839" s="12">
        <f>VLOOKUP(C837,Tbl_Button_Display_ASSTS,13,FALSE)</f>
        <v>1</v>
      </c>
    </row>
    <row r="840" spans="1:10" s="10" customFormat="1" hidden="1" outlineLevel="2">
      <c r="A840" s="70">
        <v>1</v>
      </c>
      <c r="G840" s="10" t="e">
        <f>DfgLgcUSMSta</f>
        <v>#NAME?</v>
      </c>
      <c r="I840" s="13">
        <f>VLOOKUP(C837,Tbl_Button_Display_ASSTS,41,FALSE)</f>
        <v>1</v>
      </c>
    </row>
    <row r="841" spans="1:10" s="10" customFormat="1" hidden="1" outlineLevel="2">
      <c r="A841" s="70">
        <v>1</v>
      </c>
      <c r="G841" s="10" t="e">
        <f>AcDisp</f>
        <v>#NAME?</v>
      </c>
      <c r="I841" s="13" t="str">
        <f>VLOOKUP(C837,Tbl_Button_Display_ASSTS,31,FALSE)</f>
        <v>Off</v>
      </c>
    </row>
    <row r="842" spans="1:10" s="10" customFormat="1" hidden="1" outlineLevel="2">
      <c r="A842" s="70">
        <v>1</v>
      </c>
      <c r="G842" s="10" t="e">
        <f>ModDisp</f>
        <v>#NAME?</v>
      </c>
      <c r="I842" s="13" t="str">
        <f>VLOOKUP(C837,Tbl_Button_Display_ASSTS,16,FALSE)</f>
        <v>Def</v>
      </c>
    </row>
    <row r="843" spans="1:10" s="10" customFormat="1" hidden="1" outlineLevel="2">
      <c r="A843" s="70">
        <v>1</v>
      </c>
      <c r="G843" s="10" t="e">
        <f>IntakeDisp</f>
        <v>#NAME?</v>
      </c>
      <c r="I843" s="13" t="str">
        <f>VLOOKUP(C837,Tbl_Button_Display_ASSTS,34,FALSE)</f>
        <v>REC</v>
      </c>
    </row>
    <row r="844" spans="1:10" s="10" customFormat="1" hidden="1" outlineLevel="2">
      <c r="A844" s="70">
        <v>1</v>
      </c>
      <c r="G844" s="10" t="e">
        <f>FrontBlwDisp</f>
        <v>#NAME?</v>
      </c>
      <c r="I844" s="13">
        <f>VLOOKUP(C837,Tbl_Button_Display_ASSTS,23,FALSE)</f>
        <v>3</v>
      </c>
    </row>
    <row r="845" spans="1:10" s="39" customFormat="1" hidden="1" outlineLevel="1">
      <c r="A845" s="73">
        <v>1</v>
      </c>
      <c r="B845" s="39" t="s">
        <v>155</v>
      </c>
      <c r="C845" s="39" t="s">
        <v>720</v>
      </c>
      <c r="D845" s="39" t="e">
        <f>CONCATENATE(F846," 시 ",I852," 확인")</f>
        <v>#NAME?</v>
      </c>
    </row>
    <row r="846" spans="1:10" s="10" customFormat="1" hidden="1" outlineLevel="2">
      <c r="A846" s="70">
        <v>1</v>
      </c>
      <c r="E846" s="14" t="str">
        <f>VLOOKUP(C845,Tbl_Button_Display_ASSTS,11,FALSE)</f>
        <v>MsgBox</v>
      </c>
      <c r="F846" s="12" t="e">
        <f>VLOOKUP(C845,Tbl_Button_Display_ASSTS,12,FALSE)</f>
        <v>#NAME?</v>
      </c>
      <c r="J846" s="15"/>
    </row>
    <row r="847" spans="1:10" s="10" customFormat="1" hidden="1" outlineLevel="2">
      <c r="A847" s="70">
        <v>1</v>
      </c>
      <c r="E847" s="15" t="s">
        <v>5</v>
      </c>
      <c r="F847" s="12">
        <f>VLOOKUP(C845,Tbl_Button_Display_ASSTS,13,FALSE)</f>
        <v>1</v>
      </c>
    </row>
    <row r="848" spans="1:10" s="10" customFormat="1" hidden="1" outlineLevel="2">
      <c r="A848" s="70">
        <v>1</v>
      </c>
      <c r="E848" s="10" t="s">
        <v>90</v>
      </c>
      <c r="F848" s="43" t="str">
        <f>CONCATENATE("Panel Display&amp;Indicator ",I852," 동작은 눈으로 확인 할것!")</f>
        <v>Panel Display&amp;Indicator 0.5초 간격 3회 점/소등 후 FRE 동작은 눈으로 확인 할것!</v>
      </c>
      <c r="G848" s="43"/>
      <c r="H848" s="43"/>
      <c r="I848" s="43"/>
    </row>
    <row r="849" spans="1:12" s="10" customFormat="1" hidden="1" outlineLevel="2">
      <c r="A849" s="70">
        <v>1</v>
      </c>
      <c r="G849" s="10" t="e">
        <f>DfgLgcUSMSta</f>
        <v>#NAME?</v>
      </c>
      <c r="I849" s="13">
        <f>VLOOKUP(C845,Tbl_Button_Display_ASSTS,41,FALSE)</f>
        <v>2</v>
      </c>
    </row>
    <row r="850" spans="1:12" s="10" customFormat="1" hidden="1" outlineLevel="2">
      <c r="A850" s="70">
        <v>1</v>
      </c>
      <c r="G850" s="10" t="e">
        <f>AcDisp</f>
        <v>#NAME?</v>
      </c>
      <c r="I850" s="13" t="str">
        <f>VLOOKUP(C845,Tbl_Button_Display_ASSTS,31,FALSE)</f>
        <v>Off</v>
      </c>
    </row>
    <row r="851" spans="1:12" s="10" customFormat="1" hidden="1" outlineLevel="2">
      <c r="A851" s="70">
        <v>1</v>
      </c>
      <c r="G851" s="10" t="e">
        <f>ModDisp</f>
        <v>#NAME?</v>
      </c>
      <c r="I851" s="13" t="str">
        <f>VLOOKUP(C845,Tbl_Button_Display_ASSTS,16,FALSE)</f>
        <v>Floor</v>
      </c>
    </row>
    <row r="852" spans="1:12" s="10" customFormat="1" hidden="1" outlineLevel="2">
      <c r="A852" s="70">
        <v>1</v>
      </c>
      <c r="G852" s="10" t="e">
        <f>IntakeDisp</f>
        <v>#NAME?</v>
      </c>
      <c r="I852" s="13" t="str">
        <f>VLOOKUP(C845,Tbl_Button_Display_ASSTS,34,FALSE)</f>
        <v>0.5초 간격 3회 점/소등 후 FRE</v>
      </c>
    </row>
    <row r="853" spans="1:12" s="10" customFormat="1" hidden="1" outlineLevel="2">
      <c r="A853" s="70">
        <v>1</v>
      </c>
      <c r="G853" s="10" t="e">
        <f>FrontBlwDisp</f>
        <v>#NAME?</v>
      </c>
      <c r="I853" s="13" t="str">
        <f>VLOOKUP(C845,Tbl_Button_Display_ASSTS,23,FALSE)</f>
        <v>Blower 제어단수 확인</v>
      </c>
    </row>
    <row r="854" spans="1:12" s="39" customFormat="1" hidden="1" outlineLevel="1">
      <c r="A854" s="73">
        <v>1</v>
      </c>
      <c r="B854" s="39" t="s">
        <v>155</v>
      </c>
      <c r="C854" s="39" t="s">
        <v>721</v>
      </c>
      <c r="D854" s="39" t="str">
        <f>CONCATENATE("A/C &amp; INTAKE 해제복귀 동작을 확인하기 위한 수동 설정")</f>
        <v>A/C &amp; INTAKE 해제복귀 동작을 확인하기 위한 수동 설정</v>
      </c>
    </row>
    <row r="855" spans="1:12" s="10" customFormat="1" hidden="1" outlineLevel="2">
      <c r="A855" s="70">
        <v>1</v>
      </c>
      <c r="E855" s="14" t="str">
        <f>VLOOKUP(C854,Tbl_Button_Display_ASSTS,11,FALSE)</f>
        <v>MsgBox</v>
      </c>
      <c r="F855" s="12" t="str">
        <f>VLOOKUP(C854,Tbl_Button_Display_ASSTS,12,FALSE)</f>
        <v>AC=Off, Intake=REC, Blower=1단 수동 설정</v>
      </c>
      <c r="J855" s="15"/>
      <c r="L855" s="130"/>
    </row>
    <row r="856" spans="1:12" s="10" customFormat="1" hidden="1" outlineLevel="2">
      <c r="A856" s="70">
        <v>1</v>
      </c>
      <c r="E856" s="15" t="s">
        <v>5</v>
      </c>
      <c r="F856" s="12">
        <f>VLOOKUP(C854,Tbl_Button_Display_ASSTS,13,FALSE)</f>
        <v>2</v>
      </c>
    </row>
    <row r="857" spans="1:12" s="10" customFormat="1" hidden="1" outlineLevel="2">
      <c r="A857" s="70">
        <v>1</v>
      </c>
      <c r="G857" s="10" t="e">
        <f>DfgLgcUSMSta</f>
        <v>#NAME?</v>
      </c>
      <c r="I857" s="13">
        <f>VLOOKUP(C854,Tbl_Button_Display_ASSTS,41,FALSE)</f>
        <v>2</v>
      </c>
    </row>
    <row r="858" spans="1:12" s="10" customFormat="1" hidden="1" outlineLevel="2">
      <c r="A858" s="70">
        <v>1</v>
      </c>
      <c r="G858" s="10" t="e">
        <f>AcDisp</f>
        <v>#NAME?</v>
      </c>
      <c r="I858" s="13" t="str">
        <f>VLOOKUP(C854,Tbl_Button_Display_ASSTS,31,FALSE)</f>
        <v>Off</v>
      </c>
    </row>
    <row r="859" spans="1:12" s="10" customFormat="1" hidden="1" outlineLevel="2">
      <c r="A859" s="70">
        <v>1</v>
      </c>
      <c r="G859" s="10" t="e">
        <f>ModDisp</f>
        <v>#NAME?</v>
      </c>
      <c r="I859" s="13" t="str">
        <f>VLOOKUP(C854,Tbl_Button_Display_ASSTS,16,FALSE)</f>
        <v>Floor</v>
      </c>
    </row>
    <row r="860" spans="1:12" s="10" customFormat="1" hidden="1" outlineLevel="2">
      <c r="A860" s="70">
        <v>1</v>
      </c>
      <c r="G860" s="10" t="e">
        <f>IntakeDisp</f>
        <v>#NAME?</v>
      </c>
      <c r="I860" s="13" t="str">
        <f>VLOOKUP(C854,Tbl_Button_Display_ASSTS,34,FALSE)</f>
        <v>REC</v>
      </c>
    </row>
    <row r="861" spans="1:12" s="10" customFormat="1" hidden="1" outlineLevel="2">
      <c r="A861" s="70">
        <v>1</v>
      </c>
      <c r="G861" s="10" t="e">
        <f>FrontBlwDisp</f>
        <v>#NAME?</v>
      </c>
      <c r="I861" s="13">
        <f>VLOOKUP(C854,Tbl_Button_Display_ASSTS,23,FALSE)</f>
        <v>1</v>
      </c>
    </row>
    <row r="862" spans="1:12" s="39" customFormat="1" hidden="1" outlineLevel="1">
      <c r="A862" s="73">
        <v>1</v>
      </c>
      <c r="B862" s="39" t="s">
        <v>155</v>
      </c>
      <c r="C862" s="39" t="s">
        <v>722</v>
      </c>
      <c r="D862" s="39" t="str">
        <f>CONCATENATE(E863," ",F863,"회 선택, Mix 진입 동작 확인")</f>
        <v>Sw_DrMode 1회 선택, Mix 진입 동작 확인</v>
      </c>
    </row>
    <row r="863" spans="1:12" s="10" customFormat="1" hidden="1" outlineLevel="2">
      <c r="A863" s="70">
        <v>1</v>
      </c>
      <c r="E863" s="14" t="str">
        <f>VLOOKUP(C862,Tbl_Button_Display_ASSTS,11,FALSE)</f>
        <v>Sw_DrMode</v>
      </c>
      <c r="F863" s="12">
        <f>VLOOKUP(C862,Tbl_Button_Display_ASSTS,12,FALSE)</f>
        <v>1</v>
      </c>
      <c r="J863" s="15"/>
    </row>
    <row r="864" spans="1:12" s="10" customFormat="1" hidden="1" outlineLevel="2">
      <c r="A864" s="70">
        <v>1</v>
      </c>
      <c r="E864" s="15" t="s">
        <v>5</v>
      </c>
      <c r="F864" s="12">
        <f>VLOOKUP(C862,Tbl_Button_Display_ASSTS,13,FALSE)</f>
        <v>1</v>
      </c>
    </row>
    <row r="865" spans="1:10" s="10" customFormat="1" hidden="1" outlineLevel="2">
      <c r="A865" s="70">
        <v>1</v>
      </c>
      <c r="G865" s="10" t="e">
        <f>DfgLgcUSMSta</f>
        <v>#NAME?</v>
      </c>
      <c r="I865" s="13">
        <f>VLOOKUP(C862,Tbl_Button_Display_ASSTS,41,FALSE)</f>
        <v>2</v>
      </c>
    </row>
    <row r="866" spans="1:10" s="10" customFormat="1" hidden="1" outlineLevel="2">
      <c r="A866" s="70">
        <v>1</v>
      </c>
      <c r="G866" s="10" t="e">
        <f>AcDisp</f>
        <v>#NAME?</v>
      </c>
      <c r="I866" s="13" t="str">
        <f>VLOOKUP(C862,Tbl_Button_Display_ASSTS,31,FALSE)</f>
        <v>On</v>
      </c>
    </row>
    <row r="867" spans="1:10" s="10" customFormat="1" hidden="1" outlineLevel="2">
      <c r="A867" s="70">
        <v>1</v>
      </c>
      <c r="G867" s="10" t="e">
        <f>ModDisp</f>
        <v>#NAME?</v>
      </c>
      <c r="I867" s="13" t="str">
        <f>VLOOKUP(C862,Tbl_Button_Display_ASSTS,16,FALSE)</f>
        <v>Mix</v>
      </c>
    </row>
    <row r="868" spans="1:10" s="10" customFormat="1" hidden="1" outlineLevel="2">
      <c r="A868" s="70">
        <v>1</v>
      </c>
      <c r="G868" s="10" t="e">
        <f>IntakeDisp</f>
        <v>#NAME?</v>
      </c>
      <c r="I868" s="13" t="str">
        <f>VLOOKUP(C862,Tbl_Button_Display_ASSTS,34,FALSE)</f>
        <v>FRE</v>
      </c>
    </row>
    <row r="869" spans="1:10" s="10" customFormat="1" hidden="1" outlineLevel="2">
      <c r="A869" s="70">
        <v>1</v>
      </c>
      <c r="G869" s="10" t="e">
        <f>FrontBlwDisp</f>
        <v>#NAME?</v>
      </c>
      <c r="I869" s="13">
        <f>VLOOKUP(C862,Tbl_Button_Display_ASSTS,23,FALSE)</f>
        <v>1</v>
      </c>
    </row>
    <row r="870" spans="1:10" s="39" customFormat="1" hidden="1" outlineLevel="1">
      <c r="A870" s="73">
        <v>1</v>
      </c>
      <c r="B870" s="39" t="s">
        <v>155</v>
      </c>
      <c r="C870" s="39" t="s">
        <v>723</v>
      </c>
      <c r="D870" s="39" t="str">
        <f>CONCATENATE(E871," ",F871,"회 선택, Mix 해제")</f>
        <v>Sw_DrMode 1회 선택, Mix 해제</v>
      </c>
    </row>
    <row r="871" spans="1:10" s="10" customFormat="1" hidden="1" outlineLevel="2">
      <c r="A871" s="70">
        <v>1</v>
      </c>
      <c r="E871" s="14" t="str">
        <f>VLOOKUP(C870,Tbl_Button_Display_ASSTS,11,FALSE)</f>
        <v>Sw_DrMode</v>
      </c>
      <c r="F871" s="12">
        <f>VLOOKUP(C870,Tbl_Button_Display_ASSTS,12,FALSE)</f>
        <v>1</v>
      </c>
      <c r="J871" s="15"/>
    </row>
    <row r="872" spans="1:10" s="10" customFormat="1" hidden="1" outlineLevel="2">
      <c r="A872" s="70">
        <v>1</v>
      </c>
      <c r="E872" s="15" t="s">
        <v>5</v>
      </c>
      <c r="F872" s="12">
        <f>VLOOKUP(C870,Tbl_Button_Display_ASSTS,13,FALSE)</f>
        <v>1</v>
      </c>
    </row>
    <row r="873" spans="1:10" s="10" customFormat="1" hidden="1" outlineLevel="2">
      <c r="A873" s="70">
        <v>1</v>
      </c>
      <c r="G873" s="10" t="e">
        <f>DfgLgcUSMSta</f>
        <v>#NAME?</v>
      </c>
      <c r="I873" s="13">
        <f>VLOOKUP(C870,Tbl_Button_Display_ASSTS,41,FALSE)</f>
        <v>2</v>
      </c>
    </row>
    <row r="874" spans="1:10" s="10" customFormat="1" hidden="1" outlineLevel="2">
      <c r="A874" s="70">
        <v>1</v>
      </c>
      <c r="G874" s="10" t="e">
        <f>AcDisp</f>
        <v>#NAME?</v>
      </c>
      <c r="I874" s="13" t="str">
        <f>VLOOKUP(C870,Tbl_Button_Display_ASSTS,31,FALSE)</f>
        <v>Off</v>
      </c>
    </row>
    <row r="875" spans="1:10" s="10" customFormat="1" hidden="1" outlineLevel="2">
      <c r="A875" s="70">
        <v>1</v>
      </c>
      <c r="G875" s="10" t="e">
        <f>ModDisp</f>
        <v>#NAME?</v>
      </c>
      <c r="I875" s="13" t="str">
        <f>VLOOKUP(C870,Tbl_Button_Display_ASSTS,16,FALSE)</f>
        <v>Vent</v>
      </c>
    </row>
    <row r="876" spans="1:10" s="10" customFormat="1" hidden="1" outlineLevel="2">
      <c r="A876" s="70">
        <v>1</v>
      </c>
      <c r="G876" s="10" t="e">
        <f>IntakeDisp</f>
        <v>#NAME?</v>
      </c>
      <c r="I876" s="13" t="str">
        <f>VLOOKUP(C870,Tbl_Button_Display_ASSTS,34,FALSE)</f>
        <v>REC</v>
      </c>
    </row>
    <row r="877" spans="1:10" s="10" customFormat="1" hidden="1" outlineLevel="2">
      <c r="A877" s="70">
        <v>1</v>
      </c>
      <c r="G877" s="10" t="e">
        <f>FrontBlwDisp</f>
        <v>#NAME?</v>
      </c>
      <c r="I877" s="13">
        <f>VLOOKUP(C870,Tbl_Button_Display_ASSTS,23,FALSE)</f>
        <v>1</v>
      </c>
    </row>
    <row r="878" spans="1:10" s="39" customFormat="1" hidden="1" outlineLevel="1">
      <c r="A878" s="73">
        <v>1</v>
      </c>
      <c r="B878" s="39" t="s">
        <v>155</v>
      </c>
      <c r="C878" s="39" t="s">
        <v>724</v>
      </c>
      <c r="D878" s="39" t="str">
        <f>CONCATENATE(E879," ",F879,"회 선택, DEF 진입 동작 확인")</f>
        <v>Sw_DEF 1회 선택, DEF 진입 동작 확인</v>
      </c>
    </row>
    <row r="879" spans="1:10" s="10" customFormat="1" hidden="1" outlineLevel="2">
      <c r="A879" s="70">
        <v>1</v>
      </c>
      <c r="E879" s="14" t="str">
        <f>VLOOKUP(C878,Tbl_Button_Display_ASSTS,11,FALSE)</f>
        <v>Sw_DEF</v>
      </c>
      <c r="F879" s="12">
        <f>VLOOKUP(C878,Tbl_Button_Display_ASSTS,12,FALSE)</f>
        <v>1</v>
      </c>
      <c r="J879" s="15"/>
    </row>
    <row r="880" spans="1:10" s="10" customFormat="1" hidden="1" outlineLevel="2">
      <c r="A880" s="70">
        <v>1</v>
      </c>
      <c r="E880" s="15" t="s">
        <v>5</v>
      </c>
      <c r="F880" s="12">
        <f>VLOOKUP(C878,Tbl_Button_Display_ASSTS,13,FALSE)</f>
        <v>1</v>
      </c>
    </row>
    <row r="881" spans="1:10" s="10" customFormat="1" hidden="1" outlineLevel="2">
      <c r="A881" s="70">
        <v>1</v>
      </c>
      <c r="G881" s="10" t="e">
        <f>DfgLgcUSMSta</f>
        <v>#NAME?</v>
      </c>
      <c r="I881" s="13">
        <f>VLOOKUP(C878,Tbl_Button_Display_ASSTS,41,FALSE)</f>
        <v>2</v>
      </c>
    </row>
    <row r="882" spans="1:10" s="10" customFormat="1" hidden="1" outlineLevel="2">
      <c r="A882" s="70">
        <v>1</v>
      </c>
      <c r="G882" s="10" t="e">
        <f>AcDisp</f>
        <v>#NAME?</v>
      </c>
      <c r="I882" s="13" t="str">
        <f>VLOOKUP(C878,Tbl_Button_Display_ASSTS,31,FALSE)</f>
        <v>On</v>
      </c>
    </row>
    <row r="883" spans="1:10" s="10" customFormat="1" hidden="1" outlineLevel="2">
      <c r="A883" s="70">
        <v>1</v>
      </c>
      <c r="G883" s="10" t="e">
        <f>ModDisp</f>
        <v>#NAME?</v>
      </c>
      <c r="I883" s="13" t="str">
        <f>VLOOKUP(C878,Tbl_Button_Display_ASSTS,16,FALSE)</f>
        <v>Def</v>
      </c>
    </row>
    <row r="884" spans="1:10" s="10" customFormat="1" hidden="1" outlineLevel="2">
      <c r="A884" s="70">
        <v>1</v>
      </c>
      <c r="G884" s="10" t="e">
        <f>IntakeDisp</f>
        <v>#NAME?</v>
      </c>
      <c r="I884" s="13" t="str">
        <f>VLOOKUP(C878,Tbl_Button_Display_ASSTS,34,FALSE)</f>
        <v>FRE</v>
      </c>
    </row>
    <row r="885" spans="1:10" s="10" customFormat="1" hidden="1" outlineLevel="2">
      <c r="A885" s="70">
        <v>1</v>
      </c>
      <c r="G885" s="10" t="e">
        <f>FrontBlwDisp</f>
        <v>#NAME?</v>
      </c>
      <c r="I885" s="13">
        <f>VLOOKUP(C878,Tbl_Button_Display_ASSTS,23,FALSE)</f>
        <v>3</v>
      </c>
    </row>
    <row r="886" spans="1:10" s="38" customFormat="1" collapsed="1">
      <c r="A886" s="71">
        <v>1</v>
      </c>
      <c r="B886" s="38" t="s">
        <v>7</v>
      </c>
      <c r="C886" s="38" t="s">
        <v>683</v>
      </c>
      <c r="D886" s="38" t="str">
        <f>VLOOKUP(C886,Tbl_Button_Display_ASSTS, 2,FALSE)</f>
        <v>AVN USM 설정에 의한 A/C &amp; INTAKE 해제/복귀 로직 동작 확인</v>
      </c>
    </row>
    <row r="887" spans="1:10" s="11" customFormat="1" hidden="1" outlineLevel="1">
      <c r="A887" s="72">
        <v>1</v>
      </c>
      <c r="B887" s="11" t="s">
        <v>38</v>
      </c>
      <c r="C887" s="11" t="s">
        <v>684</v>
      </c>
      <c r="D887" s="11" t="s">
        <v>39</v>
      </c>
    </row>
    <row r="888" spans="1:10" s="10" customFormat="1" hidden="1" outlineLevel="2">
      <c r="A888" s="70">
        <v>1</v>
      </c>
      <c r="E888" s="14" t="e">
        <f>DefLogic_USM_Set</f>
        <v>#NAME?</v>
      </c>
      <c r="F888" s="12">
        <v>0</v>
      </c>
      <c r="J888" s="15"/>
    </row>
    <row r="889" spans="1:10" s="10" customFormat="1" hidden="1" outlineLevel="2">
      <c r="A889" s="70">
        <v>1</v>
      </c>
      <c r="E889" s="14" t="e">
        <f>AVN_CluUSMReset</f>
        <v>#NAME?</v>
      </c>
      <c r="F889" s="12">
        <v>0</v>
      </c>
      <c r="J889" s="15"/>
    </row>
    <row r="890" spans="1:10" s="10" customFormat="1" hidden="1" outlineLevel="2">
      <c r="A890" s="70">
        <v>1</v>
      </c>
      <c r="E890" s="14" t="e">
        <f>CLU_USM_StaRst1Req</f>
        <v>#NAME?</v>
      </c>
      <c r="F890" s="12">
        <v>0</v>
      </c>
      <c r="J890" s="15"/>
    </row>
    <row r="891" spans="1:10" s="10" customFormat="1" hidden="1" outlineLevel="2">
      <c r="A891" s="70">
        <v>1</v>
      </c>
      <c r="E891" s="14" t="str">
        <f>VLOOKUP(C887,Tbl_Button_Display_ASSTS,11,FALSE)</f>
        <v>Sw_AUTO</v>
      </c>
      <c r="F891" s="12">
        <f>VLOOKUP(C887,Tbl_Button_Display_ASSTS,12,FALSE)</f>
        <v>1</v>
      </c>
      <c r="J891" s="15"/>
    </row>
    <row r="892" spans="1:10" s="10" customFormat="1" hidden="1" outlineLevel="2">
      <c r="A892" s="70">
        <v>1</v>
      </c>
      <c r="E892" s="15" t="s">
        <v>5</v>
      </c>
      <c r="F892" s="12">
        <f>VLOOKUP(C887,Tbl_Button_Display_ASSTS,13,FALSE)</f>
        <v>10</v>
      </c>
    </row>
    <row r="893" spans="1:10" s="10" customFormat="1" hidden="1" outlineLevel="2">
      <c r="A893" s="70">
        <v>1</v>
      </c>
      <c r="G893" s="10" t="e">
        <f>Incar_OUT</f>
        <v>#NAME?</v>
      </c>
      <c r="I893" s="13">
        <f>VLOOKUP(C887,Tbl_Button_Display_ASSTS,2,FALSE)</f>
        <v>10</v>
      </c>
    </row>
    <row r="894" spans="1:10" s="10" customFormat="1" hidden="1" outlineLevel="2">
      <c r="A894" s="70">
        <v>1</v>
      </c>
      <c r="G894" s="10" t="e">
        <f>Amb_OUT</f>
        <v>#NAME?</v>
      </c>
      <c r="I894" s="13">
        <f>VLOOKUP(C887,Tbl_Button_Display_ASSTS,3,FALSE)</f>
        <v>5</v>
      </c>
    </row>
    <row r="895" spans="1:10" s="10" customFormat="1" hidden="1" outlineLevel="2">
      <c r="A895" s="70">
        <v>1</v>
      </c>
      <c r="G895" s="10" t="e">
        <f>DfgLgcUSMSta</f>
        <v>#NAME?</v>
      </c>
      <c r="I895" s="13">
        <f>VLOOKUP(C887,Tbl_Button_Display_ASSTS,41,FALSE)</f>
        <v>2</v>
      </c>
    </row>
    <row r="896" spans="1:10" s="10" customFormat="1" hidden="1" outlineLevel="2">
      <c r="A896" s="70">
        <v>1</v>
      </c>
      <c r="G896" s="10" t="e">
        <f>DEFDisp</f>
        <v>#NAME?</v>
      </c>
      <c r="I896" s="13" t="str">
        <f>IF(VLOOKUP(C887,Tbl_Button_Display_ASSTS,16,FALSE)="DEF","On","Off")</f>
        <v>Off</v>
      </c>
    </row>
    <row r="897" spans="1:12" s="10" customFormat="1" hidden="1" outlineLevel="2">
      <c r="A897" s="70">
        <v>1</v>
      </c>
      <c r="G897" s="10" t="e">
        <f>AutoDisp</f>
        <v>#NAME?</v>
      </c>
      <c r="I897" s="13" t="str">
        <f>VLOOKUP(C887,Tbl_Button_Display_ASSTS,14,FALSE)</f>
        <v>On</v>
      </c>
    </row>
    <row r="898" spans="1:12" s="10" customFormat="1" hidden="1" outlineLevel="2">
      <c r="A898" s="70">
        <v>1</v>
      </c>
      <c r="G898" s="10" t="e">
        <f>AcDisp</f>
        <v>#NAME?</v>
      </c>
      <c r="I898" s="13" t="str">
        <f>VLOOKUP(C887,Tbl_Button_Display_ASSTS,31,FALSE)</f>
        <v>Off</v>
      </c>
    </row>
    <row r="899" spans="1:12" s="10" customFormat="1" hidden="1" outlineLevel="2">
      <c r="A899" s="70">
        <v>1</v>
      </c>
      <c r="G899" s="10" t="e">
        <f>ModDisp</f>
        <v>#NAME?</v>
      </c>
      <c r="I899" s="13" t="str">
        <f>VLOOKUP(C887,Tbl_Button_Display_ASSTS,16,FALSE)</f>
        <v>Floor</v>
      </c>
    </row>
    <row r="900" spans="1:12" s="10" customFormat="1" hidden="1" outlineLevel="2">
      <c r="A900" s="70">
        <v>1</v>
      </c>
      <c r="G900" s="10" t="e">
        <f>IntakeDisp</f>
        <v>#NAME?</v>
      </c>
      <c r="I900" s="13" t="str">
        <f>VLOOKUP(C887,Tbl_Button_Display_ASSTS,34,FALSE)</f>
        <v>FRE</v>
      </c>
    </row>
    <row r="901" spans="1:12" s="10" customFormat="1" hidden="1" outlineLevel="2">
      <c r="A901" s="70">
        <v>1</v>
      </c>
      <c r="G901" s="10" t="e">
        <f>FrontBlwDisp</f>
        <v>#NAME?</v>
      </c>
      <c r="I901" s="13" t="str">
        <f>VLOOKUP(C887,Tbl_Button_Display_ASSTS,23,FALSE)</f>
        <v>Blower 제어단수 확인</v>
      </c>
    </row>
    <row r="902" spans="1:12" s="39" customFormat="1" hidden="1" outlineLevel="1">
      <c r="A902" s="73">
        <v>1</v>
      </c>
      <c r="B902" s="39" t="s">
        <v>155</v>
      </c>
      <c r="C902" s="39" t="s">
        <v>725</v>
      </c>
      <c r="D902" s="39" t="e">
        <f>CONCATENATE(E903," = ",F903," 설정 시 ",G905, " = ",I905," 확인")</f>
        <v>#NAME?</v>
      </c>
    </row>
    <row r="903" spans="1:12" s="10" customFormat="1" hidden="1" outlineLevel="2">
      <c r="A903" s="70">
        <v>1</v>
      </c>
      <c r="E903" s="14" t="e">
        <f>VLOOKUP(C902,Tbl_Button_Display_ASSTS,11,FALSE)</f>
        <v>#NAME?</v>
      </c>
      <c r="F903" s="12">
        <f>VLOOKUP(C902,Tbl_Button_Display_ASSTS,12,FALSE)</f>
        <v>1</v>
      </c>
      <c r="J903" s="15"/>
    </row>
    <row r="904" spans="1:12" s="10" customFormat="1" hidden="1" outlineLevel="2">
      <c r="A904" s="70">
        <v>1</v>
      </c>
      <c r="E904" s="15" t="s">
        <v>5</v>
      </c>
      <c r="F904" s="12">
        <f>VLOOKUP(C902,Tbl_Button_Display_ASSTS,13,FALSE)</f>
        <v>1</v>
      </c>
    </row>
    <row r="905" spans="1:12" s="10" customFormat="1" hidden="1" outlineLevel="2">
      <c r="A905" s="70">
        <v>1</v>
      </c>
      <c r="G905" s="10" t="e">
        <f>DfgLgcUSMSta</f>
        <v>#NAME?</v>
      </c>
      <c r="I905" s="13">
        <f>VLOOKUP(C902,Tbl_Button_Display_ASSTS,41,FALSE)</f>
        <v>1</v>
      </c>
    </row>
    <row r="906" spans="1:12" s="39" customFormat="1" hidden="1" outlineLevel="1">
      <c r="A906" s="73">
        <v>1</v>
      </c>
      <c r="B906" s="39" t="s">
        <v>155</v>
      </c>
      <c r="C906" s="39" t="s">
        <v>726</v>
      </c>
      <c r="D906" s="39" t="str">
        <f>CONCATENATE("A/C &amp; INTAKE 해제복귀 동작을 확인하기 위한 수동 설정")</f>
        <v>A/C &amp; INTAKE 해제복귀 동작을 확인하기 위한 수동 설정</v>
      </c>
    </row>
    <row r="907" spans="1:12" s="10" customFormat="1" hidden="1" outlineLevel="2">
      <c r="A907" s="70">
        <v>1</v>
      </c>
      <c r="E907" s="14" t="str">
        <f>VLOOKUP(C906,Tbl_Button_Display_ASSTS,11,FALSE)</f>
        <v>MsgBox</v>
      </c>
      <c r="F907" s="12" t="str">
        <f>VLOOKUP(C906,Tbl_Button_Display_ASSTS,12,FALSE)</f>
        <v>AC=Off, Intake=REC, Blower=1단 수동 설정</v>
      </c>
      <c r="J907" s="15"/>
      <c r="L907" s="130"/>
    </row>
    <row r="908" spans="1:12" s="10" customFormat="1" hidden="1" outlineLevel="2">
      <c r="A908" s="70">
        <v>1</v>
      </c>
      <c r="E908" s="15" t="s">
        <v>5</v>
      </c>
      <c r="F908" s="12">
        <f>VLOOKUP(C906,Tbl_Button_Display_ASSTS,13,FALSE)</f>
        <v>2</v>
      </c>
    </row>
    <row r="909" spans="1:12" s="10" customFormat="1" hidden="1" outlineLevel="2">
      <c r="A909" s="70">
        <v>1</v>
      </c>
      <c r="G909" s="10" t="e">
        <f>DfgLgcUSMSta</f>
        <v>#NAME?</v>
      </c>
      <c r="I909" s="13">
        <f>VLOOKUP(C906,Tbl_Button_Display_ASSTS,41,FALSE)</f>
        <v>1</v>
      </c>
    </row>
    <row r="910" spans="1:12" s="10" customFormat="1" hidden="1" outlineLevel="2">
      <c r="A910" s="70">
        <v>1</v>
      </c>
      <c r="G910" s="10" t="e">
        <f>AcDisp</f>
        <v>#NAME?</v>
      </c>
      <c r="I910" s="13" t="str">
        <f>VLOOKUP(C906,Tbl_Button_Display_ASSTS,31,FALSE)</f>
        <v>Off</v>
      </c>
    </row>
    <row r="911" spans="1:12" s="10" customFormat="1" hidden="1" outlineLevel="2">
      <c r="A911" s="70">
        <v>1</v>
      </c>
      <c r="G911" s="10" t="e">
        <f>ModDisp</f>
        <v>#NAME?</v>
      </c>
      <c r="I911" s="13" t="str">
        <f>VLOOKUP(C906,Tbl_Button_Display_ASSTS,16,FALSE)</f>
        <v>Floor</v>
      </c>
    </row>
    <row r="912" spans="1:12" s="10" customFormat="1" hidden="1" outlineLevel="2">
      <c r="A912" s="70">
        <v>1</v>
      </c>
      <c r="G912" s="10" t="e">
        <f>IntakeDisp</f>
        <v>#NAME?</v>
      </c>
      <c r="I912" s="13" t="str">
        <f>VLOOKUP(C906,Tbl_Button_Display_ASSTS,34,FALSE)</f>
        <v>REC</v>
      </c>
    </row>
    <row r="913" spans="1:10" s="10" customFormat="1" hidden="1" outlineLevel="2">
      <c r="A913" s="70">
        <v>1</v>
      </c>
      <c r="G913" s="10" t="e">
        <f>FrontBlwDisp</f>
        <v>#NAME?</v>
      </c>
      <c r="I913" s="13">
        <f>VLOOKUP(C906,Tbl_Button_Display_ASSTS,23,FALSE)</f>
        <v>1</v>
      </c>
    </row>
    <row r="914" spans="1:10" s="39" customFormat="1" hidden="1" outlineLevel="1">
      <c r="A914" s="73">
        <v>1</v>
      </c>
      <c r="B914" s="39" t="s">
        <v>155</v>
      </c>
      <c r="C914" s="39" t="s">
        <v>727</v>
      </c>
      <c r="D914" s="39" t="str">
        <f>CONCATENATE(E915," ",F915,"회 선택, Mix 진입 동작 확인")</f>
        <v>Sw_DrMode 1회 선택, Mix 진입 동작 확인</v>
      </c>
    </row>
    <row r="915" spans="1:10" s="10" customFormat="1" hidden="1" outlineLevel="2">
      <c r="A915" s="70">
        <v>1</v>
      </c>
      <c r="E915" s="14" t="str">
        <f>VLOOKUP(C914,Tbl_Button_Display_ASSTS,11,FALSE)</f>
        <v>Sw_DrMode</v>
      </c>
      <c r="F915" s="12">
        <f>VLOOKUP(C914,Tbl_Button_Display_ASSTS,12,FALSE)</f>
        <v>1</v>
      </c>
      <c r="J915" s="15"/>
    </row>
    <row r="916" spans="1:10" s="10" customFormat="1" hidden="1" outlineLevel="2">
      <c r="A916" s="70">
        <v>1</v>
      </c>
      <c r="E916" s="15" t="s">
        <v>5</v>
      </c>
      <c r="F916" s="12">
        <f>VLOOKUP(C914,Tbl_Button_Display_ASSTS,13,FALSE)</f>
        <v>1</v>
      </c>
    </row>
    <row r="917" spans="1:10" s="10" customFormat="1" hidden="1" outlineLevel="2">
      <c r="A917" s="70">
        <v>1</v>
      </c>
      <c r="G917" s="10" t="e">
        <f>DfgLgcUSMSta</f>
        <v>#NAME?</v>
      </c>
      <c r="I917" s="13">
        <f>VLOOKUP(C914,Tbl_Button_Display_ASSTS,41,FALSE)</f>
        <v>1</v>
      </c>
    </row>
    <row r="918" spans="1:10" s="10" customFormat="1" hidden="1" outlineLevel="2">
      <c r="A918" s="70">
        <v>1</v>
      </c>
      <c r="G918" s="10" t="e">
        <f>AcDisp</f>
        <v>#NAME?</v>
      </c>
      <c r="I918" s="13" t="str">
        <f>VLOOKUP(C914,Tbl_Button_Display_ASSTS,31,FALSE)</f>
        <v>Off</v>
      </c>
    </row>
    <row r="919" spans="1:10" s="10" customFormat="1" hidden="1" outlineLevel="2">
      <c r="A919" s="70">
        <v>1</v>
      </c>
      <c r="G919" s="10" t="e">
        <f>ModDisp</f>
        <v>#NAME?</v>
      </c>
      <c r="I919" s="13" t="str">
        <f>VLOOKUP(C914,Tbl_Button_Display_ASSTS,16,FALSE)</f>
        <v>Mix</v>
      </c>
    </row>
    <row r="920" spans="1:10" s="10" customFormat="1" hidden="1" outlineLevel="2">
      <c r="A920" s="70">
        <v>1</v>
      </c>
      <c r="G920" s="10" t="e">
        <f>IntakeDisp</f>
        <v>#NAME?</v>
      </c>
      <c r="I920" s="13" t="str">
        <f>VLOOKUP(C914,Tbl_Button_Display_ASSTS,34,FALSE)</f>
        <v>REC</v>
      </c>
    </row>
    <row r="921" spans="1:10" s="10" customFormat="1" hidden="1" outlineLevel="2">
      <c r="A921" s="70">
        <v>1</v>
      </c>
      <c r="G921" s="10" t="e">
        <f>FrontBlwDisp</f>
        <v>#NAME?</v>
      </c>
      <c r="I921" s="13">
        <f>VLOOKUP(C914,Tbl_Button_Display_ASSTS,23,FALSE)</f>
        <v>1</v>
      </c>
    </row>
    <row r="922" spans="1:10" s="39" customFormat="1" hidden="1" outlineLevel="1">
      <c r="A922" s="73">
        <v>1</v>
      </c>
      <c r="B922" s="39" t="s">
        <v>155</v>
      </c>
      <c r="C922" s="39" t="s">
        <v>728</v>
      </c>
      <c r="D922" s="39" t="str">
        <f>CONCATENATE(E923," ",F923,"회 선택, DEF 진입 동작 확인")</f>
        <v>Sw_DEF 1회 선택, DEF 진입 동작 확인</v>
      </c>
    </row>
    <row r="923" spans="1:10" s="10" customFormat="1" hidden="1" outlineLevel="2">
      <c r="A923" s="70">
        <v>1</v>
      </c>
      <c r="E923" s="14" t="str">
        <f>VLOOKUP(C922,Tbl_Button_Display_ASSTS,11,FALSE)</f>
        <v>Sw_DEF</v>
      </c>
      <c r="F923" s="12">
        <f>VLOOKUP(C922,Tbl_Button_Display_ASSTS,12,FALSE)</f>
        <v>1</v>
      </c>
      <c r="J923" s="15"/>
    </row>
    <row r="924" spans="1:10" s="10" customFormat="1" hidden="1" outlineLevel="2">
      <c r="A924" s="70">
        <v>1</v>
      </c>
      <c r="E924" s="15" t="s">
        <v>5</v>
      </c>
      <c r="F924" s="12">
        <f>VLOOKUP(C922,Tbl_Button_Display_ASSTS,13,FALSE)</f>
        <v>1</v>
      </c>
    </row>
    <row r="925" spans="1:10" s="10" customFormat="1" hidden="1" outlineLevel="2">
      <c r="A925" s="70">
        <v>1</v>
      </c>
      <c r="G925" s="10" t="e">
        <f>DfgLgcUSMSta</f>
        <v>#NAME?</v>
      </c>
      <c r="I925" s="13">
        <f>VLOOKUP(C922,Tbl_Button_Display_ASSTS,41,FALSE)</f>
        <v>1</v>
      </c>
    </row>
    <row r="926" spans="1:10" s="10" customFormat="1" hidden="1" outlineLevel="2">
      <c r="A926" s="70">
        <v>1</v>
      </c>
      <c r="G926" s="10" t="e">
        <f>AcDisp</f>
        <v>#NAME?</v>
      </c>
      <c r="I926" s="13" t="str">
        <f>VLOOKUP(C922,Tbl_Button_Display_ASSTS,31,FALSE)</f>
        <v>Off</v>
      </c>
    </row>
    <row r="927" spans="1:10" s="10" customFormat="1" hidden="1" outlineLevel="2">
      <c r="A927" s="70">
        <v>1</v>
      </c>
      <c r="G927" s="10" t="e">
        <f>ModDisp</f>
        <v>#NAME?</v>
      </c>
      <c r="I927" s="13" t="str">
        <f>VLOOKUP(C922,Tbl_Button_Display_ASSTS,16,FALSE)</f>
        <v>Def</v>
      </c>
    </row>
    <row r="928" spans="1:10" s="10" customFormat="1" hidden="1" outlineLevel="2">
      <c r="A928" s="70">
        <v>1</v>
      </c>
      <c r="G928" s="10" t="e">
        <f>IntakeDisp</f>
        <v>#NAME?</v>
      </c>
      <c r="I928" s="13" t="str">
        <f>VLOOKUP(C922,Tbl_Button_Display_ASSTS,34,FALSE)</f>
        <v>REC</v>
      </c>
    </row>
    <row r="929" spans="1:10" s="10" customFormat="1" hidden="1" outlineLevel="2">
      <c r="A929" s="70">
        <v>1</v>
      </c>
      <c r="G929" s="10" t="e">
        <f>FrontBlwDisp</f>
        <v>#NAME?</v>
      </c>
      <c r="I929" s="13">
        <f>VLOOKUP(C922,Tbl_Button_Display_ASSTS,23,FALSE)</f>
        <v>3</v>
      </c>
    </row>
    <row r="930" spans="1:10" s="39" customFormat="1" hidden="1" outlineLevel="1">
      <c r="A930" s="73">
        <v>1</v>
      </c>
      <c r="B930" s="39" t="s">
        <v>155</v>
      </c>
      <c r="C930" s="39" t="s">
        <v>729</v>
      </c>
      <c r="D930" s="39" t="e">
        <f>CONCATENATE(E931," = ",F931," 설정 시 ",G933, " = ",I933," 확인")</f>
        <v>#NAME?</v>
      </c>
    </row>
    <row r="931" spans="1:10" s="10" customFormat="1" hidden="1" outlineLevel="2">
      <c r="A931" s="70">
        <v>1</v>
      </c>
      <c r="E931" s="14" t="e">
        <f>VLOOKUP(C930,Tbl_Button_Display_ASSTS,11,FALSE)</f>
        <v>#NAME?</v>
      </c>
      <c r="F931" s="12">
        <f>VLOOKUP(C930,Tbl_Button_Display_ASSTS,12,FALSE)</f>
        <v>2</v>
      </c>
      <c r="J931" s="15"/>
    </row>
    <row r="932" spans="1:10" s="10" customFormat="1" hidden="1" outlineLevel="2">
      <c r="A932" s="70">
        <v>1</v>
      </c>
      <c r="E932" s="15" t="s">
        <v>5</v>
      </c>
      <c r="F932" s="12">
        <f>VLOOKUP(C930,Tbl_Button_Display_ASSTS,13,FALSE)</f>
        <v>1</v>
      </c>
    </row>
    <row r="933" spans="1:10" s="10" customFormat="1" hidden="1" outlineLevel="2">
      <c r="A933" s="70">
        <v>1</v>
      </c>
      <c r="G933" s="10" t="e">
        <f>DfgLgcUSMSta</f>
        <v>#NAME?</v>
      </c>
      <c r="I933" s="13">
        <f>VLOOKUP(C930,Tbl_Button_Display_ASSTS,41,FALSE)</f>
        <v>2</v>
      </c>
    </row>
    <row r="934" spans="1:10" s="10" customFormat="1" hidden="1" outlineLevel="2">
      <c r="A934" s="70">
        <v>1</v>
      </c>
      <c r="G934" s="10" t="e">
        <f>AcDisp</f>
        <v>#NAME?</v>
      </c>
      <c r="I934" s="13" t="str">
        <f>VLOOKUP(C930,Tbl_Button_Display_ASSTS,31,FALSE)</f>
        <v>Off</v>
      </c>
    </row>
    <row r="935" spans="1:10" s="10" customFormat="1" hidden="1" outlineLevel="2">
      <c r="A935" s="70">
        <v>1</v>
      </c>
      <c r="G935" s="10" t="e">
        <f>ModDisp</f>
        <v>#NAME?</v>
      </c>
      <c r="I935" s="13" t="str">
        <f>VLOOKUP(C930,Tbl_Button_Display_ASSTS,16,FALSE)</f>
        <v>Def</v>
      </c>
    </row>
    <row r="936" spans="1:10" s="10" customFormat="1" hidden="1" outlineLevel="2">
      <c r="A936" s="70">
        <v>1</v>
      </c>
      <c r="G936" s="10" t="e">
        <f>IntakeDisp</f>
        <v>#NAME?</v>
      </c>
      <c r="I936" s="13" t="str">
        <f>VLOOKUP(C930,Tbl_Button_Display_ASSTS,34,FALSE)</f>
        <v>REC</v>
      </c>
    </row>
    <row r="937" spans="1:10" s="10" customFormat="1" hidden="1" outlineLevel="2">
      <c r="A937" s="70">
        <v>1</v>
      </c>
      <c r="G937" s="10" t="e">
        <f>FrontBlwDisp</f>
        <v>#NAME?</v>
      </c>
      <c r="I937" s="13">
        <f>VLOOKUP(C930,Tbl_Button_Display_ASSTS,23,FALSE)</f>
        <v>3</v>
      </c>
    </row>
    <row r="938" spans="1:10" s="39" customFormat="1" hidden="1" outlineLevel="1">
      <c r="A938" s="73">
        <v>1</v>
      </c>
      <c r="B938" s="39" t="s">
        <v>155</v>
      </c>
      <c r="C938" s="39" t="s">
        <v>730</v>
      </c>
      <c r="D938" s="39" t="str">
        <f>CONCATENATE(E939," ",F939,"회 선택, DEF 해제, Mix 진입 확인")</f>
        <v>Sw_DEF 1회 선택, DEF 해제, Mix 진입 확인</v>
      </c>
    </row>
    <row r="939" spans="1:10" s="10" customFormat="1" hidden="1" outlineLevel="2">
      <c r="A939" s="70">
        <v>1</v>
      </c>
      <c r="E939" s="14" t="str">
        <f>VLOOKUP(C938,Tbl_Button_Display_ASSTS,11,FALSE)</f>
        <v>Sw_DEF</v>
      </c>
      <c r="F939" s="12">
        <f>VLOOKUP(C938,Tbl_Button_Display_ASSTS,12,FALSE)</f>
        <v>1</v>
      </c>
      <c r="J939" s="15"/>
    </row>
    <row r="940" spans="1:10" s="10" customFormat="1" hidden="1" outlineLevel="2">
      <c r="A940" s="70">
        <v>1</v>
      </c>
      <c r="E940" s="15" t="s">
        <v>5</v>
      </c>
      <c r="F940" s="12">
        <f>VLOOKUP(C938,Tbl_Button_Display_ASSTS,13,FALSE)</f>
        <v>1</v>
      </c>
    </row>
    <row r="941" spans="1:10" s="10" customFormat="1" hidden="1" outlineLevel="2">
      <c r="A941" s="70">
        <v>1</v>
      </c>
      <c r="G941" s="10" t="e">
        <f>DfgLgcUSMSta</f>
        <v>#NAME?</v>
      </c>
      <c r="I941" s="13">
        <f>VLOOKUP(C938,Tbl_Button_Display_ASSTS,41,FALSE)</f>
        <v>2</v>
      </c>
    </row>
    <row r="942" spans="1:10" s="10" customFormat="1" hidden="1" outlineLevel="2">
      <c r="A942" s="70">
        <v>1</v>
      </c>
      <c r="G942" s="10" t="e">
        <f>AcDisp</f>
        <v>#NAME?</v>
      </c>
      <c r="I942" s="13" t="str">
        <f>VLOOKUP(C938,Tbl_Button_Display_ASSTS,31,FALSE)</f>
        <v>On</v>
      </c>
    </row>
    <row r="943" spans="1:10" s="10" customFormat="1" hidden="1" outlineLevel="2">
      <c r="A943" s="70">
        <v>1</v>
      </c>
      <c r="G943" s="10" t="e">
        <f>ModDisp</f>
        <v>#NAME?</v>
      </c>
      <c r="I943" s="13" t="str">
        <f>VLOOKUP(C938,Tbl_Button_Display_ASSTS,16,FALSE)</f>
        <v>Mix</v>
      </c>
    </row>
    <row r="944" spans="1:10" s="10" customFormat="1" hidden="1" outlineLevel="2">
      <c r="A944" s="70">
        <v>1</v>
      </c>
      <c r="G944" s="10" t="e">
        <f>IntakeDisp</f>
        <v>#NAME?</v>
      </c>
      <c r="I944" s="13" t="str">
        <f>VLOOKUP(C938,Tbl_Button_Display_ASSTS,34,FALSE)</f>
        <v>FRE</v>
      </c>
    </row>
    <row r="945" spans="1:10" s="10" customFormat="1" hidden="1" outlineLevel="2">
      <c r="A945" s="70">
        <v>1</v>
      </c>
      <c r="G945" s="10" t="e">
        <f>FrontBlwDisp</f>
        <v>#NAME?</v>
      </c>
      <c r="I945" s="13">
        <f>VLOOKUP(C938,Tbl_Button_Display_ASSTS,23,FALSE)</f>
        <v>1</v>
      </c>
    </row>
    <row r="946" spans="1:10" s="39" customFormat="1" hidden="1" outlineLevel="1">
      <c r="A946" s="73">
        <v>1</v>
      </c>
      <c r="B946" s="39" t="s">
        <v>155</v>
      </c>
      <c r="C946" s="39" t="s">
        <v>731</v>
      </c>
      <c r="D946" s="39" t="str">
        <f>CONCATENATE(E947," ",F947,"회 선택, Mix 해제 동작 확인")</f>
        <v>Sw_DrMode 1회 선택, Mix 해제 동작 확인</v>
      </c>
    </row>
    <row r="947" spans="1:10" s="10" customFormat="1" hidden="1" outlineLevel="2">
      <c r="A947" s="70">
        <v>1</v>
      </c>
      <c r="E947" s="14" t="str">
        <f>VLOOKUP(C946,Tbl_Button_Display_ASSTS,11,FALSE)</f>
        <v>Sw_DrMode</v>
      </c>
      <c r="F947" s="12">
        <f>VLOOKUP(C946,Tbl_Button_Display_ASSTS,12,FALSE)</f>
        <v>1</v>
      </c>
      <c r="J947" s="15"/>
    </row>
    <row r="948" spans="1:10" s="10" customFormat="1" hidden="1" outlineLevel="2">
      <c r="A948" s="70">
        <v>1</v>
      </c>
      <c r="E948" s="15" t="s">
        <v>5</v>
      </c>
      <c r="F948" s="12">
        <f>VLOOKUP(C946,Tbl_Button_Display_ASSTS,13,FALSE)</f>
        <v>1</v>
      </c>
    </row>
    <row r="949" spans="1:10" s="10" customFormat="1" hidden="1" outlineLevel="2">
      <c r="A949" s="70">
        <v>1</v>
      </c>
      <c r="G949" s="10" t="e">
        <f>DfgLgcUSMSta</f>
        <v>#NAME?</v>
      </c>
      <c r="I949" s="13">
        <f>VLOOKUP(C946,Tbl_Button_Display_ASSTS,41,FALSE)</f>
        <v>2</v>
      </c>
    </row>
    <row r="950" spans="1:10" s="10" customFormat="1" hidden="1" outlineLevel="2">
      <c r="A950" s="70">
        <v>1</v>
      </c>
      <c r="G950" s="10" t="e">
        <f>AcDisp</f>
        <v>#NAME?</v>
      </c>
      <c r="I950" s="13" t="str">
        <f>VLOOKUP(C946,Tbl_Button_Display_ASSTS,31,FALSE)</f>
        <v>Off</v>
      </c>
    </row>
    <row r="951" spans="1:10" s="10" customFormat="1" hidden="1" outlineLevel="2">
      <c r="A951" s="70">
        <v>1</v>
      </c>
      <c r="G951" s="10" t="e">
        <f>ModDisp</f>
        <v>#NAME?</v>
      </c>
      <c r="I951" s="13" t="str">
        <f>VLOOKUP(C946,Tbl_Button_Display_ASSTS,16,FALSE)</f>
        <v>Vent</v>
      </c>
    </row>
    <row r="952" spans="1:10" s="10" customFormat="1" hidden="1" outlineLevel="2">
      <c r="A952" s="70">
        <v>1</v>
      </c>
      <c r="G952" s="10" t="e">
        <f>IntakeDisp</f>
        <v>#NAME?</v>
      </c>
      <c r="I952" s="13" t="str">
        <f>VLOOKUP(C946,Tbl_Button_Display_ASSTS,34,FALSE)</f>
        <v>REC</v>
      </c>
    </row>
    <row r="953" spans="1:10" s="10" customFormat="1" hidden="1" outlineLevel="2">
      <c r="A953" s="70">
        <v>1</v>
      </c>
      <c r="G953" s="10" t="e">
        <f>FrontBlwDisp</f>
        <v>#NAME?</v>
      </c>
      <c r="I953" s="13">
        <f>VLOOKUP(C946,Tbl_Button_Display_ASSTS,23,FALSE)</f>
        <v>1</v>
      </c>
    </row>
    <row r="954" spans="1:10" s="39" customFormat="1" hidden="1" outlineLevel="1">
      <c r="A954" s="73">
        <v>1</v>
      </c>
      <c r="B954" s="39" t="s">
        <v>155</v>
      </c>
      <c r="C954" s="39" t="s">
        <v>1511</v>
      </c>
      <c r="D954" s="39" t="str">
        <f>CONCATENATE(E955," ",F955,"회 선택, DEF 진입 동작 확인")</f>
        <v>Sw_DEF 1회 선택, DEF 진입 동작 확인</v>
      </c>
    </row>
    <row r="955" spans="1:10" s="10" customFormat="1" hidden="1" outlineLevel="2">
      <c r="A955" s="70">
        <v>1</v>
      </c>
      <c r="E955" s="14" t="str">
        <f>VLOOKUP(C954,Tbl_Button_Display_ASSTS,11,FALSE)</f>
        <v>Sw_DEF</v>
      </c>
      <c r="F955" s="12">
        <f>VLOOKUP(C954,Tbl_Button_Display_ASSTS,12,FALSE)</f>
        <v>1</v>
      </c>
      <c r="J955" s="15"/>
    </row>
    <row r="956" spans="1:10" s="10" customFormat="1" hidden="1" outlineLevel="2">
      <c r="A956" s="70">
        <v>1</v>
      </c>
      <c r="E956" s="15" t="s">
        <v>5</v>
      </c>
      <c r="F956" s="12">
        <f>VLOOKUP(C954,Tbl_Button_Display_ASSTS,13,FALSE)</f>
        <v>1</v>
      </c>
    </row>
    <row r="957" spans="1:10" s="10" customFormat="1" hidden="1" outlineLevel="2">
      <c r="A957" s="70">
        <v>1</v>
      </c>
      <c r="G957" s="10" t="e">
        <f>DfgLgcUSMSta</f>
        <v>#NAME?</v>
      </c>
      <c r="I957" s="13">
        <f>VLOOKUP(C954,Tbl_Button_Display_ASSTS,41,FALSE)</f>
        <v>2</v>
      </c>
    </row>
    <row r="958" spans="1:10" s="10" customFormat="1" hidden="1" outlineLevel="2">
      <c r="A958" s="70">
        <v>1</v>
      </c>
      <c r="G958" s="10" t="e">
        <f>AcDisp</f>
        <v>#NAME?</v>
      </c>
      <c r="I958" s="13" t="str">
        <f>VLOOKUP(C954,Tbl_Button_Display_ASSTS,31,FALSE)</f>
        <v>On</v>
      </c>
    </row>
    <row r="959" spans="1:10" s="10" customFormat="1" hidden="1" outlineLevel="2">
      <c r="A959" s="70">
        <v>1</v>
      </c>
      <c r="G959" s="10" t="e">
        <f>ModDisp</f>
        <v>#NAME?</v>
      </c>
      <c r="I959" s="13" t="str">
        <f>VLOOKUP(C954,Tbl_Button_Display_ASSTS,16,FALSE)</f>
        <v>Def</v>
      </c>
    </row>
    <row r="960" spans="1:10" s="10" customFormat="1" hidden="1" outlineLevel="2">
      <c r="A960" s="70">
        <v>1</v>
      </c>
      <c r="G960" s="10" t="e">
        <f>IntakeDisp</f>
        <v>#NAME?</v>
      </c>
      <c r="I960" s="13" t="str">
        <f>VLOOKUP(C954,Tbl_Button_Display_ASSTS,34,FALSE)</f>
        <v>FRE</v>
      </c>
    </row>
    <row r="961" spans="1:10" s="10" customFormat="1" hidden="1" outlineLevel="2">
      <c r="A961" s="70">
        <v>1</v>
      </c>
      <c r="G961" s="10" t="e">
        <f>FrontBlwDisp</f>
        <v>#NAME?</v>
      </c>
      <c r="I961" s="13">
        <f>VLOOKUP(C954,Tbl_Button_Display_ASSTS,23,FALSE)</f>
        <v>3</v>
      </c>
    </row>
    <row r="962" spans="1:10" s="39" customFormat="1" hidden="1" outlineLevel="1">
      <c r="A962" s="73">
        <v>1</v>
      </c>
      <c r="B962" s="39" t="s">
        <v>155</v>
      </c>
      <c r="C962" s="39" t="s">
        <v>732</v>
      </c>
      <c r="D962" s="39" t="e">
        <f>CONCATENATE(E963," = ",F963," 시 ",G966, " = ",I966," 유지 확인")</f>
        <v>#NAME?</v>
      </c>
    </row>
    <row r="963" spans="1:10" s="10" customFormat="1" hidden="1" outlineLevel="2">
      <c r="A963" s="70">
        <v>1</v>
      </c>
      <c r="E963" s="14" t="str">
        <f>VLOOKUP(C962,Tbl_Button_Display_ASSTS,11,FALSE)</f>
        <v>MsgBox</v>
      </c>
      <c r="F963" s="12" t="str">
        <f>VLOOKUP(C962,Tbl_Button_Display_ASSTS,12,FALSE)</f>
        <v>USM Signal Defualt 값 설정</v>
      </c>
      <c r="J963" s="15"/>
    </row>
    <row r="964" spans="1:10" s="10" customFormat="1" hidden="1" outlineLevel="2">
      <c r="A964" s="70">
        <v>1</v>
      </c>
      <c r="E964" s="14" t="e">
        <f>DefLogic_USM_Set</f>
        <v>#NAME?</v>
      </c>
      <c r="F964" s="12">
        <v>0</v>
      </c>
      <c r="J964" s="15"/>
    </row>
    <row r="965" spans="1:10" s="10" customFormat="1" hidden="1" outlineLevel="2">
      <c r="A965" s="70">
        <v>1</v>
      </c>
      <c r="E965" s="15" t="s">
        <v>5</v>
      </c>
      <c r="F965" s="12">
        <f>VLOOKUP(C962,Tbl_Button_Display_ASSTS,13,FALSE)</f>
        <v>1</v>
      </c>
    </row>
    <row r="966" spans="1:10" s="10" customFormat="1" hidden="1" outlineLevel="2">
      <c r="A966" s="70">
        <v>1</v>
      </c>
      <c r="G966" s="10" t="e">
        <f>DfgLgcUSMSta</f>
        <v>#NAME?</v>
      </c>
      <c r="I966" s="13">
        <f>VLOOKUP(C962,Tbl_Button_Display_ASSTS,41,FALSE)</f>
        <v>2</v>
      </c>
    </row>
    <row r="967" spans="1:10" s="40" customFormat="1" ht="15">
      <c r="A967" s="66">
        <v>1</v>
      </c>
      <c r="B967" s="40" t="s">
        <v>543</v>
      </c>
      <c r="C967" s="40" t="s">
        <v>591</v>
      </c>
      <c r="D967" s="40" t="str">
        <f t="shared" si="11"/>
        <v>AUTO DEFOG 해제/복귀 로직</v>
      </c>
      <c r="F967" s="82"/>
    </row>
    <row r="968" spans="1:10" s="38" customFormat="1" collapsed="1">
      <c r="A968" s="71">
        <v>1</v>
      </c>
      <c r="B968" s="38" t="s">
        <v>7</v>
      </c>
      <c r="C968" s="38" t="s">
        <v>658</v>
      </c>
      <c r="D968" s="38" t="str">
        <f>VLOOKUP(C968,Tbl_Button_Display_ASSTS, 2,FALSE)</f>
        <v>Key 조합 입력에 의한 AUTO DEFOG 해제복귀 로직 동작 확인(공조 LCD &amp; "ADS OFF" 심볼 有 사양)</v>
      </c>
    </row>
    <row r="969" spans="1:10" s="11" customFormat="1" hidden="1" outlineLevel="1">
      <c r="A969" s="72">
        <v>1</v>
      </c>
      <c r="B969" s="11" t="s">
        <v>38</v>
      </c>
      <c r="C969" s="11" t="s">
        <v>659</v>
      </c>
      <c r="D969" s="11" t="s">
        <v>39</v>
      </c>
    </row>
    <row r="970" spans="1:10" s="10" customFormat="1" hidden="1" outlineLevel="2">
      <c r="A970" s="70">
        <v>1</v>
      </c>
      <c r="E970" s="8" t="e">
        <f>Amb_IN</f>
        <v>#NAME?</v>
      </c>
      <c r="F970" s="65" cm="1">
        <f t="array" ref="F970">VINTERPOLATION(VLOOKUP(C969,Tbl_Button_Display_ASSTS,3,FALSE),Tbl_Amb_Sensor,3)</f>
        <v>3.7554036226051895</v>
      </c>
    </row>
    <row r="971" spans="1:10" s="10" customFormat="1" hidden="1" outlineLevel="2">
      <c r="A971" s="70">
        <v>1</v>
      </c>
      <c r="E971" s="14" t="s">
        <v>95</v>
      </c>
      <c r="F971" s="12" t="s">
        <v>1189</v>
      </c>
    </row>
    <row r="972" spans="1:10" s="10" customFormat="1" hidden="1" outlineLevel="2">
      <c r="A972" s="70">
        <v>1</v>
      </c>
      <c r="E972" s="14" t="str">
        <f>VLOOKUP(C969,Tbl_Button_Display_ASSTS,11,FALSE)</f>
        <v>Sw_AUTO</v>
      </c>
      <c r="F972" s="12">
        <f>VLOOKUP(C969,Tbl_Button_Display_ASSTS,12,FALSE)</f>
        <v>1</v>
      </c>
    </row>
    <row r="973" spans="1:10" s="10" customFormat="1" hidden="1" outlineLevel="2">
      <c r="A973" s="70">
        <v>1</v>
      </c>
      <c r="E973" s="15" t="s">
        <v>5</v>
      </c>
      <c r="F973" s="12">
        <f>VLOOKUP(C969,Tbl_Button_Display_ASSTS,13,FALSE)</f>
        <v>10</v>
      </c>
    </row>
    <row r="974" spans="1:10" s="10" customFormat="1" hidden="1" outlineLevel="2">
      <c r="A974" s="70">
        <v>1</v>
      </c>
      <c r="G974" s="10" t="e">
        <f>Amb_OUT</f>
        <v>#NAME?</v>
      </c>
      <c r="I974" s="13">
        <f>VLOOKUP(C969,Tbl_Button_Display_ASSTS,3,FALSE)</f>
        <v>1</v>
      </c>
    </row>
    <row r="975" spans="1:10" s="10" customFormat="1" hidden="1" outlineLevel="2">
      <c r="A975" s="70">
        <v>1</v>
      </c>
      <c r="G975" s="10" t="e" cm="1">
        <f t="array" ref="G975">AutoDefogSysOff_Disp</f>
        <v>#NAME?</v>
      </c>
      <c r="I975" s="13">
        <f>VLOOKUP(C969,Tbl_Button_Display_ASSTS,38,FALSE)</f>
        <v>0</v>
      </c>
    </row>
    <row r="976" spans="1:10" s="10" customFormat="1" hidden="1" outlineLevel="2">
      <c r="A976" s="70">
        <v>1</v>
      </c>
      <c r="G976" s="10" t="e">
        <f>AcDisp</f>
        <v>#NAME?</v>
      </c>
      <c r="I976" s="13" t="str">
        <f>VLOOKUP(C969,Tbl_Button_Display_ASSTS,31,FALSE)</f>
        <v>Off</v>
      </c>
    </row>
    <row r="977" spans="1:10" s="10" customFormat="1" hidden="1" outlineLevel="2">
      <c r="A977" s="70">
        <v>1</v>
      </c>
      <c r="G977" s="10" t="e" cm="1">
        <f t="array" ref="G977">CompSpd_rpm</f>
        <v>#NAME?</v>
      </c>
      <c r="I977" s="13" t="str">
        <f>VLOOKUP(C969,Tbl_Button_Display_ASSTS,33,FALSE)</f>
        <v>Off</v>
      </c>
    </row>
    <row r="978" spans="1:10" s="10" customFormat="1" hidden="1" outlineLevel="2">
      <c r="A978" s="70">
        <v>1</v>
      </c>
      <c r="G978" s="10" t="e">
        <f>ModDisp</f>
        <v>#NAME?</v>
      </c>
      <c r="I978" s="13" t="str">
        <f>VLOOKUP(C969,Tbl_Button_Display_ASSTS,16,FALSE)</f>
        <v>Floor</v>
      </c>
    </row>
    <row r="979" spans="1:10" s="10" customFormat="1" hidden="1" outlineLevel="2">
      <c r="A979" s="70">
        <v>1</v>
      </c>
      <c r="G979" s="10" t="e">
        <f>IntakeDisp</f>
        <v>#NAME?</v>
      </c>
      <c r="I979" s="13" t="str">
        <f>VLOOKUP(C969,Tbl_Button_Display_ASSTS,34,FALSE)</f>
        <v>FRE</v>
      </c>
    </row>
    <row r="980" spans="1:10" s="10" customFormat="1" hidden="1" outlineLevel="2">
      <c r="A980" s="70">
        <v>1</v>
      </c>
      <c r="G980" s="10" t="e">
        <f>Act_Intake</f>
        <v>#NAME?</v>
      </c>
      <c r="H980" s="49" t="str">
        <f>VLOOKUP(C969,Tbl_Button_Display_ASSTS,35,FALSE)</f>
        <v>Intake_TD 연산에 따름</v>
      </c>
      <c r="I980" s="48" t="e">
        <f>IF(H980="","",VLOOKUP(H980,Tbl_IntakeFB_Volt,2,FALSE))</f>
        <v>#NAME?</v>
      </c>
    </row>
    <row r="981" spans="1:10" s="39" customFormat="1" hidden="1" outlineLevel="1">
      <c r="A981" s="73">
        <v>1</v>
      </c>
      <c r="B981" s="39" t="s">
        <v>155</v>
      </c>
      <c r="C981" s="39" t="s">
        <v>660</v>
      </c>
      <c r="D981" s="39" t="e">
        <f>CONCATENATE(F982," 시 점/소등 동작 확인")</f>
        <v>#NAME?</v>
      </c>
    </row>
    <row r="982" spans="1:10" s="10" customFormat="1" hidden="1" outlineLevel="2">
      <c r="A982" s="70">
        <v>1</v>
      </c>
      <c r="E982" s="14" t="str">
        <f>VLOOKUP(C981,Tbl_Button_Display_ASSTS,11,FALSE)</f>
        <v>MsgBox</v>
      </c>
      <c r="F982" s="12" t="e">
        <f>VLOOKUP(C981,Tbl_Button_Display_ASSTS,12,FALSE)</f>
        <v>#NAME?</v>
      </c>
      <c r="J982" s="15"/>
    </row>
    <row r="983" spans="1:10" s="10" customFormat="1" hidden="1" outlineLevel="2">
      <c r="A983" s="70">
        <v>1</v>
      </c>
      <c r="E983" s="15" t="s">
        <v>5</v>
      </c>
      <c r="F983" s="12">
        <f>VLOOKUP(C981,Tbl_Button_Display_ASSTS,13,FALSE)</f>
        <v>1</v>
      </c>
    </row>
    <row r="984" spans="1:10" s="10" customFormat="1" hidden="1" outlineLevel="2">
      <c r="A984" s="70">
        <v>1</v>
      </c>
      <c r="E984" s="10" t="s">
        <v>90</v>
      </c>
      <c r="F984" s="43" t="e">
        <f>IF(통합_DISP_사양="X","LCD창 'ADS OFF' 심볼 0.5초 간격 3회 점/소등 후 'ADS OFF' 심볼 표시 눈으로 확인할 것!","DEF Indicator 0.5초 간격 3회 점/소등 눈으로 확인할 것!")</f>
        <v>#NAME?</v>
      </c>
      <c r="G984" s="43"/>
      <c r="H984" s="43"/>
      <c r="I984" s="43"/>
    </row>
    <row r="985" spans="1:10" s="10" customFormat="1" hidden="1" outlineLevel="2">
      <c r="A985" s="70">
        <v>1</v>
      </c>
      <c r="G985" s="10" t="e" cm="1">
        <f t="array" ref="G985">AutoDefogSysOff_Disp</f>
        <v>#NAME?</v>
      </c>
      <c r="I985" s="13">
        <f>VLOOKUP(C981,Tbl_Button_Display_ASSTS,38,FALSE)</f>
        <v>1</v>
      </c>
    </row>
    <row r="986" spans="1:10" s="10" customFormat="1" hidden="1" outlineLevel="2">
      <c r="A986" s="70">
        <v>1</v>
      </c>
      <c r="G986" s="10" t="e">
        <f>AcDisp</f>
        <v>#NAME?</v>
      </c>
      <c r="I986" s="13" t="str">
        <f>VLOOKUP(C981,Tbl_Button_Display_ASSTS,31,FALSE)</f>
        <v>On</v>
      </c>
    </row>
    <row r="987" spans="1:10" s="10" customFormat="1" hidden="1" outlineLevel="2">
      <c r="A987" s="70">
        <v>1</v>
      </c>
      <c r="G987" s="10" t="e" cm="1">
        <f t="array" ref="G987">CompSpd_rpm</f>
        <v>#NAME?</v>
      </c>
      <c r="I987" s="13" t="str">
        <f>VLOOKUP(C981,Tbl_Button_Display_ASSTS,33,FALSE)</f>
        <v>On</v>
      </c>
    </row>
    <row r="988" spans="1:10" s="10" customFormat="1" hidden="1" outlineLevel="2">
      <c r="A988" s="70">
        <v>1</v>
      </c>
      <c r="G988" s="10" t="e">
        <f>ModDisp</f>
        <v>#NAME?</v>
      </c>
      <c r="I988" s="13" t="str">
        <f>VLOOKUP(C981,Tbl_Button_Display_ASSTS,16,FALSE)</f>
        <v>Mix</v>
      </c>
    </row>
    <row r="989" spans="1:10" s="10" customFormat="1" hidden="1" outlineLevel="2">
      <c r="A989" s="70">
        <v>1</v>
      </c>
      <c r="G989" s="10" t="e">
        <f>IntakeDisp</f>
        <v>#NAME?</v>
      </c>
      <c r="I989" s="13" t="str">
        <f>VLOOKUP(C981,Tbl_Button_Display_ASSTS,34,FALSE)</f>
        <v>REC</v>
      </c>
    </row>
    <row r="990" spans="1:10" s="10" customFormat="1" hidden="1" outlineLevel="2">
      <c r="A990" s="70">
        <v>1</v>
      </c>
      <c r="G990" s="10" t="e">
        <f>Act_Intake</f>
        <v>#NAME?</v>
      </c>
      <c r="H990" s="49" t="str">
        <f>VLOOKUP(C981,Tbl_Button_Display_ASSTS,35,FALSE)</f>
        <v>REC</v>
      </c>
      <c r="I990" s="48" t="e">
        <f>IF(H990="","",VLOOKUP(H990,Tbl_IntakeFB_Volt,2,FALSE))</f>
        <v>#NAME?</v>
      </c>
    </row>
    <row r="991" spans="1:10" s="39" customFormat="1" hidden="1" outlineLevel="1">
      <c r="A991" s="73">
        <v>1</v>
      </c>
      <c r="B991" s="39" t="s">
        <v>155</v>
      </c>
      <c r="C991" s="39" t="s">
        <v>661</v>
      </c>
      <c r="D991" s="39" t="str">
        <f>CONCATENATE(E992," ",F992,"회 선택")</f>
        <v>Sw_DrMode 1회 선택</v>
      </c>
    </row>
    <row r="992" spans="1:10" s="10" customFormat="1" hidden="1" outlineLevel="2">
      <c r="A992" s="70">
        <v>1</v>
      </c>
      <c r="E992" s="14" t="str">
        <f>VLOOKUP(C991,Tbl_Button_Display_ASSTS,11,FALSE)</f>
        <v>Sw_DrMode</v>
      </c>
      <c r="F992" s="12">
        <f>VLOOKUP(C991,Tbl_Button_Display_ASSTS,12,FALSE)</f>
        <v>1</v>
      </c>
      <c r="J992" s="15"/>
    </row>
    <row r="993" spans="1:10" s="10" customFormat="1" hidden="1" outlineLevel="2">
      <c r="A993" s="70">
        <v>1</v>
      </c>
      <c r="E993" s="15" t="s">
        <v>5</v>
      </c>
      <c r="F993" s="12">
        <f>VLOOKUP(C991,Tbl_Button_Display_ASSTS,13,FALSE)</f>
        <v>10</v>
      </c>
    </row>
    <row r="994" spans="1:10" s="10" customFormat="1" hidden="1" outlineLevel="2">
      <c r="A994" s="70">
        <v>1</v>
      </c>
      <c r="G994" s="10" t="e" cm="1">
        <f t="array" ref="G994">AutoDefogSysOff_Disp</f>
        <v>#NAME?</v>
      </c>
      <c r="I994" s="13">
        <f>VLOOKUP(C991,Tbl_Button_Display_ASSTS,38,FALSE)</f>
        <v>1</v>
      </c>
    </row>
    <row r="995" spans="1:10" s="10" customFormat="1" hidden="1" outlineLevel="2">
      <c r="A995" s="70">
        <v>1</v>
      </c>
      <c r="G995" s="10" t="e">
        <f>AcDisp</f>
        <v>#NAME?</v>
      </c>
      <c r="I995" s="13" t="str">
        <f>VLOOKUP(C991,Tbl_Button_Display_ASSTS,31,FALSE)</f>
        <v>Off</v>
      </c>
    </row>
    <row r="996" spans="1:10" s="10" customFormat="1" hidden="1" outlineLevel="2">
      <c r="A996" s="70">
        <v>1</v>
      </c>
      <c r="G996" s="10" t="e" cm="1">
        <f t="array" ref="G996">CompSpd_rpm</f>
        <v>#NAME?</v>
      </c>
      <c r="I996" s="13" t="str">
        <f>VLOOKUP(C991,Tbl_Button_Display_ASSTS,33,FALSE)</f>
        <v>Off</v>
      </c>
    </row>
    <row r="997" spans="1:10" s="10" customFormat="1" hidden="1" outlineLevel="2">
      <c r="A997" s="70">
        <v>1</v>
      </c>
      <c r="G997" s="10" t="e">
        <f>ModDisp</f>
        <v>#NAME?</v>
      </c>
      <c r="I997" s="13" t="str">
        <f>VLOOKUP(C991,Tbl_Button_Display_ASSTS,16,FALSE)</f>
        <v>Vent</v>
      </c>
    </row>
    <row r="998" spans="1:10" s="10" customFormat="1" hidden="1" outlineLevel="2">
      <c r="A998" s="70">
        <v>1</v>
      </c>
      <c r="G998" s="10" t="e">
        <f>IntakeDisp</f>
        <v>#NAME?</v>
      </c>
      <c r="I998" s="13" t="str">
        <f>VLOOKUP(C991,Tbl_Button_Display_ASSTS,34,FALSE)</f>
        <v>REC</v>
      </c>
    </row>
    <row r="999" spans="1:10" s="10" customFormat="1" hidden="1" outlineLevel="2">
      <c r="A999" s="70">
        <v>1</v>
      </c>
      <c r="G999" s="10" t="e">
        <f>Act_Intake</f>
        <v>#NAME?</v>
      </c>
      <c r="H999" s="49" t="str">
        <f>VLOOKUP(C991,Tbl_Button_Display_ASSTS,35,FALSE)</f>
        <v>REC</v>
      </c>
      <c r="I999" s="48" t="e">
        <f>IF(H999="","",VLOOKUP(H999,Tbl_IntakeFB_Volt,2,FALSE))</f>
        <v>#NAME?</v>
      </c>
    </row>
    <row r="1000" spans="1:10" s="39" customFormat="1" hidden="1" outlineLevel="1">
      <c r="A1000" s="73">
        <v>1</v>
      </c>
      <c r="B1000" s="39" t="s">
        <v>155</v>
      </c>
      <c r="C1000" s="39" t="s">
        <v>662</v>
      </c>
      <c r="D1000" s="39" t="str">
        <f>CONCATENATE("ADS 진입 조건 설정 후 ADS 미진입 확인")</f>
        <v>ADS 진입 조건 설정 후 ADS 미진입 확인</v>
      </c>
    </row>
    <row r="1001" spans="1:10" s="10" customFormat="1" hidden="1" outlineLevel="2">
      <c r="A1001" s="70">
        <v>1</v>
      </c>
      <c r="E1001" s="14" t="e">
        <f>VLOOKUP(C1000,Tbl_Button_Display_ASSTS,11,FALSE)</f>
        <v>#NAME?</v>
      </c>
      <c r="F1001" s="65" cm="1">
        <f t="array" ref="F1001">VINTERPOLATION(VLOOKUP(C1000,Tbl_Button_Display_ASSTS,7,FALSE),Tbl_GlassTemp_Sensor,3)</f>
        <v>3.6758507312217219</v>
      </c>
      <c r="J1001" s="15"/>
    </row>
    <row r="1002" spans="1:10" s="10" customFormat="1" hidden="1" outlineLevel="2">
      <c r="A1002" s="70">
        <v>1</v>
      </c>
      <c r="E1002" s="15" t="s">
        <v>5</v>
      </c>
      <c r="F1002" s="12">
        <f>VLOOKUP(C1000,Tbl_Button_Display_ASSTS,13,FALSE)</f>
        <v>10</v>
      </c>
    </row>
    <row r="1003" spans="1:10" s="10" customFormat="1" hidden="1" outlineLevel="2">
      <c r="A1003" s="70">
        <v>1</v>
      </c>
      <c r="G1003" s="10" t="e" cm="1">
        <f t="array" ref="G1003">AutoDefogSysOff_Disp</f>
        <v>#NAME?</v>
      </c>
      <c r="I1003" s="13">
        <f>VLOOKUP(C1000,Tbl_Button_Display_ASSTS,38,FALSE)</f>
        <v>1</v>
      </c>
    </row>
    <row r="1004" spans="1:10" s="10" customFormat="1" hidden="1" outlineLevel="2">
      <c r="A1004" s="70">
        <v>1</v>
      </c>
      <c r="F1004" s="201"/>
      <c r="G1004" s="10" t="e">
        <f>AcDisp</f>
        <v>#NAME?</v>
      </c>
      <c r="I1004" s="13" t="str">
        <f>VLOOKUP(C1000,Tbl_Button_Display_ASSTS,31,FALSE)</f>
        <v>Off</v>
      </c>
    </row>
    <row r="1005" spans="1:10" s="10" customFormat="1" hidden="1" outlineLevel="2">
      <c r="A1005" s="70">
        <v>1</v>
      </c>
      <c r="G1005" s="10" t="e" cm="1">
        <f t="array" ref="G1005">CompSpd_rpm</f>
        <v>#NAME?</v>
      </c>
      <c r="I1005" s="13" t="str">
        <f>VLOOKUP(C1000,Tbl_Button_Display_ASSTS,33,FALSE)</f>
        <v>Off</v>
      </c>
    </row>
    <row r="1006" spans="1:10" s="10" customFormat="1" hidden="1" outlineLevel="2">
      <c r="A1006" s="70">
        <v>1</v>
      </c>
      <c r="G1006" s="10" t="e">
        <f>ModDisp</f>
        <v>#NAME?</v>
      </c>
      <c r="I1006" s="13" t="str">
        <f>VLOOKUP(C1000,Tbl_Button_Display_ASSTS,16,FALSE)</f>
        <v>Vent</v>
      </c>
    </row>
    <row r="1007" spans="1:10" s="10" customFormat="1" hidden="1" outlineLevel="2">
      <c r="A1007" s="70">
        <v>1</v>
      </c>
      <c r="G1007" s="10" t="e">
        <f>IntakeDisp</f>
        <v>#NAME?</v>
      </c>
      <c r="I1007" s="13" t="str">
        <f>VLOOKUP(C1000,Tbl_Button_Display_ASSTS,34,FALSE)</f>
        <v>REC</v>
      </c>
    </row>
    <row r="1008" spans="1:10" s="10" customFormat="1" hidden="1" outlineLevel="2">
      <c r="A1008" s="70">
        <v>1</v>
      </c>
      <c r="G1008" s="10" t="e">
        <f>Act_Intake</f>
        <v>#NAME?</v>
      </c>
      <c r="H1008" s="49" t="str">
        <f>VLOOKUP(C1000,Tbl_Button_Display_ASSTS,35,FALSE)</f>
        <v>REC</v>
      </c>
      <c r="I1008" s="48" t="e">
        <f>IF(H1008="","",VLOOKUP(H1008,Tbl_IntakeFB_Volt,2,FALSE))</f>
        <v>#NAME?</v>
      </c>
    </row>
    <row r="1009" spans="1:10" s="39" customFormat="1" hidden="1" outlineLevel="1">
      <c r="A1009" s="73">
        <v>1</v>
      </c>
      <c r="B1009" s="39" t="s">
        <v>155</v>
      </c>
      <c r="C1009" s="39" t="s">
        <v>663</v>
      </c>
      <c r="D1009" s="39" t="str">
        <f>CONCATENATE("ADS 해제 조건 설정 후 재시동 시 ADS 미진입 유지 확인")</f>
        <v>ADS 해제 조건 설정 후 재시동 시 ADS 미진입 유지 확인</v>
      </c>
    </row>
    <row r="1010" spans="1:10" s="10" customFormat="1" hidden="1" outlineLevel="2">
      <c r="A1010" s="70">
        <v>1</v>
      </c>
      <c r="E1010" s="14" t="e">
        <f>VLOOKUP(C1009,Tbl_Button_Display_ASSTS,11,FALSE)</f>
        <v>#NAME?</v>
      </c>
      <c r="F1010" s="65" cm="1">
        <f t="array" ref="F1010">VINTERPOLATION(VLOOKUP(C1009,Tbl_Button_Display_ASSTS,7,FALSE),Tbl_GlassTemp_Sensor,3)</f>
        <v>1.4614241999700592</v>
      </c>
      <c r="J1010" s="15"/>
    </row>
    <row r="1011" spans="1:10" s="10" customFormat="1" hidden="1" outlineLevel="2">
      <c r="A1011" s="70">
        <v>1</v>
      </c>
      <c r="E1011" s="14" t="s">
        <v>207</v>
      </c>
      <c r="F1011" s="12" t="s">
        <v>1189</v>
      </c>
      <c r="J1011" s="15"/>
    </row>
    <row r="1012" spans="1:10" s="10" customFormat="1" hidden="1" outlineLevel="2">
      <c r="A1012" s="70">
        <v>1</v>
      </c>
      <c r="E1012" s="15" t="s">
        <v>5</v>
      </c>
      <c r="F1012" s="12">
        <f>VLOOKUP(C1009,Tbl_Button_Display_ASSTS,13,FALSE)</f>
        <v>1</v>
      </c>
    </row>
    <row r="1013" spans="1:10" s="10" customFormat="1" hidden="1" outlineLevel="2">
      <c r="A1013" s="70">
        <v>1</v>
      </c>
      <c r="G1013" s="10" t="e" cm="1">
        <f t="array" ref="G1013">AutoDefogSysOff_Disp</f>
        <v>#NAME?</v>
      </c>
      <c r="I1013" s="13">
        <f>VLOOKUP(C1009,Tbl_Button_Display_ASSTS,38,FALSE)</f>
        <v>1</v>
      </c>
    </row>
    <row r="1014" spans="1:10" s="10" customFormat="1" hidden="1" outlineLevel="2">
      <c r="A1014" s="70">
        <v>1</v>
      </c>
      <c r="G1014" s="10" t="e">
        <f>AcDisp</f>
        <v>#NAME?</v>
      </c>
      <c r="I1014" s="13" t="str">
        <f>VLOOKUP(C1009,Tbl_Button_Display_ASSTS,31,FALSE)</f>
        <v>Off</v>
      </c>
    </row>
    <row r="1015" spans="1:10" s="10" customFormat="1" hidden="1" outlineLevel="2">
      <c r="A1015" s="70">
        <v>1</v>
      </c>
      <c r="G1015" s="10" t="e" cm="1">
        <f t="array" ref="G1015">CompSpd_rpm</f>
        <v>#NAME?</v>
      </c>
      <c r="I1015" s="13" t="str">
        <f>VLOOKUP(C1009,Tbl_Button_Display_ASSTS,33,FALSE)</f>
        <v>Off</v>
      </c>
    </row>
    <row r="1016" spans="1:10" s="10" customFormat="1" hidden="1" outlineLevel="2">
      <c r="A1016" s="70">
        <v>1</v>
      </c>
      <c r="G1016" s="10" t="e">
        <f>ModDisp</f>
        <v>#NAME?</v>
      </c>
      <c r="I1016" s="13" t="str">
        <f>VLOOKUP(C1009,Tbl_Button_Display_ASSTS,16,FALSE)</f>
        <v>Vent</v>
      </c>
    </row>
    <row r="1017" spans="1:10" s="10" customFormat="1" hidden="1" outlineLevel="2">
      <c r="A1017" s="70">
        <v>1</v>
      </c>
      <c r="G1017" s="10" t="e">
        <f>IntakeDisp</f>
        <v>#NAME?</v>
      </c>
      <c r="I1017" s="13" t="str">
        <f>VLOOKUP(C1009,Tbl_Button_Display_ASSTS,34,FALSE)</f>
        <v>REC</v>
      </c>
    </row>
    <row r="1018" spans="1:10" s="10" customFormat="1" hidden="1" outlineLevel="2">
      <c r="A1018" s="70">
        <v>1</v>
      </c>
      <c r="G1018" s="10" t="e">
        <f>Act_Intake</f>
        <v>#NAME?</v>
      </c>
      <c r="H1018" s="49" t="str">
        <f>VLOOKUP(C1009,Tbl_Button_Display_ASSTS,35,FALSE)</f>
        <v>REC</v>
      </c>
      <c r="I1018" s="48" t="e">
        <f>IF(H1018="","",VLOOKUP(H1018,Tbl_IntakeFB_Volt,2,FALSE))</f>
        <v>#NAME?</v>
      </c>
    </row>
    <row r="1019" spans="1:10" s="39" customFormat="1" hidden="1" outlineLevel="1">
      <c r="A1019" s="73">
        <v>1</v>
      </c>
      <c r="B1019" s="39" t="s">
        <v>155</v>
      </c>
      <c r="C1019" s="39" t="s">
        <v>1504</v>
      </c>
      <c r="D1019" s="39" t="e">
        <f>CONCATENATE(F1020," 시 점/소등 동작 확인")</f>
        <v>#NAME?</v>
      </c>
    </row>
    <row r="1020" spans="1:10" s="10" customFormat="1" hidden="1" outlineLevel="2">
      <c r="A1020" s="70">
        <v>1</v>
      </c>
      <c r="E1020" s="14" t="str">
        <f>VLOOKUP(C1019,Tbl_Button_Display_ASSTS,11,FALSE)</f>
        <v>MsgBox</v>
      </c>
      <c r="F1020" s="12" t="e">
        <f>VLOOKUP(C1019,Tbl_Button_Display_ASSTS,12,FALSE)</f>
        <v>#NAME?</v>
      </c>
      <c r="J1020" s="15"/>
    </row>
    <row r="1021" spans="1:10" s="10" customFormat="1" hidden="1" outlineLevel="2">
      <c r="A1021" s="70">
        <v>1</v>
      </c>
      <c r="E1021" s="15" t="s">
        <v>5</v>
      </c>
      <c r="F1021" s="12">
        <f>VLOOKUP(C1019,Tbl_Button_Display_ASSTS,13,FALSE)</f>
        <v>1</v>
      </c>
    </row>
    <row r="1022" spans="1:10" s="10" customFormat="1" hidden="1" outlineLevel="2">
      <c r="A1022" s="70">
        <v>1</v>
      </c>
      <c r="E1022" s="10" t="s">
        <v>90</v>
      </c>
      <c r="F1022" s="43" t="e">
        <f>IF(통합_DISP_사양="X","LCD창 'ADS OFF' 심볼 0.25초 간격 6회 점/소등 후 'ADS OFF' 심볼 소등 눈으로 확인할 것!","DEF Indicator 0.25초 간격 6회 점/소등 눈으로 확인할 것!")</f>
        <v>#NAME?</v>
      </c>
      <c r="G1022" s="43"/>
      <c r="H1022" s="43"/>
      <c r="I1022" s="43"/>
    </row>
    <row r="1023" spans="1:10" s="10" customFormat="1" hidden="1" outlineLevel="2">
      <c r="A1023" s="70">
        <v>1</v>
      </c>
      <c r="G1023" s="10" t="e" cm="1">
        <f t="array" ref="G1023">AutoDefogSysOff_Disp</f>
        <v>#NAME?</v>
      </c>
      <c r="I1023" s="13">
        <f>VLOOKUP(C1019,Tbl_Button_Display_ASSTS,38,FALSE)</f>
        <v>0</v>
      </c>
    </row>
    <row r="1024" spans="1:10" s="10" customFormat="1" hidden="1" outlineLevel="2">
      <c r="A1024" s="70">
        <v>1</v>
      </c>
      <c r="G1024" s="10" t="e">
        <f>AcDisp</f>
        <v>#NAME?</v>
      </c>
      <c r="I1024" s="13" t="str">
        <f>VLOOKUP(C1019,Tbl_Button_Display_ASSTS,31,FALSE)</f>
        <v>On</v>
      </c>
    </row>
    <row r="1025" spans="1:10" s="10" customFormat="1" hidden="1" outlineLevel="2">
      <c r="A1025" s="70">
        <v>1</v>
      </c>
      <c r="G1025" s="10" t="e" cm="1">
        <f t="array" ref="G1025">CompSpd_rpm</f>
        <v>#NAME?</v>
      </c>
      <c r="I1025" s="13" t="str">
        <f>VLOOKUP(C1019,Tbl_Button_Display_ASSTS,33,FALSE)</f>
        <v>On</v>
      </c>
    </row>
    <row r="1026" spans="1:10" s="10" customFormat="1" hidden="1" outlineLevel="2">
      <c r="A1026" s="70">
        <v>1</v>
      </c>
      <c r="G1026" s="10" t="e">
        <f>ModDisp</f>
        <v>#NAME?</v>
      </c>
      <c r="I1026" s="13" t="str">
        <f>VLOOKUP(C1019,Tbl_Button_Display_ASSTS,16,FALSE)</f>
        <v>Mix</v>
      </c>
    </row>
    <row r="1027" spans="1:10" s="10" customFormat="1" hidden="1" outlineLevel="2">
      <c r="A1027" s="70">
        <v>1</v>
      </c>
      <c r="G1027" s="10" t="e">
        <f>IntakeDisp</f>
        <v>#NAME?</v>
      </c>
      <c r="I1027" s="13" t="str">
        <f>VLOOKUP(C1019,Tbl_Button_Display_ASSTS,34,FALSE)</f>
        <v>REC</v>
      </c>
    </row>
    <row r="1028" spans="1:10" s="10" customFormat="1" hidden="1" outlineLevel="2">
      <c r="A1028" s="70">
        <v>1</v>
      </c>
      <c r="G1028" s="10" t="e">
        <f>Act_Intake</f>
        <v>#NAME?</v>
      </c>
      <c r="H1028" s="49" t="str">
        <f>VLOOKUP(C1019,Tbl_Button_Display_ASSTS,35,FALSE)</f>
        <v>REC</v>
      </c>
      <c r="I1028" s="48" t="e">
        <f>IF(H1028="","",VLOOKUP(H1028,Tbl_IntakeFB_Volt,2,FALSE))</f>
        <v>#NAME?</v>
      </c>
    </row>
    <row r="1029" spans="1:10" s="39" customFormat="1" hidden="1" outlineLevel="1">
      <c r="A1029" s="73">
        <v>1</v>
      </c>
      <c r="B1029" s="39" t="s">
        <v>155</v>
      </c>
      <c r="C1029" s="39" t="s">
        <v>1503</v>
      </c>
      <c r="D1029" s="39" t="str">
        <f>CONCATENATE(E1030," ",F1030,"회 선택")</f>
        <v>Sw_DrMode 1회 선택</v>
      </c>
    </row>
    <row r="1030" spans="1:10" s="10" customFormat="1" hidden="1" outlineLevel="2">
      <c r="A1030" s="70">
        <v>1</v>
      </c>
      <c r="E1030" s="14" t="str">
        <f>VLOOKUP(C1029,Tbl_Button_Display_ASSTS,11,FALSE)</f>
        <v>Sw_DrMode</v>
      </c>
      <c r="F1030" s="12">
        <f>VLOOKUP(C1029,Tbl_Button_Display_ASSTS,12,FALSE)</f>
        <v>1</v>
      </c>
      <c r="J1030" s="15"/>
    </row>
    <row r="1031" spans="1:10" s="10" customFormat="1" hidden="1" outlineLevel="2">
      <c r="A1031" s="70">
        <v>1</v>
      </c>
      <c r="E1031" s="15" t="s">
        <v>5</v>
      </c>
      <c r="F1031" s="12">
        <f>VLOOKUP(C1029,Tbl_Button_Display_ASSTS,13,FALSE)</f>
        <v>10</v>
      </c>
    </row>
    <row r="1032" spans="1:10" s="10" customFormat="1" hidden="1" outlineLevel="2">
      <c r="A1032" s="70">
        <v>1</v>
      </c>
      <c r="G1032" s="10" t="e" cm="1">
        <f t="array" ref="G1032">AutoDefogSysOff_Disp</f>
        <v>#NAME?</v>
      </c>
      <c r="I1032" s="13">
        <f>VLOOKUP(C1029,Tbl_Button_Display_ASSTS,38,FALSE)</f>
        <v>0</v>
      </c>
    </row>
    <row r="1033" spans="1:10" s="10" customFormat="1" hidden="1" outlineLevel="2">
      <c r="A1033" s="70">
        <v>1</v>
      </c>
      <c r="G1033" s="10" t="e">
        <f>AcDisp</f>
        <v>#NAME?</v>
      </c>
      <c r="I1033" s="13" t="str">
        <f>VLOOKUP(C1029,Tbl_Button_Display_ASSTS,31,FALSE)</f>
        <v>Off</v>
      </c>
    </row>
    <row r="1034" spans="1:10" s="10" customFormat="1" hidden="1" outlineLevel="2">
      <c r="A1034" s="70">
        <v>1</v>
      </c>
      <c r="G1034" s="10" t="e" cm="1">
        <f t="array" ref="G1034">CompSpd_rpm</f>
        <v>#NAME?</v>
      </c>
      <c r="I1034" s="13" t="str">
        <f>VLOOKUP(C1029,Tbl_Button_Display_ASSTS,33,FALSE)</f>
        <v>Off</v>
      </c>
    </row>
    <row r="1035" spans="1:10" s="10" customFormat="1" hidden="1" outlineLevel="2">
      <c r="A1035" s="70">
        <v>1</v>
      </c>
      <c r="G1035" s="10" t="e">
        <f>ModDisp</f>
        <v>#NAME?</v>
      </c>
      <c r="I1035" s="13" t="str">
        <f>VLOOKUP(C1029,Tbl_Button_Display_ASSTS,16,FALSE)</f>
        <v>Vent</v>
      </c>
    </row>
    <row r="1036" spans="1:10" s="10" customFormat="1" hidden="1" outlineLevel="2">
      <c r="A1036" s="70">
        <v>1</v>
      </c>
      <c r="G1036" s="10" t="e">
        <f>IntakeDisp</f>
        <v>#NAME?</v>
      </c>
      <c r="I1036" s="13" t="str">
        <f>VLOOKUP(C1029,Tbl_Button_Display_ASSTS,34,FALSE)</f>
        <v>REC</v>
      </c>
    </row>
    <row r="1037" spans="1:10" s="10" customFormat="1" hidden="1" outlineLevel="2">
      <c r="A1037" s="70">
        <v>1</v>
      </c>
      <c r="G1037" s="10" t="e">
        <f>Act_Intake</f>
        <v>#NAME?</v>
      </c>
      <c r="H1037" s="49" t="str">
        <f>VLOOKUP(C1029,Tbl_Button_Display_ASSTS,35,FALSE)</f>
        <v>REC</v>
      </c>
      <c r="I1037" s="48" t="e">
        <f>IF(H1037="","",VLOOKUP(H1037,Tbl_IntakeFB_Volt,2,FALSE))</f>
        <v>#NAME?</v>
      </c>
    </row>
    <row r="1038" spans="1:10" s="39" customFormat="1" hidden="1" outlineLevel="1">
      <c r="A1038" s="73">
        <v>1</v>
      </c>
      <c r="B1038" s="39" t="s">
        <v>155</v>
      </c>
      <c r="C1038" s="39" t="s">
        <v>1505</v>
      </c>
      <c r="D1038" s="39" t="str">
        <f>CONCATENATE("ADS 진입 조건 설정 후 ADS 진입 확인")</f>
        <v>ADS 진입 조건 설정 후 ADS 진입 확인</v>
      </c>
    </row>
    <row r="1039" spans="1:10" s="10" customFormat="1" hidden="1" outlineLevel="2">
      <c r="A1039" s="70">
        <v>1</v>
      </c>
      <c r="E1039" s="14" t="e">
        <f>VLOOKUP(C1038,Tbl_Button_Display_ASSTS,11,FALSE)</f>
        <v>#NAME?</v>
      </c>
      <c r="F1039" s="65" cm="1">
        <f t="array" ref="F1039">VINTERPOLATION(VLOOKUP(C1038,Tbl_Button_Display_ASSTS,7,FALSE),Tbl_GlassTemp_Sensor,3)</f>
        <v>3.6758507312217219</v>
      </c>
      <c r="J1039" s="15"/>
    </row>
    <row r="1040" spans="1:10" s="10" customFormat="1" hidden="1" outlineLevel="2">
      <c r="A1040" s="70">
        <v>1</v>
      </c>
      <c r="E1040" s="15" t="s">
        <v>5</v>
      </c>
      <c r="F1040" s="12">
        <f>VLOOKUP(C1038,Tbl_Button_Display_ASSTS,13,FALSE)</f>
        <v>10</v>
      </c>
    </row>
    <row r="1041" spans="1:10" s="10" customFormat="1" hidden="1" outlineLevel="2">
      <c r="A1041" s="70">
        <v>1</v>
      </c>
      <c r="G1041" s="10" t="e" cm="1">
        <f t="array" ref="G1041">AutoDefogSysOff_Disp</f>
        <v>#NAME?</v>
      </c>
      <c r="I1041" s="13">
        <f>VLOOKUP(C1038,Tbl_Button_Display_ASSTS,38,FALSE)</f>
        <v>0</v>
      </c>
    </row>
    <row r="1042" spans="1:10" s="10" customFormat="1" hidden="1" outlineLevel="2">
      <c r="A1042" s="70">
        <v>1</v>
      </c>
      <c r="G1042" s="10" t="e">
        <f>AcDisp</f>
        <v>#NAME?</v>
      </c>
      <c r="I1042" s="13" t="str">
        <f>VLOOKUP(C1038,Tbl_Button_Display_ASSTS,31,FALSE)</f>
        <v>Off</v>
      </c>
    </row>
    <row r="1043" spans="1:10" s="10" customFormat="1" hidden="1" outlineLevel="2">
      <c r="A1043" s="70">
        <v>1</v>
      </c>
      <c r="G1043" s="10" t="e" cm="1">
        <f t="array" ref="G1043">CompSpd_rpm</f>
        <v>#NAME?</v>
      </c>
      <c r="I1043" s="13" t="str">
        <f>VLOOKUP(C1038,Tbl_Button_Display_ASSTS,33,FALSE)</f>
        <v>On</v>
      </c>
    </row>
    <row r="1044" spans="1:10" s="10" customFormat="1" hidden="1" outlineLevel="2">
      <c r="A1044" s="70">
        <v>1</v>
      </c>
      <c r="G1044" s="10" t="e">
        <f>ModDisp</f>
        <v>#NAME?</v>
      </c>
      <c r="I1044" s="13" t="str">
        <f>VLOOKUP(C1038,Tbl_Button_Display_ASSTS,16,FALSE)</f>
        <v>3초간 점멸 후 AUTO_Defog</v>
      </c>
    </row>
    <row r="1045" spans="1:10" s="10" customFormat="1" hidden="1" outlineLevel="2">
      <c r="A1045" s="70">
        <v>1</v>
      </c>
      <c r="G1045" s="10" t="e">
        <f>IntakeDisp</f>
        <v>#NAME?</v>
      </c>
      <c r="I1045" s="13" t="str">
        <f>VLOOKUP(C1038,Tbl_Button_Display_ASSTS,34,FALSE)</f>
        <v>FRE</v>
      </c>
    </row>
    <row r="1046" spans="1:10" s="10" customFormat="1" hidden="1" outlineLevel="2">
      <c r="A1046" s="70">
        <v>1</v>
      </c>
      <c r="G1046" s="10" t="e">
        <f>Act_Intake</f>
        <v>#NAME?</v>
      </c>
      <c r="H1046" s="49" t="str">
        <f>VLOOKUP(C1038,Tbl_Button_Display_ASSTS,35,FALSE)</f>
        <v>FRE</v>
      </c>
      <c r="I1046" s="48" t="e">
        <f>IF(H1046="","",VLOOKUP(H1046,Tbl_IntakeFB_Volt,2,FALSE))</f>
        <v>#NAME?</v>
      </c>
    </row>
    <row r="1047" spans="1:10" s="38" customFormat="1" collapsed="1">
      <c r="A1047" s="71">
        <v>1</v>
      </c>
      <c r="B1047" s="38" t="s">
        <v>7</v>
      </c>
      <c r="C1047" s="38" t="s">
        <v>669</v>
      </c>
      <c r="D1047" s="38" t="str">
        <f>VLOOKUP(C1047,Tbl_Button_Display_ASSTS, 2,FALSE)</f>
        <v>AVN USM 설정에 의한 AUTO DEFOG 해제/복귀 로직 동작 확인</v>
      </c>
    </row>
    <row r="1048" spans="1:10" s="11" customFormat="1" hidden="1" outlineLevel="1">
      <c r="A1048" s="72">
        <v>1</v>
      </c>
      <c r="B1048" s="11" t="s">
        <v>38</v>
      </c>
      <c r="C1048" s="11" t="s">
        <v>670</v>
      </c>
      <c r="D1048" s="11" t="s">
        <v>39</v>
      </c>
    </row>
    <row r="1049" spans="1:10" s="10" customFormat="1" hidden="1" outlineLevel="2">
      <c r="A1049" s="70">
        <v>1</v>
      </c>
      <c r="E1049" s="14" t="e">
        <f>T_windshield</f>
        <v>#NAME?</v>
      </c>
      <c r="F1049" s="65" cm="1">
        <f t="array" ref="F1049">VINTERPOLATION(VLOOKUP(C1048,Tbl_Button_Display_ASSTS,7,FALSE),Tbl_GlassTemp_Sensor,3)</f>
        <v>1.4614241999700592</v>
      </c>
      <c r="J1049" s="15"/>
    </row>
    <row r="1050" spans="1:10" s="10" customFormat="1" hidden="1" outlineLevel="2">
      <c r="A1050" s="70">
        <v>1</v>
      </c>
      <c r="E1050" s="14" t="e">
        <f>ADSOnOffSet</f>
        <v>#NAME?</v>
      </c>
      <c r="F1050" s="12">
        <v>1</v>
      </c>
      <c r="J1050" s="15"/>
    </row>
    <row r="1051" spans="1:10" s="10" customFormat="1" hidden="1" outlineLevel="2">
      <c r="A1051" s="70">
        <v>1</v>
      </c>
      <c r="E1051" s="14" t="e">
        <f>AVN_CluUSMReset</f>
        <v>#NAME?</v>
      </c>
      <c r="F1051" s="12">
        <v>0</v>
      </c>
      <c r="J1051" s="15"/>
    </row>
    <row r="1052" spans="1:10" s="10" customFormat="1" hidden="1" outlineLevel="2">
      <c r="A1052" s="70">
        <v>1</v>
      </c>
      <c r="E1052" s="14" t="e">
        <f>CLU_USM_StaRst1Req</f>
        <v>#NAME?</v>
      </c>
      <c r="F1052" s="12">
        <v>0</v>
      </c>
      <c r="J1052" s="15"/>
    </row>
    <row r="1053" spans="1:10" s="10" customFormat="1" hidden="1" outlineLevel="2">
      <c r="A1053" s="70">
        <v>1</v>
      </c>
      <c r="E1053" s="14" t="s">
        <v>1613</v>
      </c>
      <c r="F1053" s="85">
        <v>1</v>
      </c>
      <c r="J1053" s="15"/>
    </row>
    <row r="1054" spans="1:10" s="10" customFormat="1" hidden="1" outlineLevel="2">
      <c r="A1054" s="70">
        <v>1</v>
      </c>
      <c r="E1054" s="14" t="s">
        <v>207</v>
      </c>
      <c r="F1054" s="12" t="s">
        <v>1189</v>
      </c>
      <c r="J1054" s="15"/>
    </row>
    <row r="1055" spans="1:10" s="10" customFormat="1" hidden="1" outlineLevel="2">
      <c r="A1055" s="70">
        <v>1</v>
      </c>
      <c r="E1055" s="14" t="str">
        <f>VLOOKUP(C1048,Tbl_Button_Display_ASSTS,11,FALSE)</f>
        <v>MsgBox</v>
      </c>
      <c r="F1055" s="12" t="str">
        <f>VLOOKUP(C1048,Tbl_Button_Display_ASSTS,12,FALSE)</f>
        <v>Intake=REC 수동 설정</v>
      </c>
    </row>
    <row r="1056" spans="1:10" s="10" customFormat="1" hidden="1" outlineLevel="2">
      <c r="A1056" s="70">
        <v>1</v>
      </c>
      <c r="E1056" s="15" t="s">
        <v>5</v>
      </c>
      <c r="F1056" s="12">
        <f>VLOOKUP(C1048,Tbl_Button_Display_ASSTS,13,FALSE)</f>
        <v>10</v>
      </c>
    </row>
    <row r="1057" spans="1:10" s="10" customFormat="1" hidden="1" outlineLevel="2">
      <c r="A1057" s="70">
        <v>1</v>
      </c>
      <c r="G1057" s="10" t="e" cm="1">
        <f t="array" ref="G1057">AutoDefogSysOff_Disp</f>
        <v>#NAME?</v>
      </c>
      <c r="I1057" s="13">
        <f>VLOOKUP(C1048,Tbl_Button_Display_ASSTS,38,FALSE)</f>
        <v>0</v>
      </c>
    </row>
    <row r="1058" spans="1:10" s="10" customFormat="1" hidden="1" outlineLevel="2">
      <c r="A1058" s="70">
        <v>1</v>
      </c>
      <c r="G1058" s="10" t="e">
        <f>AcDisp</f>
        <v>#NAME?</v>
      </c>
      <c r="I1058" s="13" t="str">
        <f>VLOOKUP(C1048,Tbl_Button_Display_ASSTS,31,FALSE)</f>
        <v>Off</v>
      </c>
    </row>
    <row r="1059" spans="1:10" s="10" customFormat="1" hidden="1" outlineLevel="2">
      <c r="A1059" s="70">
        <v>1</v>
      </c>
      <c r="G1059" s="10" t="e" cm="1">
        <f t="array" ref="G1059">CompSpd_rpm</f>
        <v>#NAME?</v>
      </c>
      <c r="I1059" s="13" t="str">
        <f>VLOOKUP(C1048,Tbl_Button_Display_ASSTS,33,FALSE)</f>
        <v>Off</v>
      </c>
    </row>
    <row r="1060" spans="1:10" s="10" customFormat="1" hidden="1" outlineLevel="2">
      <c r="A1060" s="70">
        <v>1</v>
      </c>
      <c r="G1060" s="10" t="e">
        <f>ModDisp</f>
        <v>#NAME?</v>
      </c>
      <c r="I1060" s="13" t="str">
        <f>VLOOKUP(C1048,Tbl_Button_Display_ASSTS,16,FALSE)</f>
        <v>Floor</v>
      </c>
    </row>
    <row r="1061" spans="1:10" s="10" customFormat="1" hidden="1" outlineLevel="2">
      <c r="A1061" s="70">
        <v>1</v>
      </c>
      <c r="G1061" s="10" t="e">
        <f>IntakeDisp</f>
        <v>#NAME?</v>
      </c>
      <c r="I1061" s="13" t="str">
        <f>VLOOKUP(C1048,Tbl_Button_Display_ASSTS,34,FALSE)</f>
        <v>REC</v>
      </c>
    </row>
    <row r="1062" spans="1:10" s="10" customFormat="1" hidden="1" outlineLevel="2">
      <c r="A1062" s="70">
        <v>1</v>
      </c>
      <c r="G1062" s="10" t="e">
        <f>Act_Intake</f>
        <v>#NAME?</v>
      </c>
      <c r="H1062" s="49" t="str">
        <f>VLOOKUP(C1048,Tbl_Button_Display_ASSTS,35,FALSE)</f>
        <v>REC</v>
      </c>
      <c r="I1062" s="48" t="e">
        <f>IF(H1062="","",VLOOKUP(H1062,Tbl_IntakeFB_Volt,2,FALSE))</f>
        <v>#NAME?</v>
      </c>
    </row>
    <row r="1063" spans="1:10" s="39" customFormat="1" hidden="1" outlineLevel="1">
      <c r="A1063" s="73">
        <v>1</v>
      </c>
      <c r="B1063" s="39" t="s">
        <v>155</v>
      </c>
      <c r="C1063" s="39" t="s">
        <v>671</v>
      </c>
      <c r="D1063" s="39" t="e">
        <f>CONCATENATE(E1064," = ",F1064," 설정 시 ",G1066, " = ",I1066," 확인")</f>
        <v>#NAME?</v>
      </c>
    </row>
    <row r="1064" spans="1:10" s="10" customFormat="1" hidden="1" outlineLevel="2">
      <c r="A1064" s="70">
        <v>1</v>
      </c>
      <c r="E1064" s="14" t="e">
        <f>VLOOKUP(C1063,Tbl_Button_Display_ASSTS,11,FALSE)</f>
        <v>#NAME?</v>
      </c>
      <c r="F1064" s="12">
        <f>VLOOKUP(C1063,Tbl_Button_Display_ASSTS,12,FALSE)</f>
        <v>0</v>
      </c>
      <c r="J1064" s="15"/>
    </row>
    <row r="1065" spans="1:10" s="10" customFormat="1" hidden="1" outlineLevel="2">
      <c r="A1065" s="70">
        <v>1</v>
      </c>
      <c r="E1065" s="15" t="s">
        <v>5</v>
      </c>
      <c r="F1065" s="12">
        <f>VLOOKUP(C1063,Tbl_Button_Display_ASSTS,13,FALSE)</f>
        <v>1</v>
      </c>
    </row>
    <row r="1066" spans="1:10" s="10" customFormat="1" hidden="1" outlineLevel="2">
      <c r="A1066" s="70">
        <v>1</v>
      </c>
      <c r="G1066" s="10" t="e" cm="1">
        <f t="array" ref="G1066">AutoDefogSysOff_Disp</f>
        <v>#NAME?</v>
      </c>
      <c r="I1066" s="13">
        <f>VLOOKUP(C1063,Tbl_Button_Display_ASSTS,38,FALSE)</f>
        <v>1</v>
      </c>
    </row>
    <row r="1067" spans="1:10" s="39" customFormat="1" hidden="1" outlineLevel="1">
      <c r="A1067" s="73">
        <v>1</v>
      </c>
      <c r="B1067" s="39" t="s">
        <v>155</v>
      </c>
      <c r="C1067" s="39" t="s">
        <v>737</v>
      </c>
      <c r="D1067" s="39" t="str">
        <f>CONCATENATE("ADS 진입 조건 설정 후 ADS 미진입 확인")</f>
        <v>ADS 진입 조건 설정 후 ADS 미진입 확인</v>
      </c>
    </row>
    <row r="1068" spans="1:10" s="10" customFormat="1" hidden="1" outlineLevel="2">
      <c r="A1068" s="70">
        <v>1</v>
      </c>
      <c r="E1068" s="14" t="e">
        <f>VLOOKUP(C1067,Tbl_Button_Display_ASSTS,11,FALSE)</f>
        <v>#NAME?</v>
      </c>
      <c r="F1068" s="65" cm="1">
        <f t="array" ref="F1068">VINTERPOLATION(VLOOKUP(C1067,Tbl_Button_Display_ASSTS,7,FALSE),Tbl_GlassTemp_Sensor,3)</f>
        <v>3.6758507312217219</v>
      </c>
      <c r="J1068" s="15"/>
    </row>
    <row r="1069" spans="1:10" s="10" customFormat="1" hidden="1" outlineLevel="2">
      <c r="A1069" s="70">
        <v>1</v>
      </c>
      <c r="E1069" s="15" t="s">
        <v>5</v>
      </c>
      <c r="F1069" s="12">
        <f>VLOOKUP(C1067,Tbl_Button_Display_ASSTS,13,FALSE)</f>
        <v>10</v>
      </c>
    </row>
    <row r="1070" spans="1:10" s="10" customFormat="1" hidden="1" outlineLevel="2">
      <c r="A1070" s="70">
        <v>1</v>
      </c>
      <c r="G1070" s="10" t="e" cm="1">
        <f t="array" ref="G1070">AutoDefogSysOff_Disp</f>
        <v>#NAME?</v>
      </c>
      <c r="I1070" s="13">
        <f>VLOOKUP(C1067,Tbl_Button_Display_ASSTS,38,FALSE)</f>
        <v>1</v>
      </c>
    </row>
    <row r="1071" spans="1:10" s="10" customFormat="1" hidden="1" outlineLevel="2">
      <c r="A1071" s="70">
        <v>1</v>
      </c>
      <c r="G1071" s="10" t="e">
        <f>AcDisp</f>
        <v>#NAME?</v>
      </c>
      <c r="I1071" s="13" t="str">
        <f>VLOOKUP(C1067,Tbl_Button_Display_ASSTS,31,FALSE)</f>
        <v>Off</v>
      </c>
    </row>
    <row r="1072" spans="1:10" s="10" customFormat="1" hidden="1" outlineLevel="2">
      <c r="A1072" s="70">
        <v>1</v>
      </c>
      <c r="G1072" s="10" t="e" cm="1">
        <f t="array" ref="G1072">CompSpd_rpm</f>
        <v>#NAME?</v>
      </c>
      <c r="I1072" s="13" t="str">
        <f>VLOOKUP(C1067,Tbl_Button_Display_ASSTS,33,FALSE)</f>
        <v>Off</v>
      </c>
    </row>
    <row r="1073" spans="1:10" s="10" customFormat="1" hidden="1" outlineLevel="2">
      <c r="A1073" s="70">
        <v>1</v>
      </c>
      <c r="G1073" s="10" t="e">
        <f>ModDisp</f>
        <v>#NAME?</v>
      </c>
      <c r="I1073" s="13" t="str">
        <f>VLOOKUP(C1067,Tbl_Button_Display_ASSTS,16,FALSE)</f>
        <v>Floor</v>
      </c>
    </row>
    <row r="1074" spans="1:10" s="10" customFormat="1" hidden="1" outlineLevel="2">
      <c r="A1074" s="70">
        <v>1</v>
      </c>
      <c r="G1074" s="10" t="e">
        <f>IntakeDisp</f>
        <v>#NAME?</v>
      </c>
      <c r="I1074" s="13" t="str">
        <f>VLOOKUP(C1067,Tbl_Button_Display_ASSTS,34,FALSE)</f>
        <v>REC</v>
      </c>
    </row>
    <row r="1075" spans="1:10" s="10" customFormat="1" hidden="1" outlineLevel="2">
      <c r="A1075" s="70">
        <v>1</v>
      </c>
      <c r="G1075" s="10" t="e">
        <f>Act_Intake</f>
        <v>#NAME?</v>
      </c>
      <c r="H1075" s="49" t="str">
        <f>VLOOKUP(C1067,Tbl_Button_Display_ASSTS,35,FALSE)</f>
        <v>REC</v>
      </c>
      <c r="I1075" s="48" t="e">
        <f>IF(H1075="","",VLOOKUP(H1075,Tbl_IntakeFB_Volt,2,FALSE))</f>
        <v>#NAME?</v>
      </c>
    </row>
    <row r="1076" spans="1:10" s="39" customFormat="1" hidden="1" outlineLevel="1">
      <c r="A1076" s="73">
        <v>1</v>
      </c>
      <c r="B1076" s="39" t="s">
        <v>155</v>
      </c>
      <c r="C1076" s="39" t="s">
        <v>738</v>
      </c>
      <c r="D1076" s="39" t="e">
        <f>CONCATENATE(E1077," = ",F1077," 설정 시 ",G1079, " = ",I1079,", ADS 진입 확인")</f>
        <v>#NAME?</v>
      </c>
    </row>
    <row r="1077" spans="1:10" s="10" customFormat="1" hidden="1" outlineLevel="2">
      <c r="A1077" s="70">
        <v>1</v>
      </c>
      <c r="E1077" s="14" t="e">
        <f>VLOOKUP(C1076,Tbl_Button_Display_ASSTS,11,FALSE)</f>
        <v>#NAME?</v>
      </c>
      <c r="F1077" s="12">
        <f>VLOOKUP(C1076,Tbl_Button_Display_ASSTS,12,FALSE)</f>
        <v>1</v>
      </c>
      <c r="J1077" s="15"/>
    </row>
    <row r="1078" spans="1:10" s="10" customFormat="1" hidden="1" outlineLevel="2">
      <c r="A1078" s="70">
        <v>1</v>
      </c>
      <c r="E1078" s="15" t="s">
        <v>5</v>
      </c>
      <c r="F1078" s="12">
        <f>VLOOKUP(C1076,Tbl_Button_Display_ASSTS,13,FALSE)</f>
        <v>1</v>
      </c>
    </row>
    <row r="1079" spans="1:10" s="10" customFormat="1" hidden="1" outlineLevel="2">
      <c r="A1079" s="70">
        <v>1</v>
      </c>
      <c r="G1079" s="10" t="e" cm="1">
        <f t="array" ref="G1079">AutoDefogSysOff_Disp</f>
        <v>#NAME?</v>
      </c>
      <c r="I1079" s="13">
        <f>VLOOKUP(C1076,Tbl_Button_Display_ASSTS,38,FALSE)</f>
        <v>0</v>
      </c>
    </row>
    <row r="1080" spans="1:10" s="10" customFormat="1" hidden="1" outlineLevel="2">
      <c r="A1080" s="70">
        <v>1</v>
      </c>
      <c r="G1080" s="10" t="e">
        <f>AcDisp</f>
        <v>#NAME?</v>
      </c>
      <c r="I1080" s="13" t="str">
        <f>VLOOKUP(C1076,Tbl_Button_Display_ASSTS,31,FALSE)</f>
        <v>Off</v>
      </c>
    </row>
    <row r="1081" spans="1:10" s="10" customFormat="1" hidden="1" outlineLevel="2">
      <c r="A1081" s="70">
        <v>1</v>
      </c>
      <c r="G1081" s="10" t="e" cm="1">
        <f t="array" ref="G1081">CompSpd_rpm</f>
        <v>#NAME?</v>
      </c>
      <c r="I1081" s="13" t="str">
        <f>VLOOKUP(C1076,Tbl_Button_Display_ASSTS,33,FALSE)</f>
        <v>On</v>
      </c>
    </row>
    <row r="1082" spans="1:10" s="10" customFormat="1" hidden="1" outlineLevel="2">
      <c r="A1082" s="70">
        <v>1</v>
      </c>
      <c r="G1082" s="10" t="e">
        <f>ModDisp</f>
        <v>#NAME?</v>
      </c>
      <c r="I1082" s="13" t="str">
        <f>VLOOKUP(C1076,Tbl_Button_Display_ASSTS,16,FALSE)</f>
        <v>3초간 점멸 후 AUTO_Defog</v>
      </c>
    </row>
    <row r="1083" spans="1:10" s="10" customFormat="1" hidden="1" outlineLevel="2">
      <c r="A1083" s="70">
        <v>1</v>
      </c>
      <c r="G1083" s="10" t="e">
        <f>IntakeDisp</f>
        <v>#NAME?</v>
      </c>
      <c r="I1083" s="13" t="str">
        <f>VLOOKUP(C1076,Tbl_Button_Display_ASSTS,34,FALSE)</f>
        <v>FRE</v>
      </c>
    </row>
    <row r="1084" spans="1:10" s="10" customFormat="1" hidden="1" outlineLevel="2">
      <c r="A1084" s="70">
        <v>1</v>
      </c>
      <c r="G1084" s="10" t="e">
        <f>Act_Intake</f>
        <v>#NAME?</v>
      </c>
      <c r="H1084" s="49" t="str">
        <f>VLOOKUP(C1076,Tbl_Button_Display_ASSTS,35,FALSE)</f>
        <v>FRE</v>
      </c>
      <c r="I1084" s="48" t="e">
        <f>IF(H1084="","",VLOOKUP(H1084,Tbl_IntakeFB_Volt,2,FALSE))</f>
        <v>#NAME?</v>
      </c>
    </row>
    <row r="1085" spans="1:10" s="40" customFormat="1" ht="15">
      <c r="A1085" s="66">
        <v>1</v>
      </c>
      <c r="B1085" s="40" t="s">
        <v>544</v>
      </c>
      <c r="C1085" s="40" t="s">
        <v>592</v>
      </c>
      <c r="D1085" s="40" t="str">
        <f t="shared" si="11"/>
        <v>CO2 제어 해제/복귀 로직 &lt;CO2 사양 ONLY&gt;</v>
      </c>
      <c r="F1085" s="82"/>
    </row>
    <row r="1086" spans="1:10" s="38" customFormat="1" collapsed="1">
      <c r="A1086" s="71">
        <v>1</v>
      </c>
      <c r="B1086" s="38" t="s">
        <v>7</v>
      </c>
      <c r="C1086" s="38" t="s">
        <v>857</v>
      </c>
      <c r="D1086" s="38" t="str">
        <f>VLOOKUP(C1086,Tbl_Button_Display_ASSTS, 2,FALSE)</f>
        <v>Key 조합 입력에 의한 CO2 제어 해제/복귀 로직 동작 확인 &lt;CO2 사양 ONLY&gt;</v>
      </c>
    </row>
    <row r="1087" spans="1:10" s="11" customFormat="1" ht="16.5" hidden="1" outlineLevel="1">
      <c r="A1087" s="72">
        <v>1</v>
      </c>
      <c r="B1087" s="11" t="s">
        <v>38</v>
      </c>
      <c r="C1087" s="11" t="s">
        <v>858</v>
      </c>
      <c r="D1087" s="11" t="s">
        <v>1856</v>
      </c>
    </row>
    <row r="1088" spans="1:10" s="10" customFormat="1" hidden="1" outlineLevel="2">
      <c r="A1088" s="70">
        <v>1</v>
      </c>
      <c r="E1088" s="8" t="e">
        <f>Incar_IN</f>
        <v>#NAME?</v>
      </c>
      <c r="F1088" s="65" cm="1">
        <f t="array" ref="F1088">VINTERPOLATION(VLOOKUP(C1087,Tbl_Button_Display_ASSTS,2,FALSE),Tbl_Incar_Sensor,3)</f>
        <v>1.2169285942829429</v>
      </c>
    </row>
    <row r="1089" spans="1:10" s="10" customFormat="1" hidden="1" outlineLevel="2">
      <c r="A1089" s="70">
        <v>1</v>
      </c>
      <c r="E1089" s="8" t="e">
        <f>Amb_IN</f>
        <v>#NAME?</v>
      </c>
      <c r="F1089" s="65" cm="1">
        <f t="array" ref="F1089">VINTERPOLATION(VLOOKUP(C1087,Tbl_Button_Display_ASSTS,3,FALSE),Tbl_Amb_Sensor,3)</f>
        <v>3.3107917881958127</v>
      </c>
    </row>
    <row r="1090" spans="1:10" s="10" customFormat="1" hidden="1" outlineLevel="2">
      <c r="A1090" s="70">
        <v>1</v>
      </c>
      <c r="E1090" s="14" t="e">
        <f>T_windshield</f>
        <v>#NAME?</v>
      </c>
      <c r="F1090" s="65" cm="1">
        <f t="array" ref="F1090">VINTERPOLATION(VLOOKUP(C1087,Tbl_Button_Display_ASSTS,7,FALSE),Tbl_GlassTemp_Sensor,3)</f>
        <v>1.4614241999700592</v>
      </c>
      <c r="J1090" s="15"/>
    </row>
    <row r="1091" spans="1:10" s="10" customFormat="1" hidden="1" outlineLevel="2">
      <c r="A1091" s="70">
        <v>1</v>
      </c>
      <c r="E1091" s="14" t="e">
        <f>CO2_PPM_V</f>
        <v>#NAME?</v>
      </c>
      <c r="F1091" s="65" t="e" cm="1">
        <f t="array" ref="F1091">VINTERPOLATION(VLOOKUP(C1087,Tbl_Button_Display_ASSTS,8,FALSE),Tbl_CO2_Snr,2)</f>
        <v>#VALUE!</v>
      </c>
      <c r="J1091" s="15"/>
    </row>
    <row r="1092" spans="1:10" s="10" customFormat="1" hidden="1" outlineLevel="2">
      <c r="A1092" s="70">
        <v>1</v>
      </c>
      <c r="E1092" s="14" t="s">
        <v>207</v>
      </c>
      <c r="F1092" s="12" t="s">
        <v>1189</v>
      </c>
      <c r="J1092" s="15"/>
    </row>
    <row r="1093" spans="1:10" s="10" customFormat="1" hidden="1" outlineLevel="2">
      <c r="A1093" s="70">
        <v>1</v>
      </c>
      <c r="E1093" s="14" t="str">
        <f>VLOOKUP(C1087,Tbl_Button_Display_ASSTS,11,FALSE)</f>
        <v>Sw_AUTO</v>
      </c>
      <c r="F1093" s="12">
        <f>VLOOKUP(C1087,Tbl_Button_Display_ASSTS,12,FALSE)</f>
        <v>1</v>
      </c>
    </row>
    <row r="1094" spans="1:10" s="10" customFormat="1" hidden="1" outlineLevel="2">
      <c r="A1094" s="70">
        <v>1</v>
      </c>
      <c r="E1094" s="15" t="s">
        <v>5</v>
      </c>
      <c r="F1094" s="12">
        <f>VLOOKUP(C1087,Tbl_Button_Display_ASSTS,13,FALSE)</f>
        <v>10</v>
      </c>
    </row>
    <row r="1095" spans="1:10" s="10" customFormat="1" hidden="1" outlineLevel="2">
      <c r="A1095" s="70">
        <v>1</v>
      </c>
      <c r="G1095" s="10" t="e">
        <f>Incar_OUT</f>
        <v>#NAME?</v>
      </c>
      <c r="I1095" s="13">
        <f>VLOOKUP(C1087,Tbl_Button_Display_ASSTS,2,FALSE)</f>
        <v>53</v>
      </c>
    </row>
    <row r="1096" spans="1:10" s="10" customFormat="1" hidden="1" outlineLevel="2">
      <c r="A1096" s="70">
        <v>1</v>
      </c>
      <c r="G1096" s="10" t="e">
        <f>Amb_OUT</f>
        <v>#NAME?</v>
      </c>
      <c r="I1096" s="13">
        <f>VLOOKUP(C1087,Tbl_Button_Display_ASSTS,3,FALSE)</f>
        <v>10</v>
      </c>
    </row>
    <row r="1097" spans="1:10" s="10" customFormat="1" hidden="1" outlineLevel="2">
      <c r="A1097" s="70">
        <v>1</v>
      </c>
      <c r="G1097" s="10" t="e">
        <f>CO2_OnOffSta</f>
        <v>#NAME?</v>
      </c>
      <c r="I1097" s="13">
        <f>VLOOKUP(C1087,Tbl_Button_Display_ASSTS,49,FALSE)</f>
        <v>1</v>
      </c>
    </row>
    <row r="1098" spans="1:10" s="10" customFormat="1" hidden="1" outlineLevel="2">
      <c r="A1098" s="70">
        <v>1</v>
      </c>
      <c r="G1098" s="10" t="e">
        <f>CO2_Warning</f>
        <v>#NAME?</v>
      </c>
      <c r="I1098" s="13">
        <f>VLOOKUP(C1087,Tbl_Button_Display_ASSTS,48,FALSE)</f>
        <v>0</v>
      </c>
    </row>
    <row r="1099" spans="1:10" s="10" customFormat="1" hidden="1" outlineLevel="2">
      <c r="A1099" s="70">
        <v>1</v>
      </c>
      <c r="G1099" s="10" t="e">
        <f>IntakeDisp</f>
        <v>#NAME?</v>
      </c>
      <c r="I1099" s="13" t="str">
        <f>VLOOKUP(C1087,Tbl_Button_Display_ASSTS,34,FALSE)</f>
        <v>FRE</v>
      </c>
    </row>
    <row r="1100" spans="1:10" s="39" customFormat="1" hidden="1" outlineLevel="1">
      <c r="A1100" s="73">
        <v>1</v>
      </c>
      <c r="B1100" s="39" t="s">
        <v>155</v>
      </c>
      <c r="C1100" s="39" t="s">
        <v>859</v>
      </c>
      <c r="D1100" s="39" t="e">
        <f>CONCATENATE(F1101," 시 점/소등 동작 확인")</f>
        <v>#NAME?</v>
      </c>
    </row>
    <row r="1101" spans="1:10" s="10" customFormat="1" hidden="1" outlineLevel="2">
      <c r="A1101" s="70">
        <v>1</v>
      </c>
      <c r="E1101" s="14" t="str">
        <f>VLOOKUP(C1100,Tbl_Button_Display_ASSTS,11,FALSE)</f>
        <v>MsgBox</v>
      </c>
      <c r="F1101" s="12" t="e">
        <f>VLOOKUP(C1100,Tbl_Button_Display_ASSTS,12,FALSE)</f>
        <v>#NAME?</v>
      </c>
      <c r="J1101" s="15"/>
    </row>
    <row r="1102" spans="1:10" s="10" customFormat="1" hidden="1" outlineLevel="2">
      <c r="A1102" s="70">
        <v>1</v>
      </c>
      <c r="E1102" s="15" t="s">
        <v>5</v>
      </c>
      <c r="F1102" s="12">
        <f>VLOOKUP(C1100,Tbl_Button_Display_ASSTS,13,FALSE)</f>
        <v>1</v>
      </c>
    </row>
    <row r="1103" spans="1:10" s="10" customFormat="1" hidden="1" outlineLevel="2">
      <c r="A1103" s="70">
        <v>1</v>
      </c>
      <c r="E1103" s="10" t="s">
        <v>90</v>
      </c>
      <c r="F1103" s="43" t="str">
        <f>CONCATENATE("Panel Display&amp;Indicator ",I1106," 동작은 눈으로 확인 할것!")</f>
        <v>Panel Display&amp;Indicator 0.5초 간격 3회 점/소등 후 FRE 동작은 눈으로 확인 할것!</v>
      </c>
      <c r="G1103" s="43"/>
      <c r="H1103" s="43"/>
      <c r="I1103" s="43"/>
    </row>
    <row r="1104" spans="1:10" s="10" customFormat="1" hidden="1" outlineLevel="2">
      <c r="A1104" s="70">
        <v>1</v>
      </c>
      <c r="G1104" s="10" t="e">
        <f>CO2_OnOffSta</f>
        <v>#NAME?</v>
      </c>
      <c r="I1104" s="13">
        <f>VLOOKUP(C1100,Tbl_Button_Display_ASSTS,49,FALSE)</f>
        <v>0</v>
      </c>
    </row>
    <row r="1105" spans="1:10" s="10" customFormat="1" hidden="1" outlineLevel="2">
      <c r="A1105" s="70">
        <v>1</v>
      </c>
      <c r="G1105" s="10" t="e">
        <f>CO2_Warning</f>
        <v>#NAME?</v>
      </c>
      <c r="I1105" s="13">
        <f>VLOOKUP(C1100,Tbl_Button_Display_ASSTS,48,FALSE)</f>
        <v>0</v>
      </c>
    </row>
    <row r="1106" spans="1:10" s="10" customFormat="1" hidden="1" outlineLevel="2">
      <c r="A1106" s="70">
        <v>1</v>
      </c>
      <c r="G1106" s="10" t="e">
        <f>IntakeDisp</f>
        <v>#NAME?</v>
      </c>
      <c r="I1106" s="13" t="str">
        <f>VLOOKUP(C1100,Tbl_Button_Display_ASSTS,34,FALSE)</f>
        <v>0.5초 간격 3회 점/소등 후 FRE</v>
      </c>
    </row>
    <row r="1107" spans="1:10" s="39" customFormat="1" hidden="1" outlineLevel="1">
      <c r="A1107" s="73">
        <v>1</v>
      </c>
      <c r="B1107" s="39" t="s">
        <v>155</v>
      </c>
      <c r="C1107" s="39" t="s">
        <v>860</v>
      </c>
      <c r="D1107" s="39" t="str">
        <f>CONCATENATE(E1108," ",F1108,"회 선택")</f>
        <v>Sw_REC 1회 선택</v>
      </c>
    </row>
    <row r="1108" spans="1:10" s="10" customFormat="1" hidden="1" outlineLevel="2">
      <c r="A1108" s="70">
        <v>1</v>
      </c>
      <c r="E1108" s="14" t="str">
        <f>VLOOKUP(C1107,Tbl_Button_Display_ASSTS,11,FALSE)</f>
        <v>Sw_REC</v>
      </c>
      <c r="F1108" s="12">
        <f>VLOOKUP(C1107,Tbl_Button_Display_ASSTS,12,FALSE)</f>
        <v>1</v>
      </c>
      <c r="J1108" s="15"/>
    </row>
    <row r="1109" spans="1:10" s="10" customFormat="1" hidden="1" outlineLevel="2">
      <c r="A1109" s="70">
        <v>1</v>
      </c>
      <c r="E1109" s="15" t="s">
        <v>5</v>
      </c>
      <c r="F1109" s="12">
        <f>VLOOKUP(C1107,Tbl_Button_Display_ASSTS,13,FALSE)</f>
        <v>10</v>
      </c>
    </row>
    <row r="1110" spans="1:10" s="10" customFormat="1" hidden="1" outlineLevel="2">
      <c r="A1110" s="70">
        <v>1</v>
      </c>
      <c r="G1110" s="10" t="e">
        <f>CO2_OnOffSta</f>
        <v>#NAME?</v>
      </c>
      <c r="I1110" s="13">
        <f>VLOOKUP(C1107,Tbl_Button_Display_ASSTS,49,FALSE)</f>
        <v>0</v>
      </c>
    </row>
    <row r="1111" spans="1:10" s="10" customFormat="1" hidden="1" outlineLevel="2">
      <c r="A1111" s="70">
        <v>1</v>
      </c>
      <c r="G1111" s="10" t="e">
        <f>CO2_Warning</f>
        <v>#NAME?</v>
      </c>
      <c r="I1111" s="13">
        <f>VLOOKUP(C1107,Tbl_Button_Display_ASSTS,48,FALSE)</f>
        <v>0</v>
      </c>
    </row>
    <row r="1112" spans="1:10" s="10" customFormat="1" hidden="1" outlineLevel="2">
      <c r="A1112" s="70">
        <v>1</v>
      </c>
      <c r="G1112" s="10" t="e">
        <f>IntakeDisp</f>
        <v>#NAME?</v>
      </c>
      <c r="I1112" s="13" t="str">
        <f>VLOOKUP(C1107,Tbl_Button_Display_ASSTS,34,FALSE)</f>
        <v>REC</v>
      </c>
    </row>
    <row r="1113" spans="1:10" s="39" customFormat="1" hidden="1" outlineLevel="1">
      <c r="A1113" s="73">
        <v>1</v>
      </c>
      <c r="B1113" s="39" t="s">
        <v>155</v>
      </c>
      <c r="C1113" s="39" t="s">
        <v>861</v>
      </c>
      <c r="D1113" s="39" t="str">
        <f>CONCATENATE("CO2 제어 진입 설정 후 CO2 제어 미진입 확인")</f>
        <v>CO2 제어 진입 설정 후 CO2 제어 미진입 확인</v>
      </c>
    </row>
    <row r="1114" spans="1:10" s="10" customFormat="1" hidden="1" outlineLevel="2">
      <c r="A1114" s="70">
        <v>1</v>
      </c>
      <c r="E1114" s="14" t="e">
        <f>VLOOKUP(C1113,Tbl_Button_Display_ASSTS,11,FALSE)</f>
        <v>#NAME?</v>
      </c>
      <c r="F1114" s="208" t="e" cm="1">
        <f t="array" ref="F1114">VINTERPOLATION(VLOOKUP(C1113,Tbl_Button_Display_ASSTS,8,FALSE),Tbl_CO2_Snr,2)</f>
        <v>#VALUE!</v>
      </c>
      <c r="J1114" s="15"/>
    </row>
    <row r="1115" spans="1:10" s="10" customFormat="1" hidden="1" outlineLevel="2">
      <c r="A1115" s="70">
        <v>1</v>
      </c>
      <c r="E1115" s="15" t="s">
        <v>5</v>
      </c>
      <c r="F1115" s="12">
        <f>VLOOKUP(C1113,Tbl_Button_Display_ASSTS,13,FALSE)</f>
        <v>10</v>
      </c>
    </row>
    <row r="1116" spans="1:10" s="10" customFormat="1" hidden="1" outlineLevel="2">
      <c r="A1116" s="70">
        <v>1</v>
      </c>
      <c r="G1116" s="10" t="e">
        <f>CO2_OnOffSta</f>
        <v>#NAME?</v>
      </c>
      <c r="I1116" s="13">
        <f>VLOOKUP(C1113,Tbl_Button_Display_ASSTS,49,FALSE)</f>
        <v>0</v>
      </c>
    </row>
    <row r="1117" spans="1:10" s="10" customFormat="1" hidden="1" outlineLevel="2">
      <c r="A1117" s="70">
        <v>1</v>
      </c>
      <c r="G1117" s="10" t="e">
        <f>CO2_Warning</f>
        <v>#NAME?</v>
      </c>
      <c r="I1117" s="13">
        <f>VLOOKUP(C1113,Tbl_Button_Display_ASSTS,48,FALSE)</f>
        <v>0</v>
      </c>
    </row>
    <row r="1118" spans="1:10" s="10" customFormat="1" hidden="1" outlineLevel="2">
      <c r="A1118" s="70">
        <v>1</v>
      </c>
      <c r="G1118" s="10" t="e">
        <f>IntakeDisp</f>
        <v>#NAME?</v>
      </c>
      <c r="I1118" s="13" t="str">
        <f>VLOOKUP(C1113,Tbl_Button_Display_ASSTS,34,FALSE)</f>
        <v>REC</v>
      </c>
    </row>
    <row r="1119" spans="1:10" s="39" customFormat="1" hidden="1" outlineLevel="1">
      <c r="A1119" s="73">
        <v>1</v>
      </c>
      <c r="B1119" s="39" t="s">
        <v>155</v>
      </c>
      <c r="C1119" s="39" t="s">
        <v>862</v>
      </c>
      <c r="D1119" s="39" t="str">
        <f>CONCATENATE("CO2 제어 해제 설정")</f>
        <v>CO2 제어 해제 설정</v>
      </c>
    </row>
    <row r="1120" spans="1:10" s="10" customFormat="1" hidden="1" outlineLevel="2">
      <c r="A1120" s="70">
        <v>1</v>
      </c>
      <c r="E1120" s="14" t="e">
        <f>VLOOKUP(C1119,Tbl_Button_Display_ASSTS,11,FALSE)</f>
        <v>#NAME?</v>
      </c>
      <c r="F1120" s="65" t="e" cm="1">
        <f t="array" ref="F1120">VINTERPOLATION(VLOOKUP(C1119,Tbl_Button_Display_ASSTS,8,FALSE),Tbl_CO2_Snr,2)</f>
        <v>#VALUE!</v>
      </c>
      <c r="J1120" s="15"/>
    </row>
    <row r="1121" spans="1:10" s="10" customFormat="1" hidden="1" outlineLevel="2">
      <c r="A1121" s="70">
        <v>1</v>
      </c>
      <c r="E1121" s="15" t="s">
        <v>5</v>
      </c>
      <c r="F1121" s="12">
        <f>VLOOKUP(C1119,Tbl_Button_Display_ASSTS,13,FALSE)</f>
        <v>10</v>
      </c>
    </row>
    <row r="1122" spans="1:10" s="10" customFormat="1" hidden="1" outlineLevel="2">
      <c r="A1122" s="70">
        <v>1</v>
      </c>
      <c r="G1122" s="10" t="e">
        <f>CO2_OnOffSta</f>
        <v>#NAME?</v>
      </c>
      <c r="I1122" s="13">
        <f>VLOOKUP(C1119,Tbl_Button_Display_ASSTS,49,FALSE)</f>
        <v>0</v>
      </c>
    </row>
    <row r="1123" spans="1:10" s="10" customFormat="1" hidden="1" outlineLevel="2">
      <c r="A1123" s="70">
        <v>1</v>
      </c>
      <c r="G1123" s="10" t="e">
        <f>CO2_Warning</f>
        <v>#NAME?</v>
      </c>
      <c r="I1123" s="13">
        <f>VLOOKUP(C1119,Tbl_Button_Display_ASSTS,48,FALSE)</f>
        <v>0</v>
      </c>
    </row>
    <row r="1124" spans="1:10" s="10" customFormat="1" hidden="1" outlineLevel="2">
      <c r="A1124" s="70">
        <v>1</v>
      </c>
      <c r="G1124" s="10" t="e">
        <f>IntakeDisp</f>
        <v>#NAME?</v>
      </c>
      <c r="I1124" s="13" t="str">
        <f>VLOOKUP(C1119,Tbl_Button_Display_ASSTS,34,FALSE)</f>
        <v>REC</v>
      </c>
    </row>
    <row r="1125" spans="1:10" s="39" customFormat="1" hidden="1" outlineLevel="1">
      <c r="A1125" s="73">
        <v>1</v>
      </c>
      <c r="B1125" s="39" t="s">
        <v>155</v>
      </c>
      <c r="C1125" s="39" t="s">
        <v>863</v>
      </c>
      <c r="D1125" s="39" t="e">
        <f>CONCATENATE(F1126," 시 점/소등 동작 확인")</f>
        <v>#NAME?</v>
      </c>
    </row>
    <row r="1126" spans="1:10" s="10" customFormat="1" hidden="1" outlineLevel="2">
      <c r="A1126" s="70">
        <v>1</v>
      </c>
      <c r="E1126" s="14" t="str">
        <f>VLOOKUP(C1125,Tbl_Button_Display_ASSTS,11,FALSE)</f>
        <v>MsgBox</v>
      </c>
      <c r="F1126" s="12" t="e">
        <f>VLOOKUP(C1125,Tbl_Button_Display_ASSTS,12,FALSE)</f>
        <v>#NAME?</v>
      </c>
      <c r="J1126" s="15"/>
    </row>
    <row r="1127" spans="1:10" s="10" customFormat="1" hidden="1" outlineLevel="2">
      <c r="A1127" s="70">
        <v>1</v>
      </c>
      <c r="E1127" s="15" t="s">
        <v>5</v>
      </c>
      <c r="F1127" s="12">
        <f>VLOOKUP(C1125,Tbl_Button_Display_ASSTS,13,FALSE)</f>
        <v>1</v>
      </c>
    </row>
    <row r="1128" spans="1:10" s="10" customFormat="1" hidden="1" outlineLevel="2">
      <c r="A1128" s="70">
        <v>1</v>
      </c>
      <c r="E1128" s="10" t="s">
        <v>90</v>
      </c>
      <c r="F1128" s="43" t="str">
        <f>CONCATENATE("Panel Display&amp;Indicator ",I1131," 동작은 눈으로 확인 할것!")</f>
        <v>Panel Display&amp;Indicator 0.5초 간격 3회 점/소등 후 REC 동작은 눈으로 확인 할것!</v>
      </c>
      <c r="G1128" s="43"/>
      <c r="H1128" s="43"/>
      <c r="I1128" s="43"/>
    </row>
    <row r="1129" spans="1:10" s="10" customFormat="1" hidden="1" outlineLevel="2">
      <c r="A1129" s="70">
        <v>1</v>
      </c>
      <c r="G1129" s="10" t="e">
        <f>CO2_OnOffSta</f>
        <v>#NAME?</v>
      </c>
      <c r="I1129" s="13">
        <f>VLOOKUP(C1125,Tbl_Button_Display_ASSTS,49,FALSE)</f>
        <v>1</v>
      </c>
    </row>
    <row r="1130" spans="1:10" s="10" customFormat="1" hidden="1" outlineLevel="2">
      <c r="A1130" s="70">
        <v>1</v>
      </c>
      <c r="G1130" s="10" t="e">
        <f>CO2_Warning</f>
        <v>#NAME?</v>
      </c>
      <c r="I1130" s="13">
        <f>VLOOKUP(C1125,Tbl_Button_Display_ASSTS,48,FALSE)</f>
        <v>0</v>
      </c>
    </row>
    <row r="1131" spans="1:10" s="10" customFormat="1" hidden="1" outlineLevel="2">
      <c r="A1131" s="70">
        <v>1</v>
      </c>
      <c r="G1131" s="10" t="e">
        <f>IntakeDisp</f>
        <v>#NAME?</v>
      </c>
      <c r="I1131" s="13" t="str">
        <f>VLOOKUP(C1125,Tbl_Button_Display_ASSTS,34,FALSE)</f>
        <v>0.5초 간격 3회 점/소등 후 REC</v>
      </c>
    </row>
    <row r="1132" spans="1:10" s="39" customFormat="1" hidden="1" outlineLevel="1">
      <c r="A1132" s="73">
        <v>1</v>
      </c>
      <c r="B1132" s="39" t="s">
        <v>155</v>
      </c>
      <c r="C1132" s="39" t="s">
        <v>1615</v>
      </c>
      <c r="D1132" s="39" t="str">
        <f>CONCATENATE("CO2 제어 진입 설정 후 CO2 제어 진입 확인")</f>
        <v>CO2 제어 진입 설정 후 CO2 제어 진입 확인</v>
      </c>
    </row>
    <row r="1133" spans="1:10" s="10" customFormat="1" hidden="1" outlineLevel="2">
      <c r="A1133" s="70">
        <v>1</v>
      </c>
      <c r="E1133" s="14" t="e">
        <f>VLOOKUP(C1132,Tbl_Button_Display_ASSTS,11,FALSE)</f>
        <v>#NAME?</v>
      </c>
      <c r="F1133" s="208" t="e" cm="1">
        <f t="array" ref="F1133">VINTERPOLATION(VLOOKUP(C1132,Tbl_Button_Display_ASSTS,8,FALSE),Tbl_CO2_Snr,2)</f>
        <v>#VALUE!</v>
      </c>
      <c r="J1133" s="15"/>
    </row>
    <row r="1134" spans="1:10" s="10" customFormat="1" hidden="1" outlineLevel="2">
      <c r="A1134" s="70">
        <v>1</v>
      </c>
      <c r="E1134" s="15" t="s">
        <v>5</v>
      </c>
      <c r="F1134" s="12">
        <f>VLOOKUP(C1132,Tbl_Button_Display_ASSTS,13,FALSE)</f>
        <v>10</v>
      </c>
    </row>
    <row r="1135" spans="1:10" s="10" customFormat="1" hidden="1" outlineLevel="2">
      <c r="A1135" s="70">
        <v>1</v>
      </c>
      <c r="G1135" s="10" t="e">
        <f>CO2_OnOffSta</f>
        <v>#NAME?</v>
      </c>
      <c r="I1135" s="13">
        <f>VLOOKUP(C1132,Tbl_Button_Display_ASSTS,49,FALSE)</f>
        <v>1</v>
      </c>
    </row>
    <row r="1136" spans="1:10" s="10" customFormat="1" hidden="1" outlineLevel="2">
      <c r="A1136" s="70">
        <v>1</v>
      </c>
      <c r="G1136" s="10" t="e">
        <f>CO2_Warning</f>
        <v>#NAME?</v>
      </c>
      <c r="I1136" s="13">
        <f>VLOOKUP(C1132,Tbl_Button_Display_ASSTS,48,FALSE)</f>
        <v>1</v>
      </c>
    </row>
    <row r="1137" spans="1:10" s="10" customFormat="1" hidden="1" outlineLevel="2">
      <c r="A1137" s="70">
        <v>1</v>
      </c>
      <c r="G1137" s="10" t="e">
        <f>IntakeDisp</f>
        <v>#NAME?</v>
      </c>
      <c r="I1137" s="13" t="str">
        <f>VLOOKUP(C1132,Tbl_Button_Display_ASSTS,34,FALSE)</f>
        <v>FRE</v>
      </c>
    </row>
    <row r="1138" spans="1:10" s="38" customFormat="1" collapsed="1">
      <c r="A1138" s="71">
        <v>1</v>
      </c>
      <c r="B1138" s="38" t="s">
        <v>7</v>
      </c>
      <c r="C1138" s="38" t="s">
        <v>864</v>
      </c>
      <c r="D1138" s="38" t="str">
        <f>VLOOKUP(C1138,Tbl_Button_Display_ASSTS, 2,FALSE)</f>
        <v>AVN USM 설정에 의한 CO2 제어 해제/복귀 로직 동작 확인</v>
      </c>
    </row>
    <row r="1139" spans="1:10" s="11" customFormat="1" hidden="1" outlineLevel="1">
      <c r="A1139" s="72">
        <v>1</v>
      </c>
      <c r="B1139" s="11" t="s">
        <v>38</v>
      </c>
      <c r="C1139" s="11" t="s">
        <v>865</v>
      </c>
      <c r="D1139" s="11" t="s">
        <v>39</v>
      </c>
    </row>
    <row r="1140" spans="1:10" s="10" customFormat="1" hidden="1" outlineLevel="2">
      <c r="A1140" s="70">
        <v>1</v>
      </c>
      <c r="E1140" s="14" t="e">
        <f>CO2_PPM_V</f>
        <v>#NAME?</v>
      </c>
      <c r="F1140" s="65" t="e" cm="1">
        <f t="array" ref="F1140">VINTERPOLATION(VLOOKUP(C1139,Tbl_Button_Display_ASSTS,8,FALSE),Tbl_CO2_Snr,2)</f>
        <v>#VALUE!</v>
      </c>
      <c r="J1140" s="15"/>
    </row>
    <row r="1141" spans="1:10" s="10" customFormat="1" hidden="1" outlineLevel="2">
      <c r="A1141" s="70">
        <v>1</v>
      </c>
      <c r="E1141" s="14" t="e">
        <f>CO2_Set</f>
        <v>#NAME?</v>
      </c>
      <c r="F1141" s="12">
        <v>1</v>
      </c>
      <c r="J1141" s="15"/>
    </row>
    <row r="1142" spans="1:10" s="10" customFormat="1" hidden="1" outlineLevel="2">
      <c r="A1142" s="70">
        <v>1</v>
      </c>
      <c r="E1142" s="14" t="e">
        <f>AVN_CluUSMReset</f>
        <v>#NAME?</v>
      </c>
      <c r="F1142" s="12">
        <v>0</v>
      </c>
      <c r="J1142" s="15"/>
    </row>
    <row r="1143" spans="1:10" s="10" customFormat="1" hidden="1" outlineLevel="2">
      <c r="A1143" s="70">
        <v>1</v>
      </c>
      <c r="E1143" s="14" t="e">
        <f>CLU_USM_StaRst1Req</f>
        <v>#NAME?</v>
      </c>
      <c r="F1143" s="12">
        <v>0</v>
      </c>
      <c r="J1143" s="15"/>
    </row>
    <row r="1144" spans="1:10" s="10" customFormat="1" hidden="1" outlineLevel="2">
      <c r="A1144" s="70">
        <v>1</v>
      </c>
      <c r="E1144" s="15" t="s">
        <v>5</v>
      </c>
      <c r="F1144" s="12">
        <f>VLOOKUP(C1139,Tbl_Button_Display_ASSTS,13,FALSE)</f>
        <v>10</v>
      </c>
    </row>
    <row r="1145" spans="1:10" s="10" customFormat="1" hidden="1" outlineLevel="2">
      <c r="A1145" s="70">
        <v>1</v>
      </c>
      <c r="G1145" s="10" t="e">
        <f>CO2_OnOffSta</f>
        <v>#NAME?</v>
      </c>
      <c r="I1145" s="13">
        <f>VLOOKUP(C1139,Tbl_Button_Display_ASSTS,49,FALSE)</f>
        <v>1</v>
      </c>
    </row>
    <row r="1146" spans="1:10" s="10" customFormat="1" hidden="1" outlineLevel="2">
      <c r="A1146" s="70">
        <v>1</v>
      </c>
      <c r="G1146" s="10" t="e">
        <f>CO2_Warning</f>
        <v>#NAME?</v>
      </c>
      <c r="I1146" s="13">
        <f>VLOOKUP(C1139,Tbl_Button_Display_ASSTS,48,FALSE)</f>
        <v>0</v>
      </c>
    </row>
    <row r="1147" spans="1:10" s="10" customFormat="1" hidden="1" outlineLevel="2">
      <c r="A1147" s="70">
        <v>1</v>
      </c>
      <c r="G1147" s="10" t="e">
        <f>IntakeDisp</f>
        <v>#NAME?</v>
      </c>
      <c r="I1147" s="13" t="str">
        <f>VLOOKUP(C1139,Tbl_Button_Display_ASSTS,34,FALSE)</f>
        <v>REC</v>
      </c>
    </row>
    <row r="1148" spans="1:10" s="39" customFormat="1" hidden="1" outlineLevel="1">
      <c r="A1148" s="73">
        <v>1</v>
      </c>
      <c r="B1148" s="39" t="s">
        <v>155</v>
      </c>
      <c r="C1148" s="39" t="s">
        <v>866</v>
      </c>
      <c r="D1148" s="39" t="e">
        <f>CONCATENATE(E1149," = ",F1149," 설정 시 ",G1151, " = ",I1151," 확인")</f>
        <v>#NAME?</v>
      </c>
    </row>
    <row r="1149" spans="1:10" s="10" customFormat="1" hidden="1" outlineLevel="2">
      <c r="A1149" s="70">
        <v>1</v>
      </c>
      <c r="E1149" s="14" t="e">
        <f>VLOOKUP(C1148,Tbl_Button_Display_ASSTS,11,FALSE)</f>
        <v>#NAME?</v>
      </c>
      <c r="F1149" s="12">
        <f>VLOOKUP(C1148,Tbl_Button_Display_ASSTS,12,FALSE)</f>
        <v>0</v>
      </c>
      <c r="J1149" s="15"/>
    </row>
    <row r="1150" spans="1:10" s="10" customFormat="1" hidden="1" outlineLevel="2">
      <c r="A1150" s="70">
        <v>1</v>
      </c>
      <c r="E1150" s="15" t="s">
        <v>5</v>
      </c>
      <c r="F1150" s="12">
        <f>VLOOKUP(C1148,Tbl_Button_Display_ASSTS,13,FALSE)</f>
        <v>1</v>
      </c>
    </row>
    <row r="1151" spans="1:10" s="10" customFormat="1" hidden="1" outlineLevel="2">
      <c r="A1151" s="70">
        <v>1</v>
      </c>
      <c r="G1151" s="10" t="e">
        <f>CO2_OnOffSta</f>
        <v>#NAME?</v>
      </c>
      <c r="I1151" s="13">
        <f>VLOOKUP(C1148,Tbl_Button_Display_ASSTS,49,FALSE)</f>
        <v>0</v>
      </c>
    </row>
    <row r="1152" spans="1:10" s="10" customFormat="1" hidden="1" outlineLevel="2">
      <c r="A1152" s="70">
        <v>1</v>
      </c>
      <c r="G1152" s="10" t="e">
        <f>CO2_Warning</f>
        <v>#NAME?</v>
      </c>
      <c r="I1152" s="13">
        <f>VLOOKUP(C1148,Tbl_Button_Display_ASSTS,48,FALSE)</f>
        <v>0</v>
      </c>
    </row>
    <row r="1153" spans="1:10" s="10" customFormat="1" hidden="1" outlineLevel="2">
      <c r="A1153" s="70">
        <v>1</v>
      </c>
      <c r="G1153" s="10" t="e">
        <f>IntakeDisp</f>
        <v>#NAME?</v>
      </c>
      <c r="I1153" s="13" t="str">
        <f>VLOOKUP(C1148,Tbl_Button_Display_ASSTS,34,FALSE)</f>
        <v>REC</v>
      </c>
    </row>
    <row r="1154" spans="1:10" s="39" customFormat="1" hidden="1" outlineLevel="1">
      <c r="A1154" s="73">
        <v>1</v>
      </c>
      <c r="B1154" s="39" t="s">
        <v>155</v>
      </c>
      <c r="C1154" s="39" t="s">
        <v>867</v>
      </c>
      <c r="D1154" s="39" t="str">
        <f>CONCATENATE("CO2 제어 진입 설정 후 CO2 제어 미진입 확인")</f>
        <v>CO2 제어 진입 설정 후 CO2 제어 미진입 확인</v>
      </c>
    </row>
    <row r="1155" spans="1:10" s="10" customFormat="1" hidden="1" outlineLevel="2">
      <c r="A1155" s="70">
        <v>1</v>
      </c>
      <c r="E1155" s="14" t="e">
        <f>VLOOKUP(C1154,Tbl_Button_Display_ASSTS,11,FALSE)</f>
        <v>#NAME?</v>
      </c>
      <c r="F1155" s="208" t="e" cm="1">
        <f t="array" ref="F1155">VINTERPOLATION(VLOOKUP(C1154,Tbl_Button_Display_ASSTS,8,FALSE),Tbl_CO2_Snr,2)</f>
        <v>#VALUE!</v>
      </c>
      <c r="J1155" s="15"/>
    </row>
    <row r="1156" spans="1:10" s="10" customFormat="1" hidden="1" outlineLevel="2">
      <c r="A1156" s="70">
        <v>1</v>
      </c>
      <c r="E1156" s="15" t="s">
        <v>5</v>
      </c>
      <c r="F1156" s="12">
        <f>VLOOKUP(C1154,Tbl_Button_Display_ASSTS,13,FALSE)</f>
        <v>10</v>
      </c>
    </row>
    <row r="1157" spans="1:10" s="10" customFormat="1" hidden="1" outlineLevel="2">
      <c r="A1157" s="70">
        <v>1</v>
      </c>
      <c r="G1157" s="10" t="e">
        <f>CO2_OnOffSta</f>
        <v>#NAME?</v>
      </c>
      <c r="I1157" s="13">
        <f>VLOOKUP(C1154,Tbl_Button_Display_ASSTS,49,FALSE)</f>
        <v>0</v>
      </c>
    </row>
    <row r="1158" spans="1:10" s="10" customFormat="1" hidden="1" outlineLevel="2">
      <c r="A1158" s="70">
        <v>1</v>
      </c>
      <c r="G1158" s="10" t="e">
        <f>CO2_Warning</f>
        <v>#NAME?</v>
      </c>
      <c r="I1158" s="13">
        <f>VLOOKUP(C1154,Tbl_Button_Display_ASSTS,48,FALSE)</f>
        <v>0</v>
      </c>
    </row>
    <row r="1159" spans="1:10" s="10" customFormat="1" hidden="1" outlineLevel="2">
      <c r="A1159" s="70">
        <v>1</v>
      </c>
      <c r="G1159" s="10" t="e">
        <f>IntakeDisp</f>
        <v>#NAME?</v>
      </c>
      <c r="I1159" s="13" t="str">
        <f>VLOOKUP(C1154,Tbl_Button_Display_ASSTS,34,FALSE)</f>
        <v>REC</v>
      </c>
    </row>
    <row r="1160" spans="1:10" s="39" customFormat="1" hidden="1" outlineLevel="1">
      <c r="A1160" s="73">
        <v>1</v>
      </c>
      <c r="B1160" s="39" t="s">
        <v>155</v>
      </c>
      <c r="C1160" s="39" t="s">
        <v>1617</v>
      </c>
      <c r="D1160" s="39" t="e">
        <f>CONCATENATE(E1161," = ",F1161," 설정 시 ",G1163, " = ",I1163,", CO2 제어 진입 확인")</f>
        <v>#NAME?</v>
      </c>
    </row>
    <row r="1161" spans="1:10" s="10" customFormat="1" hidden="1" outlineLevel="2">
      <c r="A1161" s="70">
        <v>1</v>
      </c>
      <c r="E1161" s="14" t="e">
        <f>VLOOKUP(C1160,Tbl_Button_Display_ASSTS,11,FALSE)</f>
        <v>#NAME?</v>
      </c>
      <c r="F1161" s="12">
        <f>VLOOKUP(C1160,Tbl_Button_Display_ASSTS,12,FALSE)</f>
        <v>1</v>
      </c>
      <c r="J1161" s="15"/>
    </row>
    <row r="1162" spans="1:10" s="10" customFormat="1" hidden="1" outlineLevel="2">
      <c r="A1162" s="70">
        <v>1</v>
      </c>
      <c r="E1162" s="15" t="s">
        <v>5</v>
      </c>
      <c r="F1162" s="12">
        <f>VLOOKUP(C1160,Tbl_Button_Display_ASSTS,13,FALSE)</f>
        <v>1</v>
      </c>
    </row>
    <row r="1163" spans="1:10" s="10" customFormat="1" hidden="1" outlineLevel="2">
      <c r="A1163" s="70">
        <v>1</v>
      </c>
      <c r="G1163" s="10" t="e">
        <f>CO2_OnOffSta</f>
        <v>#NAME?</v>
      </c>
      <c r="I1163" s="13">
        <f>VLOOKUP(C1160,Tbl_Button_Display_ASSTS,49,FALSE)</f>
        <v>1</v>
      </c>
    </row>
    <row r="1164" spans="1:10" s="10" customFormat="1" hidden="1" outlineLevel="2">
      <c r="A1164" s="70">
        <v>1</v>
      </c>
      <c r="G1164" s="10" t="e">
        <f>CO2_Warning</f>
        <v>#NAME?</v>
      </c>
      <c r="I1164" s="13">
        <f>VLOOKUP(C1160,Tbl_Button_Display_ASSTS,48,FALSE)</f>
        <v>1</v>
      </c>
    </row>
    <row r="1165" spans="1:10" s="10" customFormat="1" hidden="1" outlineLevel="2">
      <c r="A1165" s="70">
        <v>1</v>
      </c>
      <c r="G1165" s="10" t="e">
        <f>IntakeDisp</f>
        <v>#NAME?</v>
      </c>
      <c r="I1165" s="13" t="str">
        <f>VLOOKUP(C1160,Tbl_Button_Display_ASSTS,34,FALSE)</f>
        <v>FRE</v>
      </c>
    </row>
    <row r="1166" spans="1:10" s="40" customFormat="1" ht="15">
      <c r="A1166" s="66">
        <v>1</v>
      </c>
      <c r="B1166" s="40" t="s">
        <v>545</v>
      </c>
      <c r="C1166" s="40" t="s">
        <v>593</v>
      </c>
      <c r="D1166" s="40" t="str">
        <f t="shared" si="11"/>
        <v>클러스터이온 발생기 제어 (이온 MODE 有) (장시간)</v>
      </c>
      <c r="F1166" s="82"/>
    </row>
    <row r="1167" spans="1:10" s="123" customFormat="1" collapsed="1">
      <c r="A1167" s="122">
        <v>1</v>
      </c>
      <c r="B1167" s="123" t="s">
        <v>156</v>
      </c>
      <c r="C1167" s="123" t="s">
        <v>1348</v>
      </c>
      <c r="D1167" s="123" t="str">
        <f>VLOOKUP(C1167,Tbl_Button_Display_ASSTS, 2,FALSE)</f>
        <v>클러스터이온 발생기 제어 로직 동작 확인</v>
      </c>
      <c r="F1167" s="88"/>
    </row>
    <row r="1168" spans="1:10" s="125" customFormat="1" ht="16.5" hidden="1" outlineLevel="1">
      <c r="A1168" s="124">
        <v>1</v>
      </c>
      <c r="B1168" s="125" t="s">
        <v>38</v>
      </c>
      <c r="C1168" s="125" t="s">
        <v>1349</v>
      </c>
      <c r="D1168" s="11" t="s">
        <v>1857</v>
      </c>
      <c r="F1168" s="89"/>
    </row>
    <row r="1169" spans="1:10" s="10" customFormat="1" hidden="1" outlineLevel="2">
      <c r="A1169" s="70">
        <v>1</v>
      </c>
      <c r="E1169" s="8" t="e">
        <f>Incar_IN</f>
        <v>#NAME?</v>
      </c>
      <c r="F1169" s="65" cm="1">
        <f t="array" ref="F1169">VINTERPOLATION(VLOOKUP(C1168,Tbl_Button_Display_ASSTS,2,FALSE),Tbl_Incar_Sensor,3)</f>
        <v>3.3272756433630186</v>
      </c>
    </row>
    <row r="1170" spans="1:10" s="10" customFormat="1" hidden="1" outlineLevel="2">
      <c r="A1170" s="70">
        <v>1</v>
      </c>
      <c r="E1170" s="14" t="e">
        <f>CO2_PPM_V</f>
        <v>#NAME?</v>
      </c>
      <c r="F1170" s="65" t="e" cm="1">
        <f t="array" ref="F1170">VINTERPOLATION(VLOOKUP(C1168,Tbl_Button_Display_ASSTS,8,FALSE),Tbl_CO2_Snr,2)</f>
        <v>#VALUE!</v>
      </c>
      <c r="J1170" s="15"/>
    </row>
    <row r="1171" spans="1:10" s="10" customFormat="1" hidden="1" outlineLevel="2">
      <c r="A1171" s="70">
        <v>1</v>
      </c>
      <c r="E1171" s="114" t="e">
        <f>CionDiag_V</f>
        <v>#NAME?</v>
      </c>
      <c r="F1171" s="85">
        <v>2</v>
      </c>
      <c r="J1171" s="15"/>
    </row>
    <row r="1172" spans="1:10" s="10" customFormat="1" hidden="1" outlineLevel="2">
      <c r="A1172" s="70">
        <v>1</v>
      </c>
      <c r="E1172" s="14" t="str">
        <f>VLOOKUP(C1168,Tbl_Button_Display_ASSTS,11,FALSE)</f>
        <v>IGN2_Off</v>
      </c>
      <c r="F1172" s="12" t="str">
        <f>VLOOKUP(C1168,Tbl_Button_Display_ASSTS,12,FALSE)</f>
        <v xml:space="preserve"> </v>
      </c>
    </row>
    <row r="1173" spans="1:10" s="10" customFormat="1" hidden="1" outlineLevel="2">
      <c r="A1173" s="70">
        <v>1</v>
      </c>
      <c r="E1173" s="15" t="s">
        <v>5</v>
      </c>
      <c r="F1173" s="12">
        <f>VLOOKUP(C1168,Tbl_Button_Display_ASSTS,13,FALSE)</f>
        <v>2</v>
      </c>
    </row>
    <row r="1174" spans="1:10" s="10" customFormat="1" hidden="1" outlineLevel="2">
      <c r="A1174" s="70">
        <v>1</v>
      </c>
      <c r="G1174" s="10" t="e">
        <f>Incar_OUT</f>
        <v>#NAME?</v>
      </c>
      <c r="I1174" s="13">
        <f>VLOOKUP(C1168,Tbl_Button_Display_ASSTS,2,FALSE)</f>
        <v>10</v>
      </c>
    </row>
    <row r="1175" spans="1:10" s="10" customFormat="1" hidden="1" outlineLevel="2">
      <c r="A1175" s="70">
        <v>1</v>
      </c>
      <c r="F1175" s="87"/>
      <c r="G1175" s="114" t="e">
        <f>ION_Sign</f>
        <v>#NAME?</v>
      </c>
      <c r="I1175" s="13" t="s">
        <v>744</v>
      </c>
    </row>
    <row r="1176" spans="1:10" s="10" customFormat="1" hidden="1" outlineLevel="2">
      <c r="A1176" s="70">
        <v>1</v>
      </c>
      <c r="F1176" s="87"/>
      <c r="G1176" s="114" t="e">
        <f>CLEAN_Sign</f>
        <v>#NAME?</v>
      </c>
      <c r="I1176" s="13" t="s">
        <v>744</v>
      </c>
    </row>
    <row r="1177" spans="1:10" s="10" customFormat="1" hidden="1" outlineLevel="2">
      <c r="A1177" s="70">
        <v>1</v>
      </c>
      <c r="G1177" s="10" t="e">
        <f>BLW_Front</f>
        <v>#NAME?</v>
      </c>
      <c r="H1177" s="49" t="str">
        <f>VLOOKUP(C1168,Tbl_Button_Display_ASSTS,24,FALSE)</f>
        <v>blower_TD 연산에 따름</v>
      </c>
      <c r="I1177" s="47" t="e">
        <f>IF(H1177="","",VLOOKUP(H1177,Tbl_Blower_Volt,2,FALSE))</f>
        <v>#NAME?</v>
      </c>
    </row>
    <row r="1178" spans="1:10" s="39" customFormat="1" hidden="1" outlineLevel="1">
      <c r="A1178" s="73">
        <v>1</v>
      </c>
      <c r="B1178" s="39" t="s">
        <v>155</v>
      </c>
      <c r="C1178" s="39" t="s">
        <v>1350</v>
      </c>
      <c r="D1178" s="39" t="str">
        <f>CONCATENATE(E1179," 시, 클러스터이온 발생기 제어 동작 확인" )</f>
        <v>IGN2_On 시, 클러스터이온 발생기 제어 동작 확인</v>
      </c>
      <c r="F1178" s="91"/>
    </row>
    <row r="1179" spans="1:10" s="10" customFormat="1" hidden="1" outlineLevel="2">
      <c r="A1179" s="70">
        <v>1</v>
      </c>
      <c r="E1179" s="14" t="str">
        <f>VLOOKUP(C1178,Tbl_Button_Display_ASSTS,11,FALSE)</f>
        <v>IGN2_On</v>
      </c>
      <c r="F1179" s="85" t="str">
        <f>VLOOKUP(C1178,Tbl_Button_Display_ASSTS,12,FALSE)</f>
        <v xml:space="preserve"> </v>
      </c>
      <c r="J1179" s="15"/>
    </row>
    <row r="1180" spans="1:10" s="10" customFormat="1" hidden="1" outlineLevel="2">
      <c r="A1180" s="70">
        <v>1</v>
      </c>
      <c r="F1180" s="87"/>
      <c r="G1180" s="114" t="e">
        <f>ION_Sign</f>
        <v>#NAME?</v>
      </c>
      <c r="I1180" s="13" t="s">
        <v>744</v>
      </c>
    </row>
    <row r="1181" spans="1:10" s="10" customFormat="1" hidden="1" outlineLevel="2">
      <c r="A1181" s="70">
        <v>1</v>
      </c>
      <c r="F1181" s="87"/>
      <c r="G1181" s="114" t="e">
        <f>CLEAN_Sign</f>
        <v>#NAME?</v>
      </c>
      <c r="I1181" s="48" t="s">
        <v>1376</v>
      </c>
    </row>
    <row r="1182" spans="1:10" s="10" customFormat="1" hidden="1" outlineLevel="2">
      <c r="A1182" s="70">
        <v>1</v>
      </c>
      <c r="E1182" s="15" t="s">
        <v>5</v>
      </c>
      <c r="F1182" s="85">
        <f>VLOOKUP(C1178,Tbl_Button_Display_ASSTS,13,FALSE)</f>
        <v>780</v>
      </c>
    </row>
    <row r="1183" spans="1:10" s="10" customFormat="1" hidden="1" outlineLevel="2">
      <c r="A1183" s="70">
        <v>1</v>
      </c>
      <c r="F1183" s="87"/>
      <c r="G1183" s="114" t="e">
        <f>ION_Sign</f>
        <v>#NAME?</v>
      </c>
      <c r="I1183" s="48" t="s">
        <v>1376</v>
      </c>
    </row>
    <row r="1184" spans="1:10" s="10" customFormat="1" hidden="1" outlineLevel="2">
      <c r="A1184" s="70">
        <v>1</v>
      </c>
      <c r="F1184" s="87"/>
      <c r="G1184" s="114" t="e">
        <f>CLEAN_Sign</f>
        <v>#NAME?</v>
      </c>
      <c r="I1184" s="48" t="s">
        <v>1376</v>
      </c>
    </row>
    <row r="1185" spans="1:10" s="39" customFormat="1" hidden="1" outlineLevel="1">
      <c r="A1185" s="73">
        <v>1</v>
      </c>
      <c r="B1185" s="39" t="s">
        <v>155</v>
      </c>
      <c r="C1185" s="39" t="s">
        <v>1351</v>
      </c>
      <c r="D1185" s="39" t="str">
        <f>CONCATENATE(E1186," 시, 클러스터이온 발생기 제어 해제 확인" )</f>
        <v>IGN2_Off 시, 클러스터이온 발생기 제어 해제 확인</v>
      </c>
      <c r="F1185" s="91"/>
    </row>
    <row r="1186" spans="1:10" s="10" customFormat="1" hidden="1" outlineLevel="2">
      <c r="A1186" s="70">
        <v>1</v>
      </c>
      <c r="E1186" s="14" t="str">
        <f>VLOOKUP(C1185,Tbl_Button_Display_ASSTS,11,FALSE)</f>
        <v>IGN2_Off</v>
      </c>
      <c r="F1186" s="85" t="str">
        <f>VLOOKUP(C1185,Tbl_Button_Display_ASSTS,12,FALSE)</f>
        <v xml:space="preserve"> </v>
      </c>
      <c r="J1186" s="15"/>
    </row>
    <row r="1187" spans="1:10" s="10" customFormat="1" hidden="1" outlineLevel="2">
      <c r="A1187" s="70">
        <v>1</v>
      </c>
      <c r="F1187" s="87"/>
      <c r="G1187" s="114" t="e">
        <f>ION_Sign</f>
        <v>#NAME?</v>
      </c>
      <c r="I1187" s="48" t="s">
        <v>744</v>
      </c>
    </row>
    <row r="1188" spans="1:10" s="10" customFormat="1" hidden="1" outlineLevel="2">
      <c r="A1188" s="70">
        <v>1</v>
      </c>
      <c r="F1188" s="87"/>
      <c r="G1188" s="114" t="e">
        <f>CLEAN_Sign</f>
        <v>#NAME?</v>
      </c>
      <c r="I1188" s="48" t="s">
        <v>744</v>
      </c>
    </row>
    <row r="1189" spans="1:10" s="40" customFormat="1" ht="15">
      <c r="A1189" s="66">
        <v>1</v>
      </c>
      <c r="B1189" s="40" t="s">
        <v>546</v>
      </c>
      <c r="C1189" s="40" t="s">
        <v>594</v>
      </c>
      <c r="D1189" s="40" t="str">
        <f t="shared" si="11"/>
        <v xml:space="preserve">RAM AIR </v>
      </c>
      <c r="F1189" s="82"/>
    </row>
    <row r="1190" spans="1:10" s="38" customFormat="1" collapsed="1">
      <c r="A1190" s="71">
        <v>1</v>
      </c>
      <c r="B1190" s="38" t="s">
        <v>7</v>
      </c>
      <c r="C1190" s="38" t="s">
        <v>1395</v>
      </c>
      <c r="D1190" s="38" t="str">
        <f>VLOOKUP(C1190,Tbl_Button_Display_ASSTS, 2,FALSE)</f>
        <v>RAM AIR 보상 조건에 따른 Blower 제어전압 확인</v>
      </c>
    </row>
    <row r="1191" spans="1:10" s="11" customFormat="1" hidden="1" outlineLevel="1">
      <c r="A1191" s="72">
        <v>1</v>
      </c>
      <c r="B1191" s="11" t="s">
        <v>38</v>
      </c>
      <c r="C1191" s="11" t="s">
        <v>1396</v>
      </c>
      <c r="D1191" s="11" t="s">
        <v>39</v>
      </c>
    </row>
    <row r="1192" spans="1:10" s="10" customFormat="1" hidden="1" outlineLevel="2">
      <c r="A1192" s="70">
        <v>1</v>
      </c>
      <c r="E1192" s="8" t="e">
        <f>Amb_IN</f>
        <v>#NAME?</v>
      </c>
      <c r="F1192" s="65" cm="1">
        <f t="array" ref="F1192">VINTERPOLATION(VLOOKUP(C1191,Tbl_Button_Display_ASSTS,3,FALSE),Tbl_Amb_Sensor,3)</f>
        <v>3.5649228885232098</v>
      </c>
    </row>
    <row r="1193" spans="1:10" s="10" customFormat="1" hidden="1" outlineLevel="2">
      <c r="A1193" s="70">
        <v>1</v>
      </c>
      <c r="E1193" s="14" t="s">
        <v>95</v>
      </c>
      <c r="F1193" s="12" t="s">
        <v>1189</v>
      </c>
    </row>
    <row r="1194" spans="1:10" s="10" customFormat="1" hidden="1" outlineLevel="2">
      <c r="A1194" s="70">
        <v>1</v>
      </c>
      <c r="E1194" s="14" t="str">
        <f>VLOOKUP(C1191,Tbl_Button_Display_ASSTS,11,FALSE)</f>
        <v>MsgBox</v>
      </c>
      <c r="F1194" s="12" t="str">
        <f>VLOOKUP(C1191,Tbl_Button_Display_ASSTS,12,FALSE)</f>
        <v>Blower=6단 수동 설정</v>
      </c>
    </row>
    <row r="1195" spans="1:10" s="10" customFormat="1" hidden="1" outlineLevel="2">
      <c r="A1195" s="70">
        <v>1</v>
      </c>
      <c r="E1195" s="15" t="s">
        <v>5</v>
      </c>
      <c r="F1195" s="12">
        <f>VLOOKUP(C1191,Tbl_Button_Display_ASSTS,13,FALSE)</f>
        <v>10</v>
      </c>
    </row>
    <row r="1196" spans="1:10" s="10" customFormat="1" hidden="1" outlineLevel="2">
      <c r="A1196" s="70">
        <v>1</v>
      </c>
      <c r="G1196" s="10" t="e">
        <f>Amb_OUT</f>
        <v>#NAME?</v>
      </c>
      <c r="I1196" s="13">
        <f>VLOOKUP(C1191,Tbl_Button_Display_ASSTS,3,FALSE)</f>
        <v>5</v>
      </c>
    </row>
    <row r="1197" spans="1:10" s="10" customFormat="1" hidden="1" outlineLevel="2">
      <c r="A1197" s="70">
        <v>1</v>
      </c>
      <c r="G1197" s="10" t="e">
        <f>IntakeDisp</f>
        <v>#NAME?</v>
      </c>
      <c r="I1197" s="13" t="str">
        <f>VLOOKUP(C1191,Tbl_Button_Display_ASSTS,34,FALSE)</f>
        <v>FRE</v>
      </c>
    </row>
    <row r="1198" spans="1:10" s="10" customFormat="1" hidden="1" outlineLevel="2">
      <c r="A1198" s="70">
        <v>1</v>
      </c>
      <c r="G1198" s="10" t="e">
        <f>FrontBlwDisp</f>
        <v>#NAME?</v>
      </c>
      <c r="I1198" s="13">
        <f>VLOOKUP(C1191,Tbl_Button_Display_ASSTS,23,FALSE)</f>
        <v>6</v>
      </c>
    </row>
    <row r="1199" spans="1:10" s="10" customFormat="1" hidden="1" outlineLevel="2">
      <c r="A1199" s="70">
        <v>1</v>
      </c>
      <c r="G1199" s="10" t="e">
        <f>Act_Intake</f>
        <v>#NAME?</v>
      </c>
      <c r="I1199" s="13">
        <f>VLOOKUP(C1190,Tbl_Button_Display_ASSTS,35,FALSE)</f>
        <v>0</v>
      </c>
    </row>
    <row r="1200" spans="1:10" s="10" customFormat="1" hidden="1" outlineLevel="2">
      <c r="A1200" s="70">
        <v>1</v>
      </c>
      <c r="G1200" s="10" t="e">
        <f>BLW_Front</f>
        <v>#NAME?</v>
      </c>
      <c r="I1200" s="13" t="e">
        <f>VLOOKUP(C1191,Tbl_Button_Display_ASSTS,24,FALSE)</f>
        <v>#NAME?</v>
      </c>
    </row>
    <row r="1201" spans="1:12" s="39" customFormat="1" hidden="1" outlineLevel="1">
      <c r="A1201" s="73">
        <v>1</v>
      </c>
      <c r="B1201" s="39" t="s">
        <v>155</v>
      </c>
      <c r="C1201" s="39" t="s">
        <v>1397</v>
      </c>
      <c r="D1201" s="39" t="e">
        <f>CONCATENATE(E1202," = ", F1202," 설정 시, RAM AIR 보상 조건에 따른 ",G1208," = ",I1208,"V 확인")</f>
        <v>#NAME?</v>
      </c>
    </row>
    <row r="1202" spans="1:12" s="10" customFormat="1" hidden="1" outlineLevel="2">
      <c r="A1202" s="70">
        <v>1</v>
      </c>
      <c r="E1202" s="14" t="e">
        <f>VLOOKUP(C1201,Tbl_Button_Display_ASSTS,11,FALSE)</f>
        <v>#NAME?</v>
      </c>
      <c r="F1202" s="12">
        <f>VLOOKUP(C1201,Tbl_Button_Display_ASSTS,12,FALSE)</f>
        <v>255</v>
      </c>
      <c r="J1202" s="15"/>
    </row>
    <row r="1203" spans="1:12" s="10" customFormat="1" hidden="1" outlineLevel="2">
      <c r="A1203" s="70">
        <v>1</v>
      </c>
      <c r="E1203" s="15" t="s">
        <v>5</v>
      </c>
      <c r="F1203" s="12">
        <f>VLOOKUP(C1201,Tbl_Button_Display_ASSTS,13,FALSE)</f>
        <v>5</v>
      </c>
    </row>
    <row r="1204" spans="1:12" s="10" customFormat="1" hidden="1" outlineLevel="2">
      <c r="A1204" s="70">
        <v>1</v>
      </c>
      <c r="G1204" s="10" t="e">
        <f>IntakeDisp</f>
        <v>#NAME?</v>
      </c>
      <c r="I1204" s="13" t="str">
        <f>VLOOKUP(C1201,Tbl_Button_Display_ASSTS,34,FALSE)</f>
        <v>FRE</v>
      </c>
    </row>
    <row r="1205" spans="1:12" s="10" customFormat="1" hidden="1" outlineLevel="2">
      <c r="A1205" s="70">
        <v>1</v>
      </c>
      <c r="G1205" s="10" t="e">
        <f>FrontBlwDisp</f>
        <v>#NAME?</v>
      </c>
      <c r="I1205" s="13">
        <f>VLOOKUP(C1201,Tbl_Button_Display_ASSTS,23,FALSE)</f>
        <v>6</v>
      </c>
    </row>
    <row r="1206" spans="1:12" s="10" customFormat="1" hidden="1" outlineLevel="2">
      <c r="A1206" s="70">
        <v>1</v>
      </c>
      <c r="G1206" s="10" t="e">
        <f>Act_Intake</f>
        <v>#NAME?</v>
      </c>
      <c r="H1206" s="49" t="str">
        <f>VLOOKUP(C1201,Tbl_Button_Display_ASSTS,35,FALSE)</f>
        <v>FRE</v>
      </c>
      <c r="I1206" s="48" t="e">
        <f>IF(H1206="","",VLOOKUP(H1206,Tbl_IntakeFB_Volt,2,FALSE))</f>
        <v>#NAME?</v>
      </c>
    </row>
    <row r="1207" spans="1:12" s="10" customFormat="1" ht="16.5" hidden="1" outlineLevel="2">
      <c r="A1207" s="70">
        <v>1</v>
      </c>
      <c r="E1207" s="15" t="s">
        <v>772</v>
      </c>
      <c r="F1207" s="209" t="s">
        <v>1618</v>
      </c>
      <c r="G1207" s="43"/>
      <c r="H1207" s="43"/>
      <c r="I1207" s="43"/>
    </row>
    <row r="1208" spans="1:12" s="10" customFormat="1" hidden="1" outlineLevel="2">
      <c r="A1208" s="70">
        <v>1</v>
      </c>
      <c r="G1208" s="10" t="e">
        <f>BLW_Front</f>
        <v>#NAME?</v>
      </c>
      <c r="I1208" s="13" t="e">
        <f>VLOOKUP(C1201,Tbl_Button_Display_ASSTS,24,FALSE)</f>
        <v>#NAME?</v>
      </c>
    </row>
    <row r="1209" spans="1:12" s="39" customFormat="1" hidden="1" outlineLevel="1">
      <c r="A1209" s="73">
        <v>1</v>
      </c>
      <c r="B1209" s="39" t="s">
        <v>155</v>
      </c>
      <c r="C1209" s="39" t="s">
        <v>1398</v>
      </c>
      <c r="D1209" s="39" t="str">
        <f>CONCATENATE(E1210," ", F1210,"회 선택 시, RAM AIR 보상 해제 확인")</f>
        <v>Sw_REC 1회 선택 시, RAM AIR 보상 해제 확인</v>
      </c>
      <c r="L1209" s="199"/>
    </row>
    <row r="1210" spans="1:12" s="10" customFormat="1" hidden="1" outlineLevel="2">
      <c r="A1210" s="70">
        <v>1</v>
      </c>
      <c r="E1210" s="14" t="str">
        <f>VLOOKUP(C1209,Tbl_Button_Display_ASSTS,11,FALSE)</f>
        <v>Sw_REC</v>
      </c>
      <c r="F1210" s="12">
        <f>VLOOKUP(C1209,Tbl_Button_Display_ASSTS,12,FALSE)</f>
        <v>1</v>
      </c>
      <c r="J1210" s="15"/>
    </row>
    <row r="1211" spans="1:12" s="10" customFormat="1" hidden="1" outlineLevel="2">
      <c r="A1211" s="70">
        <v>1</v>
      </c>
      <c r="E1211" s="15" t="s">
        <v>5</v>
      </c>
      <c r="F1211" s="12">
        <f>VLOOKUP(C1209,Tbl_Button_Display_ASSTS,13,FALSE)</f>
        <v>5</v>
      </c>
    </row>
    <row r="1212" spans="1:12" s="10" customFormat="1" hidden="1" outlineLevel="2">
      <c r="A1212" s="70">
        <v>1</v>
      </c>
      <c r="G1212" s="10" t="e">
        <f>IntakeDisp</f>
        <v>#NAME?</v>
      </c>
      <c r="I1212" s="13" t="str">
        <f>VLOOKUP(C1209,Tbl_Button_Display_ASSTS,34,FALSE)</f>
        <v>REC</v>
      </c>
    </row>
    <row r="1213" spans="1:12" s="10" customFormat="1" hidden="1" outlineLevel="2">
      <c r="A1213" s="70">
        <v>1</v>
      </c>
      <c r="G1213" s="10" t="e">
        <f>FrontBlwDisp</f>
        <v>#NAME?</v>
      </c>
      <c r="I1213" s="13">
        <f>VLOOKUP(C1209,Tbl_Button_Display_ASSTS,23,FALSE)</f>
        <v>6</v>
      </c>
    </row>
    <row r="1214" spans="1:12" s="10" customFormat="1" hidden="1" outlineLevel="2">
      <c r="A1214" s="70">
        <v>1</v>
      </c>
      <c r="G1214" s="10" t="e">
        <f>Act_Intake</f>
        <v>#NAME?</v>
      </c>
      <c r="H1214" s="49" t="str">
        <f>VLOOKUP(C1209,Tbl_Button_Display_ASSTS,35,FALSE)</f>
        <v>REC</v>
      </c>
      <c r="I1214" s="48" t="e">
        <f>IF(H1214="","",VLOOKUP(H1214,Tbl_IntakeFB_Volt,2,FALSE))</f>
        <v>#NAME?</v>
      </c>
    </row>
    <row r="1215" spans="1:12" s="10" customFormat="1" ht="16.5" hidden="1" outlineLevel="2">
      <c r="A1215" s="70">
        <v>1</v>
      </c>
      <c r="E1215" s="15" t="s">
        <v>772</v>
      </c>
      <c r="F1215" s="209" t="s">
        <v>1619</v>
      </c>
      <c r="G1215" s="43"/>
      <c r="H1215" s="43"/>
      <c r="I1215" s="43"/>
    </row>
    <row r="1216" spans="1:12" s="10" customFormat="1" hidden="1" outlineLevel="2">
      <c r="A1216" s="70">
        <v>1</v>
      </c>
      <c r="G1216" s="10" t="e">
        <f>BLW_Front</f>
        <v>#NAME?</v>
      </c>
      <c r="I1216" s="13" t="e">
        <f>VLOOKUP(C1209,Tbl_Button_Display_ASSTS,24,FALSE)</f>
        <v>#NAME?</v>
      </c>
    </row>
    <row r="1217" spans="1:10" s="40" customFormat="1" ht="15">
      <c r="A1217" s="66">
        <v>1</v>
      </c>
      <c r="B1217" s="40" t="s">
        <v>547</v>
      </c>
      <c r="C1217" s="40" t="s">
        <v>595</v>
      </c>
      <c r="D1217" s="40" t="str">
        <f t="shared" si="11"/>
        <v>PARTIAL(가변) INTAKE LOGIC</v>
      </c>
      <c r="F1217" s="82"/>
    </row>
    <row r="1218" spans="1:10" s="38" customFormat="1" collapsed="1">
      <c r="A1218" s="71">
        <v>1</v>
      </c>
      <c r="B1218" s="38" t="s">
        <v>156</v>
      </c>
      <c r="C1218" s="38" t="s">
        <v>891</v>
      </c>
      <c r="D1218" s="38" t="str">
        <f>VLOOKUP(C1218,Tbl_Button_Display_ASSTS, 2,FALSE)</f>
        <v>PARTIAL(가변) INTAKE LOGIC - 난방개선</v>
      </c>
      <c r="F1218" s="88"/>
    </row>
    <row r="1219" spans="1:10" s="11" customFormat="1" hidden="1" outlineLevel="1">
      <c r="A1219" s="72">
        <v>1</v>
      </c>
      <c r="B1219" s="11" t="s">
        <v>38</v>
      </c>
      <c r="C1219" s="11" t="s">
        <v>892</v>
      </c>
      <c r="D1219" s="11" t="s">
        <v>39</v>
      </c>
      <c r="F1219" s="89"/>
    </row>
    <row r="1220" spans="1:10" s="10" customFormat="1" ht="16.5" hidden="1" outlineLevel="2">
      <c r="A1220" s="70">
        <v>1</v>
      </c>
      <c r="D1220" s="46" t="s">
        <v>1620</v>
      </c>
      <c r="E1220" s="8" t="e">
        <f>Incar_IN</f>
        <v>#NAME?</v>
      </c>
      <c r="F1220" s="93" cm="1">
        <f t="array" ref="F1220">VINTERPOLATION(VLOOKUP(C1219,Tbl_Button_Display_ASSTS,2,FALSE),Tbl_Incar_Sensor,3)</f>
        <v>1.5200801751718971</v>
      </c>
    </row>
    <row r="1221" spans="1:10" s="10" customFormat="1" hidden="1" outlineLevel="2">
      <c r="A1221" s="70">
        <v>1</v>
      </c>
      <c r="E1221" s="8" t="e">
        <f>Amb_IN</f>
        <v>#NAME?</v>
      </c>
      <c r="F1221" s="93" cm="1">
        <f t="array" ref="F1221">VINTERPOLATION(VLOOKUP(C1219,Tbl_Button_Display_ASSTS,3,FALSE),Tbl_Amb_Sensor,3)</f>
        <v>4.2028908491869492</v>
      </c>
    </row>
    <row r="1222" spans="1:10" s="10" customFormat="1" hidden="1" outlineLevel="2">
      <c r="A1222" s="70">
        <v>1</v>
      </c>
      <c r="E1222" s="14" t="e">
        <f>EngColTemp</f>
        <v>#NAME?</v>
      </c>
      <c r="F1222" s="13">
        <f>VLOOKUP(C1219,Tbl_Button_Display_ASSTS,5,FALSE)</f>
        <v>35</v>
      </c>
      <c r="J1222" s="15"/>
    </row>
    <row r="1223" spans="1:10" s="10" customFormat="1" hidden="1" outlineLevel="2">
      <c r="A1223" s="70">
        <v>1</v>
      </c>
      <c r="E1223" s="14" t="e">
        <f>VS_VehSpd_Kmh</f>
        <v>#NAME?</v>
      </c>
      <c r="F1223" s="85">
        <v>35</v>
      </c>
    </row>
    <row r="1224" spans="1:10" s="10" customFormat="1" hidden="1" outlineLevel="2">
      <c r="A1224" s="70">
        <v>1</v>
      </c>
      <c r="E1224" s="14" t="str">
        <f>VLOOKUP(C1219,Tbl_Button_Display_ASSTS,11,FALSE)</f>
        <v>MsgBox</v>
      </c>
      <c r="F1224" s="85" t="str">
        <f>VLOOKUP(C1219,Tbl_Button_Display_ASSTS,12,FALSE)</f>
        <v>설정온도=Hi, Blower=5단 수동 설정</v>
      </c>
    </row>
    <row r="1225" spans="1:10" s="10" customFormat="1" hidden="1" outlineLevel="2">
      <c r="A1225" s="70">
        <v>1</v>
      </c>
      <c r="E1225" s="14" t="s">
        <v>95</v>
      </c>
      <c r="F1225" s="12" t="s">
        <v>1189</v>
      </c>
    </row>
    <row r="1226" spans="1:10" s="10" customFormat="1" hidden="1" outlineLevel="2">
      <c r="A1226" s="70">
        <v>1</v>
      </c>
      <c r="E1226" s="15" t="s">
        <v>5</v>
      </c>
      <c r="F1226" s="85">
        <f>VLOOKUP(C1219,Tbl_Button_Display_ASSTS,13,FALSE)</f>
        <v>10</v>
      </c>
    </row>
    <row r="1227" spans="1:10" s="10" customFormat="1" hidden="1" outlineLevel="2">
      <c r="A1227" s="70">
        <v>1</v>
      </c>
      <c r="F1227" s="87"/>
      <c r="G1227" s="10" t="e">
        <f>Incar_OUT</f>
        <v>#NAME?</v>
      </c>
      <c r="I1227" s="13">
        <f>VLOOKUP(C1219,Tbl_Button_Display_ASSTS,2,FALSE)</f>
        <v>45</v>
      </c>
    </row>
    <row r="1228" spans="1:10" s="10" customFormat="1" hidden="1" outlineLevel="2">
      <c r="A1228" s="70">
        <v>1</v>
      </c>
      <c r="F1228" s="87"/>
      <c r="G1228" s="10" t="e">
        <f>Amb_OUT</f>
        <v>#NAME?</v>
      </c>
      <c r="I1228" s="13">
        <f>VLOOKUP(C1219,Tbl_Button_Display_ASSTS,3,FALSE)</f>
        <v>-10</v>
      </c>
    </row>
    <row r="1229" spans="1:10" s="10" customFormat="1" hidden="1" outlineLevel="2">
      <c r="A1229" s="70">
        <v>1</v>
      </c>
      <c r="G1229" s="10" t="e">
        <f>DrTempDispC</f>
        <v>#NAME?</v>
      </c>
      <c r="I1229" s="13" t="e">
        <f>VLOOKUP(C1219,Tbl_Button_Display_ASSTS,26,FALSE)</f>
        <v>#NAME?</v>
      </c>
    </row>
    <row r="1230" spans="1:10" s="10" customFormat="1" hidden="1" outlineLevel="2">
      <c r="A1230" s="70">
        <v>1</v>
      </c>
      <c r="F1230" s="87"/>
      <c r="G1230" s="10" t="e">
        <f>IntakeDisp</f>
        <v>#NAME?</v>
      </c>
      <c r="I1230" s="13" t="str">
        <f>VLOOKUP(C1219,Tbl_Button_Display_ASSTS,34,FALSE)</f>
        <v>FRE</v>
      </c>
    </row>
    <row r="1231" spans="1:10" s="10" customFormat="1" hidden="1" outlineLevel="2">
      <c r="A1231" s="70">
        <v>1</v>
      </c>
      <c r="F1231" s="87"/>
      <c r="G1231" s="10" t="e">
        <f>FrontBlwDisp</f>
        <v>#NAME?</v>
      </c>
      <c r="I1231" s="13">
        <f>VLOOKUP(C1219,Tbl_Button_Display_ASSTS,23,FALSE)</f>
        <v>5</v>
      </c>
    </row>
    <row r="1232" spans="1:10" s="10" customFormat="1" hidden="1" outlineLevel="2">
      <c r="A1232" s="70">
        <v>1</v>
      </c>
      <c r="F1232" s="87"/>
      <c r="G1232" s="10" t="e">
        <f>Act_Intake</f>
        <v>#NAME?</v>
      </c>
      <c r="H1232" s="49" t="str">
        <f>VLOOKUP(C1219,Tbl_Button_Display_ASSTS,35,FALSE)</f>
        <v>FRE</v>
      </c>
      <c r="I1232" s="48" t="e">
        <f>IF(H1232="","",VLOOKUP(H1232,Tbl_IntakeFB_Volt,2,FALSE))</f>
        <v>#NAME?</v>
      </c>
    </row>
    <row r="1233" spans="1:10" s="39" customFormat="1" hidden="1" outlineLevel="1">
      <c r="A1233" s="73">
        <v>1</v>
      </c>
      <c r="B1233" s="39" t="s">
        <v>155</v>
      </c>
      <c r="C1233" s="39" t="s">
        <v>893</v>
      </c>
      <c r="D1233" s="39" t="str">
        <f>CONCATENATE(E1234," ",F1234,"회 선택 시, Partial_Intake 로직 진입 확인")</f>
        <v>Sw_Blower_Up 1회 선택 시, Partial_Intake 로직 진입 확인</v>
      </c>
      <c r="F1233" s="91"/>
    </row>
    <row r="1234" spans="1:10" s="10" customFormat="1" hidden="1" outlineLevel="2">
      <c r="A1234" s="70">
        <v>1</v>
      </c>
      <c r="E1234" s="14" t="str">
        <f>VLOOKUP(C1233,Tbl_Button_Display_ASSTS,11,FALSE)</f>
        <v>Sw_Blower_Up</v>
      </c>
      <c r="F1234" s="85">
        <f>VLOOKUP(C1233,Tbl_Button_Display_ASSTS,12,FALSE)</f>
        <v>1</v>
      </c>
      <c r="J1234" s="15"/>
    </row>
    <row r="1235" spans="1:10" s="10" customFormat="1" hidden="1" outlineLevel="2">
      <c r="A1235" s="70">
        <v>1</v>
      </c>
      <c r="E1235" s="15" t="s">
        <v>5</v>
      </c>
      <c r="F1235" s="85">
        <f>VLOOKUP(C1233,Tbl_Button_Display_ASSTS,13,FALSE)</f>
        <v>5</v>
      </c>
    </row>
    <row r="1236" spans="1:10" s="10" customFormat="1" hidden="1" outlineLevel="2">
      <c r="A1236" s="70">
        <v>1</v>
      </c>
      <c r="F1236" s="87"/>
      <c r="G1236" s="10" t="e">
        <f>FrontBlwDisp</f>
        <v>#NAME?</v>
      </c>
      <c r="I1236" s="13">
        <f>VLOOKUP(C1233,Tbl_Button_Display_ASSTS,23,FALSE)</f>
        <v>6</v>
      </c>
    </row>
    <row r="1237" spans="1:10" s="10" customFormat="1" hidden="1" outlineLevel="2">
      <c r="A1237" s="70">
        <v>1</v>
      </c>
      <c r="F1237" s="87"/>
      <c r="G1237" s="10" t="e">
        <f>Act_Intake</f>
        <v>#NAME?</v>
      </c>
      <c r="H1237" s="49" t="str">
        <f>VLOOKUP(C1233,Tbl_Button_Display_ASSTS,35,FALSE)</f>
        <v>P_intake</v>
      </c>
      <c r="I1237" s="48" t="e">
        <f>IF(H1237="","",VLOOKUP(H1237,Tbl_IntakeFB_Volt,2,FALSE))</f>
        <v>#NAME?</v>
      </c>
    </row>
    <row r="1238" spans="1:10" s="39" customFormat="1" hidden="1" outlineLevel="1">
      <c r="A1238" s="73">
        <v>1</v>
      </c>
      <c r="B1238" s="39" t="s">
        <v>155</v>
      </c>
      <c r="C1238" s="39" t="s">
        <v>894</v>
      </c>
      <c r="D1238" s="39" t="str">
        <f>CONCATENATE(E1239," ",F1239,"회 선택 시, Partial_Intake 로직 해제 확인")</f>
        <v>Sw_Blower_Dn 1회 선택 시, Partial_Intake 로직 해제 확인</v>
      </c>
      <c r="F1238" s="91"/>
    </row>
    <row r="1239" spans="1:10" s="10" customFormat="1" hidden="1" outlineLevel="2">
      <c r="A1239" s="70">
        <v>1</v>
      </c>
      <c r="E1239" s="14" t="str">
        <f>VLOOKUP(C1238,Tbl_Button_Display_ASSTS,11,FALSE)</f>
        <v>Sw_Blower_Dn</v>
      </c>
      <c r="F1239" s="85">
        <f>VLOOKUP(C1238,Tbl_Button_Display_ASSTS,12,FALSE)</f>
        <v>1</v>
      </c>
      <c r="J1239" s="15"/>
    </row>
    <row r="1240" spans="1:10" s="10" customFormat="1" hidden="1" outlineLevel="2">
      <c r="A1240" s="70">
        <v>1</v>
      </c>
      <c r="E1240" s="15" t="s">
        <v>5</v>
      </c>
      <c r="F1240" s="85">
        <f>VLOOKUP(C1238,Tbl_Button_Display_ASSTS,13,FALSE)</f>
        <v>5</v>
      </c>
    </row>
    <row r="1241" spans="1:10" s="10" customFormat="1" hidden="1" outlineLevel="2">
      <c r="A1241" s="70">
        <v>1</v>
      </c>
      <c r="F1241" s="87"/>
      <c r="G1241" s="10" t="e">
        <f>FrontBlwDisp</f>
        <v>#NAME?</v>
      </c>
      <c r="I1241" s="13">
        <f>VLOOKUP(C1238,Tbl_Button_Display_ASSTS,23,FALSE)</f>
        <v>5</v>
      </c>
    </row>
    <row r="1242" spans="1:10" s="10" customFormat="1" hidden="1" outlineLevel="2">
      <c r="A1242" s="70">
        <v>1</v>
      </c>
      <c r="F1242" s="87"/>
      <c r="G1242" s="10" t="e">
        <f>Act_Intake</f>
        <v>#NAME?</v>
      </c>
      <c r="H1242" s="49" t="str">
        <f>VLOOKUP(C1238,Tbl_Button_Display_ASSTS,35,FALSE)</f>
        <v>FRE</v>
      </c>
      <c r="I1242" s="48" t="e">
        <f>IF(H1242="","",VLOOKUP(H1242,Tbl_IntakeFB_Volt,2,FALSE))</f>
        <v>#NAME?</v>
      </c>
    </row>
    <row r="1243" spans="1:10" s="38" customFormat="1" collapsed="1">
      <c r="A1243" s="71">
        <v>1</v>
      </c>
      <c r="B1243" s="38" t="s">
        <v>156</v>
      </c>
      <c r="C1243" s="38" t="s">
        <v>895</v>
      </c>
      <c r="D1243" s="38" t="str">
        <f>VLOOKUP(C1243,Tbl_Button_Display_ASSTS, 2,FALSE)</f>
        <v>PARTIAL(가변) INTAKE LOGIC - 냉방개선</v>
      </c>
      <c r="F1243" s="88"/>
    </row>
    <row r="1244" spans="1:10" s="11" customFormat="1" hidden="1" outlineLevel="1">
      <c r="A1244" s="72">
        <v>1</v>
      </c>
      <c r="B1244" s="11" t="s">
        <v>38</v>
      </c>
      <c r="C1244" s="11" t="s">
        <v>896</v>
      </c>
      <c r="D1244" s="11" t="s">
        <v>39</v>
      </c>
      <c r="F1244" s="89"/>
    </row>
    <row r="1245" spans="1:10" s="10" customFormat="1" ht="13.5" hidden="1" customHeight="1" outlineLevel="2">
      <c r="A1245" s="70">
        <v>1</v>
      </c>
      <c r="E1245" s="8" t="e">
        <f>Incar_IN</f>
        <v>#NAME?</v>
      </c>
      <c r="F1245" s="93" cm="1">
        <f t="array" ref="F1245">VINTERPOLATION(VLOOKUP(C1244,Tbl_Button_Display_ASSTS,2,FALSE),Tbl_Incar_Sensor,3)</f>
        <v>2.2309026219222754</v>
      </c>
    </row>
    <row r="1246" spans="1:10" s="10" customFormat="1" hidden="1" outlineLevel="2">
      <c r="A1246" s="70">
        <v>1</v>
      </c>
      <c r="E1246" s="8" t="e">
        <f>Amb_IN</f>
        <v>#NAME?</v>
      </c>
      <c r="F1246" s="93" cm="1">
        <f t="array" ref="F1246">VINTERPOLATION(VLOOKUP(C1244,Tbl_Button_Display_ASSTS,3,FALSE),Tbl_Amb_Sensor,3)</f>
        <v>1.9835907335907339</v>
      </c>
    </row>
    <row r="1247" spans="1:10" s="10" customFormat="1" hidden="1" outlineLevel="2">
      <c r="A1247" s="70">
        <v>1</v>
      </c>
      <c r="E1247" s="14" t="e">
        <f>EngColTemp</f>
        <v>#NAME?</v>
      </c>
      <c r="F1247" s="13">
        <f>VLOOKUP(C1244,Tbl_Button_Display_ASSTS,5,FALSE)</f>
        <v>80.25</v>
      </c>
      <c r="J1247" s="15"/>
    </row>
    <row r="1248" spans="1:10" s="10" customFormat="1" hidden="1" outlineLevel="2">
      <c r="A1248" s="70">
        <v>1</v>
      </c>
      <c r="E1248" s="14" t="str">
        <f>VLOOKUP(C1244,Tbl_Button_Display_ASSTS,11,FALSE)</f>
        <v>MsgBox</v>
      </c>
      <c r="F1248" s="85" t="e">
        <f>VLOOKUP(C1244,Tbl_Button_Display_ASSTS,12,FALSE)</f>
        <v>#NAME?</v>
      </c>
    </row>
    <row r="1249" spans="1:10" s="10" customFormat="1" hidden="1" outlineLevel="2">
      <c r="A1249" s="70">
        <v>1</v>
      </c>
      <c r="E1249" s="14" t="s">
        <v>95</v>
      </c>
      <c r="F1249" s="12" t="s">
        <v>1189</v>
      </c>
    </row>
    <row r="1250" spans="1:10" s="10" customFormat="1" hidden="1" outlineLevel="2">
      <c r="A1250" s="70">
        <v>1</v>
      </c>
      <c r="E1250" s="15" t="s">
        <v>5</v>
      </c>
      <c r="F1250" s="85">
        <f>VLOOKUP(C1244,Tbl_Button_Display_ASSTS,13,FALSE)</f>
        <v>10</v>
      </c>
    </row>
    <row r="1251" spans="1:10" s="10" customFormat="1" hidden="1" outlineLevel="2">
      <c r="A1251" s="70">
        <v>1</v>
      </c>
      <c r="F1251" s="87"/>
      <c r="G1251" s="10" t="e">
        <f>Incar_OUT</f>
        <v>#NAME?</v>
      </c>
      <c r="I1251" s="13">
        <f>VLOOKUP(C1244,Tbl_Button_Display_ASSTS,2,FALSE)</f>
        <v>30</v>
      </c>
    </row>
    <row r="1252" spans="1:10" s="10" customFormat="1" hidden="1" outlineLevel="2">
      <c r="A1252" s="70">
        <v>1</v>
      </c>
      <c r="F1252" s="87"/>
      <c r="G1252" s="10" t="e">
        <f>Amb_OUT</f>
        <v>#NAME?</v>
      </c>
      <c r="I1252" s="13">
        <f>VLOOKUP(C1244,Tbl_Button_Display_ASSTS,3,FALSE)</f>
        <v>35</v>
      </c>
    </row>
    <row r="1253" spans="1:10" s="10" customFormat="1" hidden="1" outlineLevel="2">
      <c r="A1253" s="70">
        <v>1</v>
      </c>
      <c r="F1253" s="87"/>
      <c r="G1253" s="10" t="e">
        <f>IntakeDisp</f>
        <v>#NAME?</v>
      </c>
      <c r="I1253" s="13" t="str">
        <f>VLOOKUP(C1244,Tbl_Button_Display_ASSTS,34,FALSE)</f>
        <v>FRE</v>
      </c>
    </row>
    <row r="1254" spans="1:10" s="10" customFormat="1" hidden="1" outlineLevel="2">
      <c r="A1254" s="70">
        <v>1</v>
      </c>
      <c r="F1254" s="87"/>
      <c r="G1254" s="10" t="e">
        <f>FrontBlwDisp</f>
        <v>#NAME?</v>
      </c>
      <c r="I1254" s="13">
        <f>VLOOKUP(C1244,Tbl_Button_Display_ASSTS,23,FALSE)</f>
        <v>4</v>
      </c>
    </row>
    <row r="1255" spans="1:10" s="10" customFormat="1" hidden="1" outlineLevel="2">
      <c r="A1255" s="70">
        <v>1</v>
      </c>
      <c r="F1255" s="87"/>
      <c r="G1255" s="10" t="e">
        <f>Act_Intake</f>
        <v>#NAME?</v>
      </c>
      <c r="H1255" s="49" t="str">
        <f>VLOOKUP(C1244,Tbl_Button_Display_ASSTS,35,FALSE)</f>
        <v>FRE</v>
      </c>
      <c r="I1255" s="48" t="e">
        <f>IF(H1255="","",VLOOKUP(H1255,Tbl_IntakeFB_Volt,2,FALSE))</f>
        <v>#NAME?</v>
      </c>
    </row>
    <row r="1256" spans="1:10" s="39" customFormat="1" hidden="1" outlineLevel="1">
      <c r="A1256" s="73">
        <v>1</v>
      </c>
      <c r="B1256" s="39" t="s">
        <v>155</v>
      </c>
      <c r="C1256" s="39" t="s">
        <v>897</v>
      </c>
      <c r="D1256" s="39" t="str">
        <f>CONCATENATE(E1257," ",F1257,"회 선택 시, Partial_Intake 로직 진입 확인")</f>
        <v>Sw_Blower_Up 1회 선택 시, Partial_Intake 로직 진입 확인</v>
      </c>
      <c r="F1256" s="91"/>
    </row>
    <row r="1257" spans="1:10" s="10" customFormat="1" hidden="1" outlineLevel="2">
      <c r="A1257" s="70">
        <v>1</v>
      </c>
      <c r="E1257" s="14" t="str">
        <f>VLOOKUP(C1256,Tbl_Button_Display_ASSTS,11,FALSE)</f>
        <v>Sw_Blower_Up</v>
      </c>
      <c r="F1257" s="85">
        <f>VLOOKUP(C1256,Tbl_Button_Display_ASSTS,12,FALSE)</f>
        <v>1</v>
      </c>
      <c r="J1257" s="15"/>
    </row>
    <row r="1258" spans="1:10" s="10" customFormat="1" hidden="1" outlineLevel="2">
      <c r="A1258" s="70">
        <v>1</v>
      </c>
      <c r="E1258" s="15" t="s">
        <v>5</v>
      </c>
      <c r="F1258" s="85">
        <f>VLOOKUP(C1256,Tbl_Button_Display_ASSTS,13,FALSE)</f>
        <v>5</v>
      </c>
    </row>
    <row r="1259" spans="1:10" s="10" customFormat="1" hidden="1" outlineLevel="2">
      <c r="A1259" s="70">
        <v>1</v>
      </c>
      <c r="F1259" s="87"/>
      <c r="G1259" s="10" t="e">
        <f>FrontBlwDisp</f>
        <v>#NAME?</v>
      </c>
      <c r="I1259" s="13">
        <f>VLOOKUP(C1256,Tbl_Button_Display_ASSTS,23,FALSE)</f>
        <v>5</v>
      </c>
    </row>
    <row r="1260" spans="1:10" s="10" customFormat="1" hidden="1" outlineLevel="2">
      <c r="A1260" s="70">
        <v>1</v>
      </c>
      <c r="F1260" s="87"/>
      <c r="G1260" s="10" t="e">
        <f>Act_Intake</f>
        <v>#NAME?</v>
      </c>
      <c r="H1260" s="49" t="str">
        <f>VLOOKUP(C1256,Tbl_Button_Display_ASSTS,35,FALSE)</f>
        <v>P_intake</v>
      </c>
      <c r="I1260" s="48" t="e">
        <f>IF(H1260="","",VLOOKUP(H1260,Tbl_IntakeFB_Volt,2,FALSE))</f>
        <v>#NAME?</v>
      </c>
    </row>
    <row r="1261" spans="1:10" s="39" customFormat="1" hidden="1" outlineLevel="1">
      <c r="A1261" s="73">
        <v>1</v>
      </c>
      <c r="B1261" s="39" t="s">
        <v>155</v>
      </c>
      <c r="C1261" s="39" t="s">
        <v>898</v>
      </c>
      <c r="D1261" s="39" t="str">
        <f>CONCATENATE(E1262," ",F1262,"회 선택 시, Partial_Intake 로직 해제 확인")</f>
        <v>Sw_Blower_Dn 1회 선택 시, Partial_Intake 로직 해제 확인</v>
      </c>
      <c r="F1261" s="91"/>
    </row>
    <row r="1262" spans="1:10" s="10" customFormat="1" hidden="1" outlineLevel="2">
      <c r="A1262" s="70">
        <v>1</v>
      </c>
      <c r="E1262" s="14" t="str">
        <f>VLOOKUP(C1261,Tbl_Button_Display_ASSTS,11,FALSE)</f>
        <v>Sw_Blower_Dn</v>
      </c>
      <c r="F1262" s="85">
        <f>VLOOKUP(C1261,Tbl_Button_Display_ASSTS,12,FALSE)</f>
        <v>1</v>
      </c>
      <c r="J1262" s="15"/>
    </row>
    <row r="1263" spans="1:10" s="10" customFormat="1" hidden="1" outlineLevel="2">
      <c r="A1263" s="70">
        <v>1</v>
      </c>
      <c r="E1263" s="15" t="s">
        <v>5</v>
      </c>
      <c r="F1263" s="85">
        <f>VLOOKUP(C1261,Tbl_Button_Display_ASSTS,13,FALSE)</f>
        <v>5</v>
      </c>
    </row>
    <row r="1264" spans="1:10" s="10" customFormat="1" hidden="1" outlineLevel="2">
      <c r="A1264" s="70">
        <v>1</v>
      </c>
      <c r="F1264" s="87"/>
      <c r="G1264" s="10" t="e">
        <f>FrontBlwDisp</f>
        <v>#NAME?</v>
      </c>
      <c r="I1264" s="13">
        <f>VLOOKUP(C1261,Tbl_Button_Display_ASSTS,23,FALSE)</f>
        <v>4</v>
      </c>
    </row>
    <row r="1265" spans="1:10" s="10" customFormat="1" hidden="1" outlineLevel="2">
      <c r="A1265" s="70">
        <v>1</v>
      </c>
      <c r="F1265" s="87"/>
      <c r="G1265" s="10" t="e">
        <f>Act_Intake</f>
        <v>#NAME?</v>
      </c>
      <c r="H1265" s="49" t="str">
        <f>VLOOKUP(C1261,Tbl_Button_Display_ASSTS,35,FALSE)</f>
        <v>FRE</v>
      </c>
      <c r="I1265" s="48" t="e">
        <f>IF(H1265="","",VLOOKUP(H1265,Tbl_IntakeFB_Volt,2,FALSE))</f>
        <v>#NAME?</v>
      </c>
    </row>
    <row r="1266" spans="1:10" s="40" customFormat="1" ht="15">
      <c r="A1266" s="66">
        <v>1</v>
      </c>
      <c r="B1266" s="40" t="s">
        <v>548</v>
      </c>
      <c r="C1266" s="40" t="s">
        <v>596</v>
      </c>
      <c r="D1266" s="40" t="str">
        <f t="shared" si="11"/>
        <v>Vert Air 로직 (내외기 2층 제어로직) - with ADS 사양</v>
      </c>
      <c r="F1266" s="82"/>
    </row>
    <row r="1267" spans="1:10" s="123" customFormat="1" collapsed="1">
      <c r="A1267" s="122">
        <v>1</v>
      </c>
      <c r="B1267" s="123" t="s">
        <v>156</v>
      </c>
      <c r="C1267" s="123" t="s">
        <v>1383</v>
      </c>
      <c r="D1267" s="123" t="str">
        <f>VLOOKUP(C1267,Tbl_Button_Display_ASSTS, 2,FALSE)</f>
        <v>Vert Air 로직 동작 확인 - 난방개선</v>
      </c>
      <c r="F1267" s="88"/>
    </row>
    <row r="1268" spans="1:10" s="125" customFormat="1" hidden="1" outlineLevel="1">
      <c r="A1268" s="124">
        <v>1</v>
      </c>
      <c r="B1268" s="125" t="s">
        <v>38</v>
      </c>
      <c r="C1268" s="125" t="s">
        <v>1384</v>
      </c>
      <c r="D1268" s="125" t="s">
        <v>39</v>
      </c>
      <c r="F1268" s="89"/>
    </row>
    <row r="1269" spans="1:10" s="10" customFormat="1" ht="13.5" hidden="1" customHeight="1" outlineLevel="2">
      <c r="A1269" s="70">
        <v>1</v>
      </c>
      <c r="E1269" s="114" t="e">
        <f>Incar_IN</f>
        <v>#NAME?</v>
      </c>
      <c r="F1269" s="93" cm="1">
        <f t="array" ref="F1269">VINTERPOLATION(VLOOKUP(C1268,Tbl_Button_Display_ASSTS,2,FALSE),Tbl_Incar_Sensor,3)</f>
        <v>2.7770301561980029</v>
      </c>
    </row>
    <row r="1270" spans="1:10" s="10" customFormat="1" hidden="1" outlineLevel="2">
      <c r="A1270" s="70">
        <v>1</v>
      </c>
      <c r="E1270" s="114" t="e">
        <f>Amb_IN</f>
        <v>#NAME?</v>
      </c>
      <c r="F1270" s="93" cm="1">
        <f t="array" ref="F1270">VINTERPOLATION(VLOOKUP(C1268,Tbl_Button_Display_ASSTS,3,FALSE),Tbl_Amb_Sensor,3)</f>
        <v>3.8009208927543647</v>
      </c>
    </row>
    <row r="1271" spans="1:10" s="10" customFormat="1" hidden="1" outlineLevel="2">
      <c r="A1271" s="70">
        <v>1</v>
      </c>
      <c r="E1271" s="114" t="s">
        <v>109</v>
      </c>
      <c r="F1271" s="85">
        <v>40</v>
      </c>
      <c r="J1271" s="15"/>
    </row>
    <row r="1272" spans="1:10" s="10" customFormat="1" hidden="1" outlineLevel="2">
      <c r="A1272" s="70">
        <v>1</v>
      </c>
      <c r="E1272" s="14" t="e">
        <f>EngColTemp</f>
        <v>#NAME?</v>
      </c>
      <c r="F1272" s="13">
        <f>VLOOKUP(C1268,Tbl_Button_Display_ASSTS,5,FALSE)</f>
        <v>45</v>
      </c>
      <c r="J1272" s="15"/>
    </row>
    <row r="1273" spans="1:10" s="10" customFormat="1" hidden="1" outlineLevel="2">
      <c r="A1273" s="70">
        <v>1</v>
      </c>
      <c r="E1273" s="114" t="str">
        <f>VLOOKUP(C1268,Tbl_Button_Display_ASSTS,11,FALSE)</f>
        <v>MsgBox</v>
      </c>
      <c r="F1273" s="85" t="str">
        <f>VLOOKUP(C1268,Tbl_Button_Display_ASSTS,12,FALSE)</f>
        <v>설정온도=Hi, Blower=4단 수동 설정</v>
      </c>
    </row>
    <row r="1274" spans="1:10" s="10" customFormat="1" hidden="1" outlineLevel="2">
      <c r="A1274" s="70">
        <v>1</v>
      </c>
      <c r="E1274" s="14" t="s">
        <v>95</v>
      </c>
      <c r="F1274" s="12" t="s">
        <v>1189</v>
      </c>
    </row>
    <row r="1275" spans="1:10" s="10" customFormat="1" hidden="1" outlineLevel="2">
      <c r="A1275" s="70">
        <v>1</v>
      </c>
      <c r="E1275" s="15" t="s">
        <v>715</v>
      </c>
      <c r="F1275" s="85">
        <f>VLOOKUP(C1268,Tbl_Button_Display_ASSTS,13,FALSE)</f>
        <v>10</v>
      </c>
    </row>
    <row r="1276" spans="1:10" s="10" customFormat="1" hidden="1" outlineLevel="2">
      <c r="A1276" s="70">
        <v>1</v>
      </c>
      <c r="F1276" s="87"/>
      <c r="G1276" s="10" t="e">
        <f>Incar_OUT</f>
        <v>#NAME?</v>
      </c>
      <c r="I1276" s="13">
        <f>VLOOKUP(C1268,Tbl_Button_Display_ASSTS,2,FALSE)</f>
        <v>20</v>
      </c>
    </row>
    <row r="1277" spans="1:10" s="10" customFormat="1" ht="13.5" hidden="1" customHeight="1" outlineLevel="2">
      <c r="A1277" s="70">
        <v>1</v>
      </c>
      <c r="F1277" s="87"/>
      <c r="G1277" s="10" t="e">
        <f>Amb_OUT</f>
        <v>#NAME?</v>
      </c>
      <c r="I1277" s="13">
        <f>VLOOKUP(C1268,Tbl_Button_Display_ASSTS,3,FALSE)</f>
        <v>0</v>
      </c>
    </row>
    <row r="1278" spans="1:10" s="10" customFormat="1" hidden="1" outlineLevel="2">
      <c r="A1278" s="70">
        <v>1</v>
      </c>
      <c r="F1278" s="87"/>
      <c r="G1278" s="114" t="e">
        <f>DrTempDispC</f>
        <v>#NAME?</v>
      </c>
      <c r="I1278" s="13">
        <f>VLOOKUP(C1268,Tbl_Button_Display_ASSTS,26,FALSE)</f>
        <v>27</v>
      </c>
    </row>
    <row r="1279" spans="1:10" s="10" customFormat="1" hidden="1" outlineLevel="2">
      <c r="A1279" s="70">
        <v>1</v>
      </c>
      <c r="F1279" s="87"/>
      <c r="G1279" s="114" t="e">
        <f>IntakeDisp</f>
        <v>#NAME?</v>
      </c>
      <c r="I1279" s="13" t="str">
        <f>VLOOKUP(C1268,Tbl_Button_Display_ASSTS,34,FALSE)</f>
        <v>FRE</v>
      </c>
    </row>
    <row r="1280" spans="1:10" s="10" customFormat="1" hidden="1" outlineLevel="2">
      <c r="A1280" s="70">
        <v>1</v>
      </c>
      <c r="F1280" s="87"/>
      <c r="G1280" s="114" t="e">
        <f>FrontBlwDisp</f>
        <v>#NAME?</v>
      </c>
      <c r="I1280" s="13">
        <f>VLOOKUP(C1268,Tbl_Button_Display_ASSTS,23,FALSE)</f>
        <v>4</v>
      </c>
    </row>
    <row r="1281" spans="1:10" s="10" customFormat="1" hidden="1" outlineLevel="2">
      <c r="A1281" s="70">
        <v>1</v>
      </c>
      <c r="F1281" s="87"/>
      <c r="G1281" s="10" t="e">
        <f>Act_DrTemp</f>
        <v>#NAME?</v>
      </c>
      <c r="H1281" s="49" t="e">
        <f>VLOOKUP(C1268,Tbl_Button_Display_ASSTS,39,FALSE)</f>
        <v>#NAME?</v>
      </c>
      <c r="I1281" s="48" t="e">
        <f>IF(H1281="","",VLOOKUP(H1281,Tbl_TempFB_Volt,2,FALSE))</f>
        <v>#NAME?</v>
      </c>
    </row>
    <row r="1282" spans="1:10" s="10" customFormat="1" ht="13.5" hidden="1" customHeight="1" outlineLevel="2">
      <c r="A1282" s="70">
        <v>1</v>
      </c>
      <c r="F1282" s="87"/>
      <c r="G1282" s="10" t="e">
        <f>Act_Intake</f>
        <v>#NAME?</v>
      </c>
      <c r="H1282" s="49" t="str">
        <f>VLOOKUP(C1268,Tbl_Button_Display_ASSTS,35,FALSE)</f>
        <v>FRE</v>
      </c>
      <c r="I1282" s="48" t="e">
        <f>IF(H1282="","",VLOOKUP(H1282,Tbl_IntakeFB_Volt,2,FALSE))</f>
        <v>#NAME?</v>
      </c>
    </row>
    <row r="1283" spans="1:10" s="39" customFormat="1" hidden="1" outlineLevel="1">
      <c r="A1283" s="73">
        <v>1</v>
      </c>
      <c r="B1283" s="39" t="s">
        <v>155</v>
      </c>
      <c r="C1283" s="39" t="s">
        <v>1385</v>
      </c>
      <c r="D1283" s="39" t="str">
        <f>CONCATENATE(E1284," ",F1284,"회 선택 시, Vert Air 로직 진입 확인" )</f>
        <v>Sw_Blower_Up 1회 선택 시, Vert Air 로직 진입 확인</v>
      </c>
      <c r="F1283" s="91"/>
    </row>
    <row r="1284" spans="1:10" s="10" customFormat="1" hidden="1" outlineLevel="2">
      <c r="A1284" s="70">
        <v>1</v>
      </c>
      <c r="E1284" s="114" t="str">
        <f>VLOOKUP(C1283,Tbl_Button_Display_ASSTS,11,FALSE)</f>
        <v>Sw_Blower_Up</v>
      </c>
      <c r="F1284" s="85">
        <f>VLOOKUP(C1283,Tbl_Button_Display_ASSTS,12,FALSE)</f>
        <v>1</v>
      </c>
      <c r="J1284" s="15"/>
    </row>
    <row r="1285" spans="1:10" s="10" customFormat="1" hidden="1" outlineLevel="2">
      <c r="A1285" s="70">
        <v>1</v>
      </c>
      <c r="E1285" s="15" t="s">
        <v>5</v>
      </c>
      <c r="F1285" s="85">
        <f>VLOOKUP(C1283,Tbl_Button_Display_ASSTS,13,FALSE)</f>
        <v>10</v>
      </c>
    </row>
    <row r="1286" spans="1:10" s="10" customFormat="1" hidden="1" outlineLevel="2">
      <c r="A1286" s="70">
        <v>1</v>
      </c>
      <c r="F1286" s="87"/>
      <c r="G1286" s="114" t="e">
        <f>FrontBlwDisp</f>
        <v>#NAME?</v>
      </c>
      <c r="I1286" s="13">
        <f>VLOOKUP(C1283,Tbl_Button_Display_ASSTS,23,FALSE)</f>
        <v>5</v>
      </c>
    </row>
    <row r="1287" spans="1:10" s="10" customFormat="1" hidden="1" outlineLevel="2">
      <c r="A1287" s="70">
        <v>1</v>
      </c>
      <c r="F1287" s="87"/>
      <c r="G1287" s="10" t="e">
        <f>Act_Intake</f>
        <v>#NAME?</v>
      </c>
      <c r="H1287" s="49" t="str">
        <f>VLOOKUP(C1283,Tbl_Button_Display_ASSTS,35,FALSE)</f>
        <v>FRE</v>
      </c>
      <c r="I1287" s="48" t="e">
        <f>IF(H1287="","",VLOOKUP(H1287,Tbl_IntakeFB_Volt,2,FALSE))</f>
        <v>#NAME?</v>
      </c>
    </row>
    <row r="1288" spans="1:10" s="10" customFormat="1" hidden="1" outlineLevel="2">
      <c r="A1288" s="70">
        <v>1</v>
      </c>
      <c r="E1288" s="15" t="s">
        <v>5</v>
      </c>
      <c r="F1288" s="85">
        <v>15</v>
      </c>
    </row>
    <row r="1289" spans="1:10" s="10" customFormat="1" hidden="1" outlineLevel="2">
      <c r="A1289" s="70">
        <v>1</v>
      </c>
      <c r="F1289" s="87"/>
      <c r="G1289" s="10" t="e">
        <f>Act_Intake</f>
        <v>#NAME?</v>
      </c>
      <c r="H1289" s="49" t="s">
        <v>1386</v>
      </c>
      <c r="I1289" s="48" t="e">
        <f>IF(H1289="","",VLOOKUP(H1289,Tbl_IntakeFB_Volt,2,FALSE))</f>
        <v>#NAME?</v>
      </c>
    </row>
    <row r="1290" spans="1:10" s="10" customFormat="1" hidden="1" outlineLevel="2">
      <c r="A1290" s="70">
        <v>1</v>
      </c>
      <c r="E1290" s="15" t="s">
        <v>5</v>
      </c>
      <c r="F1290" s="85">
        <v>15</v>
      </c>
    </row>
    <row r="1291" spans="1:10" s="10" customFormat="1" hidden="1" outlineLevel="2">
      <c r="A1291" s="70">
        <v>1</v>
      </c>
      <c r="F1291" s="87"/>
      <c r="G1291" s="10" t="e">
        <f>Act_Intake</f>
        <v>#NAME?</v>
      </c>
      <c r="H1291" s="49" t="s">
        <v>1193</v>
      </c>
      <c r="I1291" s="48" t="e">
        <f>IF(H1291="","",VLOOKUP(H1291,Tbl_IntakeFB_Volt,2,FALSE))</f>
        <v>#NAME?</v>
      </c>
    </row>
    <row r="1292" spans="1:10" s="10" customFormat="1" hidden="1" outlineLevel="2">
      <c r="A1292" s="70">
        <v>1</v>
      </c>
      <c r="E1292" s="15" t="s">
        <v>5</v>
      </c>
      <c r="F1292" s="85">
        <v>15</v>
      </c>
    </row>
    <row r="1293" spans="1:10" s="10" customFormat="1" hidden="1" outlineLevel="2">
      <c r="A1293" s="70">
        <v>1</v>
      </c>
      <c r="F1293" s="87"/>
      <c r="G1293" s="10" t="e">
        <f>Act_Intake</f>
        <v>#NAME?</v>
      </c>
      <c r="H1293" s="49" t="s">
        <v>1195</v>
      </c>
      <c r="I1293" s="48" t="e">
        <f>IF(H1293="","",VLOOKUP(H1293,Tbl_IntakeFB_Volt,2,FALSE))</f>
        <v>#NAME?</v>
      </c>
    </row>
    <row r="1294" spans="1:10" s="10" customFormat="1" hidden="1" outlineLevel="2">
      <c r="A1294" s="70">
        <v>1</v>
      </c>
      <c r="E1294" s="15" t="s">
        <v>5</v>
      </c>
      <c r="F1294" s="85">
        <v>15</v>
      </c>
    </row>
    <row r="1295" spans="1:10" s="10" customFormat="1" hidden="1" outlineLevel="2">
      <c r="A1295" s="70">
        <v>1</v>
      </c>
      <c r="F1295" s="87"/>
      <c r="G1295" s="10" t="e">
        <f>Act_Intake</f>
        <v>#NAME?</v>
      </c>
      <c r="H1295" s="49" t="s">
        <v>1197</v>
      </c>
      <c r="I1295" s="48" t="e">
        <f>IF(H1295="","",VLOOKUP(H1295,Tbl_IntakeFB_Volt,2,FALSE))</f>
        <v>#NAME?</v>
      </c>
    </row>
    <row r="1296" spans="1:10" s="39" customFormat="1" hidden="1" outlineLevel="1">
      <c r="A1296" s="73">
        <v>1</v>
      </c>
      <c r="B1296" s="39" t="s">
        <v>155</v>
      </c>
      <c r="C1296" s="39" t="s">
        <v>1387</v>
      </c>
      <c r="D1296" s="39" t="e">
        <f>CONCATENATE(E1297," = ",F1297," 설정 시, Vert Air 로직 진입 해제 확인" )</f>
        <v>#NAME?</v>
      </c>
      <c r="F1296" s="91"/>
    </row>
    <row r="1297" spans="1:10" s="10" customFormat="1" hidden="1" outlineLevel="2">
      <c r="A1297" s="70">
        <v>1</v>
      </c>
      <c r="E1297" s="14" t="e">
        <f>EngColTemp</f>
        <v>#NAME?</v>
      </c>
      <c r="F1297" s="85">
        <f>VLOOKUP(C1296,Tbl_Button_Display_ASSTS,12,FALSE)</f>
        <v>80.25</v>
      </c>
      <c r="J1297" s="15"/>
    </row>
    <row r="1298" spans="1:10" s="10" customFormat="1" hidden="1" outlineLevel="2">
      <c r="A1298" s="70">
        <v>1</v>
      </c>
      <c r="E1298" s="15" t="s">
        <v>5</v>
      </c>
      <c r="F1298" s="85" t="str">
        <f>VLOOKUP(C1296,Tbl_Button_Display_ASSTS,13,FALSE)</f>
        <v>Vert Air 해제 시까지 대기</v>
      </c>
    </row>
    <row r="1299" spans="1:10" s="10" customFormat="1" hidden="1" outlineLevel="2">
      <c r="A1299" s="70">
        <v>1</v>
      </c>
      <c r="F1299" s="87"/>
      <c r="G1299" s="114" t="e">
        <f>FrontBlwDisp</f>
        <v>#NAME?</v>
      </c>
      <c r="I1299" s="13">
        <f>VLOOKUP(C1296,Tbl_Button_Display_ASSTS,23,FALSE)</f>
        <v>5</v>
      </c>
    </row>
    <row r="1300" spans="1:10" s="10" customFormat="1" hidden="1" outlineLevel="2">
      <c r="A1300" s="70">
        <v>1</v>
      </c>
      <c r="F1300" s="87"/>
      <c r="G1300" s="10" t="e">
        <f>Act_Intake</f>
        <v>#NAME?</v>
      </c>
      <c r="H1300" s="49" t="str">
        <f>VLOOKUP(C1296,Tbl_Button_Display_ASSTS,35,FALSE)</f>
        <v>FRE</v>
      </c>
      <c r="I1300" s="48" t="e">
        <f>IF(H1300="","",VLOOKUP(H1300,Tbl_IntakeFB_Volt,2,FALSE))</f>
        <v>#NAME?</v>
      </c>
    </row>
    <row r="1301" spans="1:10" s="123" customFormat="1" collapsed="1">
      <c r="A1301" s="122">
        <v>1</v>
      </c>
      <c r="B1301" s="123" t="s">
        <v>156</v>
      </c>
      <c r="C1301" s="123" t="s">
        <v>1388</v>
      </c>
      <c r="D1301" s="123" t="str">
        <f>VLOOKUP(C1301,Tbl_Button_Display_ASSTS, 2,FALSE)</f>
        <v>Vert Air 로직 동작 확인 - 냉방개선</v>
      </c>
      <c r="F1301" s="88"/>
    </row>
    <row r="1302" spans="1:10" s="125" customFormat="1" hidden="1" outlineLevel="1">
      <c r="A1302" s="124">
        <v>1</v>
      </c>
      <c r="B1302" s="125" t="s">
        <v>38</v>
      </c>
      <c r="C1302" s="125" t="s">
        <v>1389</v>
      </c>
      <c r="D1302" s="125" t="s">
        <v>39</v>
      </c>
      <c r="F1302" s="89"/>
    </row>
    <row r="1303" spans="1:10" s="10" customFormat="1" hidden="1" outlineLevel="2">
      <c r="A1303" s="70">
        <v>1</v>
      </c>
      <c r="E1303" s="114" t="e">
        <f>Amb_IN</f>
        <v>#NAME?</v>
      </c>
      <c r="F1303" s="93" cm="1">
        <f t="array" ref="F1303">VINTERPOLATION(VLOOKUP(C1302,Tbl_Button_Display_ASSTS,3,FALSE),Tbl_Amb_Sensor,3)</f>
        <v>2.2355326207150754</v>
      </c>
    </row>
    <row r="1304" spans="1:10" s="10" customFormat="1" hidden="1" outlineLevel="2">
      <c r="A1304" s="70">
        <v>1</v>
      </c>
      <c r="E1304" s="114" t="s">
        <v>109</v>
      </c>
      <c r="F1304" s="85">
        <v>40</v>
      </c>
      <c r="J1304" s="15"/>
    </row>
    <row r="1305" spans="1:10" s="10" customFormat="1" hidden="1" outlineLevel="2">
      <c r="A1305" s="70">
        <v>1</v>
      </c>
      <c r="E1305" s="114" t="str">
        <f>VLOOKUP(C1302,Tbl_Button_Display_ASSTS,11,FALSE)</f>
        <v>MsgBox</v>
      </c>
      <c r="F1305" s="85" t="str">
        <f>VLOOKUP(C1302,Tbl_Button_Display_ASSTS,12,FALSE)</f>
        <v>설정온도=Hi, Blower=4단 수동 설정</v>
      </c>
    </row>
    <row r="1306" spans="1:10" s="10" customFormat="1" hidden="1" outlineLevel="2">
      <c r="A1306" s="70">
        <v>1</v>
      </c>
      <c r="E1306" s="14" t="s">
        <v>95</v>
      </c>
      <c r="F1306" s="12" t="s">
        <v>1189</v>
      </c>
    </row>
    <row r="1307" spans="1:10" s="10" customFormat="1" hidden="1" outlineLevel="2">
      <c r="A1307" s="70">
        <v>1</v>
      </c>
      <c r="E1307" s="15" t="s">
        <v>715</v>
      </c>
      <c r="F1307" s="85">
        <v>2</v>
      </c>
    </row>
    <row r="1308" spans="1:10" s="10" customFormat="1" ht="13.5" hidden="1" customHeight="1" outlineLevel="2">
      <c r="A1308" s="70">
        <v>1</v>
      </c>
      <c r="F1308" s="87"/>
      <c r="G1308" s="10" t="e">
        <f>Amb_OUT</f>
        <v>#NAME?</v>
      </c>
      <c r="I1308" s="13">
        <f>VLOOKUP(C1302,Tbl_Button_Display_ASSTS,3,FALSE)</f>
        <v>30</v>
      </c>
    </row>
    <row r="1309" spans="1:10" s="10" customFormat="1" hidden="1" outlineLevel="2">
      <c r="A1309" s="70">
        <v>1</v>
      </c>
      <c r="F1309" s="87"/>
      <c r="G1309" s="114" t="e">
        <f>DrTempDispC</f>
        <v>#NAME?</v>
      </c>
      <c r="I1309" s="13">
        <f>VLOOKUP(C1302,Tbl_Button_Display_ASSTS,26,FALSE)</f>
        <v>27</v>
      </c>
    </row>
    <row r="1310" spans="1:10" s="10" customFormat="1" hidden="1" outlineLevel="2">
      <c r="A1310" s="70">
        <v>1</v>
      </c>
      <c r="F1310" s="87"/>
      <c r="G1310" s="114" t="e">
        <f>IntakeDisp</f>
        <v>#NAME?</v>
      </c>
      <c r="I1310" s="13" t="str">
        <f>VLOOKUP(C1302,Tbl_Button_Display_ASSTS,34,FALSE)</f>
        <v>FRE</v>
      </c>
    </row>
    <row r="1311" spans="1:10" s="10" customFormat="1" hidden="1" outlineLevel="2">
      <c r="A1311" s="70">
        <v>1</v>
      </c>
      <c r="F1311" s="87"/>
      <c r="G1311" s="114" t="e">
        <f>FrontBlwDisp</f>
        <v>#NAME?</v>
      </c>
      <c r="I1311" s="13">
        <f>VLOOKUP(C1302,Tbl_Button_Display_ASSTS,23,FALSE)</f>
        <v>4</v>
      </c>
    </row>
    <row r="1312" spans="1:10" s="10" customFormat="1" ht="13.5" hidden="1" customHeight="1" outlineLevel="2">
      <c r="A1312" s="70">
        <v>1</v>
      </c>
      <c r="F1312" s="87"/>
      <c r="G1312" s="10" t="e">
        <f>Act_Intake</f>
        <v>#NAME?</v>
      </c>
      <c r="H1312" s="49" t="str">
        <f>VLOOKUP(C1302,Tbl_Button_Display_ASSTS,35,FALSE)</f>
        <v>FRE</v>
      </c>
      <c r="I1312" s="48" t="e">
        <f>IF(H1312="","",VLOOKUP(H1312,Tbl_IntakeFB_Volt,2,FALSE))</f>
        <v>#NAME?</v>
      </c>
    </row>
    <row r="1313" spans="1:10" s="39" customFormat="1" hidden="1" outlineLevel="1">
      <c r="A1313" s="73">
        <v>1</v>
      </c>
      <c r="B1313" s="39" t="s">
        <v>155</v>
      </c>
      <c r="C1313" s="39" t="s">
        <v>1390</v>
      </c>
      <c r="D1313" s="39" t="str">
        <f>CONCATENATE(E1314," ",F1314,"회 선택 시, Vert Air 로직 진입 확인" )</f>
        <v>Sw_Blower_Up 1회 선택 시, Vert Air 로직 진입 확인</v>
      </c>
      <c r="F1313" s="91"/>
    </row>
    <row r="1314" spans="1:10" s="10" customFormat="1" hidden="1" outlineLevel="2">
      <c r="A1314" s="70">
        <v>1</v>
      </c>
      <c r="E1314" s="114" t="str">
        <f>VLOOKUP(C1313,Tbl_Button_Display_ASSTS,11,FALSE)</f>
        <v>Sw_Blower_Up</v>
      </c>
      <c r="F1314" s="85">
        <f>VLOOKUP(C1313,Tbl_Button_Display_ASSTS,12,FALSE)</f>
        <v>1</v>
      </c>
      <c r="J1314" s="15"/>
    </row>
    <row r="1315" spans="1:10" s="10" customFormat="1" hidden="1" outlineLevel="2">
      <c r="A1315" s="70">
        <v>1</v>
      </c>
      <c r="E1315" s="15" t="s">
        <v>5</v>
      </c>
      <c r="F1315" s="85">
        <f>VLOOKUP(C1313,Tbl_Button_Display_ASSTS,13,FALSE)</f>
        <v>10</v>
      </c>
    </row>
    <row r="1316" spans="1:10" s="10" customFormat="1" hidden="1" outlineLevel="2">
      <c r="A1316" s="70">
        <v>1</v>
      </c>
      <c r="F1316" s="87"/>
      <c r="G1316" s="114" t="e">
        <f>FrontBlwDisp</f>
        <v>#NAME?</v>
      </c>
      <c r="I1316" s="13">
        <f>VLOOKUP(C1313,Tbl_Button_Display_ASSTS,23,FALSE)</f>
        <v>5</v>
      </c>
    </row>
    <row r="1317" spans="1:10" s="10" customFormat="1" hidden="1" outlineLevel="2">
      <c r="A1317" s="70">
        <v>1</v>
      </c>
      <c r="F1317" s="87"/>
      <c r="G1317" s="10" t="e">
        <f>Act_Intake</f>
        <v>#NAME?</v>
      </c>
      <c r="H1317" s="49" t="s">
        <v>1386</v>
      </c>
      <c r="I1317" s="48" t="e">
        <f>IF(H1317="","",VLOOKUP(H1317,Tbl_IntakeFB_Volt,2,FALSE))</f>
        <v>#NAME?</v>
      </c>
    </row>
    <row r="1318" spans="1:10" s="39" customFormat="1" hidden="1" outlineLevel="1">
      <c r="A1318" s="73">
        <v>1</v>
      </c>
      <c r="B1318" s="39" t="s">
        <v>155</v>
      </c>
      <c r="C1318" s="39" t="s">
        <v>1391</v>
      </c>
      <c r="D1318" s="39" t="str">
        <f>CONCATENATE(E1319," ",F1319,"회 선택 시, Vert Air 로직 진입 해제 확인" )</f>
        <v>Sw_Blower_Dn 1회 선택 시, Vert Air 로직 진입 해제 확인</v>
      </c>
      <c r="F1318" s="91"/>
    </row>
    <row r="1319" spans="1:10" s="10" customFormat="1" hidden="1" outlineLevel="2">
      <c r="A1319" s="70">
        <v>1</v>
      </c>
      <c r="E1319" s="114" t="str">
        <f>VLOOKUP(C1318,Tbl_Button_Display_ASSTS,11,FALSE)</f>
        <v>Sw_Blower_Dn</v>
      </c>
      <c r="F1319" s="85">
        <f>VLOOKUP(C1318,Tbl_Button_Display_ASSTS,12,FALSE)</f>
        <v>1</v>
      </c>
      <c r="J1319" s="15"/>
    </row>
    <row r="1320" spans="1:10" s="10" customFormat="1" hidden="1" outlineLevel="2">
      <c r="A1320" s="70">
        <v>1</v>
      </c>
      <c r="E1320" s="15" t="s">
        <v>5</v>
      </c>
      <c r="F1320" s="85">
        <f>VLOOKUP(C1318,Tbl_Button_Display_ASSTS,13,FALSE)</f>
        <v>10</v>
      </c>
    </row>
    <row r="1321" spans="1:10" s="10" customFormat="1" hidden="1" outlineLevel="2">
      <c r="A1321" s="70">
        <v>1</v>
      </c>
      <c r="F1321" s="87"/>
      <c r="G1321" s="114" t="e">
        <f>FrontBlwDisp</f>
        <v>#NAME?</v>
      </c>
      <c r="I1321" s="13">
        <f>VLOOKUP(C1318,Tbl_Button_Display_ASSTS,23,FALSE)</f>
        <v>4</v>
      </c>
    </row>
    <row r="1322" spans="1:10" s="10" customFormat="1" hidden="1" outlineLevel="2">
      <c r="A1322" s="70">
        <v>1</v>
      </c>
      <c r="F1322" s="87"/>
      <c r="G1322" s="10" t="e">
        <f>Act_Intake</f>
        <v>#NAME?</v>
      </c>
      <c r="H1322" s="49" t="str">
        <f>VLOOKUP(C1318,Tbl_Button_Display_ASSTS,35,FALSE)</f>
        <v>FRE</v>
      </c>
      <c r="I1322" s="48" t="e">
        <f>IF(H1322="","",VLOOKUP(H1322,Tbl_IntakeFB_Volt,2,FALSE))</f>
        <v>#NAME?</v>
      </c>
    </row>
    <row r="1323" spans="1:10" s="40" customFormat="1" ht="15">
      <c r="A1323" s="66">
        <v>1</v>
      </c>
      <c r="B1323" s="40" t="s">
        <v>549</v>
      </c>
      <c r="C1323" s="40" t="s">
        <v>597</v>
      </c>
      <c r="D1323" s="40" t="str">
        <f t="shared" si="11"/>
        <v>ISG 로직 &lt;내연기관 차종 ONLY&gt;</v>
      </c>
      <c r="F1323" s="82"/>
    </row>
    <row r="1324" spans="1:10" s="38" customFormat="1" collapsed="1">
      <c r="A1324" s="71">
        <v>1</v>
      </c>
      <c r="B1324" s="38" t="s">
        <v>156</v>
      </c>
      <c r="C1324" s="38" t="s">
        <v>968</v>
      </c>
      <c r="D1324" s="38" t="str">
        <f>VLOOKUP(C1324,Tbl_Button_Display_ASSTS, 2,FALSE)</f>
        <v>IDLE STOP(ENGINE STOP) 진입금지 LOGIC 제어 확인</v>
      </c>
      <c r="F1324" s="88"/>
    </row>
    <row r="1325" spans="1:10" s="11" customFormat="1" hidden="1" outlineLevel="1">
      <c r="A1325" s="72">
        <v>1</v>
      </c>
      <c r="B1325" s="11" t="s">
        <v>38</v>
      </c>
      <c r="C1325" s="11" t="s">
        <v>969</v>
      </c>
      <c r="D1325" s="11" t="s">
        <v>39</v>
      </c>
      <c r="F1325" s="89"/>
    </row>
    <row r="1326" spans="1:10" s="10" customFormat="1" ht="13.5" hidden="1" customHeight="1" outlineLevel="2">
      <c r="A1326" s="70">
        <v>1</v>
      </c>
      <c r="E1326" s="8" t="e">
        <f>Incar_IN</f>
        <v>#NAME?</v>
      </c>
      <c r="F1326" s="93" cm="1">
        <f t="array" ref="F1326">VINTERPOLATION(VLOOKUP(C1325,Tbl_Button_Display_ASSTS,2,FALSE),Tbl_Incar_Sensor,3)</f>
        <v>2.2309026219222754</v>
      </c>
    </row>
    <row r="1327" spans="1:10" s="10" customFormat="1" hidden="1" outlineLevel="2">
      <c r="A1327" s="70">
        <v>1</v>
      </c>
      <c r="E1327" s="14" t="str">
        <f>VLOOKUP(C1325,Tbl_Button_Display_ASSTS,11,FALSE)</f>
        <v>MsgBox</v>
      </c>
      <c r="F1327" s="85" t="e">
        <f>VLOOKUP(C1325,Tbl_Button_Display_ASSTS,12,FALSE)</f>
        <v>#NAME?</v>
      </c>
    </row>
    <row r="1328" spans="1:10" s="10" customFormat="1" hidden="1" outlineLevel="2">
      <c r="A1328" s="70">
        <v>1</v>
      </c>
      <c r="E1328" s="14" t="s">
        <v>95</v>
      </c>
      <c r="F1328" s="12" t="s">
        <v>1189</v>
      </c>
    </row>
    <row r="1329" spans="1:10" s="10" customFormat="1" hidden="1" outlineLevel="2">
      <c r="A1329" s="70">
        <v>1</v>
      </c>
      <c r="E1329" s="15" t="s">
        <v>5</v>
      </c>
      <c r="F1329" s="85">
        <f>VLOOKUP(C1325,Tbl_Button_Display_ASSTS,13,FALSE)</f>
        <v>10</v>
      </c>
    </row>
    <row r="1330" spans="1:10" s="10" customFormat="1" hidden="1" outlineLevel="2">
      <c r="A1330" s="70">
        <v>1</v>
      </c>
      <c r="F1330" s="87"/>
      <c r="G1330" s="10" t="e">
        <f>Incar_OUT</f>
        <v>#NAME?</v>
      </c>
      <c r="I1330" s="13">
        <f>VLOOKUP(C1325,Tbl_Button_Display_ASSTS,2,FALSE)</f>
        <v>30</v>
      </c>
    </row>
    <row r="1331" spans="1:10" s="10" customFormat="1" hidden="1" outlineLevel="2">
      <c r="A1331" s="70">
        <v>1</v>
      </c>
      <c r="F1331" s="87"/>
      <c r="G1331" s="114" t="e">
        <f>FrontBlwDisp</f>
        <v>#NAME?</v>
      </c>
      <c r="I1331" s="13">
        <f>VLOOKUP(C1325,Tbl_Button_Display_ASSTS,23,FALSE)</f>
        <v>1</v>
      </c>
    </row>
    <row r="1332" spans="1:10" s="10" customFormat="1" hidden="1" outlineLevel="2">
      <c r="A1332" s="70">
        <v>1</v>
      </c>
      <c r="F1332" s="87"/>
      <c r="G1332" s="10" t="e">
        <f>IsgStopReq</f>
        <v>#NAME?</v>
      </c>
      <c r="I1332" s="13">
        <f>VLOOKUP(C1325,Tbl_Button_Display_ASSTS,50,FALSE)</f>
        <v>0</v>
      </c>
    </row>
    <row r="1333" spans="1:10" s="39" customFormat="1" hidden="1" outlineLevel="1">
      <c r="A1333" s="73">
        <v>1</v>
      </c>
      <c r="B1333" s="39" t="s">
        <v>155</v>
      </c>
      <c r="C1333" s="39" t="s">
        <v>970</v>
      </c>
      <c r="D1333" s="39" t="str">
        <f>CONCATENATE(E1334," ",F1334,"회 선택 시, IDLE STOP 진입금지 로직 제어 확인")</f>
        <v>Sw_DEF 1회 선택 시, IDLE STOP 진입금지 로직 제어 확인</v>
      </c>
      <c r="F1333" s="91"/>
    </row>
    <row r="1334" spans="1:10" s="10" customFormat="1" hidden="1" outlineLevel="2">
      <c r="A1334" s="70">
        <v>1</v>
      </c>
      <c r="E1334" s="14" t="str">
        <f>VLOOKUP(C1333,Tbl_Button_Display_ASSTS,11,FALSE)</f>
        <v>Sw_DEF</v>
      </c>
      <c r="F1334" s="85">
        <f>VLOOKUP(C1333,Tbl_Button_Display_ASSTS,12,FALSE)</f>
        <v>1</v>
      </c>
      <c r="J1334" s="15"/>
    </row>
    <row r="1335" spans="1:10" s="10" customFormat="1" hidden="1" outlineLevel="2">
      <c r="A1335" s="70">
        <v>1</v>
      </c>
      <c r="E1335" s="15" t="s">
        <v>5</v>
      </c>
      <c r="F1335" s="85">
        <f>VLOOKUP(C1333,Tbl_Button_Display_ASSTS,13,FALSE)</f>
        <v>2</v>
      </c>
    </row>
    <row r="1336" spans="1:10" s="10" customFormat="1" hidden="1" outlineLevel="2">
      <c r="A1336" s="70">
        <v>1</v>
      </c>
      <c r="F1336" s="87"/>
      <c r="G1336" s="10" t="e">
        <f>IsgStopReq</f>
        <v>#NAME?</v>
      </c>
      <c r="I1336" s="13">
        <f>VLOOKUP(C1333,Tbl_Button_Display_ASSTS,50,FALSE)</f>
        <v>1</v>
      </c>
    </row>
    <row r="1337" spans="1:10" s="38" customFormat="1" collapsed="1">
      <c r="A1337" s="71">
        <v>1</v>
      </c>
      <c r="B1337" s="38" t="s">
        <v>156</v>
      </c>
      <c r="C1337" s="38" t="s">
        <v>971</v>
      </c>
      <c r="D1337" s="38" t="str">
        <f>VLOOKUP(C1337,Tbl_Button_Display_ASSTS, 2,FALSE)</f>
        <v>IDLE STOP(ENGINE STOP) 해제 LOGIC 제어 확인</v>
      </c>
      <c r="F1337" s="88"/>
    </row>
    <row r="1338" spans="1:10" s="11" customFormat="1" hidden="1" outlineLevel="1">
      <c r="A1338" s="72">
        <v>1</v>
      </c>
      <c r="B1338" s="11" t="s">
        <v>38</v>
      </c>
      <c r="C1338" s="11" t="s">
        <v>972</v>
      </c>
      <c r="D1338" s="11" t="s">
        <v>39</v>
      </c>
      <c r="F1338" s="89"/>
    </row>
    <row r="1339" spans="1:10" s="10" customFormat="1" hidden="1" outlineLevel="2">
      <c r="A1339" s="70">
        <v>1</v>
      </c>
      <c r="E1339" s="8" t="e">
        <f>Amb_IN</f>
        <v>#NAME?</v>
      </c>
      <c r="F1339" s="93" cm="1">
        <f t="array" ref="F1339">VINTERPOLATION(VLOOKUP(C1338,Tbl_Button_Display_ASSTS,3,FALSE),Tbl_Amb_Sensor,3)</f>
        <v>2.9899228130360207</v>
      </c>
    </row>
    <row r="1340" spans="1:10" s="10" customFormat="1" hidden="1" outlineLevel="2">
      <c r="A1340" s="70">
        <v>1</v>
      </c>
      <c r="E1340" s="14" t="str">
        <f>VLOOKUP(C1338,Tbl_Button_Display_ASSTS,11,FALSE)</f>
        <v>MsgBox</v>
      </c>
      <c r="F1340" s="85" t="e">
        <f>VLOOKUP(C1338,Tbl_Button_Display_ASSTS,12,FALSE)</f>
        <v>#NAME?</v>
      </c>
    </row>
    <row r="1341" spans="1:10" s="10" customFormat="1" hidden="1" outlineLevel="2">
      <c r="A1341" s="70">
        <v>1</v>
      </c>
      <c r="E1341" s="14" t="s">
        <v>95</v>
      </c>
      <c r="F1341" s="12" t="s">
        <v>1189</v>
      </c>
    </row>
    <row r="1342" spans="1:10" s="10" customFormat="1" hidden="1" outlineLevel="2">
      <c r="A1342" s="70">
        <v>1</v>
      </c>
      <c r="E1342" s="15" t="s">
        <v>5</v>
      </c>
      <c r="F1342" s="85">
        <f>VLOOKUP(C1338,Tbl_Button_Display_ASSTS,13,FALSE)</f>
        <v>10</v>
      </c>
    </row>
    <row r="1343" spans="1:10" s="10" customFormat="1" hidden="1" outlineLevel="2">
      <c r="A1343" s="70">
        <v>1</v>
      </c>
      <c r="E1343" s="15" t="e">
        <f>IsgStat</f>
        <v>#NAME?</v>
      </c>
      <c r="F1343" s="85">
        <v>1</v>
      </c>
    </row>
    <row r="1344" spans="1:10" s="10" customFormat="1" hidden="1" outlineLevel="2">
      <c r="A1344" s="70">
        <v>1</v>
      </c>
      <c r="E1344" s="15" t="s">
        <v>5</v>
      </c>
      <c r="F1344" s="85">
        <v>2</v>
      </c>
    </row>
    <row r="1345" spans="1:10" s="10" customFormat="1" hidden="1" outlineLevel="2">
      <c r="A1345" s="70">
        <v>1</v>
      </c>
      <c r="F1345" s="87"/>
      <c r="G1345" s="10" t="e">
        <f>Amb_OUT</f>
        <v>#NAME?</v>
      </c>
      <c r="I1345" s="13">
        <f>VLOOKUP(C1338,Tbl_Button_Display_ASSTS,3,FALSE)</f>
        <v>16</v>
      </c>
    </row>
    <row r="1346" spans="1:10" s="10" customFormat="1" hidden="1" outlineLevel="2">
      <c r="A1346" s="70">
        <v>1</v>
      </c>
      <c r="F1346" s="87"/>
      <c r="G1346" s="10" t="e">
        <f>EngStartReq</f>
        <v>#NAME?</v>
      </c>
      <c r="I1346" s="13">
        <f>VLOOKUP(C1338,Tbl_Button_Display_ASSTS,51,FALSE)</f>
        <v>0</v>
      </c>
    </row>
    <row r="1347" spans="1:10" s="39" customFormat="1" hidden="1" outlineLevel="1">
      <c r="A1347" s="73">
        <v>1</v>
      </c>
      <c r="B1347" s="39" t="s">
        <v>155</v>
      </c>
      <c r="C1347" s="39" t="s">
        <v>973</v>
      </c>
      <c r="D1347" s="39" t="str">
        <f>CONCATENATE(E1348," ",F1348,"회 선택 시, IDLE STOP 진입헤제 로직 제어 확인")</f>
        <v>Sw_DEF 1회 선택 시, IDLE STOP 진입헤제 로직 제어 확인</v>
      </c>
      <c r="F1347" s="91"/>
    </row>
    <row r="1348" spans="1:10" s="10" customFormat="1" hidden="1" outlineLevel="2">
      <c r="A1348" s="70">
        <v>1</v>
      </c>
      <c r="E1348" s="14" t="str">
        <f>VLOOKUP(C1347,Tbl_Button_Display_ASSTS,11,FALSE)</f>
        <v>Sw_DEF</v>
      </c>
      <c r="F1348" s="85">
        <f>VLOOKUP(C1347,Tbl_Button_Display_ASSTS,12,FALSE)</f>
        <v>1</v>
      </c>
      <c r="J1348" s="15"/>
    </row>
    <row r="1349" spans="1:10" s="10" customFormat="1" hidden="1" outlineLevel="2">
      <c r="A1349" s="70">
        <v>1</v>
      </c>
      <c r="E1349" s="15" t="s">
        <v>5</v>
      </c>
      <c r="F1349" s="85">
        <f>VLOOKUP(C1347,Tbl_Button_Display_ASSTS,13,FALSE)</f>
        <v>2</v>
      </c>
    </row>
    <row r="1350" spans="1:10" s="10" customFormat="1" hidden="1" outlineLevel="2">
      <c r="A1350" s="70">
        <v>1</v>
      </c>
      <c r="F1350" s="87"/>
      <c r="G1350" s="10" t="e">
        <f>EngStartReq</f>
        <v>#NAME?</v>
      </c>
      <c r="I1350" s="13">
        <f>VLOOKUP(C1347,Tbl_Button_Display_ASSTS,51,FALSE)</f>
        <v>1</v>
      </c>
    </row>
    <row r="1351" spans="1:10" s="40" customFormat="1" ht="15">
      <c r="A1351" s="66">
        <v>1</v>
      </c>
      <c r="B1351" s="40" t="s">
        <v>550</v>
      </c>
      <c r="C1351" s="40" t="s">
        <v>598</v>
      </c>
      <c r="D1351" s="40" t="str">
        <f t="shared" si="11"/>
        <v>2단 PTC 제어 LOGIC (GASOLINE 사양)</v>
      </c>
      <c r="F1351" s="82"/>
    </row>
    <row r="1352" spans="1:10" s="38" customFormat="1" collapsed="1">
      <c r="A1352" s="71">
        <v>1</v>
      </c>
      <c r="B1352" s="38" t="s">
        <v>156</v>
      </c>
      <c r="C1352" s="38" t="s">
        <v>985</v>
      </c>
      <c r="D1352" s="38" t="str">
        <f>VLOOKUP(C1352,Tbl_Button_Display_ASSTS, 2,FALSE)</f>
        <v>PTC 제어 로직 동작 확인</v>
      </c>
      <c r="F1352" s="88"/>
    </row>
    <row r="1353" spans="1:10" s="11" customFormat="1" hidden="1" outlineLevel="1">
      <c r="A1353" s="72">
        <v>1</v>
      </c>
      <c r="B1353" s="11" t="s">
        <v>38</v>
      </c>
      <c r="C1353" s="11" t="s">
        <v>986</v>
      </c>
      <c r="D1353" s="11" t="s">
        <v>39</v>
      </c>
      <c r="F1353" s="89"/>
    </row>
    <row r="1354" spans="1:10" s="10" customFormat="1" ht="13.5" hidden="1" customHeight="1" outlineLevel="2">
      <c r="A1354" s="70">
        <v>1</v>
      </c>
      <c r="E1354" s="8" t="e">
        <f>Incar_IN</f>
        <v>#NAME?</v>
      </c>
      <c r="F1354" s="93" cm="1">
        <f t="array" ref="F1354">VINTERPOLATION(VLOOKUP(C1353,Tbl_Button_Display_ASSTS,2,FALSE),Tbl_Incar_Sensor,3)</f>
        <v>3.3272756433630186</v>
      </c>
    </row>
    <row r="1355" spans="1:10" s="10" customFormat="1" hidden="1" outlineLevel="2">
      <c r="A1355" s="70">
        <v>1</v>
      </c>
      <c r="E1355" s="8" t="e">
        <f>Amb_IN</f>
        <v>#NAME?</v>
      </c>
      <c r="F1355" s="93" cm="1">
        <f t="array" ref="F1355">VINTERPOLATION(VLOOKUP(C1353,Tbl_Button_Display_ASSTS,3,FALSE),Tbl_Amb_Sensor,3)</f>
        <v>3.5649228885232098</v>
      </c>
    </row>
    <row r="1356" spans="1:10" s="10" customFormat="1" hidden="1" outlineLevel="2">
      <c r="A1356" s="70">
        <v>1</v>
      </c>
      <c r="E1356" s="15" t="e">
        <f>IsgStat</f>
        <v>#NAME?</v>
      </c>
      <c r="F1356" s="85">
        <v>0</v>
      </c>
    </row>
    <row r="1357" spans="1:10" s="10" customFormat="1" hidden="1" outlineLevel="2">
      <c r="A1357" s="70">
        <v>1</v>
      </c>
      <c r="E1357" s="8" t="e">
        <f>EngColTemp</f>
        <v>#NAME?</v>
      </c>
      <c r="F1357" s="12">
        <f>VLOOKUP(C1353,Tbl_Button_Display_ASSTS,5,FALSE)</f>
        <v>64.5</v>
      </c>
    </row>
    <row r="1358" spans="1:10" s="10" customFormat="1" hidden="1" outlineLevel="2">
      <c r="A1358" s="70">
        <v>1</v>
      </c>
      <c r="E1358" s="8" t="e">
        <f>ENGINE_rpm</f>
        <v>#NAME?</v>
      </c>
      <c r="F1358" s="12">
        <v>1000</v>
      </c>
    </row>
    <row r="1359" spans="1:10" s="10" customFormat="1" hidden="1" outlineLevel="2">
      <c r="A1359" s="70">
        <v>1</v>
      </c>
      <c r="E1359" s="8" t="s">
        <v>772</v>
      </c>
      <c r="F1359" s="12" t="s">
        <v>1049</v>
      </c>
    </row>
    <row r="1360" spans="1:10" s="10" customFormat="1" hidden="1" outlineLevel="2">
      <c r="A1360" s="70">
        <v>1</v>
      </c>
      <c r="E1360" s="14" t="str">
        <f>VLOOKUP(C1353,Tbl_Button_Display_ASSTS,11,FALSE)</f>
        <v>MsgBox</v>
      </c>
      <c r="F1360" s="85" t="e">
        <f>VLOOKUP(C1353,Tbl_Button_Display_ASSTS,12,FALSE)</f>
        <v>#NAME?</v>
      </c>
    </row>
    <row r="1361" spans="1:10" s="10" customFormat="1" hidden="1" outlineLevel="2">
      <c r="A1361" s="70">
        <v>1</v>
      </c>
      <c r="E1361" s="14" t="s">
        <v>95</v>
      </c>
      <c r="F1361" s="12" t="s">
        <v>1189</v>
      </c>
    </row>
    <row r="1362" spans="1:10" s="10" customFormat="1" hidden="1" outlineLevel="2">
      <c r="A1362" s="70">
        <v>1</v>
      </c>
      <c r="E1362" s="15" t="s">
        <v>5</v>
      </c>
      <c r="F1362" s="85">
        <f>VLOOKUP(C1353,Tbl_Button_Display_ASSTS,13,FALSE)</f>
        <v>10</v>
      </c>
    </row>
    <row r="1363" spans="1:10" s="10" customFormat="1" hidden="1" outlineLevel="2">
      <c r="A1363" s="70">
        <v>1</v>
      </c>
      <c r="F1363" s="87"/>
      <c r="G1363" s="10" t="e">
        <f>Incar_OUT</f>
        <v>#NAME?</v>
      </c>
      <c r="I1363" s="13">
        <f>VLOOKUP(C1353,Tbl_Button_Display_ASSTS,2,FALSE)</f>
        <v>10</v>
      </c>
    </row>
    <row r="1364" spans="1:10" s="10" customFormat="1" hidden="1" outlineLevel="2">
      <c r="A1364" s="70">
        <v>1</v>
      </c>
      <c r="F1364" s="87"/>
      <c r="G1364" s="10" t="e">
        <f>Amb_OUT</f>
        <v>#NAME?</v>
      </c>
      <c r="I1364" s="13">
        <f>VLOOKUP(C1353,Tbl_Button_Display_ASSTS,3,FALSE)</f>
        <v>5</v>
      </c>
    </row>
    <row r="1365" spans="1:10" s="10" customFormat="1" hidden="1" outlineLevel="2">
      <c r="A1365" s="70">
        <v>1</v>
      </c>
      <c r="F1365" s="87"/>
      <c r="G1365" s="10" t="e">
        <f>PTC_RELAY_Sta</f>
        <v>#NAME?</v>
      </c>
      <c r="I1365" s="13">
        <f>VLOOKUP(C1353,Tbl_Button_Display_ASSTS,54,FALSE)</f>
        <v>0</v>
      </c>
    </row>
    <row r="1366" spans="1:10" s="39" customFormat="1" hidden="1" outlineLevel="1">
      <c r="A1366" s="73">
        <v>1</v>
      </c>
      <c r="B1366" s="39" t="s">
        <v>155</v>
      </c>
      <c r="C1366" s="39" t="s">
        <v>987</v>
      </c>
      <c r="D1366" s="39" t="str">
        <f>CONCATENATE(E1367," ",F1367,"회 선택 시, PTC 제어 동작 확인")</f>
        <v>Sw_DrTemp_Up 1회 선택 시, PTC 제어 동작 확인</v>
      </c>
      <c r="F1366" s="91"/>
    </row>
    <row r="1367" spans="1:10" s="10" customFormat="1" hidden="1" outlineLevel="2">
      <c r="A1367" s="70">
        <v>1</v>
      </c>
      <c r="E1367" s="14" t="str">
        <f>VLOOKUP(C1366,Tbl_Button_Display_ASSTS,11,FALSE)</f>
        <v>Sw_DrTemp_Up</v>
      </c>
      <c r="F1367" s="85">
        <f>VLOOKUP(C1366,Tbl_Button_Display_ASSTS,12,FALSE)</f>
        <v>1</v>
      </c>
      <c r="J1367" s="15"/>
    </row>
    <row r="1368" spans="1:10" s="10" customFormat="1" hidden="1" outlineLevel="2">
      <c r="A1368" s="70">
        <v>1</v>
      </c>
      <c r="F1368" s="87"/>
      <c r="G1368" s="10" t="e">
        <f>PTC_RELAY_Sta</f>
        <v>#NAME?</v>
      </c>
      <c r="I1368" s="13">
        <f>VLOOKUP(C1366,Tbl_Button_Display_ASSTS,54,FALSE)</f>
        <v>1</v>
      </c>
    </row>
    <row r="1369" spans="1:10" s="10" customFormat="1" hidden="1" outlineLevel="2">
      <c r="A1369" s="70">
        <v>1</v>
      </c>
      <c r="E1369" s="15" t="s">
        <v>5</v>
      </c>
      <c r="F1369" s="85">
        <f>VLOOKUP(C1366,Tbl_Button_Display_ASSTS,13,FALSE)</f>
        <v>15</v>
      </c>
    </row>
    <row r="1370" spans="1:10" s="10" customFormat="1" hidden="1" outlineLevel="2">
      <c r="A1370" s="70">
        <v>1</v>
      </c>
      <c r="F1370" s="87"/>
      <c r="G1370" s="10" t="e">
        <f>PTC_RELAY_Sta</f>
        <v>#NAME?</v>
      </c>
      <c r="I1370" s="13">
        <f>I1368+1</f>
        <v>2</v>
      </c>
    </row>
    <row r="1371" spans="1:10" s="10" customFormat="1" hidden="1" outlineLevel="2">
      <c r="A1371" s="70">
        <v>1</v>
      </c>
      <c r="E1371" s="15" t="s">
        <v>5</v>
      </c>
      <c r="F1371" s="85">
        <f>F1369</f>
        <v>15</v>
      </c>
    </row>
    <row r="1372" spans="1:10" s="10" customFormat="1" hidden="1" outlineLevel="2">
      <c r="A1372" s="70">
        <v>1</v>
      </c>
      <c r="F1372" s="87"/>
      <c r="G1372" s="10" t="e">
        <f>PTC_RELAY_Sta</f>
        <v>#NAME?</v>
      </c>
      <c r="I1372" s="13">
        <f>I1370</f>
        <v>2</v>
      </c>
    </row>
    <row r="1373" spans="1:10" s="39" customFormat="1" hidden="1" outlineLevel="1">
      <c r="A1373" s="73">
        <v>1</v>
      </c>
      <c r="B1373" s="39" t="s">
        <v>155</v>
      </c>
      <c r="C1373" s="39" t="s">
        <v>988</v>
      </c>
      <c r="D1373" s="39" t="str">
        <f>CONCATENATE(E1374," ",F1374,"회 선택 시, PTC OFF 동작 확인")</f>
        <v>Sw_OFF 1회 선택 시, PTC OFF 동작 확인</v>
      </c>
      <c r="F1373" s="91"/>
    </row>
    <row r="1374" spans="1:10" s="10" customFormat="1" hidden="1" outlineLevel="2">
      <c r="A1374" s="70">
        <v>1</v>
      </c>
      <c r="E1374" s="14" t="str">
        <f>VLOOKUP(C1373,Tbl_Button_Display_ASSTS,11,FALSE)</f>
        <v>Sw_OFF</v>
      </c>
      <c r="F1374" s="85">
        <f>VLOOKUP(C1373,Tbl_Button_Display_ASSTS,12,FALSE)</f>
        <v>1</v>
      </c>
      <c r="J1374" s="15"/>
    </row>
    <row r="1375" spans="1:10" s="10" customFormat="1" hidden="1" outlineLevel="2">
      <c r="A1375" s="70">
        <v>1</v>
      </c>
      <c r="F1375" s="87"/>
      <c r="G1375" s="10" t="e">
        <f>PTC_RELAY_Sta</f>
        <v>#NAME?</v>
      </c>
      <c r="I1375" s="13">
        <f>VLOOKUP(C1373,Tbl_Button_Display_ASSTS,54,FALSE)</f>
        <v>1</v>
      </c>
    </row>
    <row r="1376" spans="1:10" s="10" customFormat="1" hidden="1" outlineLevel="2">
      <c r="A1376" s="70">
        <v>1</v>
      </c>
      <c r="E1376" s="15" t="s">
        <v>5</v>
      </c>
      <c r="F1376" s="85">
        <f>VLOOKUP(C1373,Tbl_Button_Display_ASSTS,13,FALSE)</f>
        <v>15</v>
      </c>
    </row>
    <row r="1377" spans="1:12" s="10" customFormat="1" hidden="1" outlineLevel="2">
      <c r="A1377" s="70">
        <v>1</v>
      </c>
      <c r="F1377" s="87"/>
      <c r="G1377" s="10" t="e">
        <f>PTC_RELAY_Sta</f>
        <v>#NAME?</v>
      </c>
      <c r="I1377" s="13">
        <f>I1375-1</f>
        <v>0</v>
      </c>
    </row>
    <row r="1378" spans="1:12" s="10" customFormat="1" hidden="1" outlineLevel="2">
      <c r="A1378" s="70">
        <v>1</v>
      </c>
      <c r="E1378" s="15" t="s">
        <v>5</v>
      </c>
      <c r="F1378" s="85">
        <f>F1376</f>
        <v>15</v>
      </c>
    </row>
    <row r="1379" spans="1:12" s="10" customFormat="1" hidden="1" outlineLevel="2">
      <c r="A1379" s="70">
        <v>1</v>
      </c>
      <c r="F1379" s="87"/>
      <c r="G1379" s="10" t="e">
        <f>PTC_RELAY_Sta</f>
        <v>#NAME?</v>
      </c>
      <c r="I1379" s="13">
        <f>I1377</f>
        <v>0</v>
      </c>
    </row>
    <row r="1380" spans="1:12" s="39" customFormat="1" hidden="1" outlineLevel="1">
      <c r="A1380" s="73">
        <v>1</v>
      </c>
      <c r="B1380" s="39" t="s">
        <v>155</v>
      </c>
      <c r="C1380" s="39" t="s">
        <v>1477</v>
      </c>
      <c r="D1380" s="39" t="e">
        <f>CONCATENATE(E1381," = ",F1381," 설정 후 System On 시, PTC OFF 유지 확인")</f>
        <v>#NAME?</v>
      </c>
      <c r="F1380" s="91"/>
    </row>
    <row r="1381" spans="1:12" s="10" customFormat="1" hidden="1" outlineLevel="2">
      <c r="A1381" s="70">
        <v>1</v>
      </c>
      <c r="E1381" s="14" t="e">
        <f>VLOOKUP(C1380,Tbl_Button_Display_ASSTS,11,FALSE)</f>
        <v>#NAME?</v>
      </c>
      <c r="F1381" s="85">
        <f>VLOOKUP(C1380,Tbl_Button_Display_ASSTS,12,FALSE)</f>
        <v>80.25</v>
      </c>
      <c r="J1381" s="15"/>
    </row>
    <row r="1382" spans="1:12" s="10" customFormat="1" hidden="1" outlineLevel="2">
      <c r="A1382" s="70">
        <v>1</v>
      </c>
      <c r="E1382" s="14" t="s">
        <v>378</v>
      </c>
      <c r="F1382" s="85">
        <v>1</v>
      </c>
      <c r="J1382" s="15"/>
    </row>
    <row r="1383" spans="1:12" s="10" customFormat="1" hidden="1" outlineLevel="2">
      <c r="A1383" s="70">
        <v>1</v>
      </c>
      <c r="E1383" s="15" t="s">
        <v>5</v>
      </c>
      <c r="F1383" s="85">
        <f>VLOOKUP(C1380,Tbl_Button_Display_ASSTS,13,FALSE)</f>
        <v>15</v>
      </c>
    </row>
    <row r="1384" spans="1:12" s="10" customFormat="1" hidden="1" outlineLevel="2">
      <c r="A1384" s="70">
        <v>1</v>
      </c>
      <c r="F1384" s="87"/>
      <c r="G1384" s="10" t="e">
        <f>PTC_RELAY_Sta</f>
        <v>#NAME?</v>
      </c>
      <c r="I1384" s="13">
        <f>VLOOKUP(C1380,Tbl_Button_Display_ASSTS,54,FALSE)</f>
        <v>0</v>
      </c>
    </row>
    <row r="1385" spans="1:12" s="40" customFormat="1" ht="15">
      <c r="A1385" s="66">
        <v>1</v>
      </c>
      <c r="B1385" s="40" t="s">
        <v>551</v>
      </c>
      <c r="C1385" s="40" t="s">
        <v>599</v>
      </c>
      <c r="D1385" s="40" t="str">
        <f t="shared" si="11"/>
        <v>ACTIVE ECO 로직 &lt;내연기관 차종 ONLY&gt;</v>
      </c>
      <c r="F1385" s="82"/>
      <c r="L1385" s="233"/>
    </row>
    <row r="1386" spans="1:12" s="38" customFormat="1" collapsed="1">
      <c r="A1386" s="71">
        <v>1</v>
      </c>
      <c r="B1386" s="38" t="s">
        <v>156</v>
      </c>
      <c r="C1386" s="38" t="s">
        <v>1051</v>
      </c>
      <c r="D1386" s="38" t="str">
        <f>VLOOKUP(C1386,Tbl_Button_Display_ASSTS, 2,FALSE)</f>
        <v>ACTIVE ECO 로직 동작 확인 (ECO On 시 EvapTarget 3 이하로 설정) : 연산값 확인</v>
      </c>
      <c r="F1386" s="88"/>
      <c r="L1386" s="232"/>
    </row>
    <row r="1387" spans="1:12" s="11" customFormat="1" hidden="1" outlineLevel="1">
      <c r="A1387" s="72">
        <v>1</v>
      </c>
      <c r="B1387" s="11" t="s">
        <v>38</v>
      </c>
      <c r="C1387" s="11" t="s">
        <v>1052</v>
      </c>
      <c r="D1387" s="11" t="s">
        <v>39</v>
      </c>
      <c r="F1387" s="89"/>
      <c r="L1387" s="237" t="s">
        <v>1739</v>
      </c>
    </row>
    <row r="1388" spans="1:12" s="10" customFormat="1" ht="13.5" hidden="1" customHeight="1" outlineLevel="2">
      <c r="A1388" s="70">
        <v>1</v>
      </c>
      <c r="E1388" s="8" t="e">
        <f>Incar_IN</f>
        <v>#NAME?</v>
      </c>
      <c r="F1388" s="93" cm="1">
        <f t="array" ref="F1388">VINTERPOLATION(VLOOKUP(C1387,Tbl_Button_Display_ASSTS,2,FALSE),Tbl_Incar_Sensor,3)</f>
        <v>2.7770301561980029</v>
      </c>
      <c r="L1388" s="235" t="s">
        <v>1745</v>
      </c>
    </row>
    <row r="1389" spans="1:12" s="10" customFormat="1" hidden="1" outlineLevel="2">
      <c r="A1389" s="70">
        <v>1</v>
      </c>
      <c r="E1389" s="8" t="e">
        <f>Amb_IN</f>
        <v>#NAME?</v>
      </c>
      <c r="F1389" s="93" cm="1">
        <f t="array" ref="F1389">VINTERPOLATION(VLOOKUP(C1387,Tbl_Button_Display_ASSTS,3,FALSE),Tbl_Amb_Sensor,3)</f>
        <v>2.7716705043452423</v>
      </c>
    </row>
    <row r="1390" spans="1:12" s="10" customFormat="1" hidden="1" outlineLevel="2">
      <c r="A1390" s="70">
        <v>1</v>
      </c>
      <c r="E1390" s="14" t="e">
        <f>DrvngModSwSta</f>
        <v>#NAME?</v>
      </c>
      <c r="F1390" s="85">
        <v>0</v>
      </c>
    </row>
    <row r="1391" spans="1:12" s="10" customFormat="1" hidden="1" outlineLevel="2">
      <c r="A1391" s="70">
        <v>1</v>
      </c>
      <c r="E1391" s="14" t="str">
        <f>VLOOKUP(C1387,Tbl_Button_Display_ASSTS,11,FALSE)</f>
        <v>Power_Reset</v>
      </c>
      <c r="F1391" s="85" t="str">
        <f>VLOOKUP(C1387,Tbl_Button_Display_ASSTS,12,FALSE)</f>
        <v xml:space="preserve"> </v>
      </c>
    </row>
    <row r="1392" spans="1:12" s="10" customFormat="1" hidden="1" outlineLevel="2">
      <c r="A1392" s="70">
        <v>1</v>
      </c>
      <c r="E1392" s="15" t="s">
        <v>5</v>
      </c>
      <c r="F1392" s="85">
        <f>VLOOKUP(C1387,Tbl_Button_Display_ASSTS,13,FALSE)</f>
        <v>10</v>
      </c>
    </row>
    <row r="1393" spans="1:10" s="10" customFormat="1" hidden="1" outlineLevel="2">
      <c r="A1393" s="70">
        <v>1</v>
      </c>
      <c r="F1393" s="87"/>
      <c r="G1393" s="10" t="e">
        <f>Incar_OUT</f>
        <v>#NAME?</v>
      </c>
      <c r="I1393" s="13">
        <f>VLOOKUP(C1387,Tbl_Button_Display_ASSTS,2,FALSE)</f>
        <v>20</v>
      </c>
    </row>
    <row r="1394" spans="1:10" s="10" customFormat="1" hidden="1" outlineLevel="2">
      <c r="A1394" s="70">
        <v>1</v>
      </c>
      <c r="F1394" s="87"/>
      <c r="G1394" s="10" t="e">
        <f>Amb_OUT</f>
        <v>#NAME?</v>
      </c>
      <c r="I1394" s="13">
        <f>VLOOKUP(C1387,Tbl_Button_Display_ASSTS,3,FALSE)</f>
        <v>20</v>
      </c>
    </row>
    <row r="1395" spans="1:10" s="10" customFormat="1" hidden="1" outlineLevel="2">
      <c r="A1395" s="70">
        <v>1</v>
      </c>
      <c r="F1395" s="87"/>
      <c r="G1395" s="10" t="e">
        <f>AcDisp</f>
        <v>#NAME?</v>
      </c>
      <c r="I1395" s="13" t="str">
        <f>VLOOKUP(C1387,Tbl_Button_Display_ASSTS,31,FALSE)</f>
        <v>On</v>
      </c>
    </row>
    <row r="1396" spans="1:10" s="10" customFormat="1" hidden="1" outlineLevel="2">
      <c r="A1396" s="70">
        <v>1</v>
      </c>
      <c r="F1396" s="87"/>
      <c r="G1396" s="10" t="e" cm="1">
        <f t="array" ref="G1396">CompSpd_rpm</f>
        <v>#NAME?</v>
      </c>
      <c r="I1396" s="13" t="str">
        <f>VLOOKUP(C1387,Tbl_Button_Display_ASSTS,32,FALSE)</f>
        <v>On</v>
      </c>
    </row>
    <row r="1397" spans="1:10" s="10" customFormat="1" ht="16.5" hidden="1" outlineLevel="2">
      <c r="A1397" s="70">
        <v>1</v>
      </c>
      <c r="F1397" s="87"/>
      <c r="G1397" s="10" t="s">
        <v>772</v>
      </c>
      <c r="I1397" s="117" t="s">
        <v>1073</v>
      </c>
    </row>
    <row r="1398" spans="1:10" s="39" customFormat="1" hidden="1" outlineLevel="1">
      <c r="A1398" s="73">
        <v>1</v>
      </c>
      <c r="B1398" s="39" t="s">
        <v>155</v>
      </c>
      <c r="C1398" s="39" t="s">
        <v>1053</v>
      </c>
      <c r="D1398" s="39" t="e">
        <f>CONCATENATE(E1399," = ",F1399," 설정 시, Active Eco 로직 진입 확인")</f>
        <v>#NAME?</v>
      </c>
      <c r="F1398" s="91"/>
    </row>
    <row r="1399" spans="1:10" s="10" customFormat="1" hidden="1" outlineLevel="2">
      <c r="A1399" s="70">
        <v>1</v>
      </c>
      <c r="E1399" s="14" t="e">
        <f>VLOOKUP(C1398,Tbl_Button_Display_ASSTS,11,FALSE)</f>
        <v>#NAME?</v>
      </c>
      <c r="F1399" s="85">
        <f>VLOOKUP(C1398,Tbl_Button_Display_ASSTS,12,FALSE)</f>
        <v>2</v>
      </c>
      <c r="J1399" s="15"/>
    </row>
    <row r="1400" spans="1:10" s="10" customFormat="1" hidden="1" outlineLevel="2">
      <c r="A1400" s="70">
        <v>1</v>
      </c>
      <c r="E1400" s="15" t="s">
        <v>5</v>
      </c>
      <c r="F1400" s="85">
        <f>VLOOKUP(C1398,Tbl_Button_Display_ASSTS,13,FALSE)</f>
        <v>2</v>
      </c>
    </row>
    <row r="1401" spans="1:10" s="10" customFormat="1" ht="16.5" hidden="1" outlineLevel="2">
      <c r="A1401" s="70">
        <v>1</v>
      </c>
      <c r="F1401" s="87"/>
      <c r="G1401" s="10" t="s">
        <v>772</v>
      </c>
      <c r="I1401" s="117" t="s">
        <v>1470</v>
      </c>
    </row>
    <row r="1402" spans="1:10" s="39" customFormat="1" hidden="1" outlineLevel="1">
      <c r="A1402" s="73">
        <v>1</v>
      </c>
      <c r="B1402" s="39" t="s">
        <v>155</v>
      </c>
      <c r="C1402" s="39" t="s">
        <v>1054</v>
      </c>
      <c r="D1402" s="39" t="e">
        <f>CONCATENATE(E1403," = ",F1403," 설정 시, Active Eco 로직 해제 확인")</f>
        <v>#NAME?</v>
      </c>
      <c r="F1402" s="91"/>
    </row>
    <row r="1403" spans="1:10" s="10" customFormat="1" hidden="1" outlineLevel="2">
      <c r="A1403" s="70">
        <v>1</v>
      </c>
      <c r="E1403" s="14" t="e">
        <f>VLOOKUP(C1402,Tbl_Button_Display_ASSTS,11,FALSE)</f>
        <v>#NAME?</v>
      </c>
      <c r="F1403" s="85">
        <f>VLOOKUP(C1402,Tbl_Button_Display_ASSTS,12,FALSE)</f>
        <v>1</v>
      </c>
      <c r="J1403" s="15"/>
    </row>
    <row r="1404" spans="1:10" s="10" customFormat="1" hidden="1" outlineLevel="2">
      <c r="A1404" s="70">
        <v>1</v>
      </c>
      <c r="E1404" s="15" t="s">
        <v>5</v>
      </c>
      <c r="F1404" s="85">
        <f>VLOOKUP(C1402,Tbl_Button_Display_ASSTS,13,FALSE)</f>
        <v>2</v>
      </c>
    </row>
    <row r="1405" spans="1:10" s="10" customFormat="1" ht="16.5" hidden="1" outlineLevel="2">
      <c r="A1405" s="70">
        <v>1</v>
      </c>
      <c r="F1405" s="87"/>
      <c r="G1405" s="10" t="s">
        <v>772</v>
      </c>
      <c r="I1405" s="117" t="s">
        <v>1073</v>
      </c>
    </row>
    <row r="1406" spans="1:10" s="39" customFormat="1" hidden="1" outlineLevel="1">
      <c r="A1406" s="73">
        <v>1</v>
      </c>
      <c r="B1406" s="39" t="s">
        <v>155</v>
      </c>
      <c r="C1406" s="39" t="s">
        <v>1072</v>
      </c>
      <c r="D1406" s="39" t="str">
        <f>CONCATENATE(F1407," 시 ",I1410," 유지 확인")</f>
        <v>Signal Defualt 값 설정 시 EVAP TARGET 온도 4 ℃ 미만 제어 유지 확인</v>
      </c>
      <c r="F1406" s="91"/>
    </row>
    <row r="1407" spans="1:10" s="10" customFormat="1" hidden="1" outlineLevel="2">
      <c r="A1407" s="70">
        <v>1</v>
      </c>
      <c r="E1407" s="14" t="str">
        <f>VLOOKUP(C1406,Tbl_Button_Display_ASSTS,11,FALSE)</f>
        <v>MsgBox</v>
      </c>
      <c r="F1407" s="12" t="str">
        <f>VLOOKUP(C1406,Tbl_Button_Display_ASSTS,12,FALSE)</f>
        <v>Signal Defualt 값 설정</v>
      </c>
      <c r="J1407" s="15"/>
    </row>
    <row r="1408" spans="1:10" s="10" customFormat="1" hidden="1" outlineLevel="2">
      <c r="A1408" s="70">
        <v>1</v>
      </c>
      <c r="E1408" s="14" t="e">
        <f>DrvngModSwSta</f>
        <v>#NAME?</v>
      </c>
      <c r="F1408" s="85">
        <v>0</v>
      </c>
      <c r="J1408" s="15"/>
    </row>
    <row r="1409" spans="1:12" s="10" customFormat="1" hidden="1" outlineLevel="2">
      <c r="A1409" s="70">
        <v>1</v>
      </c>
      <c r="E1409" s="15" t="s">
        <v>5</v>
      </c>
      <c r="F1409" s="85">
        <f>VLOOKUP(C1406,Tbl_Button_Display_ASSTS,13,FALSE)</f>
        <v>1</v>
      </c>
    </row>
    <row r="1410" spans="1:12" s="10" customFormat="1" ht="16.5" hidden="1" outlineLevel="2">
      <c r="A1410" s="70">
        <v>1</v>
      </c>
      <c r="F1410" s="87"/>
      <c r="G1410" s="10" t="s">
        <v>772</v>
      </c>
      <c r="I1410" s="117" t="s">
        <v>1073</v>
      </c>
    </row>
    <row r="1411" spans="1:12" s="40" customFormat="1" ht="15">
      <c r="A1411" s="66">
        <v>1</v>
      </c>
      <c r="B1411" s="40" t="s">
        <v>552</v>
      </c>
      <c r="C1411" s="40" t="s">
        <v>600</v>
      </c>
      <c r="D1411" s="40" t="str">
        <f t="shared" si="11"/>
        <v>BLOWER MAX SIGNAL 출력</v>
      </c>
      <c r="F1411" s="82"/>
      <c r="L1411" s="234"/>
    </row>
    <row r="1412" spans="1:12" s="38" customFormat="1" collapsed="1">
      <c r="A1412" s="71">
        <v>1</v>
      </c>
      <c r="B1412" s="38" t="s">
        <v>156</v>
      </c>
      <c r="C1412" s="38" t="s">
        <v>1063</v>
      </c>
      <c r="D1412" s="38" t="str">
        <f>VLOOKUP(C1412,Tbl_Button_Display_ASSTS, 2,FALSE)</f>
        <v>BLOWER MAX SIGNAL 출력 확인</v>
      </c>
      <c r="F1412" s="88"/>
    </row>
    <row r="1413" spans="1:12" s="11" customFormat="1" hidden="1" outlineLevel="1">
      <c r="A1413" s="72">
        <v>1</v>
      </c>
      <c r="B1413" s="11" t="s">
        <v>38</v>
      </c>
      <c r="C1413" s="11" t="s">
        <v>1064</v>
      </c>
      <c r="D1413" s="11" t="s">
        <v>39</v>
      </c>
      <c r="F1413" s="89"/>
    </row>
    <row r="1414" spans="1:12" s="10" customFormat="1" ht="13.5" hidden="1" customHeight="1" outlineLevel="2">
      <c r="A1414" s="70">
        <v>1</v>
      </c>
      <c r="E1414" s="8" t="e">
        <f>Incar_IN</f>
        <v>#NAME?</v>
      </c>
      <c r="F1414" s="93" cm="1">
        <f t="array" ref="F1414">VINTERPOLATION(VLOOKUP(C1413,Tbl_Button_Display_ASSTS,2,FALSE),Tbl_Incar_Sensor,3)</f>
        <v>3.3272756433630186</v>
      </c>
    </row>
    <row r="1415" spans="1:12" s="10" customFormat="1" hidden="1" outlineLevel="2">
      <c r="A1415" s="70">
        <v>1</v>
      </c>
      <c r="E1415" s="8" t="e">
        <f>Amb_IN</f>
        <v>#NAME?</v>
      </c>
      <c r="F1415" s="93" cm="1">
        <f t="array" ref="F1415">VINTERPOLATION(VLOOKUP(C1413,Tbl_Button_Display_ASSTS,3,FALSE),Tbl_Amb_Sensor,3)</f>
        <v>3.5649228885232098</v>
      </c>
    </row>
    <row r="1416" spans="1:12" s="10" customFormat="1" hidden="1" outlineLevel="2">
      <c r="A1416" s="70">
        <v>1</v>
      </c>
      <c r="E1416" s="14" t="str">
        <f>VLOOKUP(C1413,Tbl_Button_Display_ASSTS,11,FALSE)</f>
        <v>MsgBox</v>
      </c>
      <c r="F1416" s="85" t="str">
        <f>VLOOKUP(C1413,Tbl_Button_Display_ASSTS,12,FALSE)</f>
        <v>Blower=7단 수동 설정</v>
      </c>
    </row>
    <row r="1417" spans="1:12" s="10" customFormat="1" hidden="1" outlineLevel="2">
      <c r="A1417" s="70">
        <v>1</v>
      </c>
      <c r="E1417" s="14" t="s">
        <v>95</v>
      </c>
      <c r="F1417" s="12" t="s">
        <v>1189</v>
      </c>
    </row>
    <row r="1418" spans="1:12" s="10" customFormat="1" hidden="1" outlineLevel="2">
      <c r="A1418" s="70">
        <v>1</v>
      </c>
      <c r="E1418" s="15" t="s">
        <v>5</v>
      </c>
      <c r="F1418" s="85">
        <v>2</v>
      </c>
    </row>
    <row r="1419" spans="1:12" s="10" customFormat="1" hidden="1" outlineLevel="2">
      <c r="A1419" s="70">
        <v>1</v>
      </c>
      <c r="F1419" s="87"/>
      <c r="G1419" s="10" t="e">
        <f>Incar_OUT</f>
        <v>#NAME?</v>
      </c>
      <c r="I1419" s="13">
        <f>VLOOKUP(C1413,Tbl_Button_Display_ASSTS,2,FALSE)</f>
        <v>10</v>
      </c>
    </row>
    <row r="1420" spans="1:12" s="10" customFormat="1" ht="13.5" hidden="1" customHeight="1" outlineLevel="2">
      <c r="A1420" s="70">
        <v>1</v>
      </c>
      <c r="F1420" s="87"/>
      <c r="G1420" s="10" t="e">
        <f>Amb_OUT</f>
        <v>#NAME?</v>
      </c>
      <c r="I1420" s="13">
        <f>VLOOKUP(C1413,Tbl_Button_Display_ASSTS,3,FALSE)</f>
        <v>5</v>
      </c>
    </row>
    <row r="1421" spans="1:12" s="10" customFormat="1" hidden="1" outlineLevel="2">
      <c r="A1421" s="70">
        <v>1</v>
      </c>
      <c r="F1421" s="87"/>
      <c r="G1421" s="14" t="e">
        <f>BLW_MAX</f>
        <v>#NAME?</v>
      </c>
      <c r="I1421" s="13">
        <v>0</v>
      </c>
    </row>
    <row r="1422" spans="1:12" s="10" customFormat="1" hidden="1" outlineLevel="2">
      <c r="A1422" s="70">
        <v>1</v>
      </c>
      <c r="F1422" s="87"/>
      <c r="G1422" s="14" t="e">
        <f>FrontBlwDisp</f>
        <v>#NAME?</v>
      </c>
      <c r="I1422" s="13">
        <f>VLOOKUP(C1413,Tbl_Button_Display_ASSTS,23,FALSE)</f>
        <v>7</v>
      </c>
    </row>
    <row r="1423" spans="1:12" s="39" customFormat="1" hidden="1" outlineLevel="1">
      <c r="A1423" s="73">
        <v>1</v>
      </c>
      <c r="B1423" s="39" t="s">
        <v>155</v>
      </c>
      <c r="C1423" s="39" t="s">
        <v>1065</v>
      </c>
      <c r="D1423" s="39" t="str">
        <f>CONCATENATE(E1424," ",F1424,"회 선택 시, BLOWER MAX SIGNAL 출력 확인")</f>
        <v>Sw_Blower_Up 1회 선택 시, BLOWER MAX SIGNAL 출력 확인</v>
      </c>
      <c r="F1423" s="91"/>
    </row>
    <row r="1424" spans="1:12" s="10" customFormat="1" hidden="1" outlineLevel="2">
      <c r="A1424" s="70">
        <v>1</v>
      </c>
      <c r="E1424" s="14" t="str">
        <f>VLOOKUP(C1423,Tbl_Button_Display_ASSTS,11,FALSE)</f>
        <v>Sw_Blower_Up</v>
      </c>
      <c r="F1424" s="85">
        <f>VLOOKUP(C1423,Tbl_Button_Display_ASSTS,12,FALSE)</f>
        <v>1</v>
      </c>
      <c r="J1424" s="15"/>
    </row>
    <row r="1425" spans="1:12" s="10" customFormat="1" hidden="1" outlineLevel="2">
      <c r="A1425" s="70">
        <v>1</v>
      </c>
      <c r="E1425" s="15" t="s">
        <v>5</v>
      </c>
      <c r="F1425" s="85">
        <f>VLOOKUP(C1423,Tbl_Button_Display_ASSTS,13,FALSE)</f>
        <v>2</v>
      </c>
    </row>
    <row r="1426" spans="1:12" s="10" customFormat="1" hidden="1" outlineLevel="2">
      <c r="A1426" s="70">
        <v>1</v>
      </c>
      <c r="F1426" s="87"/>
      <c r="G1426" s="14" t="e">
        <f>BLW_MAX</f>
        <v>#NAME?</v>
      </c>
      <c r="I1426" s="13">
        <v>1</v>
      </c>
    </row>
    <row r="1427" spans="1:12" s="10" customFormat="1" hidden="1" outlineLevel="2">
      <c r="A1427" s="70">
        <v>1</v>
      </c>
      <c r="F1427" s="87"/>
      <c r="G1427" s="14" t="e">
        <f>FrontBlwDisp</f>
        <v>#NAME?</v>
      </c>
      <c r="I1427" s="13">
        <f>VLOOKUP(C1423,Tbl_Button_Display_ASSTS,23,FALSE)</f>
        <v>8</v>
      </c>
    </row>
    <row r="1428" spans="1:12" s="39" customFormat="1" hidden="1" outlineLevel="1">
      <c r="A1428" s="73">
        <v>1</v>
      </c>
      <c r="B1428" s="39" t="s">
        <v>155</v>
      </c>
      <c r="C1428" s="39" t="s">
        <v>1075</v>
      </c>
      <c r="D1428" s="39" t="str">
        <f>CONCATENATE(E1429," ",F1429,"회 선택 시, BLOWER MAX SIGNAL 출력 확인")</f>
        <v>Sw_Blower_Dn 1회 선택 시, BLOWER MAX SIGNAL 출력 확인</v>
      </c>
      <c r="F1428" s="91"/>
    </row>
    <row r="1429" spans="1:12" s="10" customFormat="1" hidden="1" outlineLevel="2">
      <c r="A1429" s="70">
        <v>1</v>
      </c>
      <c r="E1429" s="14" t="str">
        <f>VLOOKUP(C1428,Tbl_Button_Display_ASSTS,11,FALSE)</f>
        <v>Sw_Blower_Dn</v>
      </c>
      <c r="F1429" s="85">
        <f>VLOOKUP(C1428,Tbl_Button_Display_ASSTS,12,FALSE)</f>
        <v>1</v>
      </c>
      <c r="J1429" s="15"/>
    </row>
    <row r="1430" spans="1:12" s="10" customFormat="1" hidden="1" outlineLevel="2">
      <c r="A1430" s="70">
        <v>1</v>
      </c>
      <c r="E1430" s="15" t="s">
        <v>5</v>
      </c>
      <c r="F1430" s="85">
        <f>VLOOKUP(C1428,Tbl_Button_Display_ASSTS,13,FALSE)</f>
        <v>2</v>
      </c>
    </row>
    <row r="1431" spans="1:12" s="10" customFormat="1" hidden="1" outlineLevel="2">
      <c r="A1431" s="70">
        <v>1</v>
      </c>
      <c r="F1431" s="87"/>
      <c r="G1431" s="14" t="e">
        <f>BLW_MAX</f>
        <v>#NAME?</v>
      </c>
      <c r="I1431" s="13">
        <v>0</v>
      </c>
    </row>
    <row r="1432" spans="1:12" s="10" customFormat="1" hidden="1" outlineLevel="2">
      <c r="A1432" s="70">
        <v>1</v>
      </c>
      <c r="F1432" s="87"/>
      <c r="G1432" s="14" t="e">
        <f>FrontBlwDisp</f>
        <v>#NAME?</v>
      </c>
      <c r="I1432" s="13">
        <f>VLOOKUP(C1428,Tbl_Button_Display_ASSTS,23,FALSE)</f>
        <v>7</v>
      </c>
    </row>
    <row r="1433" spans="1:12" s="40" customFormat="1" ht="15">
      <c r="A1433" s="66">
        <v>1</v>
      </c>
      <c r="B1433" s="40" t="s">
        <v>553</v>
      </c>
      <c r="C1433" s="40" t="s">
        <v>601</v>
      </c>
      <c r="D1433" s="40" t="str">
        <f t="shared" si="11"/>
        <v>ENGINE 사양 구분 로직 &lt;3세대 CAN&gt; &lt;내연기관 차종 ONLY&gt;</v>
      </c>
      <c r="F1433" s="82"/>
      <c r="L1433" s="234"/>
    </row>
    <row r="1434" spans="1:12" s="38" customFormat="1" collapsed="1">
      <c r="A1434" s="71">
        <v>1</v>
      </c>
      <c r="B1434" s="38" t="s">
        <v>156</v>
      </c>
      <c r="C1434" s="38" t="s">
        <v>1168</v>
      </c>
      <c r="D1434" s="38" t="str">
        <f>VLOOKUP(C1434,Tbl_Button_Display_ASSTS, 2,FALSE)</f>
        <v>ENGINE 사양 구분 로직 동작 확인 (각 ENGINE 구분에 따른 동작은 Comp 연산값으로 확인 필요) : 연산값 확인</v>
      </c>
      <c r="F1434" s="88"/>
      <c r="L1434" s="232"/>
    </row>
    <row r="1435" spans="1:12" s="11" customFormat="1" hidden="1" outlineLevel="1">
      <c r="A1435" s="72">
        <v>1</v>
      </c>
      <c r="B1435" s="11" t="s">
        <v>38</v>
      </c>
      <c r="C1435" s="11" t="s">
        <v>1169</v>
      </c>
      <c r="D1435" s="11" t="s">
        <v>39</v>
      </c>
      <c r="F1435" s="89"/>
      <c r="L1435" s="236" t="s">
        <v>1744</v>
      </c>
    </row>
    <row r="1436" spans="1:12" s="10" customFormat="1" ht="13.5" hidden="1" customHeight="1" outlineLevel="2">
      <c r="A1436" s="70">
        <v>1</v>
      </c>
      <c r="E1436" s="8" t="e">
        <f>Incar_IN</f>
        <v>#NAME?</v>
      </c>
      <c r="F1436" s="93" cm="1">
        <f t="array" ref="F1436">VINTERPOLATION(VLOOKUP(C1435,Tbl_Button_Display_ASSTS,2,FALSE),Tbl_Incar_Sensor,3)</f>
        <v>2.5</v>
      </c>
      <c r="L1436" s="130" t="s">
        <v>1746</v>
      </c>
    </row>
    <row r="1437" spans="1:12" s="10" customFormat="1" hidden="1" outlineLevel="2">
      <c r="A1437" s="70">
        <v>1</v>
      </c>
      <c r="E1437" s="8" t="e">
        <f>Amb_IN</f>
        <v>#NAME?</v>
      </c>
      <c r="F1437" s="93" cm="1">
        <f t="array" ref="F1437">VINTERPOLATION(VLOOKUP(C1435,Tbl_Button_Display_ASSTS,3,FALSE),Tbl_Amb_Sensor,3)</f>
        <v>2.5</v>
      </c>
    </row>
    <row r="1438" spans="1:12" s="10" customFormat="1" hidden="1" outlineLevel="2">
      <c r="A1438" s="70">
        <v>1</v>
      </c>
      <c r="E1438" s="14" t="e">
        <f>EngTyp1</f>
        <v>#NAME?</v>
      </c>
      <c r="F1438" s="85">
        <v>3</v>
      </c>
    </row>
    <row r="1439" spans="1:12" s="10" customFormat="1" hidden="1" outlineLevel="2">
      <c r="A1439" s="70">
        <v>1</v>
      </c>
      <c r="E1439" s="14" t="e">
        <f>EngTyp2</f>
        <v>#NAME?</v>
      </c>
      <c r="F1439" s="85">
        <v>2</v>
      </c>
    </row>
    <row r="1440" spans="1:12" s="10" customFormat="1" hidden="1" outlineLevel="2">
      <c r="A1440" s="70">
        <v>1</v>
      </c>
      <c r="E1440" s="14" t="e">
        <f>EngDsplceTyp</f>
        <v>#NAME?</v>
      </c>
      <c r="F1440" s="85">
        <v>19</v>
      </c>
    </row>
    <row r="1441" spans="1:10" s="10" customFormat="1" hidden="1" outlineLevel="2">
      <c r="A1441" s="70">
        <v>1</v>
      </c>
      <c r="E1441" s="14" t="e">
        <f>TqStndValExt</f>
        <v>#NAME?</v>
      </c>
      <c r="F1441" s="85">
        <v>23</v>
      </c>
    </row>
    <row r="1442" spans="1:10" s="10" customFormat="1" hidden="1" outlineLevel="2">
      <c r="A1442" s="70">
        <v>1</v>
      </c>
      <c r="E1442" s="14" t="str">
        <f>VLOOKUP(C1435,Tbl_Button_Display_ASSTS,11,FALSE)</f>
        <v>MsgBox</v>
      </c>
      <c r="F1442" s="85" t="e">
        <f>VLOOKUP(C1435,Tbl_Button_Display_ASSTS,12,FALSE)</f>
        <v>#NAME?</v>
      </c>
    </row>
    <row r="1443" spans="1:10" s="10" customFormat="1" hidden="1" outlineLevel="2">
      <c r="A1443" s="70">
        <v>1</v>
      </c>
      <c r="E1443" s="14" t="s">
        <v>95</v>
      </c>
      <c r="F1443" s="12" t="s">
        <v>1189</v>
      </c>
    </row>
    <row r="1444" spans="1:10" s="10" customFormat="1" hidden="1" outlineLevel="2">
      <c r="A1444" s="70">
        <v>1</v>
      </c>
      <c r="E1444" s="15" t="s">
        <v>5</v>
      </c>
      <c r="F1444" s="85">
        <f>VLOOKUP(C1435,Tbl_Button_Display_ASSTS,13,FALSE)</f>
        <v>10</v>
      </c>
    </row>
    <row r="1445" spans="1:10" s="10" customFormat="1" hidden="1" outlineLevel="2">
      <c r="A1445" s="70">
        <v>1</v>
      </c>
      <c r="F1445" s="87"/>
      <c r="G1445" s="10" t="e">
        <f>Incar_OUT</f>
        <v>#NAME?</v>
      </c>
      <c r="I1445" s="13">
        <f>VLOOKUP(C1435,Tbl_Button_Display_ASSTS,2,FALSE)</f>
        <v>25</v>
      </c>
    </row>
    <row r="1446" spans="1:10" s="10" customFormat="1" hidden="1" outlineLevel="2">
      <c r="A1446" s="70">
        <v>1</v>
      </c>
      <c r="F1446" s="87"/>
      <c r="G1446" s="10" t="e">
        <f>Amb_OUT</f>
        <v>#NAME?</v>
      </c>
      <c r="I1446" s="13">
        <f>VLOOKUP(C1435,Tbl_Button_Display_ASSTS,3,FALSE)</f>
        <v>25</v>
      </c>
    </row>
    <row r="1447" spans="1:10" s="10" customFormat="1" hidden="1" outlineLevel="2">
      <c r="A1447" s="70">
        <v>1</v>
      </c>
      <c r="F1447" s="87"/>
      <c r="G1447" s="10" t="s">
        <v>772</v>
      </c>
      <c r="I1447" s="117" t="s">
        <v>1471</v>
      </c>
    </row>
    <row r="1448" spans="1:10" s="39" customFormat="1" hidden="1" outlineLevel="1">
      <c r="A1448" s="73">
        <v>1</v>
      </c>
      <c r="B1448" s="39" t="s">
        <v>155</v>
      </c>
      <c r="C1448" s="39" t="s">
        <v>1170</v>
      </c>
      <c r="D1448" s="39" t="str">
        <f>CONCATENATE(F1449," 시 ",I1456)</f>
        <v>Type 별 Signal 값 설정 시 Comp RPM 또는 Tq 제어, CLUTCHLESS Type 연산값 확인</v>
      </c>
      <c r="F1448" s="91"/>
    </row>
    <row r="1449" spans="1:10" s="10" customFormat="1" hidden="1" outlineLevel="2">
      <c r="A1449" s="70">
        <v>1</v>
      </c>
      <c r="E1449" s="14" t="str">
        <f>VLOOKUP(C1448,Tbl_Button_Display_ASSTS,11,FALSE)</f>
        <v>MsgBox</v>
      </c>
      <c r="F1449" s="12" t="str">
        <f>VLOOKUP(C1448,Tbl_Button_Display_ASSTS,12,FALSE)</f>
        <v>Type 별 Signal 값 설정</v>
      </c>
      <c r="J1449" s="15"/>
    </row>
    <row r="1450" spans="1:10" s="10" customFormat="1" hidden="1" outlineLevel="2">
      <c r="A1450" s="70">
        <v>1</v>
      </c>
      <c r="E1450" s="14" t="e">
        <f>EngTyp1</f>
        <v>#NAME?</v>
      </c>
      <c r="F1450" s="85">
        <v>3</v>
      </c>
    </row>
    <row r="1451" spans="1:10" s="10" customFormat="1" hidden="1" outlineLevel="2">
      <c r="A1451" s="70">
        <v>1</v>
      </c>
      <c r="E1451" s="14" t="e">
        <f>EngTyp2</f>
        <v>#NAME?</v>
      </c>
      <c r="F1451" s="85">
        <v>1</v>
      </c>
    </row>
    <row r="1452" spans="1:10" s="10" customFormat="1" hidden="1" outlineLevel="2">
      <c r="A1452" s="70">
        <v>1</v>
      </c>
      <c r="E1452" s="14" t="e">
        <f>EngDsplceTyp</f>
        <v>#NAME?</v>
      </c>
      <c r="F1452" s="85">
        <v>23</v>
      </c>
    </row>
    <row r="1453" spans="1:10" s="10" customFormat="1" hidden="1" outlineLevel="2">
      <c r="A1453" s="70">
        <v>1</v>
      </c>
      <c r="E1453" s="14" t="e">
        <f>TqStndValExt</f>
        <v>#NAME?</v>
      </c>
      <c r="F1453" s="85">
        <v>0</v>
      </c>
    </row>
    <row r="1454" spans="1:10" s="10" customFormat="1" hidden="1" outlineLevel="2">
      <c r="A1454" s="70">
        <v>1</v>
      </c>
      <c r="E1454" s="14" t="s">
        <v>95</v>
      </c>
      <c r="F1454" s="85" t="s">
        <v>1189</v>
      </c>
      <c r="J1454" s="15"/>
    </row>
    <row r="1455" spans="1:10" s="10" customFormat="1" hidden="1" outlineLevel="2">
      <c r="A1455" s="70">
        <v>1</v>
      </c>
      <c r="E1455" s="15" t="s">
        <v>5</v>
      </c>
      <c r="F1455" s="85">
        <f>VLOOKUP(C1448,Tbl_Button_Display_ASSTS,13,FALSE)</f>
        <v>2</v>
      </c>
    </row>
    <row r="1456" spans="1:10" s="10" customFormat="1" hidden="1" outlineLevel="2">
      <c r="A1456" s="70">
        <v>1</v>
      </c>
      <c r="F1456" s="87"/>
      <c r="G1456" s="10" t="s">
        <v>772</v>
      </c>
      <c r="I1456" s="117" t="s">
        <v>1472</v>
      </c>
    </row>
    <row r="1457" spans="1:10" s="39" customFormat="1" hidden="1" outlineLevel="1">
      <c r="A1457" s="73">
        <v>1</v>
      </c>
      <c r="B1457" s="39" t="s">
        <v>155</v>
      </c>
      <c r="C1457" s="39" t="s">
        <v>1190</v>
      </c>
      <c r="D1457" s="39" t="str">
        <f>CONCATENATE(F1458," 시 ",I1465)</f>
        <v>Signal Defualt 값 설정 시 Comp RPM 또는 Tq 제어, CLUTCH Type 연산값 확인</v>
      </c>
      <c r="F1457" s="91"/>
    </row>
    <row r="1458" spans="1:10" s="10" customFormat="1" hidden="1" outlineLevel="2">
      <c r="A1458" s="70">
        <v>1</v>
      </c>
      <c r="E1458" s="14" t="str">
        <f>VLOOKUP(C1457,Tbl_Button_Display_ASSTS,11,FALSE)</f>
        <v>MsgBox</v>
      </c>
      <c r="F1458" s="12" t="str">
        <f>VLOOKUP(C1457,Tbl_Button_Display_ASSTS,12,FALSE)</f>
        <v>Signal Defualt 값 설정</v>
      </c>
      <c r="J1458" s="15"/>
    </row>
    <row r="1459" spans="1:10" s="10" customFormat="1" hidden="1" outlineLevel="2">
      <c r="A1459" s="70">
        <v>1</v>
      </c>
      <c r="E1459" s="14" t="e">
        <f>EngTyp1</f>
        <v>#NAME?</v>
      </c>
      <c r="F1459" s="85">
        <v>0</v>
      </c>
    </row>
    <row r="1460" spans="1:10" s="10" customFormat="1" hidden="1" outlineLevel="2">
      <c r="A1460" s="70">
        <v>1</v>
      </c>
      <c r="E1460" s="14" t="e">
        <f>EngTyp2</f>
        <v>#NAME?</v>
      </c>
      <c r="F1460" s="85">
        <v>0</v>
      </c>
    </row>
    <row r="1461" spans="1:10" s="10" customFormat="1" hidden="1" outlineLevel="2">
      <c r="A1461" s="70">
        <v>1</v>
      </c>
      <c r="E1461" s="14" t="e">
        <f>EngDsplceTyp</f>
        <v>#NAME?</v>
      </c>
      <c r="F1461" s="85">
        <v>0</v>
      </c>
    </row>
    <row r="1462" spans="1:10" s="10" customFormat="1" hidden="1" outlineLevel="2">
      <c r="A1462" s="70">
        <v>1</v>
      </c>
      <c r="E1462" s="14" t="e">
        <f>TqStndValExt</f>
        <v>#NAME?</v>
      </c>
      <c r="F1462" s="85">
        <v>0</v>
      </c>
    </row>
    <row r="1463" spans="1:10" s="10" customFormat="1" hidden="1" outlineLevel="2">
      <c r="A1463" s="70">
        <v>1</v>
      </c>
      <c r="E1463" s="14" t="s">
        <v>95</v>
      </c>
      <c r="F1463" s="85" t="s">
        <v>1189</v>
      </c>
      <c r="J1463" s="15"/>
    </row>
    <row r="1464" spans="1:10" s="10" customFormat="1" hidden="1" outlineLevel="2">
      <c r="A1464" s="70">
        <v>1</v>
      </c>
      <c r="E1464" s="15" t="s">
        <v>5</v>
      </c>
      <c r="F1464" s="85">
        <f>VLOOKUP(C1457,Tbl_Button_Display_ASSTS,13,FALSE)</f>
        <v>1</v>
      </c>
    </row>
    <row r="1465" spans="1:10" s="10" customFormat="1" hidden="1" outlineLevel="2">
      <c r="A1465" s="70">
        <v>1</v>
      </c>
      <c r="F1465" s="87"/>
      <c r="G1465" s="10" t="s">
        <v>772</v>
      </c>
      <c r="I1465" s="117" t="s">
        <v>1471</v>
      </c>
    </row>
    <row r="1466" spans="1:10" s="127" customFormat="1" ht="15">
      <c r="A1466" s="126">
        <v>1</v>
      </c>
      <c r="B1466" s="127" t="s">
        <v>554</v>
      </c>
      <c r="C1466" s="127" t="s">
        <v>602</v>
      </c>
      <c r="D1466" s="127" t="str">
        <f t="shared" ref="D1466" si="12">VLOOKUP(B1466,Tbl_Button_Display_ASSTS,2,FALSE)</f>
        <v>ENGINE IDLE RPM UP &lt;내연기관 차종 ONLY&gt;</v>
      </c>
      <c r="F1466" s="82"/>
    </row>
    <row r="1467" spans="1:10" s="123" customFormat="1" collapsed="1">
      <c r="A1467" s="122">
        <v>1</v>
      </c>
      <c r="B1467" s="123" t="s">
        <v>156</v>
      </c>
      <c r="C1467" s="123" t="s">
        <v>1352</v>
      </c>
      <c r="D1467" s="123" t="str">
        <f>VLOOKUP(C1467,Tbl_Button_Display_ASSTS, 2,FALSE)</f>
        <v>ENGINE IDLE RPM UP 제어 동작 확인</v>
      </c>
      <c r="F1467" s="88"/>
    </row>
    <row r="1468" spans="1:10" s="125" customFormat="1" hidden="1" outlineLevel="1">
      <c r="A1468" s="124">
        <v>1</v>
      </c>
      <c r="B1468" s="125" t="s">
        <v>38</v>
      </c>
      <c r="C1468" s="125" t="s">
        <v>1353</v>
      </c>
      <c r="D1468" s="125" t="s">
        <v>39</v>
      </c>
      <c r="F1468" s="89"/>
    </row>
    <row r="1469" spans="1:10" s="10" customFormat="1" ht="13.5" hidden="1" customHeight="1" outlineLevel="2">
      <c r="A1469" s="70">
        <v>1</v>
      </c>
      <c r="E1469" s="114" t="e">
        <f>Incar_IN</f>
        <v>#NAME?</v>
      </c>
      <c r="F1469" s="93" cm="1">
        <f t="array" ref="F1469">VINTERPOLATION(VLOOKUP(C1468,Tbl_Button_Display_ASSTS,2,FALSE),Tbl_Incar_Sensor,3)</f>
        <v>0.99601123277225601</v>
      </c>
    </row>
    <row r="1470" spans="1:10" s="10" customFormat="1" hidden="1" outlineLevel="2">
      <c r="A1470" s="70">
        <v>1</v>
      </c>
      <c r="E1470" s="114" t="e">
        <f>Amb_IN</f>
        <v>#NAME?</v>
      </c>
      <c r="F1470" s="93" cm="1">
        <f t="array" ref="F1470">VINTERPOLATION(VLOOKUP(C1468,Tbl_Button_Display_ASSTS,3,FALSE),Tbl_Amb_Sensor,3)</f>
        <v>2.2355326207150754</v>
      </c>
    </row>
    <row r="1471" spans="1:10" s="10" customFormat="1" hidden="1" outlineLevel="2">
      <c r="A1471" s="70">
        <v>1</v>
      </c>
      <c r="E1471" s="114" t="e">
        <f>AirconPressureSensorValue</f>
        <v>#NAME?</v>
      </c>
      <c r="F1471" s="85">
        <v>15125</v>
      </c>
    </row>
    <row r="1472" spans="1:10" s="10" customFormat="1" hidden="1" outlineLevel="2">
      <c r="A1472" s="70">
        <v>1</v>
      </c>
      <c r="E1472" s="114" t="str">
        <f>VLOOKUP(C1468,Tbl_Button_Display_ASSTS,11,FALSE)</f>
        <v>Power_Reset</v>
      </c>
      <c r="F1472" s="85" t="str">
        <f>VLOOKUP(C1468,Tbl_Button_Display_ASSTS,12,FALSE)</f>
        <v xml:space="preserve"> </v>
      </c>
    </row>
    <row r="1473" spans="1:10" s="10" customFormat="1" hidden="1" outlineLevel="2">
      <c r="A1473" s="70">
        <v>1</v>
      </c>
      <c r="E1473" s="15" t="s">
        <v>5</v>
      </c>
      <c r="F1473" s="85">
        <f>VLOOKUP(C1468,Tbl_Button_Display_ASSTS,13,FALSE)</f>
        <v>10</v>
      </c>
    </row>
    <row r="1474" spans="1:10" s="10" customFormat="1" hidden="1" outlineLevel="2">
      <c r="A1474" s="70">
        <v>1</v>
      </c>
      <c r="F1474" s="87"/>
      <c r="G1474" s="10" t="e">
        <f>Incar_OUT</f>
        <v>#NAME?</v>
      </c>
      <c r="I1474" s="13">
        <f>VLOOKUP(C1468,Tbl_Button_Display_ASSTS,2,FALSE)</f>
        <v>60</v>
      </c>
    </row>
    <row r="1475" spans="1:10" s="10" customFormat="1" ht="13.5" hidden="1" customHeight="1" outlineLevel="2">
      <c r="A1475" s="70">
        <v>1</v>
      </c>
      <c r="F1475" s="87"/>
      <c r="G1475" s="10" t="e">
        <f>Amb_OUT</f>
        <v>#NAME?</v>
      </c>
      <c r="I1475" s="13">
        <f>VLOOKUP(C1468,Tbl_Button_Display_ASSTS,3,FALSE)</f>
        <v>30</v>
      </c>
    </row>
    <row r="1476" spans="1:10" s="10" customFormat="1" hidden="1" outlineLevel="2">
      <c r="A1476" s="70">
        <v>1</v>
      </c>
      <c r="F1476" s="87"/>
      <c r="G1476" s="114" t="e">
        <f>Eng_IdleRpm</f>
        <v>#NAME?</v>
      </c>
      <c r="I1476" s="13">
        <v>0</v>
      </c>
    </row>
    <row r="1477" spans="1:10" s="10" customFormat="1" hidden="1" outlineLevel="2">
      <c r="A1477" s="70">
        <v>1</v>
      </c>
      <c r="F1477" s="87"/>
      <c r="G1477" s="114" t="e">
        <f>FrontBlwDisp</f>
        <v>#NAME?</v>
      </c>
      <c r="I1477" s="13">
        <f>VLOOKUP(C1468,Tbl_Button_Display_ASSTS,23,FALSE)</f>
        <v>8</v>
      </c>
    </row>
    <row r="1478" spans="1:10" s="10" customFormat="1" hidden="1" outlineLevel="2">
      <c r="A1478" s="70">
        <v>1</v>
      </c>
      <c r="F1478" s="87"/>
      <c r="G1478" s="114" t="e">
        <f>AcDisp</f>
        <v>#NAME?</v>
      </c>
      <c r="I1478" s="13" t="str">
        <f>VLOOKUP(C1468,Tbl_Button_Display_ASSTS,31,FALSE)</f>
        <v>On</v>
      </c>
    </row>
    <row r="1479" spans="1:10" s="10" customFormat="1" hidden="1" outlineLevel="2">
      <c r="A1479" s="70">
        <v>1</v>
      </c>
      <c r="F1479" s="87"/>
      <c r="G1479" s="114" t="e">
        <f>AcnReqSwi</f>
        <v>#NAME?</v>
      </c>
      <c r="I1479" s="13" t="str">
        <f>VLOOKUP(C1468,Tbl_Button_Display_ASSTS,32,FALSE)</f>
        <v>On</v>
      </c>
    </row>
    <row r="1480" spans="1:10" s="39" customFormat="1" hidden="1" outlineLevel="1">
      <c r="A1480" s="73">
        <v>1</v>
      </c>
      <c r="B1480" s="39" t="s">
        <v>155</v>
      </c>
      <c r="C1480" s="39" t="s">
        <v>1354</v>
      </c>
      <c r="D1480" s="39" t="e">
        <f>CONCATENATE(E1481," = ",F1481," 설정 시, ",G1483," = ", I1483,"H 출력으로 로직 만족 확인")</f>
        <v>#NAME?</v>
      </c>
      <c r="F1480" s="91"/>
    </row>
    <row r="1481" spans="1:10" s="10" customFormat="1" hidden="1" outlineLevel="2">
      <c r="A1481" s="70">
        <v>1</v>
      </c>
      <c r="E1481" s="114" t="e">
        <f>VLOOKUP(C1480,Tbl_Button_Display_ASSTS,11,FALSE)</f>
        <v>#NAME?</v>
      </c>
      <c r="F1481" s="85">
        <v>0</v>
      </c>
      <c r="J1481" s="15"/>
    </row>
    <row r="1482" spans="1:10" s="10" customFormat="1" hidden="1" outlineLevel="2">
      <c r="A1482" s="70">
        <v>1</v>
      </c>
      <c r="E1482" s="15" t="s">
        <v>5</v>
      </c>
      <c r="F1482" s="85">
        <f>VLOOKUP(C1480,Tbl_Button_Display_ASSTS,13,FALSE)</f>
        <v>2</v>
      </c>
    </row>
    <row r="1483" spans="1:10" s="10" customFormat="1" hidden="1" outlineLevel="2">
      <c r="A1483" s="70">
        <v>1</v>
      </c>
      <c r="F1483" s="87"/>
      <c r="G1483" s="114" t="e">
        <f>Eng_IdleRpm</f>
        <v>#NAME?</v>
      </c>
      <c r="I1483" s="13">
        <v>3</v>
      </c>
    </row>
    <row r="1484" spans="1:10" s="39" customFormat="1" hidden="1" outlineLevel="1">
      <c r="A1484" s="73">
        <v>1</v>
      </c>
      <c r="B1484" s="39" t="s">
        <v>155</v>
      </c>
      <c r="C1484" s="39" t="s">
        <v>1355</v>
      </c>
      <c r="D1484" s="39" t="e">
        <f>CONCATENATE(E1485," = ",F1485," 설정 시, ",G1487," = ", I1487,"H 출력으로 로직 해제 확인")</f>
        <v>#NAME?</v>
      </c>
      <c r="F1484" s="91"/>
    </row>
    <row r="1485" spans="1:10" s="10" customFormat="1" hidden="1" outlineLevel="2">
      <c r="A1485" s="70">
        <v>1</v>
      </c>
      <c r="E1485" s="114" t="e">
        <f>VLOOKUP(C1484,Tbl_Button_Display_ASSTS,11,FALSE)</f>
        <v>#NAME?</v>
      </c>
      <c r="F1485" s="85">
        <v>35</v>
      </c>
      <c r="J1485" s="15"/>
    </row>
    <row r="1486" spans="1:10" s="10" customFormat="1" hidden="1" outlineLevel="2">
      <c r="A1486" s="70">
        <v>1</v>
      </c>
      <c r="E1486" s="15" t="s">
        <v>5</v>
      </c>
      <c r="F1486" s="85">
        <f>VLOOKUP(C1484,Tbl_Button_Display_ASSTS,13,FALSE)</f>
        <v>2</v>
      </c>
    </row>
    <row r="1487" spans="1:10" s="10" customFormat="1" hidden="1" outlineLevel="2">
      <c r="A1487" s="70">
        <v>1</v>
      </c>
      <c r="F1487" s="87"/>
      <c r="G1487" s="114" t="e">
        <f>Eng_IdleRpm</f>
        <v>#NAME?</v>
      </c>
      <c r="I1487" s="13">
        <v>0</v>
      </c>
    </row>
    <row r="1488" spans="1:10" s="127" customFormat="1" ht="15">
      <c r="A1488" s="126">
        <v>1</v>
      </c>
      <c r="B1488" s="127" t="s">
        <v>555</v>
      </c>
      <c r="C1488" s="127" t="s">
        <v>603</v>
      </c>
      <c r="D1488" s="127" t="str">
        <f t="shared" ref="D1488" si="13">VLOOKUP(B1488,Tbl_Button_Display_ASSTS,2,FALSE)</f>
        <v>COMP 정보 송신 &lt;내연기관 차종 ONLY&gt;</v>
      </c>
      <c r="F1488" s="82"/>
    </row>
    <row r="1489" spans="1:12" s="123" customFormat="1" collapsed="1">
      <c r="A1489" s="122">
        <v>1</v>
      </c>
      <c r="B1489" s="123" t="s">
        <v>156</v>
      </c>
      <c r="C1489" s="123" t="s">
        <v>1225</v>
      </c>
      <c r="D1489" s="123" t="str">
        <f>VLOOKUP(C1489,Tbl_Button_Display_ASSTS, 2,FALSE)</f>
        <v>COMP 정보 송신 확인 (internal compress 옵션)</v>
      </c>
      <c r="F1489" s="88"/>
    </row>
    <row r="1490" spans="1:12" s="39" customFormat="1" ht="16.5" hidden="1" outlineLevel="1">
      <c r="A1490" s="73">
        <v>1</v>
      </c>
      <c r="B1490" s="39" t="s">
        <v>155</v>
      </c>
      <c r="C1490" s="39" t="s">
        <v>1356</v>
      </c>
      <c r="D1490" s="39" t="e">
        <f>CONCATENATE(G1496," = ",I1496," 송부 확인")</f>
        <v>#NAME?</v>
      </c>
      <c r="F1490" s="91"/>
      <c r="L1490" s="199" t="s">
        <v>1743</v>
      </c>
    </row>
    <row r="1491" spans="1:12" s="10" customFormat="1" ht="13.5" hidden="1" customHeight="1" outlineLevel="2">
      <c r="A1491" s="70">
        <v>1</v>
      </c>
      <c r="E1491" s="114" t="e">
        <f>Incar_IN</f>
        <v>#NAME?</v>
      </c>
      <c r="F1491" s="93" cm="1">
        <f t="array" ref="F1491">VINTERPOLATION(VLOOKUP(C1490,Tbl_Button_Display_ASSTS,2,FALSE),Tbl_Incar_Sensor,3)</f>
        <v>3.3272756433630186</v>
      </c>
      <c r="L1491" s="235" t="s">
        <v>1742</v>
      </c>
    </row>
    <row r="1492" spans="1:12" s="10" customFormat="1" hidden="1" outlineLevel="2">
      <c r="A1492" s="70">
        <v>1</v>
      </c>
      <c r="E1492" s="114" t="e">
        <f>Amb_IN</f>
        <v>#NAME?</v>
      </c>
      <c r="F1492" s="93" cm="1">
        <f t="array" ref="F1492">VINTERPOLATION(VLOOKUP(C1490,Tbl_Button_Display_ASSTS,3,FALSE),Tbl_Amb_Sensor,3)</f>
        <v>3.5649228885232098</v>
      </c>
      <c r="L1492" s="130" t="s">
        <v>1741</v>
      </c>
    </row>
    <row r="1493" spans="1:12" s="10" customFormat="1" hidden="1" outlineLevel="2">
      <c r="A1493" s="70">
        <v>1</v>
      </c>
      <c r="E1493" s="114" t="str">
        <f>VLOOKUP(C1490,Tbl_Button_Display_ASSTS,11,FALSE)</f>
        <v>Power_Reset</v>
      </c>
      <c r="F1493" s="85" t="str">
        <f>VLOOKUP(C1490,Tbl_Button_Display_ASSTS,12,FALSE)</f>
        <v xml:space="preserve"> </v>
      </c>
    </row>
    <row r="1494" spans="1:12" s="10" customFormat="1" hidden="1" outlineLevel="2">
      <c r="A1494" s="70">
        <v>1</v>
      </c>
      <c r="F1494" s="87"/>
      <c r="G1494" s="10" t="e">
        <f>Incar_OUT</f>
        <v>#NAME?</v>
      </c>
      <c r="I1494" s="13">
        <f>VLOOKUP(C1490,Tbl_Button_Display_ASSTS,2,FALSE)</f>
        <v>10</v>
      </c>
    </row>
    <row r="1495" spans="1:12" s="10" customFormat="1" ht="13.5" hidden="1" customHeight="1" outlineLevel="2">
      <c r="A1495" s="70">
        <v>1</v>
      </c>
      <c r="F1495" s="87"/>
      <c r="G1495" s="10" t="e">
        <f>Amb_OUT</f>
        <v>#NAME?</v>
      </c>
      <c r="I1495" s="13">
        <f>VLOOKUP(C1490,Tbl_Button_Display_ASSTS,3,FALSE)</f>
        <v>5</v>
      </c>
      <c r="L1495" s="231"/>
    </row>
    <row r="1496" spans="1:12" s="10" customFormat="1" hidden="1" outlineLevel="2">
      <c r="A1496" s="70">
        <v>1</v>
      </c>
      <c r="E1496" s="10" t="s">
        <v>1740</v>
      </c>
      <c r="F1496" s="87"/>
      <c r="G1496" s="114" t="e">
        <f>Compressor</f>
        <v>#NAME?</v>
      </c>
      <c r="I1496" s="48">
        <v>1</v>
      </c>
    </row>
    <row r="1497" spans="1:12" s="127" customFormat="1" ht="15">
      <c r="A1497" s="126">
        <v>1</v>
      </c>
      <c r="B1497" s="127" t="s">
        <v>556</v>
      </c>
      <c r="C1497" s="127" t="s">
        <v>604</v>
      </c>
      <c r="D1497" s="127" t="str">
        <f t="shared" ref="D1497" si="14">VLOOKUP(B1497,Tbl_Button_Display_ASSTS,2,FALSE)</f>
        <v>PWM MOTOR 구속 LOGIC &lt;분리형 PWM TYPE&gt;</v>
      </c>
      <c r="F1497" s="82"/>
    </row>
    <row r="1498" spans="1:12" s="123" customFormat="1" collapsed="1">
      <c r="A1498" s="122">
        <v>1</v>
      </c>
      <c r="B1498" s="123" t="s">
        <v>156</v>
      </c>
      <c r="C1498" s="123" t="s">
        <v>1227</v>
      </c>
      <c r="D1498" s="123" t="str">
        <f>VLOOKUP(C1498,Tbl_Button_Display_ASSTS, 2,FALSE)</f>
        <v>PWM MOTOR 구속 동작 확인</v>
      </c>
      <c r="F1498" s="88"/>
    </row>
    <row r="1499" spans="1:12" s="125" customFormat="1" hidden="1" outlineLevel="1">
      <c r="A1499" s="124">
        <v>1</v>
      </c>
      <c r="B1499" s="125" t="s">
        <v>38</v>
      </c>
      <c r="C1499" s="125" t="s">
        <v>1228</v>
      </c>
      <c r="D1499" s="125" t="s">
        <v>39</v>
      </c>
      <c r="F1499" s="89"/>
    </row>
    <row r="1500" spans="1:12" s="10" customFormat="1" hidden="1" outlineLevel="2">
      <c r="A1500" s="70">
        <v>1</v>
      </c>
      <c r="E1500" s="114" t="e">
        <f>BLW_IS_IN</f>
        <v>#NAME?</v>
      </c>
      <c r="F1500" s="85">
        <v>0</v>
      </c>
    </row>
    <row r="1501" spans="1:12" s="10" customFormat="1" hidden="1" outlineLevel="2">
      <c r="A1501" s="70">
        <v>1</v>
      </c>
      <c r="E1501" s="114" t="str">
        <f>VLOOKUP(C1499,Tbl_Button_Display_ASSTS,11,FALSE)</f>
        <v>MsgBox</v>
      </c>
      <c r="F1501" s="85" t="str">
        <f>VLOOKUP(C1499,Tbl_Button_Display_ASSTS,12,FALSE)</f>
        <v>AC=ON, Blower=1단 수동 설정</v>
      </c>
    </row>
    <row r="1502" spans="1:12" s="10" customFormat="1" hidden="1" outlineLevel="2">
      <c r="A1502" s="70">
        <v>1</v>
      </c>
      <c r="E1502" s="114" t="s">
        <v>95</v>
      </c>
      <c r="F1502" s="85" t="s">
        <v>1189</v>
      </c>
    </row>
    <row r="1503" spans="1:12" s="10" customFormat="1" hidden="1" outlineLevel="2">
      <c r="A1503" s="70">
        <v>1</v>
      </c>
      <c r="E1503" s="15" t="s">
        <v>715</v>
      </c>
      <c r="F1503" s="85">
        <v>2</v>
      </c>
    </row>
    <row r="1504" spans="1:12" s="10" customFormat="1" hidden="1" outlineLevel="2">
      <c r="A1504" s="70">
        <v>1</v>
      </c>
      <c r="F1504" s="87"/>
      <c r="G1504" s="114" t="e">
        <f>FrontBlwDisp</f>
        <v>#NAME?</v>
      </c>
      <c r="I1504" s="13">
        <f>VLOOKUP(C1499,Tbl_Button_Display_ASSTS,23,FALSE)</f>
        <v>1</v>
      </c>
    </row>
    <row r="1505" spans="1:10" s="10" customFormat="1" hidden="1" outlineLevel="2">
      <c r="A1505" s="70">
        <v>1</v>
      </c>
      <c r="F1505" s="87"/>
      <c r="G1505" s="114" t="e">
        <f>AcDisp</f>
        <v>#NAME?</v>
      </c>
      <c r="I1505" s="13" t="str">
        <f>VLOOKUP(C1499,Tbl_Button_Display_ASSTS,31,FALSE)</f>
        <v>On</v>
      </c>
    </row>
    <row r="1506" spans="1:10" s="10" customFormat="1" hidden="1" outlineLevel="2">
      <c r="A1506" s="70">
        <v>1</v>
      </c>
      <c r="F1506" s="87"/>
      <c r="G1506" s="114" t="e" cm="1">
        <f t="array" ref="G1506">CompSpd_rpm</f>
        <v>#NAME?</v>
      </c>
      <c r="I1506" s="13" t="str">
        <f>VLOOKUP(C1499,Tbl_Button_Display_ASSTS,33,FALSE)</f>
        <v>On</v>
      </c>
    </row>
    <row r="1507" spans="1:10" s="39" customFormat="1" hidden="1" outlineLevel="1">
      <c r="A1507" s="73">
        <v>1</v>
      </c>
      <c r="B1507" s="39" t="s">
        <v>155</v>
      </c>
      <c r="C1507" s="39" t="s">
        <v>1229</v>
      </c>
      <c r="D1507" s="39" t="e">
        <f>CONCATENATE(E1508," = ",F1508,"V 로 구속 IS 전압 인가 시, Comp 출력 ",I1511,"로 모터 구속 판단 확인" )</f>
        <v>#NAME?</v>
      </c>
      <c r="F1507" s="91"/>
    </row>
    <row r="1508" spans="1:10" s="10" customFormat="1" hidden="1" outlineLevel="2">
      <c r="A1508" s="70">
        <v>1</v>
      </c>
      <c r="E1508" s="114" t="e">
        <f>BLW_IS_IN</f>
        <v>#NAME?</v>
      </c>
      <c r="F1508" s="85">
        <f>VLOOKUP(C1507,Tbl_Button_Display_ASSTS,12,FALSE)</f>
        <v>0.5</v>
      </c>
      <c r="J1508" s="15"/>
    </row>
    <row r="1509" spans="1:10" s="10" customFormat="1" hidden="1" outlineLevel="2">
      <c r="A1509" s="70">
        <v>1</v>
      </c>
      <c r="E1509" s="15" t="s">
        <v>5</v>
      </c>
      <c r="F1509" s="85">
        <f>VLOOKUP(C1507,Tbl_Button_Display_ASSTS,13,FALSE)</f>
        <v>2</v>
      </c>
    </row>
    <row r="1510" spans="1:10" s="10" customFormat="1" hidden="1" outlineLevel="2">
      <c r="A1510" s="70">
        <v>1</v>
      </c>
      <c r="F1510" s="87"/>
      <c r="G1510" s="114" t="e">
        <f>AcDisp</f>
        <v>#NAME?</v>
      </c>
      <c r="I1510" s="13" t="str">
        <f>VLOOKUP(C1507,Tbl_Button_Display_ASSTS,31,FALSE)</f>
        <v>On</v>
      </c>
    </row>
    <row r="1511" spans="1:10" s="10" customFormat="1" hidden="1" outlineLevel="2">
      <c r="A1511" s="70">
        <v>1</v>
      </c>
      <c r="F1511" s="87"/>
      <c r="G1511" s="114" t="e" cm="1">
        <f t="array" ref="G1511">CompSpd_rpm</f>
        <v>#NAME?</v>
      </c>
      <c r="I1511" s="13" t="str">
        <f>VLOOKUP(C1507,Tbl_Button_Display_ASSTS,33,FALSE)</f>
        <v>Off</v>
      </c>
    </row>
    <row r="1512" spans="1:10" s="39" customFormat="1" hidden="1" outlineLevel="1">
      <c r="A1512" s="73">
        <v>1</v>
      </c>
      <c r="B1512" s="39" t="s">
        <v>155</v>
      </c>
      <c r="C1512" s="39" t="s">
        <v>1357</v>
      </c>
      <c r="D1512" s="39" t="e">
        <f>CONCATENATE("모터 구속 판단 후 15초 전에  ",E1513," = ",F1513,"V 로 정상 IS 전압 인가 시, Comp 출력 ",I1516," 확인" )</f>
        <v>#NAME?</v>
      </c>
      <c r="F1512" s="91"/>
    </row>
    <row r="1513" spans="1:10" s="10" customFormat="1" hidden="1" outlineLevel="2">
      <c r="A1513" s="70">
        <v>1</v>
      </c>
      <c r="E1513" s="114" t="e">
        <f>BLW_IS_IN</f>
        <v>#NAME?</v>
      </c>
      <c r="F1513" s="85">
        <f>VLOOKUP(C1512,Tbl_Button_Display_ASSTS,12,FALSE)</f>
        <v>0</v>
      </c>
      <c r="J1513" s="15"/>
    </row>
    <row r="1514" spans="1:10" s="10" customFormat="1" hidden="1" outlineLevel="2">
      <c r="A1514" s="70">
        <v>1</v>
      </c>
      <c r="E1514" s="15" t="s">
        <v>5</v>
      </c>
      <c r="F1514" s="85">
        <f>VLOOKUP(C1512,Tbl_Button_Display_ASSTS,13,FALSE)</f>
        <v>2</v>
      </c>
    </row>
    <row r="1515" spans="1:10" s="10" customFormat="1" hidden="1" outlineLevel="2">
      <c r="A1515" s="70">
        <v>1</v>
      </c>
      <c r="F1515" s="87"/>
      <c r="G1515" s="114" t="e">
        <f>AcDisp</f>
        <v>#NAME?</v>
      </c>
      <c r="I1515" s="13" t="str">
        <f>VLOOKUP(C1512,Tbl_Button_Display_ASSTS,31,FALSE)</f>
        <v>On</v>
      </c>
    </row>
    <row r="1516" spans="1:10" s="10" customFormat="1" hidden="1" outlineLevel="2">
      <c r="A1516" s="70">
        <v>1</v>
      </c>
      <c r="F1516" s="87"/>
      <c r="G1516" s="114" t="e" cm="1">
        <f t="array" ref="G1516">CompSpd_rpm</f>
        <v>#NAME?</v>
      </c>
      <c r="I1516" s="13" t="str">
        <f>VLOOKUP(C1512,Tbl_Button_Display_ASSTS,33,FALSE)</f>
        <v>On</v>
      </c>
    </row>
    <row r="1517" spans="1:10" s="127" customFormat="1" ht="15">
      <c r="A1517" s="126">
        <v>1</v>
      </c>
      <c r="B1517" s="127" t="s">
        <v>557</v>
      </c>
      <c r="C1517" s="127" t="s">
        <v>605</v>
      </c>
      <c r="D1517" s="127" t="str">
        <f t="shared" ref="D1517" si="15">VLOOKUP(B1517,Tbl_Button_Display_ASSTS,2,FALSE)</f>
        <v>저외기온 COMP 작동방지 로직</v>
      </c>
      <c r="F1517" s="82"/>
    </row>
    <row r="1518" spans="1:10" s="123" customFormat="1" collapsed="1">
      <c r="A1518" s="122">
        <v>1</v>
      </c>
      <c r="B1518" s="123" t="s">
        <v>156</v>
      </c>
      <c r="C1518" s="123" t="s">
        <v>1358</v>
      </c>
      <c r="D1518" s="123" t="str">
        <f>VLOOKUP(C1518,Tbl_Button_Display_ASSTS, 2,FALSE)</f>
        <v>저외기온 COMP 작동방지 동작 확인</v>
      </c>
      <c r="F1518" s="88"/>
    </row>
    <row r="1519" spans="1:10" s="125" customFormat="1" hidden="1" outlineLevel="1">
      <c r="A1519" s="124">
        <v>1</v>
      </c>
      <c r="B1519" s="125" t="s">
        <v>38</v>
      </c>
      <c r="C1519" s="125" t="s">
        <v>1232</v>
      </c>
      <c r="D1519" s="125" t="s">
        <v>39</v>
      </c>
      <c r="F1519" s="89"/>
    </row>
    <row r="1520" spans="1:10" s="10" customFormat="1" hidden="1" outlineLevel="2">
      <c r="A1520" s="70">
        <v>1</v>
      </c>
      <c r="E1520" s="114" t="e">
        <f>Amb_IN</f>
        <v>#NAME?</v>
      </c>
      <c r="F1520" s="93" cm="1">
        <f t="array" ref="F1520">VINTERPOLATION(VLOOKUP(C1519,Tbl_Button_Display_ASSTS,3,FALSE),Tbl_Amb_Sensor,3)</f>
        <v>3.8009208927543647</v>
      </c>
    </row>
    <row r="1521" spans="1:10" s="10" customFormat="1" hidden="1" outlineLevel="2">
      <c r="A1521" s="70">
        <v>1</v>
      </c>
      <c r="E1521" s="114" t="str">
        <f>VLOOKUP(C1519,Tbl_Button_Display_ASSTS,11,FALSE)</f>
        <v>MsgBox</v>
      </c>
      <c r="F1521" s="85" t="str">
        <f>VLOOKUP(C1519,Tbl_Button_Display_ASSTS,12,FALSE)</f>
        <v>AC=ON 수동 설정</v>
      </c>
    </row>
    <row r="1522" spans="1:10" s="10" customFormat="1" hidden="1" outlineLevel="2">
      <c r="A1522" s="70">
        <v>1</v>
      </c>
      <c r="E1522" s="114" t="s">
        <v>95</v>
      </c>
      <c r="F1522" s="85" t="s">
        <v>1189</v>
      </c>
    </row>
    <row r="1523" spans="1:10" s="10" customFormat="1" hidden="1" outlineLevel="2">
      <c r="A1523" s="70">
        <v>1</v>
      </c>
      <c r="E1523" s="15" t="s">
        <v>715</v>
      </c>
      <c r="F1523" s="85">
        <f>VLOOKUP(C1519,Tbl_Button_Display_ASSTS,13,FALSE)</f>
        <v>10</v>
      </c>
    </row>
    <row r="1524" spans="1:10" s="10" customFormat="1" ht="13.5" hidden="1" customHeight="1" outlineLevel="2">
      <c r="A1524" s="70">
        <v>1</v>
      </c>
      <c r="F1524" s="87"/>
      <c r="G1524" s="10" t="e">
        <f>Amb_OUT</f>
        <v>#NAME?</v>
      </c>
      <c r="I1524" s="13">
        <f>VLOOKUP(C1519,Tbl_Button_Display_ASSTS,3,FALSE)</f>
        <v>0</v>
      </c>
    </row>
    <row r="1525" spans="1:10" s="10" customFormat="1" hidden="1" outlineLevel="2">
      <c r="A1525" s="70">
        <v>1</v>
      </c>
      <c r="F1525" s="87"/>
      <c r="G1525" s="114" t="e">
        <f>AcDisp</f>
        <v>#NAME?</v>
      </c>
      <c r="I1525" s="13" t="str">
        <f>VLOOKUP(C1519,Tbl_Button_Display_ASSTS,31,FALSE)</f>
        <v>On</v>
      </c>
    </row>
    <row r="1526" spans="1:10" s="10" customFormat="1" hidden="1" outlineLevel="2">
      <c r="A1526" s="70">
        <v>1</v>
      </c>
      <c r="F1526" s="87"/>
      <c r="G1526" s="114" t="e">
        <f>AcnReqSwi</f>
        <v>#NAME?</v>
      </c>
      <c r="I1526" s="13" t="str">
        <f>VLOOKUP(C1519,Tbl_Button_Display_ASSTS,32,FALSE)</f>
        <v>On</v>
      </c>
    </row>
    <row r="1527" spans="1:10" s="10" customFormat="1" hidden="1" outlineLevel="2">
      <c r="A1527" s="70">
        <v>1</v>
      </c>
      <c r="F1527" s="87"/>
      <c r="G1527" s="114" t="e" cm="1">
        <f t="array" ref="G1527">CompSpd_rpm</f>
        <v>#NAME?</v>
      </c>
      <c r="I1527" s="13" t="str">
        <f>VLOOKUP(C1519,Tbl_Button_Display_ASSTS,33,FALSE)</f>
        <v>On</v>
      </c>
    </row>
    <row r="1528" spans="1:10" s="39" customFormat="1" hidden="1" outlineLevel="1">
      <c r="A1528" s="73">
        <v>1</v>
      </c>
      <c r="B1528" s="39" t="s">
        <v>155</v>
      </c>
      <c r="C1528" s="39" t="s">
        <v>1233</v>
      </c>
      <c r="D1528" s="39" t="e">
        <f>CONCATENATE(G1531," ",I1531,"도 진입 시, ",G1534," = ",I1534," 확인" )</f>
        <v>#NAME?</v>
      </c>
      <c r="F1528" s="91"/>
    </row>
    <row r="1529" spans="1:10" s="10" customFormat="1" hidden="1" outlineLevel="2">
      <c r="A1529" s="70">
        <v>1</v>
      </c>
      <c r="E1529" s="114" t="e">
        <f>Amb_IN</f>
        <v>#NAME?</v>
      </c>
      <c r="F1529" s="93" cm="1">
        <f t="array" ref="F1529">VINTERPOLATION(VLOOKUP(C1528,Tbl_Button_Display_ASSTS,3,FALSE),Tbl_Amb_Sensor,3)</f>
        <v>4.0144546649145862</v>
      </c>
      <c r="J1529" s="15"/>
    </row>
    <row r="1530" spans="1:10" s="10" customFormat="1" ht="16.5" hidden="1" outlineLevel="2">
      <c r="A1530" s="70">
        <v>1</v>
      </c>
      <c r="D1530" s="238" t="s">
        <v>1747</v>
      </c>
      <c r="E1530" s="15" t="s">
        <v>5</v>
      </c>
      <c r="F1530" s="85">
        <f>VLOOKUP(C1528,Tbl_Button_Display_ASSTS,13,FALSE)</f>
        <v>10</v>
      </c>
    </row>
    <row r="1531" spans="1:10" s="10" customFormat="1" ht="13.5" hidden="1" customHeight="1" outlineLevel="2">
      <c r="A1531" s="70">
        <v>1</v>
      </c>
      <c r="F1531" s="87"/>
      <c r="G1531" s="10" t="e">
        <f>Amb_OUT</f>
        <v>#NAME?</v>
      </c>
      <c r="I1531" s="13">
        <f>VLOOKUP(C1528,Tbl_Button_Display_ASSTS,3,FALSE)</f>
        <v>-5</v>
      </c>
    </row>
    <row r="1532" spans="1:10" s="10" customFormat="1" hidden="1" outlineLevel="2">
      <c r="A1532" s="70">
        <v>1</v>
      </c>
      <c r="F1532" s="87"/>
      <c r="G1532" s="114" t="e">
        <f>AcDisp</f>
        <v>#NAME?</v>
      </c>
      <c r="I1532" s="13" t="str">
        <f>VLOOKUP(C1528,Tbl_Button_Display_ASSTS,31,FALSE)</f>
        <v>On</v>
      </c>
    </row>
    <row r="1533" spans="1:10" s="10" customFormat="1" hidden="1" outlineLevel="2">
      <c r="A1533" s="70">
        <v>1</v>
      </c>
      <c r="F1533" s="87"/>
      <c r="G1533" s="114" t="e">
        <f>AcnReqSwi</f>
        <v>#NAME?</v>
      </c>
      <c r="I1533" s="13" t="str">
        <f>VLOOKUP(C1528,Tbl_Button_Display_ASSTS,32,FALSE)</f>
        <v>Off</v>
      </c>
    </row>
    <row r="1534" spans="1:10" s="10" customFormat="1" hidden="1" outlineLevel="2">
      <c r="A1534" s="70">
        <v>1</v>
      </c>
      <c r="F1534" s="87"/>
      <c r="G1534" s="114" t="e" cm="1">
        <f t="array" ref="G1534">CompSpd_rpm</f>
        <v>#NAME?</v>
      </c>
      <c r="I1534" s="13" t="str">
        <f>VLOOKUP(C1528,Tbl_Button_Display_ASSTS,33,FALSE)</f>
        <v>Off</v>
      </c>
    </row>
    <row r="1535" spans="1:10" s="39" customFormat="1" hidden="1" outlineLevel="1">
      <c r="A1535" s="73">
        <v>1</v>
      </c>
      <c r="B1535" s="39" t="s">
        <v>155</v>
      </c>
      <c r="C1535" s="39" t="s">
        <v>1359</v>
      </c>
      <c r="D1535" s="39" t="e">
        <f>CONCATENATE(G1538," ",I1538,"도 진입 시, ",G1541," = ",I1541," 확인" )</f>
        <v>#NAME?</v>
      </c>
      <c r="F1535" s="91"/>
    </row>
    <row r="1536" spans="1:10" s="10" customFormat="1" hidden="1" outlineLevel="2">
      <c r="A1536" s="70">
        <v>1</v>
      </c>
      <c r="E1536" s="114" t="e">
        <f>Amb_IN</f>
        <v>#NAME?</v>
      </c>
      <c r="F1536" s="93" cm="1">
        <f t="array" ref="F1536">VINTERPOLATION(VLOOKUP(C1535,Tbl_Button_Display_ASSTS,3,FALSE),Tbl_Amb_Sensor,3)</f>
        <v>3.8892180094786726</v>
      </c>
      <c r="J1536" s="15"/>
    </row>
    <row r="1537" spans="1:9" s="10" customFormat="1" hidden="1" outlineLevel="2">
      <c r="A1537" s="70">
        <v>1</v>
      </c>
      <c r="E1537" s="15" t="s">
        <v>5</v>
      </c>
      <c r="F1537" s="85">
        <f>VLOOKUP(C1535,Tbl_Button_Display_ASSTS,13,FALSE)</f>
        <v>10</v>
      </c>
    </row>
    <row r="1538" spans="1:9" s="10" customFormat="1" ht="13.5" hidden="1" customHeight="1" outlineLevel="2">
      <c r="A1538" s="70">
        <v>1</v>
      </c>
      <c r="F1538" s="87"/>
      <c r="G1538" s="10" t="e">
        <f>Amb_OUT</f>
        <v>#NAME?</v>
      </c>
      <c r="I1538" s="13">
        <f>VLOOKUP(C1535,Tbl_Button_Display_ASSTS,3,FALSE)</f>
        <v>-2</v>
      </c>
    </row>
    <row r="1539" spans="1:9" s="10" customFormat="1" hidden="1" outlineLevel="2">
      <c r="A1539" s="70">
        <v>1</v>
      </c>
      <c r="F1539" s="87"/>
      <c r="G1539" s="114" t="e">
        <f>AcDisp</f>
        <v>#NAME?</v>
      </c>
      <c r="I1539" s="13" t="str">
        <f>VLOOKUP(C1535,Tbl_Button_Display_ASSTS,31,FALSE)</f>
        <v>On</v>
      </c>
    </row>
    <row r="1540" spans="1:9" s="10" customFormat="1" hidden="1" outlineLevel="2">
      <c r="A1540" s="70">
        <v>1</v>
      </c>
      <c r="F1540" s="87"/>
      <c r="G1540" s="114" t="e">
        <f>AcnReqSwi</f>
        <v>#NAME?</v>
      </c>
      <c r="I1540" s="13" t="str">
        <f>VLOOKUP(C1535,Tbl_Button_Display_ASSTS,32,FALSE)</f>
        <v>On</v>
      </c>
    </row>
    <row r="1541" spans="1:9" s="10" customFormat="1" hidden="1" outlineLevel="2">
      <c r="A1541" s="70">
        <v>1</v>
      </c>
      <c r="F1541" s="87"/>
      <c r="G1541" s="114" t="e" cm="1">
        <f t="array" ref="G1541">CompSpd_rpm</f>
        <v>#NAME?</v>
      </c>
      <c r="I1541" s="13" t="str">
        <f>VLOOKUP(C1535,Tbl_Button_Display_ASSTS,33,FALSE)</f>
        <v>On</v>
      </c>
    </row>
    <row r="1542" spans="1:9" s="127" customFormat="1" ht="15">
      <c r="A1542" s="126">
        <v>1</v>
      </c>
      <c r="B1542" s="127" t="s">
        <v>558</v>
      </c>
      <c r="C1542" s="127" t="s">
        <v>606</v>
      </c>
      <c r="D1542" s="127" t="str">
        <f t="shared" ref="D1542" si="16">VLOOKUP(B1542,Tbl_Button_Display_ASSTS,2,FALSE)</f>
        <v>외기유입로직 &lt;EV/FCEV 外 차종&gt;</v>
      </c>
      <c r="F1542" s="82"/>
    </row>
    <row r="1543" spans="1:9" s="123" customFormat="1" collapsed="1">
      <c r="A1543" s="122">
        <v>1</v>
      </c>
      <c r="B1543" s="123" t="s">
        <v>156</v>
      </c>
      <c r="C1543" s="123" t="s">
        <v>1360</v>
      </c>
      <c r="D1543" s="123" t="str">
        <f>VLOOKUP(C1543,Tbl_Button_Display_ASSTS, 2,FALSE)</f>
        <v>외기유입로직 동작 확인</v>
      </c>
      <c r="F1543" s="88"/>
    </row>
    <row r="1544" spans="1:9" s="125" customFormat="1" hidden="1" outlineLevel="1">
      <c r="A1544" s="124">
        <v>1</v>
      </c>
      <c r="B1544" s="125" t="s">
        <v>38</v>
      </c>
      <c r="C1544" s="125" t="s">
        <v>1361</v>
      </c>
      <c r="D1544" s="125" t="s">
        <v>39</v>
      </c>
      <c r="F1544" s="89"/>
    </row>
    <row r="1545" spans="1:9" s="10" customFormat="1" hidden="1" outlineLevel="2">
      <c r="A1545" s="70">
        <v>1</v>
      </c>
      <c r="E1545" s="114" t="e">
        <f>Amb_IN</f>
        <v>#NAME?</v>
      </c>
      <c r="F1545" s="93" cm="1">
        <f t="array" ref="F1545">VINTERPOLATION(VLOOKUP(C1544,Tbl_Button_Display_ASSTS,3,FALSE),Tbl_Amb_Sensor,3)</f>
        <v>3.5649228885232098</v>
      </c>
    </row>
    <row r="1546" spans="1:9" s="10" customFormat="1" hidden="1" outlineLevel="2">
      <c r="A1546" s="70">
        <v>1</v>
      </c>
      <c r="E1546" s="114" t="str">
        <f>VLOOKUP(C1544,Tbl_Button_Display_ASSTS,11,FALSE)</f>
        <v>MsgBox</v>
      </c>
      <c r="F1546" s="85" t="str">
        <f>VLOOKUP(C1544,Tbl_Button_Display_ASSTS,12,FALSE)</f>
        <v>Intake=REC 수동 설정</v>
      </c>
    </row>
    <row r="1547" spans="1:9" s="10" customFormat="1" hidden="1" outlineLevel="2">
      <c r="A1547" s="70">
        <v>1</v>
      </c>
      <c r="E1547" s="114" t="s">
        <v>95</v>
      </c>
      <c r="F1547" s="85" t="s">
        <v>1189</v>
      </c>
    </row>
    <row r="1548" spans="1:9" s="10" customFormat="1" hidden="1" outlineLevel="2">
      <c r="A1548" s="70">
        <v>1</v>
      </c>
      <c r="E1548" s="114" t="s">
        <v>5</v>
      </c>
      <c r="F1548" s="85">
        <f>VLOOKUP(C1544,Tbl_Button_Display_ASSTS,13,FALSE)</f>
        <v>10</v>
      </c>
    </row>
    <row r="1549" spans="1:9" s="10" customFormat="1" ht="13.5" hidden="1" customHeight="1" outlineLevel="2">
      <c r="A1549" s="70">
        <v>1</v>
      </c>
      <c r="F1549" s="87"/>
      <c r="G1549" s="10" t="e">
        <f>Amb_OUT</f>
        <v>#NAME?</v>
      </c>
      <c r="I1549" s="13">
        <f>VLOOKUP(C1544,Tbl_Button_Display_ASSTS,3,FALSE)</f>
        <v>5</v>
      </c>
    </row>
    <row r="1550" spans="1:9" s="10" customFormat="1" hidden="1" outlineLevel="2">
      <c r="A1550" s="70">
        <v>1</v>
      </c>
      <c r="F1550" s="87"/>
      <c r="G1550" s="114" t="e">
        <f>IntakeDisp</f>
        <v>#NAME?</v>
      </c>
      <c r="I1550" s="13" t="str">
        <f>VLOOKUP(C1544,Tbl_Button_Display_ASSTS,34,FALSE)</f>
        <v>REC</v>
      </c>
    </row>
    <row r="1551" spans="1:9" s="10" customFormat="1" hidden="1" outlineLevel="2">
      <c r="A1551" s="70">
        <v>1</v>
      </c>
      <c r="F1551" s="87"/>
      <c r="G1551" s="114" t="e">
        <f>Act_Intake</f>
        <v>#NAME?</v>
      </c>
      <c r="H1551" s="49" t="str">
        <f>VLOOKUP(C1544,Tbl_Button_Display_ASSTS,35,FALSE)</f>
        <v>REC</v>
      </c>
      <c r="I1551" s="48" t="e">
        <f>IF(H1551="","",VLOOKUP(H1551,Tbl_IntakeFB_Volt,2,FALSE))</f>
        <v>#NAME?</v>
      </c>
    </row>
    <row r="1552" spans="1:9" s="39" customFormat="1" hidden="1" outlineLevel="1">
      <c r="A1552" s="73">
        <v>1</v>
      </c>
      <c r="B1552" s="39" t="s">
        <v>155</v>
      </c>
      <c r="C1552" s="39" t="s">
        <v>1362</v>
      </c>
      <c r="D1552" s="39" t="e">
        <f>CONCATENATE(E1553," = ",F1553," 설정 시, 외기유입로직 동작 작동 확인" )</f>
        <v>#NAME?</v>
      </c>
      <c r="F1552" s="91"/>
    </row>
    <row r="1553" spans="1:10" s="10" customFormat="1" hidden="1" outlineLevel="2">
      <c r="A1553" s="70">
        <v>1</v>
      </c>
      <c r="E1553" s="114" t="e">
        <f>VS_VehSpd_Kmh</f>
        <v>#NAME?</v>
      </c>
      <c r="F1553" s="85">
        <f>VLOOKUP(C1552,Tbl_Button_Display_ASSTS,12,FALSE)</f>
        <v>250</v>
      </c>
      <c r="J1553" s="15"/>
    </row>
    <row r="1554" spans="1:10" s="10" customFormat="1" hidden="1" outlineLevel="2">
      <c r="A1554" s="70">
        <v>1</v>
      </c>
      <c r="E1554" s="15" t="s">
        <v>5</v>
      </c>
      <c r="F1554" s="85">
        <f>VLOOKUP(C1552,Tbl_Button_Display_ASSTS,13,FALSE)</f>
        <v>2</v>
      </c>
    </row>
    <row r="1555" spans="1:10" s="10" customFormat="1" hidden="1" outlineLevel="2">
      <c r="A1555" s="70">
        <v>1</v>
      </c>
      <c r="F1555" s="87"/>
      <c r="G1555" s="114" t="e">
        <f>IntakeDisp</f>
        <v>#NAME?</v>
      </c>
      <c r="I1555" s="13" t="str">
        <f>VLOOKUP(C1552,Tbl_Button_Display_ASSTS,34,FALSE)</f>
        <v>REC</v>
      </c>
    </row>
    <row r="1556" spans="1:10" s="10" customFormat="1" hidden="1" outlineLevel="2">
      <c r="A1556" s="70">
        <v>1</v>
      </c>
      <c r="F1556" s="87"/>
      <c r="G1556" s="114" t="e">
        <f>Act_Intake</f>
        <v>#NAME?</v>
      </c>
      <c r="H1556" s="49" t="str">
        <f>VLOOKUP(C1552,Tbl_Button_Display_ASSTS,35,FALSE)</f>
        <v>REC_90%</v>
      </c>
      <c r="I1556" s="48" t="e">
        <f>IF(H1556="","",VLOOKUP(H1556,Tbl_IntakeFB_Volt,2,FALSE))</f>
        <v>#NAME?</v>
      </c>
    </row>
    <row r="1557" spans="1:10" s="39" customFormat="1" hidden="1" outlineLevel="1">
      <c r="A1557" s="73">
        <v>1</v>
      </c>
      <c r="B1557" s="39" t="s">
        <v>155</v>
      </c>
      <c r="C1557" s="39" t="s">
        <v>1363</v>
      </c>
      <c r="D1557" s="39" t="e">
        <f>CONCATENATE(E1558," = ",F1558," 설정 시, 외기유입로직 동작 해제 확인" )</f>
        <v>#NAME?</v>
      </c>
      <c r="F1557" s="91"/>
    </row>
    <row r="1558" spans="1:10" s="10" customFormat="1" hidden="1" outlineLevel="2">
      <c r="A1558" s="70">
        <v>1</v>
      </c>
      <c r="E1558" s="114" t="e">
        <f>VS_VehSpd_Kmh</f>
        <v>#NAME?</v>
      </c>
      <c r="F1558" s="85">
        <f>VLOOKUP(C1557,Tbl_Button_Display_ASSTS,12,FALSE)</f>
        <v>35</v>
      </c>
      <c r="J1558" s="15"/>
    </row>
    <row r="1559" spans="1:10" s="10" customFormat="1" hidden="1" outlineLevel="2">
      <c r="A1559" s="70">
        <v>1</v>
      </c>
      <c r="E1559" s="15" t="s">
        <v>5</v>
      </c>
      <c r="F1559" s="85">
        <f>VLOOKUP(C1557,Tbl_Button_Display_ASSTS,13,FALSE)</f>
        <v>2</v>
      </c>
    </row>
    <row r="1560" spans="1:10" s="10" customFormat="1" hidden="1" outlineLevel="2">
      <c r="A1560" s="70">
        <v>1</v>
      </c>
      <c r="F1560" s="87"/>
      <c r="G1560" s="114" t="e">
        <f>IntakeDisp</f>
        <v>#NAME?</v>
      </c>
      <c r="I1560" s="13" t="str">
        <f>VLOOKUP(C1557,Tbl_Button_Display_ASSTS,34,FALSE)</f>
        <v>REC</v>
      </c>
    </row>
    <row r="1561" spans="1:10" s="10" customFormat="1" hidden="1" outlineLevel="2">
      <c r="A1561" s="70">
        <v>1</v>
      </c>
      <c r="F1561" s="87"/>
      <c r="G1561" s="114" t="e">
        <f>Act_Intake</f>
        <v>#NAME?</v>
      </c>
      <c r="H1561" s="49" t="str">
        <f>VLOOKUP(C1557,Tbl_Button_Display_ASSTS,35,FALSE)</f>
        <v>REC</v>
      </c>
      <c r="I1561" s="48" t="e">
        <f>IF(H1561="","",VLOOKUP(H1561,Tbl_IntakeFB_Volt,2,FALSE))</f>
        <v>#NAME?</v>
      </c>
    </row>
    <row r="1562" spans="1:10" s="127" customFormat="1" ht="15">
      <c r="A1562" s="126">
        <v>1</v>
      </c>
      <c r="B1562" s="127" t="s">
        <v>559</v>
      </c>
      <c r="C1562" s="127" t="s">
        <v>607</v>
      </c>
      <c r="D1562" s="127" t="str">
        <f t="shared" ref="D1562" si="17">VLOOKUP(B1562,Tbl_Button_Display_ASSTS,2,FALSE)</f>
        <v>외기로직 (선루프) (선루프적용차종만 해당) &lt;EV/FCEV 外 차종&gt;</v>
      </c>
      <c r="F1562" s="82"/>
    </row>
    <row r="1563" spans="1:10" s="123" customFormat="1" collapsed="1">
      <c r="A1563" s="122">
        <v>1</v>
      </c>
      <c r="B1563" s="123" t="s">
        <v>156</v>
      </c>
      <c r="C1563" s="123" t="s">
        <v>1238</v>
      </c>
      <c r="D1563" s="123" t="str">
        <f>VLOOKUP(C1563,Tbl_Button_Display_ASSTS, 2,FALSE)</f>
        <v>외기로직 (선루프) 동작 확인</v>
      </c>
      <c r="F1563" s="88"/>
    </row>
    <row r="1564" spans="1:10" s="125" customFormat="1" hidden="1" outlineLevel="1">
      <c r="A1564" s="124">
        <v>1</v>
      </c>
      <c r="B1564" s="125" t="s">
        <v>38</v>
      </c>
      <c r="C1564" s="125" t="s">
        <v>1239</v>
      </c>
      <c r="D1564" s="125" t="s">
        <v>39</v>
      </c>
      <c r="F1564" s="89"/>
    </row>
    <row r="1565" spans="1:10" s="10" customFormat="1" hidden="1" outlineLevel="2">
      <c r="A1565" s="70">
        <v>1</v>
      </c>
      <c r="E1565" s="114" t="e">
        <f>SunRoof_Open</f>
        <v>#NAME?</v>
      </c>
      <c r="F1565" s="85">
        <v>0</v>
      </c>
      <c r="J1565" s="15"/>
    </row>
    <row r="1566" spans="1:10" s="10" customFormat="1" hidden="1" outlineLevel="2">
      <c r="A1566" s="70">
        <v>1</v>
      </c>
      <c r="E1566" s="15" t="s">
        <v>5</v>
      </c>
      <c r="F1566" s="85">
        <v>2</v>
      </c>
    </row>
    <row r="1567" spans="1:10" s="10" customFormat="1" hidden="1" outlineLevel="2">
      <c r="A1567" s="70">
        <v>1</v>
      </c>
      <c r="F1567" s="87"/>
      <c r="G1567" s="114" t="e">
        <f>IntakeDisp</f>
        <v>#NAME?</v>
      </c>
      <c r="I1567" s="13" t="str">
        <f>VLOOKUP(C1564,Tbl_Button_Display_ASSTS,34,FALSE)</f>
        <v>REC</v>
      </c>
    </row>
    <row r="1568" spans="1:10" s="10" customFormat="1" hidden="1" outlineLevel="2">
      <c r="A1568" s="70">
        <v>1</v>
      </c>
      <c r="F1568" s="87"/>
      <c r="G1568" s="114" t="e">
        <f>Act_Intake</f>
        <v>#NAME?</v>
      </c>
      <c r="H1568" s="49" t="str">
        <f>VLOOKUP(C1564,Tbl_Button_Display_ASSTS,35,FALSE)</f>
        <v>REC</v>
      </c>
      <c r="I1568" s="48" t="e">
        <f>IF(H1568="","",VLOOKUP(H1568,Tbl_IntakeFB_Volt,2,FALSE))</f>
        <v>#NAME?</v>
      </c>
    </row>
    <row r="1569" spans="1:10" s="39" customFormat="1" hidden="1" outlineLevel="1">
      <c r="A1569" s="73">
        <v>1</v>
      </c>
      <c r="B1569" s="39" t="s">
        <v>155</v>
      </c>
      <c r="C1569" s="39" t="s">
        <v>1240</v>
      </c>
      <c r="D1569" s="39" t="e">
        <f>CONCATENATE(E1570," = ",F1570," 설정 시, 외기로직(선루프) 동작 작동 확인" )</f>
        <v>#NAME?</v>
      </c>
      <c r="F1569" s="91"/>
    </row>
    <row r="1570" spans="1:10" s="10" customFormat="1" hidden="1" outlineLevel="2">
      <c r="A1570" s="70">
        <v>1</v>
      </c>
      <c r="E1570" s="114" t="e">
        <f>SunRoof_Open</f>
        <v>#NAME?</v>
      </c>
      <c r="F1570" s="85">
        <f>VLOOKUP(C1569,Tbl_Button_Display_ASSTS,12,FALSE)</f>
        <v>1</v>
      </c>
      <c r="J1570" s="15"/>
    </row>
    <row r="1571" spans="1:10" s="10" customFormat="1" hidden="1" outlineLevel="2">
      <c r="A1571" s="70">
        <v>1</v>
      </c>
      <c r="E1571" s="15" t="s">
        <v>5</v>
      </c>
      <c r="F1571" s="85">
        <f>VLOOKUP(C1569,Tbl_Button_Display_ASSTS,13,FALSE)</f>
        <v>5</v>
      </c>
    </row>
    <row r="1572" spans="1:10" s="10" customFormat="1" hidden="1" outlineLevel="2">
      <c r="A1572" s="70">
        <v>1</v>
      </c>
      <c r="F1572" s="87"/>
      <c r="G1572" s="114" t="e">
        <f>IntakeDisp</f>
        <v>#NAME?</v>
      </c>
      <c r="I1572" s="13" t="str">
        <f>VLOOKUP(C1569,Tbl_Button_Display_ASSTS,34,FALSE)</f>
        <v>FRE</v>
      </c>
    </row>
    <row r="1573" spans="1:10" s="10" customFormat="1" hidden="1" outlineLevel="2">
      <c r="A1573" s="70">
        <v>1</v>
      </c>
      <c r="F1573" s="87"/>
      <c r="G1573" s="114" t="e">
        <f>Act_Intake</f>
        <v>#NAME?</v>
      </c>
      <c r="H1573" s="49" t="str">
        <f>VLOOKUP(C1569,Tbl_Button_Display_ASSTS,35,FALSE)</f>
        <v>FRE</v>
      </c>
      <c r="I1573" s="48" t="e">
        <f>IF(H1573="","",VLOOKUP(H1573,Tbl_IntakeFB_Volt,2,FALSE))</f>
        <v>#NAME?</v>
      </c>
    </row>
    <row r="1574" spans="1:10" s="39" customFormat="1" hidden="1" outlineLevel="1">
      <c r="A1574" s="73">
        <v>1</v>
      </c>
      <c r="B1574" s="39" t="s">
        <v>155</v>
      </c>
      <c r="C1574" s="39" t="s">
        <v>1364</v>
      </c>
      <c r="D1574" s="39" t="e">
        <f>CONCATENATE(E1575," = ",F1575," 설정 시, 외기로직(선루프) 동작 해제 확인" )</f>
        <v>#NAME?</v>
      </c>
      <c r="F1574" s="91"/>
    </row>
    <row r="1575" spans="1:10" s="10" customFormat="1" hidden="1" outlineLevel="2">
      <c r="A1575" s="70">
        <v>1</v>
      </c>
      <c r="E1575" s="114" t="e">
        <f>SunRoof_Open</f>
        <v>#NAME?</v>
      </c>
      <c r="F1575" s="85">
        <f>VLOOKUP(C1574,Tbl_Button_Display_ASSTS,12,FALSE)</f>
        <v>0</v>
      </c>
      <c r="J1575" s="15"/>
    </row>
    <row r="1576" spans="1:10" s="10" customFormat="1" hidden="1" outlineLevel="2">
      <c r="A1576" s="70">
        <v>1</v>
      </c>
      <c r="E1576" s="15" t="s">
        <v>5</v>
      </c>
      <c r="F1576" s="85">
        <f>VLOOKUP(C1574,Tbl_Button_Display_ASSTS,13,FALSE)</f>
        <v>5</v>
      </c>
    </row>
    <row r="1577" spans="1:10" s="10" customFormat="1" hidden="1" outlineLevel="2">
      <c r="A1577" s="70">
        <v>1</v>
      </c>
      <c r="F1577" s="87"/>
      <c r="G1577" s="114" t="e">
        <f>IntakeDisp</f>
        <v>#NAME?</v>
      </c>
      <c r="I1577" s="13" t="str">
        <f>VLOOKUP(C1574,Tbl_Button_Display_ASSTS,34,FALSE)</f>
        <v>REC</v>
      </c>
    </row>
    <row r="1578" spans="1:10" s="10" customFormat="1" hidden="1" outlineLevel="2">
      <c r="A1578" s="70">
        <v>1</v>
      </c>
      <c r="F1578" s="87"/>
      <c r="G1578" s="114" t="e">
        <f>Act_Intake</f>
        <v>#NAME?</v>
      </c>
      <c r="H1578" s="49" t="str">
        <f>VLOOKUP(C1574,Tbl_Button_Display_ASSTS,35,FALSE)</f>
        <v>REC</v>
      </c>
      <c r="I1578" s="48" t="e">
        <f>IF(H1578="","",VLOOKUP(H1578,Tbl_IntakeFB_Volt,2,FALSE))</f>
        <v>#NAME?</v>
      </c>
    </row>
    <row r="1579" spans="1:10" s="40" customFormat="1" ht="15">
      <c r="A1579" s="66">
        <v>1</v>
      </c>
      <c r="B1579" s="40" t="s">
        <v>560</v>
      </c>
      <c r="C1579" s="40" t="s">
        <v>608</v>
      </c>
      <c r="D1579" s="40" t="str">
        <f t="shared" si="11"/>
        <v>원격공조제어</v>
      </c>
      <c r="F1579" s="82"/>
    </row>
    <row r="1580" spans="1:10" s="38" customFormat="1" collapsed="1">
      <c r="A1580" s="71">
        <v>1</v>
      </c>
      <c r="B1580" s="38" t="s">
        <v>7</v>
      </c>
      <c r="C1580" s="38" t="s">
        <v>633</v>
      </c>
      <c r="D1580" s="38" t="str">
        <f>VLOOKUP(C1580,Tbl_Button_Display_ASSTS, 2,FALSE)</f>
        <v>원격동조제어 동작 확인</v>
      </c>
      <c r="F1580" s="88"/>
    </row>
    <row r="1581" spans="1:10" s="11" customFormat="1" hidden="1" outlineLevel="1">
      <c r="A1581" s="72">
        <v>1</v>
      </c>
      <c r="B1581" s="11" t="s">
        <v>38</v>
      </c>
      <c r="C1581" s="11" t="s">
        <v>634</v>
      </c>
      <c r="D1581" s="11" t="s">
        <v>39</v>
      </c>
      <c r="F1581" s="89"/>
    </row>
    <row r="1582" spans="1:10" s="10" customFormat="1" hidden="1" outlineLevel="2">
      <c r="A1582" s="70">
        <v>1</v>
      </c>
      <c r="E1582" s="8" t="e">
        <f>Incar_IN</f>
        <v>#NAME?</v>
      </c>
      <c r="F1582" s="93" cm="1">
        <f t="array" ref="F1582">VINTERPOLATION(VLOOKUP(C1581,Tbl_Button_Display_ASSTS,2,FALSE),Tbl_Incar_Sensor,3)</f>
        <v>2.5</v>
      </c>
    </row>
    <row r="1583" spans="1:10" s="10" customFormat="1" hidden="1" outlineLevel="2">
      <c r="A1583" s="70">
        <v>1</v>
      </c>
      <c r="E1583" s="8" t="e">
        <f>Amb_IN</f>
        <v>#NAME?</v>
      </c>
      <c r="F1583" s="93" cm="1">
        <f t="array" ref="F1583">VINTERPOLATION(VLOOKUP(C1581,Tbl_Button_Display_ASSTS,3,FALSE),Tbl_Amb_Sensor,3)</f>
        <v>3.3107917881958127</v>
      </c>
    </row>
    <row r="1584" spans="1:10" s="10" customFormat="1" hidden="1" outlineLevel="2">
      <c r="A1584" s="70">
        <v>1</v>
      </c>
      <c r="E1584" s="14" t="s">
        <v>90</v>
      </c>
      <c r="F1584" s="211" t="s">
        <v>1749</v>
      </c>
    </row>
    <row r="1585" spans="1:10" s="10" customFormat="1" hidden="1" outlineLevel="2">
      <c r="A1585" s="70">
        <v>1</v>
      </c>
      <c r="E1585" s="114" t="s">
        <v>95</v>
      </c>
      <c r="F1585" s="85" t="s">
        <v>1189</v>
      </c>
    </row>
    <row r="1586" spans="1:10" s="10" customFormat="1" hidden="1" outlineLevel="2">
      <c r="A1586" s="70">
        <v>1</v>
      </c>
      <c r="E1586" s="14" t="str">
        <f>VLOOKUP(C1581,Tbl_Button_Display_ASSTS,11,FALSE)</f>
        <v>MsgBox</v>
      </c>
      <c r="F1586" s="85" t="e">
        <f>VLOOKUP(C1581,Tbl_Button_Display_ASSTS,12,FALSE)</f>
        <v>#NAME?</v>
      </c>
    </row>
    <row r="1587" spans="1:10" s="10" customFormat="1" hidden="1" outlineLevel="2">
      <c r="A1587" s="70">
        <v>1</v>
      </c>
      <c r="E1587" s="14" t="e">
        <f>RAC_AcnCtrlReq</f>
        <v>#NAME?</v>
      </c>
      <c r="F1587" s="85">
        <v>0</v>
      </c>
      <c r="J1587" s="15"/>
    </row>
    <row r="1588" spans="1:10" s="10" customFormat="1" ht="15" hidden="1" outlineLevel="2">
      <c r="A1588" s="70">
        <v>1</v>
      </c>
      <c r="D1588" s="116" t="s">
        <v>1050</v>
      </c>
      <c r="E1588" s="14" t="e">
        <f>RAC_TempSetVal</f>
        <v>#NAME?</v>
      </c>
      <c r="F1588" s="85">
        <v>24</v>
      </c>
      <c r="J1588" s="15"/>
    </row>
    <row r="1589" spans="1:10" s="10" customFormat="1" hidden="1" outlineLevel="2">
      <c r="A1589" s="70">
        <v>1</v>
      </c>
      <c r="E1589" s="14" t="e">
        <f>RAC_TempModTyp</f>
        <v>#NAME?</v>
      </c>
      <c r="F1589" s="85" t="e">
        <f>IF(const_TempUnit="degC",1,0)</f>
        <v>#NAME?</v>
      </c>
      <c r="J1589" s="15"/>
    </row>
    <row r="1590" spans="1:10" s="10" customFormat="1" hidden="1" outlineLevel="2">
      <c r="A1590" s="70">
        <v>1</v>
      </c>
      <c r="E1590" s="14" t="e">
        <f>RAC_DfrstCtrlReq</f>
        <v>#NAME?</v>
      </c>
      <c r="F1590" s="85">
        <v>1</v>
      </c>
      <c r="J1590" s="15"/>
    </row>
    <row r="1591" spans="1:10" s="10" customFormat="1" hidden="1" outlineLevel="2">
      <c r="A1591" s="70">
        <v>1</v>
      </c>
      <c r="E1591" s="15" t="s">
        <v>5</v>
      </c>
      <c r="F1591" s="85">
        <f>VLOOKUP(C1581,Tbl_Button_Display_ASSTS,13,FALSE)</f>
        <v>10</v>
      </c>
    </row>
    <row r="1592" spans="1:10" s="10" customFormat="1" hidden="1" outlineLevel="2">
      <c r="A1592" s="70">
        <v>1</v>
      </c>
      <c r="F1592" s="87"/>
      <c r="G1592" s="10" t="e">
        <f>Incar_OUT</f>
        <v>#NAME?</v>
      </c>
      <c r="I1592" s="13">
        <f>VLOOKUP(C1581,Tbl_Button_Display_ASSTS,2,FALSE)</f>
        <v>25</v>
      </c>
    </row>
    <row r="1593" spans="1:10" s="10" customFormat="1" hidden="1" outlineLevel="2">
      <c r="A1593" s="70">
        <v>1</v>
      </c>
      <c r="F1593" s="87"/>
      <c r="G1593" s="10" t="e">
        <f>Amb_OUT</f>
        <v>#NAME?</v>
      </c>
      <c r="I1593" s="13">
        <f>VLOOKUP(C1581,Tbl_Button_Display_ASSTS,3,FALSE)</f>
        <v>10</v>
      </c>
    </row>
    <row r="1594" spans="1:10" s="10" customFormat="1" hidden="1" outlineLevel="2">
      <c r="A1594" s="70">
        <v>1</v>
      </c>
      <c r="F1594" s="87"/>
      <c r="G1594" s="10" t="e">
        <f>DEFDisp</f>
        <v>#NAME?</v>
      </c>
      <c r="I1594" s="13" t="str">
        <f>VLOOKUP(C1581,Tbl_Button_Display_ASSTS,36,FALSE)</f>
        <v>Off</v>
      </c>
    </row>
    <row r="1595" spans="1:10" s="10" customFormat="1" hidden="1" outlineLevel="2">
      <c r="A1595" s="70">
        <v>1</v>
      </c>
      <c r="F1595" s="87"/>
      <c r="G1595" s="10" t="e">
        <f>AutoDisp</f>
        <v>#NAME?</v>
      </c>
      <c r="I1595" s="13" t="str">
        <f>VLOOKUP(C1581,Tbl_Button_Display_ASSTS,14,FALSE)</f>
        <v>On</v>
      </c>
    </row>
    <row r="1596" spans="1:10" s="10" customFormat="1" hidden="1" outlineLevel="2">
      <c r="A1596" s="70">
        <v>1</v>
      </c>
      <c r="F1596" s="87"/>
      <c r="G1596" s="10" t="e">
        <f>SyncDisp</f>
        <v>#NAME?</v>
      </c>
      <c r="I1596" s="13" t="str">
        <f>VLOOKUP(C1581,Tbl_Button_Display_ASSTS,15,FALSE)</f>
        <v>On</v>
      </c>
    </row>
    <row r="1597" spans="1:10" s="10" customFormat="1" hidden="1" outlineLevel="2">
      <c r="A1597" s="70">
        <v>1</v>
      </c>
      <c r="F1597" s="87"/>
      <c r="G1597" s="10" t="e">
        <f>TempDispUnit</f>
        <v>#NAME?</v>
      </c>
      <c r="I1597" s="13" t="e">
        <f>VLOOKUP(C1581,Tbl_Button_Display_ASSTS,25,FALSE)</f>
        <v>#NAME?</v>
      </c>
    </row>
    <row r="1598" spans="1:10" s="10" customFormat="1" hidden="1" outlineLevel="2">
      <c r="A1598" s="70">
        <v>1</v>
      </c>
      <c r="F1598" s="87"/>
      <c r="G1598" s="10" t="e">
        <f>DrTempDispC</f>
        <v>#NAME?</v>
      </c>
      <c r="I1598" s="13" t="e">
        <f>VLOOKUP(C1581,Tbl_Button_Display_ASSTS,26,FALSE)</f>
        <v>#NAME?</v>
      </c>
    </row>
    <row r="1599" spans="1:10" s="10" customFormat="1" hidden="1" outlineLevel="2">
      <c r="A1599" s="70">
        <v>1</v>
      </c>
      <c r="F1599" s="87"/>
      <c r="G1599" s="10" t="e">
        <f>PsTempDispC</f>
        <v>#NAME?</v>
      </c>
      <c r="I1599" s="13" t="e">
        <f>VLOOKUP(C1581,Tbl_Button_Display_ASSTS,27,FALSE)</f>
        <v>#NAME?</v>
      </c>
    </row>
    <row r="1600" spans="1:10" s="10" customFormat="1" hidden="1" outlineLevel="2">
      <c r="A1600" s="70">
        <v>1</v>
      </c>
      <c r="F1600" s="87"/>
      <c r="G1600" s="10" t="e">
        <f>DrTempDispF</f>
        <v>#NAME?</v>
      </c>
      <c r="I1600" s="13" t="e">
        <f>VLOOKUP(C1581,Tbl_Button_Display_ASSTS,28,FALSE)</f>
        <v>#NAME?</v>
      </c>
    </row>
    <row r="1601" spans="1:9" s="10" customFormat="1" hidden="1" outlineLevel="2">
      <c r="A1601" s="70">
        <v>1</v>
      </c>
      <c r="F1601" s="87"/>
      <c r="G1601" s="10" t="e">
        <f>PsTempDispF</f>
        <v>#NAME?</v>
      </c>
      <c r="I1601" s="13" t="e">
        <f>VLOOKUP(C1581,Tbl_Button_Display_ASSTS,29,FALSE)</f>
        <v>#NAME?</v>
      </c>
    </row>
    <row r="1602" spans="1:9" s="10" customFormat="1" hidden="1" outlineLevel="2">
      <c r="A1602" s="70">
        <v>1</v>
      </c>
      <c r="F1602" s="87"/>
      <c r="G1602" s="10" t="e">
        <f>ModDisp</f>
        <v>#NAME?</v>
      </c>
      <c r="I1602" s="13" t="str">
        <f>VLOOKUP(C1581,Tbl_Button_Display_ASSTS,16,FALSE)</f>
        <v>Floor</v>
      </c>
    </row>
    <row r="1603" spans="1:9" s="10" customFormat="1" hidden="1" outlineLevel="2">
      <c r="A1603" s="70">
        <v>1</v>
      </c>
      <c r="F1603" s="87"/>
      <c r="G1603" s="10" t="e">
        <f>IntakeDisp</f>
        <v>#NAME?</v>
      </c>
      <c r="I1603" s="13" t="str">
        <f>VLOOKUP(C1581,Tbl_Button_Display_ASSTS,34,FALSE)</f>
        <v>FRE</v>
      </c>
    </row>
    <row r="1604" spans="1:9" s="10" customFormat="1" hidden="1" outlineLevel="2">
      <c r="A1604" s="70">
        <v>1</v>
      </c>
      <c r="F1604" s="87"/>
      <c r="G1604" s="10" t="e">
        <f>FrontBlwDisp</f>
        <v>#NAME?</v>
      </c>
      <c r="I1604" s="13" t="str">
        <f>VLOOKUP(C1581,Tbl_Button_Display_ASSTS,23,FALSE)</f>
        <v>Blower 제어단수 확인</v>
      </c>
    </row>
    <row r="1605" spans="1:9" s="10" customFormat="1" hidden="1" outlineLevel="2">
      <c r="A1605" s="70">
        <v>1</v>
      </c>
      <c r="F1605" s="87"/>
      <c r="G1605" s="10" t="e">
        <f>AcDisp</f>
        <v>#NAME?</v>
      </c>
      <c r="I1605" s="13" t="str">
        <f>VLOOKUP(C1581,Tbl_Button_Display_ASSTS,31,FALSE)</f>
        <v>Off</v>
      </c>
    </row>
    <row r="1606" spans="1:9" s="10" customFormat="1" hidden="1" outlineLevel="2">
      <c r="A1606" s="70">
        <v>1</v>
      </c>
      <c r="F1606" s="87"/>
      <c r="G1606" s="10" t="e" cm="1">
        <f t="array" ref="G1606">CompSpd_rpm</f>
        <v>#NAME?</v>
      </c>
      <c r="I1606" s="13" t="str">
        <f>VLOOKUP(C1581,Tbl_Button_Display_ASSTS,33,FALSE)</f>
        <v>Off</v>
      </c>
    </row>
    <row r="1607" spans="1:9" s="10" customFormat="1" hidden="1" outlineLevel="2">
      <c r="A1607" s="70">
        <v>1</v>
      </c>
      <c r="F1607" s="87"/>
      <c r="G1607" s="10" t="e">
        <f>Act_DrMode</f>
        <v>#NAME?</v>
      </c>
      <c r="H1607" s="49" t="str">
        <f>VLOOKUP(C1581,Tbl_Button_Display_ASSTS,19,FALSE)</f>
        <v>Floor</v>
      </c>
      <c r="I1607" s="47" t="e">
        <f>IF(H1607="","",VLOOKUP(H1607,Tbl_ModeFB_Volt,2,FALSE))</f>
        <v>#NAME?</v>
      </c>
    </row>
    <row r="1608" spans="1:9" s="10" customFormat="1" hidden="1" outlineLevel="2">
      <c r="A1608" s="70">
        <v>1</v>
      </c>
      <c r="F1608" s="87"/>
      <c r="G1608" s="10" t="e">
        <f>Act_Def</f>
        <v>#NAME?</v>
      </c>
      <c r="H1608" s="49" t="str">
        <f>VLOOKUP(C1581,Tbl_Button_Display_ASSTS,22,FALSE)</f>
        <v>Floor</v>
      </c>
      <c r="I1608" s="47" t="e">
        <f>IF(H1608="","",VLOOKUP(H1608,Tbl_DefFB_Volt,2,FALSE))</f>
        <v>#NAME?</v>
      </c>
    </row>
    <row r="1609" spans="1:9" s="10" customFormat="1" hidden="1" outlineLevel="2">
      <c r="A1609" s="70">
        <v>1</v>
      </c>
      <c r="F1609" s="87"/>
      <c r="G1609" s="10" t="e">
        <f>Act_Intake</f>
        <v>#NAME?</v>
      </c>
      <c r="H1609" s="49" t="str">
        <f>VLOOKUP(C1581,Tbl_Button_Display_ASSTS,35,FALSE)</f>
        <v>Intake_TD 연산에 따름</v>
      </c>
      <c r="I1609" s="48" t="e">
        <f>IF(H1609="","",VLOOKUP(H1609,Tbl_IntakeFB_Volt,2,FALSE))</f>
        <v>#NAME?</v>
      </c>
    </row>
    <row r="1610" spans="1:9" s="10" customFormat="1" hidden="1" outlineLevel="2">
      <c r="A1610" s="70">
        <v>1</v>
      </c>
      <c r="F1610" s="87"/>
      <c r="G1610" s="10" t="e">
        <f>BLW_Front</f>
        <v>#NAME?</v>
      </c>
      <c r="H1610" s="49" t="str">
        <f>VLOOKUP(C1581,Tbl_Button_Display_ASSTS,24,FALSE)</f>
        <v>blower_TD 연산에 따름</v>
      </c>
      <c r="I1610" s="47" t="e">
        <f>IF(H1610="","",VLOOKUP(H1610,Tbl_Blower_Volt,2,FALSE))</f>
        <v>#NAME?</v>
      </c>
    </row>
    <row r="1611" spans="1:9" s="39" customFormat="1" hidden="1" outlineLevel="1">
      <c r="A1611" s="73">
        <v>1</v>
      </c>
      <c r="B1611" s="39" t="s">
        <v>155</v>
      </c>
      <c r="C1611" s="39" t="s">
        <v>1752</v>
      </c>
      <c r="D1611" s="39" t="e">
        <f>CONCATENATE(E1612," = ",F1612," 설정 시 원격공조제어 진입 확인")</f>
        <v>#NAME?</v>
      </c>
      <c r="F1611" s="91"/>
    </row>
    <row r="1612" spans="1:9" s="10" customFormat="1" hidden="1" outlineLevel="2">
      <c r="A1612" s="70">
        <v>1</v>
      </c>
      <c r="E1612" s="14" t="e">
        <f>VLOOKUP(C1611,Tbl_Button_Display_ASSTS,11,FALSE)</f>
        <v>#NAME?</v>
      </c>
      <c r="F1612" s="85">
        <f>VLOOKUP(C1611,Tbl_Button_Display_ASSTS,12,FALSE)</f>
        <v>1</v>
      </c>
    </row>
    <row r="1613" spans="1:9" s="10" customFormat="1" hidden="1" outlineLevel="2">
      <c r="A1613" s="70">
        <v>1</v>
      </c>
      <c r="E1613" s="15" t="s">
        <v>5</v>
      </c>
      <c r="F1613" s="85">
        <f>VLOOKUP(C1611,Tbl_Button_Display_ASSTS,13,FALSE)</f>
        <v>1</v>
      </c>
    </row>
    <row r="1614" spans="1:9" s="10" customFormat="1" hidden="1" outlineLevel="2">
      <c r="A1614" s="70">
        <v>1</v>
      </c>
      <c r="F1614" s="87"/>
      <c r="G1614" s="10" t="e">
        <f>DEFDisp</f>
        <v>#NAME?</v>
      </c>
      <c r="I1614" s="13" t="str">
        <f>VLOOKUP(C1611,Tbl_Button_Display_ASSTS,36,FALSE)</f>
        <v>On</v>
      </c>
    </row>
    <row r="1615" spans="1:9" s="10" customFormat="1" hidden="1" outlineLevel="2">
      <c r="A1615" s="70">
        <v>1</v>
      </c>
      <c r="F1615" s="87"/>
      <c r="G1615" s="10" t="e">
        <f>AutoDisp</f>
        <v>#NAME?</v>
      </c>
      <c r="I1615" s="13" t="str">
        <f>VLOOKUP(C1611,Tbl_Button_Display_ASSTS,14,FALSE)</f>
        <v>Off</v>
      </c>
    </row>
    <row r="1616" spans="1:9" s="10" customFormat="1" hidden="1" outlineLevel="2">
      <c r="A1616" s="70">
        <v>1</v>
      </c>
      <c r="F1616" s="87"/>
      <c r="G1616" s="10" t="e">
        <f>SyncDisp</f>
        <v>#NAME?</v>
      </c>
      <c r="I1616" s="13" t="str">
        <f>VLOOKUP(C1611,Tbl_Button_Display_ASSTS,15,FALSE)</f>
        <v>On</v>
      </c>
    </row>
    <row r="1617" spans="1:9" s="10" customFormat="1" hidden="1" outlineLevel="2">
      <c r="A1617" s="70">
        <v>1</v>
      </c>
      <c r="F1617" s="87"/>
      <c r="G1617" s="10" t="e">
        <f>ModDisp</f>
        <v>#NAME?</v>
      </c>
      <c r="I1617" s="13" t="str">
        <f>VLOOKUP(C1611,Tbl_Button_Display_ASSTS,16,FALSE)</f>
        <v>DEF</v>
      </c>
    </row>
    <row r="1618" spans="1:9" s="10" customFormat="1" hidden="1" outlineLevel="2">
      <c r="A1618" s="70">
        <v>1</v>
      </c>
      <c r="F1618" s="87"/>
      <c r="G1618" s="10" t="e">
        <f>IntakeDisp</f>
        <v>#NAME?</v>
      </c>
      <c r="I1618" s="13" t="str">
        <f>VLOOKUP(C1611,Tbl_Button_Display_ASSTS,34,FALSE)</f>
        <v>REC</v>
      </c>
    </row>
    <row r="1619" spans="1:9" s="10" customFormat="1" hidden="1" outlineLevel="2">
      <c r="A1619" s="70">
        <v>1</v>
      </c>
      <c r="F1619" s="87"/>
      <c r="G1619" s="10" t="e">
        <f>FrontBlwDisp</f>
        <v>#NAME?</v>
      </c>
      <c r="I1619" s="13">
        <f>VLOOKUP(C1611,Tbl_Button_Display_ASSTS,23,FALSE)</f>
        <v>3</v>
      </c>
    </row>
    <row r="1620" spans="1:9" s="10" customFormat="1" hidden="1" outlineLevel="2">
      <c r="A1620" s="70">
        <v>1</v>
      </c>
      <c r="F1620" s="87"/>
      <c r="G1620" s="10" t="e">
        <f>AcDisp</f>
        <v>#NAME?</v>
      </c>
      <c r="I1620" s="13" t="str">
        <f>VLOOKUP(C1611,Tbl_Button_Display_ASSTS,31,FALSE)</f>
        <v>On</v>
      </c>
    </row>
    <row r="1621" spans="1:9" s="10" customFormat="1" hidden="1" outlineLevel="2">
      <c r="A1621" s="70">
        <v>1</v>
      </c>
      <c r="F1621" s="87"/>
      <c r="G1621" s="10" t="e" cm="1">
        <f t="array" ref="G1621">CompSpd_rpm</f>
        <v>#NAME?</v>
      </c>
      <c r="I1621" s="13" t="str">
        <f>VLOOKUP(C1611,Tbl_Button_Display_ASSTS,33,FALSE)</f>
        <v>On</v>
      </c>
    </row>
    <row r="1622" spans="1:9" s="10" customFormat="1" hidden="1" outlineLevel="2">
      <c r="A1622" s="70">
        <v>1</v>
      </c>
      <c r="F1622" s="87"/>
      <c r="G1622" s="10" t="e">
        <f>Act_DrMode</f>
        <v>#NAME?</v>
      </c>
      <c r="H1622" s="49" t="str">
        <f>VLOOKUP(C1611,Tbl_Button_Display_ASSTS,19,FALSE)</f>
        <v>DEF</v>
      </c>
      <c r="I1622" s="47" t="e">
        <f>IF(H1622="","",VLOOKUP(H1622,Tbl_ModeFB_Volt,2,FALSE))</f>
        <v>#NAME?</v>
      </c>
    </row>
    <row r="1623" spans="1:9" s="10" customFormat="1" hidden="1" outlineLevel="2">
      <c r="A1623" s="70">
        <v>1</v>
      </c>
      <c r="F1623" s="87"/>
      <c r="G1623" s="10" t="e">
        <f>Act_Def</f>
        <v>#NAME?</v>
      </c>
      <c r="H1623" s="49" t="str">
        <f>VLOOKUP(C1611,Tbl_Button_Display_ASSTS,22,FALSE)</f>
        <v>DEF</v>
      </c>
      <c r="I1623" s="47" t="e">
        <f>IF(H1623="","",VLOOKUP(H1623,Tbl_DefFB_Volt,2,FALSE))</f>
        <v>#NAME?</v>
      </c>
    </row>
    <row r="1624" spans="1:9" s="10" customFormat="1" hidden="1" outlineLevel="2">
      <c r="A1624" s="70">
        <v>1</v>
      </c>
      <c r="F1624" s="87"/>
      <c r="G1624" s="10" t="e">
        <f>Act_Intake</f>
        <v>#NAME?</v>
      </c>
      <c r="H1624" s="49" t="str">
        <f>VLOOKUP(C1611,Tbl_Button_Display_ASSTS,35,FALSE)</f>
        <v>REC</v>
      </c>
      <c r="I1624" s="48" t="e">
        <f>IF(H1624="","",VLOOKUP(H1624,Tbl_IntakeFB_Volt,2,FALSE))</f>
        <v>#NAME?</v>
      </c>
    </row>
    <row r="1625" spans="1:9" s="10" customFormat="1" hidden="1" outlineLevel="2">
      <c r="A1625" s="70">
        <v>1</v>
      </c>
      <c r="F1625" s="87"/>
      <c r="G1625" s="10" t="e">
        <f>BLW_Front</f>
        <v>#NAME?</v>
      </c>
      <c r="H1625" s="49" t="str">
        <f>VLOOKUP(C1611,Tbl_Button_Display_ASSTS,24,FALSE)</f>
        <v>DEF_Blower</v>
      </c>
      <c r="I1625" s="47" t="e">
        <f>IF(H1625="","",VLOOKUP(H1625,Tbl_Blower_Volt,2,FALSE))</f>
        <v>#NAME?</v>
      </c>
    </row>
    <row r="1626" spans="1:9" s="39" customFormat="1" hidden="1" outlineLevel="1">
      <c r="A1626" s="73">
        <v>1</v>
      </c>
      <c r="B1626" s="39" t="s">
        <v>155</v>
      </c>
      <c r="C1626" s="39" t="s">
        <v>1753</v>
      </c>
      <c r="D1626" s="39" t="e">
        <f>CONCATENATE(E1627," = ",F1627," 설정 시 원격공조 DEF Off 확인")</f>
        <v>#NAME?</v>
      </c>
      <c r="F1626" s="91"/>
    </row>
    <row r="1627" spans="1:9" s="10" customFormat="1" hidden="1" outlineLevel="2">
      <c r="A1627" s="70">
        <v>1</v>
      </c>
      <c r="E1627" s="14" t="e">
        <f>VLOOKUP(C1626,Tbl_Button_Display_ASSTS,11,FALSE)</f>
        <v>#NAME?</v>
      </c>
      <c r="F1627" s="85">
        <f>VLOOKUP(C1626,Tbl_Button_Display_ASSTS,12,FALSE)</f>
        <v>0</v>
      </c>
    </row>
    <row r="1628" spans="1:9" s="10" customFormat="1" hidden="1" outlineLevel="2">
      <c r="A1628" s="70">
        <v>1</v>
      </c>
      <c r="E1628" s="15" t="s">
        <v>5</v>
      </c>
      <c r="F1628" s="85">
        <f>VLOOKUP(C1626,Tbl_Button_Display_ASSTS,13,FALSE)</f>
        <v>1</v>
      </c>
    </row>
    <row r="1629" spans="1:9" s="10" customFormat="1" hidden="1" outlineLevel="2">
      <c r="A1629" s="70">
        <v>1</v>
      </c>
      <c r="F1629" s="87"/>
      <c r="G1629" s="10" t="e">
        <f>DEFDisp</f>
        <v>#NAME?</v>
      </c>
      <c r="I1629" s="13" t="str">
        <f>VLOOKUP(C1626,Tbl_Button_Display_ASSTS,36,FALSE)</f>
        <v>Off</v>
      </c>
    </row>
    <row r="1630" spans="1:9" s="10" customFormat="1" hidden="1" outlineLevel="2">
      <c r="A1630" s="70">
        <v>1</v>
      </c>
      <c r="F1630" s="87"/>
      <c r="G1630" s="10" t="e">
        <f>AutoDisp</f>
        <v>#NAME?</v>
      </c>
      <c r="I1630" s="13" t="str">
        <f>VLOOKUP(C1626,Tbl_Button_Display_ASSTS,14,FALSE)</f>
        <v>Off</v>
      </c>
    </row>
    <row r="1631" spans="1:9" s="10" customFormat="1" hidden="1" outlineLevel="2">
      <c r="A1631" s="70">
        <v>1</v>
      </c>
      <c r="F1631" s="87"/>
      <c r="G1631" s="10" t="e">
        <f>SyncDisp</f>
        <v>#NAME?</v>
      </c>
      <c r="I1631" s="13" t="str">
        <f>VLOOKUP(C1626,Tbl_Button_Display_ASSTS,15,FALSE)</f>
        <v>On</v>
      </c>
    </row>
    <row r="1632" spans="1:9" s="10" customFormat="1" hidden="1" outlineLevel="2">
      <c r="A1632" s="70">
        <v>1</v>
      </c>
      <c r="F1632" s="87"/>
      <c r="G1632" s="10" t="e">
        <f>ModDisp</f>
        <v>#NAME?</v>
      </c>
      <c r="I1632" s="13" t="str">
        <f>VLOOKUP(C1626,Tbl_Button_Display_ASSTS,16,FALSE)</f>
        <v>BL</v>
      </c>
    </row>
    <row r="1633" spans="1:9" s="10" customFormat="1" hidden="1" outlineLevel="2">
      <c r="A1633" s="70">
        <v>1</v>
      </c>
      <c r="F1633" s="87"/>
      <c r="G1633" s="10" t="e">
        <f>IntakeDisp</f>
        <v>#NAME?</v>
      </c>
      <c r="I1633" s="13" t="str">
        <f>VLOOKUP(C1626,Tbl_Button_Display_ASSTS,34,FALSE)</f>
        <v>REC</v>
      </c>
    </row>
    <row r="1634" spans="1:9" s="10" customFormat="1" hidden="1" outlineLevel="2">
      <c r="A1634" s="70">
        <v>1</v>
      </c>
      <c r="F1634" s="87"/>
      <c r="G1634" s="10" t="e">
        <f>FrontBlwDisp</f>
        <v>#NAME?</v>
      </c>
      <c r="I1634" s="13" t="str">
        <f>VLOOKUP(C1626,Tbl_Button_Display_ASSTS,23,FALSE)</f>
        <v>Blower 제어단수 확인</v>
      </c>
    </row>
    <row r="1635" spans="1:9" s="10" customFormat="1" hidden="1" outlineLevel="2">
      <c r="A1635" s="70">
        <v>1</v>
      </c>
      <c r="F1635" s="87"/>
      <c r="G1635" s="10" t="e">
        <f>AcDisp</f>
        <v>#NAME?</v>
      </c>
      <c r="I1635" s="13" t="str">
        <f>VLOOKUP(C1626,Tbl_Button_Display_ASSTS,31,FALSE)</f>
        <v>Off</v>
      </c>
    </row>
    <row r="1636" spans="1:9" s="10" customFormat="1" hidden="1" outlineLevel="2">
      <c r="A1636" s="70">
        <v>1</v>
      </c>
      <c r="F1636" s="87"/>
      <c r="G1636" s="10" t="e" cm="1">
        <f t="array" ref="G1636">CompSpd_rpm</f>
        <v>#NAME?</v>
      </c>
      <c r="I1636" s="13" t="str">
        <f>VLOOKUP(C1626,Tbl_Button_Display_ASSTS,33,FALSE)</f>
        <v>Off</v>
      </c>
    </row>
    <row r="1637" spans="1:9" s="10" customFormat="1" hidden="1" outlineLevel="2">
      <c r="A1637" s="70">
        <v>1</v>
      </c>
      <c r="F1637" s="87"/>
      <c r="G1637" s="10" t="e">
        <f>Act_DrMode</f>
        <v>#NAME?</v>
      </c>
      <c r="H1637" s="49" t="str">
        <f>VLOOKUP(C1626,Tbl_Button_Display_ASSTS,19,FALSE)</f>
        <v>BL</v>
      </c>
      <c r="I1637" s="47" t="e">
        <f>IF(H1637="","",VLOOKUP(H1637,Tbl_ModeFB_Volt,2,FALSE))</f>
        <v>#NAME?</v>
      </c>
    </row>
    <row r="1638" spans="1:9" s="10" customFormat="1" hidden="1" outlineLevel="2">
      <c r="A1638" s="70">
        <v>1</v>
      </c>
      <c r="F1638" s="87"/>
      <c r="G1638" s="10" t="e">
        <f>Act_Def</f>
        <v>#NAME?</v>
      </c>
      <c r="H1638" s="49" t="str">
        <f>VLOOKUP(C1626,Tbl_Button_Display_ASSTS,22,FALSE)</f>
        <v>BL</v>
      </c>
      <c r="I1638" s="47" t="e">
        <f>IF(H1638="","",VLOOKUP(H1638,Tbl_DefFB_Volt,2,FALSE))</f>
        <v>#NAME?</v>
      </c>
    </row>
    <row r="1639" spans="1:9" s="10" customFormat="1" hidden="1" outlineLevel="2">
      <c r="A1639" s="70">
        <v>1</v>
      </c>
      <c r="F1639" s="87"/>
      <c r="G1639" s="10" t="e">
        <f>Act_Intake</f>
        <v>#NAME?</v>
      </c>
      <c r="H1639" s="49" t="str">
        <f>VLOOKUP(C1626,Tbl_Button_Display_ASSTS,35,FALSE)</f>
        <v>REC</v>
      </c>
      <c r="I1639" s="48" t="e">
        <f>IF(H1639="","",VLOOKUP(H1639,Tbl_IntakeFB_Volt,2,FALSE))</f>
        <v>#NAME?</v>
      </c>
    </row>
    <row r="1640" spans="1:9" s="10" customFormat="1" hidden="1" outlineLevel="2">
      <c r="A1640" s="70">
        <v>1</v>
      </c>
      <c r="F1640" s="87"/>
      <c r="G1640" s="10" t="e">
        <f>BLW_Front</f>
        <v>#NAME?</v>
      </c>
      <c r="H1640" s="49" t="str">
        <f>VLOOKUP(C1626,Tbl_Button_Display_ASSTS,24,FALSE)</f>
        <v>blower_TD 연산에 따름</v>
      </c>
      <c r="I1640" s="47" t="e">
        <f>IF(H1640="","",VLOOKUP(H1640,Tbl_Blower_Volt,2,FALSE))</f>
        <v>#NAME?</v>
      </c>
    </row>
    <row r="1641" spans="1:9" s="39" customFormat="1" hidden="1" outlineLevel="1">
      <c r="A1641" s="73">
        <v>1</v>
      </c>
      <c r="B1641" s="39" t="s">
        <v>155</v>
      </c>
      <c r="C1641" s="39" t="s">
        <v>1754</v>
      </c>
      <c r="D1641" s="39" t="e">
        <f>CONCATENATE(E1642," = ",F1642," 설정 시 설정온도 원격공조제어 확인")</f>
        <v>#NAME?</v>
      </c>
      <c r="F1641" s="91"/>
    </row>
    <row r="1642" spans="1:9" s="10" customFormat="1" hidden="1" outlineLevel="2">
      <c r="A1642" s="70">
        <v>1</v>
      </c>
      <c r="E1642" s="14" t="e">
        <f>VLOOKUP(C1641,Tbl_Button_Display_ASSTS,11,FALSE)</f>
        <v>#NAME?</v>
      </c>
      <c r="F1642" s="85" t="e">
        <f>VLOOKUP(C1641,Tbl_Button_Display_ASSTS,12,FALSE)</f>
        <v>#NAME?</v>
      </c>
    </row>
    <row r="1643" spans="1:9" s="10" customFormat="1" hidden="1" outlineLevel="2">
      <c r="A1643" s="70">
        <v>1</v>
      </c>
      <c r="E1643" s="15" t="s">
        <v>5</v>
      </c>
      <c r="F1643" s="85">
        <f>VLOOKUP(C1641,Tbl_Button_Display_ASSTS,13,FALSE)</f>
        <v>1</v>
      </c>
    </row>
    <row r="1644" spans="1:9" s="10" customFormat="1" hidden="1" outlineLevel="2">
      <c r="A1644" s="70">
        <v>1</v>
      </c>
      <c r="F1644" s="87"/>
      <c r="G1644" s="10" t="e">
        <f>DrTempDispC</f>
        <v>#NAME?</v>
      </c>
      <c r="I1644" s="13" t="e">
        <f>VLOOKUP(C1641,Tbl_Button_Display_ASSTS,26,FALSE)</f>
        <v>#NAME?</v>
      </c>
    </row>
    <row r="1645" spans="1:9" s="10" customFormat="1" hidden="1" outlineLevel="2">
      <c r="A1645" s="70">
        <v>1</v>
      </c>
      <c r="F1645" s="87"/>
      <c r="G1645" s="10" t="e">
        <f>PsTempDispC</f>
        <v>#NAME?</v>
      </c>
      <c r="I1645" s="13" t="e">
        <f>VLOOKUP(C1641,Tbl_Button_Display_ASSTS,27,FALSE)</f>
        <v>#NAME?</v>
      </c>
    </row>
    <row r="1646" spans="1:9" s="10" customFormat="1" hidden="1" outlineLevel="2">
      <c r="A1646" s="70">
        <v>1</v>
      </c>
      <c r="F1646" s="87"/>
      <c r="G1646" s="10" t="e">
        <f>DrTempDispF</f>
        <v>#NAME?</v>
      </c>
      <c r="I1646" s="13" t="e">
        <f>VLOOKUP(C1641,Tbl_Button_Display_ASSTS,28,FALSE)</f>
        <v>#NAME?</v>
      </c>
    </row>
    <row r="1647" spans="1:9" s="10" customFormat="1" hidden="1" outlineLevel="2">
      <c r="A1647" s="70">
        <v>1</v>
      </c>
      <c r="F1647" s="87"/>
      <c r="G1647" s="10" t="e">
        <f>PsTempDispF</f>
        <v>#NAME?</v>
      </c>
      <c r="I1647" s="13" t="e">
        <f>VLOOKUP(C1641,Tbl_Button_Display_ASSTS,29,FALSE)</f>
        <v>#NAME?</v>
      </c>
    </row>
    <row r="1648" spans="1:9" s="39" customFormat="1" hidden="1" outlineLevel="1">
      <c r="A1648" s="73">
        <v>1</v>
      </c>
      <c r="B1648" s="39" t="s">
        <v>155</v>
      </c>
      <c r="C1648" s="39" t="s">
        <v>1755</v>
      </c>
      <c r="D1648" s="39" t="e">
        <f>CONCATENATE(E1649," = ",F1649," 설정 시 원격공조제어 해제 확인")</f>
        <v>#NAME?</v>
      </c>
      <c r="F1648" s="91"/>
    </row>
    <row r="1649" spans="1:9" s="10" customFormat="1" hidden="1" outlineLevel="2">
      <c r="A1649" s="70">
        <v>1</v>
      </c>
      <c r="E1649" s="14" t="e">
        <f>VLOOKUP(C1648,Tbl_Button_Display_ASSTS,11,FALSE)</f>
        <v>#NAME?</v>
      </c>
      <c r="F1649" s="85">
        <f>VLOOKUP(C1648,Tbl_Button_Display_ASSTS,12,FALSE)</f>
        <v>0</v>
      </c>
    </row>
    <row r="1650" spans="1:9" s="10" customFormat="1" hidden="1" outlineLevel="2">
      <c r="A1650" s="70">
        <v>1</v>
      </c>
      <c r="E1650" s="15" t="s">
        <v>5</v>
      </c>
      <c r="F1650" s="85">
        <f>VLOOKUP(C1648,Tbl_Button_Display_ASSTS,13,FALSE)</f>
        <v>1</v>
      </c>
    </row>
    <row r="1651" spans="1:9" s="10" customFormat="1" hidden="1" outlineLevel="2">
      <c r="A1651" s="70">
        <v>1</v>
      </c>
      <c r="F1651" s="87"/>
      <c r="G1651" s="10" t="e">
        <f>AutoDisp</f>
        <v>#NAME?</v>
      </c>
      <c r="I1651" s="13" t="str">
        <f>VLOOKUP(C1648,Tbl_Button_Display_ASSTS,14,FALSE)</f>
        <v>On</v>
      </c>
    </row>
    <row r="1652" spans="1:9" s="10" customFormat="1" hidden="1" outlineLevel="2">
      <c r="A1652" s="70">
        <v>1</v>
      </c>
      <c r="F1652" s="87"/>
      <c r="G1652" s="10" t="e">
        <f>SyncDisp</f>
        <v>#NAME?</v>
      </c>
      <c r="I1652" s="13" t="str">
        <f>VLOOKUP(C1648,Tbl_Button_Display_ASSTS,15,FALSE)</f>
        <v>On</v>
      </c>
    </row>
    <row r="1653" spans="1:9" s="10" customFormat="1" hidden="1" outlineLevel="2">
      <c r="A1653" s="70">
        <v>1</v>
      </c>
      <c r="F1653" s="87"/>
      <c r="G1653" s="10" t="e">
        <f>DrTempDispC</f>
        <v>#NAME?</v>
      </c>
      <c r="I1653" s="13" t="e">
        <f>VLOOKUP(C1648,Tbl_Button_Display_ASSTS,26,FALSE)</f>
        <v>#NAME?</v>
      </c>
    </row>
    <row r="1654" spans="1:9" s="10" customFormat="1" hidden="1" outlineLevel="2">
      <c r="A1654" s="70">
        <v>1</v>
      </c>
      <c r="F1654" s="87"/>
      <c r="G1654" s="10" t="e">
        <f>PsTempDispC</f>
        <v>#NAME?</v>
      </c>
      <c r="I1654" s="13" t="e">
        <f>VLOOKUP(C1648,Tbl_Button_Display_ASSTS,27,FALSE)</f>
        <v>#NAME?</v>
      </c>
    </row>
    <row r="1655" spans="1:9" s="10" customFormat="1" hidden="1" outlineLevel="2">
      <c r="A1655" s="70">
        <v>1</v>
      </c>
      <c r="F1655" s="87"/>
      <c r="G1655" s="10" t="e">
        <f>DrTempDispF</f>
        <v>#NAME?</v>
      </c>
      <c r="I1655" s="13" t="e">
        <f>VLOOKUP(C1648,Tbl_Button_Display_ASSTS,28,FALSE)</f>
        <v>#NAME?</v>
      </c>
    </row>
    <row r="1656" spans="1:9" s="10" customFormat="1" hidden="1" outlineLevel="2">
      <c r="A1656" s="70">
        <v>1</v>
      </c>
      <c r="F1656" s="87"/>
      <c r="G1656" s="10" t="e">
        <f>PsTempDispF</f>
        <v>#NAME?</v>
      </c>
      <c r="I1656" s="13" t="e">
        <f>VLOOKUP(C1648,Tbl_Button_Display_ASSTS,29,FALSE)</f>
        <v>#NAME?</v>
      </c>
    </row>
    <row r="1657" spans="1:9" s="10" customFormat="1" hidden="1" outlineLevel="2">
      <c r="A1657" s="70">
        <v>1</v>
      </c>
      <c r="F1657" s="87"/>
      <c r="G1657" s="10" t="e">
        <f>ModDisp</f>
        <v>#NAME?</v>
      </c>
      <c r="I1657" s="13" t="str">
        <f>VLOOKUP(C1648,Tbl_Button_Display_ASSTS,16,FALSE)</f>
        <v>Floor</v>
      </c>
    </row>
    <row r="1658" spans="1:9" s="10" customFormat="1" hidden="1" outlineLevel="2">
      <c r="A1658" s="70">
        <v>1</v>
      </c>
      <c r="F1658" s="87"/>
      <c r="G1658" s="10" t="e">
        <f>IntakeDisp</f>
        <v>#NAME?</v>
      </c>
      <c r="I1658" s="13" t="str">
        <f>VLOOKUP(C1648,Tbl_Button_Display_ASSTS,34,FALSE)</f>
        <v>FRE</v>
      </c>
    </row>
    <row r="1659" spans="1:9" s="10" customFormat="1" hidden="1" outlineLevel="2">
      <c r="A1659" s="70">
        <v>1</v>
      </c>
      <c r="F1659" s="87"/>
      <c r="G1659" s="10" t="e">
        <f>FrontBlwDisp</f>
        <v>#NAME?</v>
      </c>
      <c r="I1659" s="13" t="str">
        <f>VLOOKUP(C1648,Tbl_Button_Display_ASSTS,23,FALSE)</f>
        <v>Blower 제어단수 확인</v>
      </c>
    </row>
    <row r="1660" spans="1:9" s="10" customFormat="1" hidden="1" outlineLevel="2">
      <c r="A1660" s="70">
        <v>1</v>
      </c>
      <c r="F1660" s="87"/>
      <c r="G1660" s="10" t="e">
        <f>AcDisp</f>
        <v>#NAME?</v>
      </c>
      <c r="I1660" s="13" t="str">
        <f>VLOOKUP(C1648,Tbl_Button_Display_ASSTS,31,FALSE)</f>
        <v>Off</v>
      </c>
    </row>
    <row r="1661" spans="1:9" s="10" customFormat="1" hidden="1" outlineLevel="2">
      <c r="A1661" s="70">
        <v>1</v>
      </c>
      <c r="F1661" s="87"/>
      <c r="G1661" s="10" t="e" cm="1">
        <f t="array" ref="G1661">CompSpd_rpm</f>
        <v>#NAME?</v>
      </c>
      <c r="I1661" s="13" t="str">
        <f>VLOOKUP(C1648,Tbl_Button_Display_ASSTS,33,FALSE)</f>
        <v>Off</v>
      </c>
    </row>
    <row r="1662" spans="1:9" s="10" customFormat="1" hidden="1" outlineLevel="2">
      <c r="A1662" s="70">
        <v>1</v>
      </c>
      <c r="F1662" s="87"/>
      <c r="G1662" s="10" t="e">
        <f>Act_DrMode</f>
        <v>#NAME?</v>
      </c>
      <c r="H1662" s="49" t="str">
        <f>VLOOKUP(C1648,Tbl_Button_Display_ASSTS,19,FALSE)</f>
        <v>Floor</v>
      </c>
      <c r="I1662" s="47" t="e">
        <f>IF(H1662="","",VLOOKUP(H1662,Tbl_ModeFB_Volt,2,FALSE))</f>
        <v>#NAME?</v>
      </c>
    </row>
    <row r="1663" spans="1:9" s="10" customFormat="1" hidden="1" outlineLevel="2">
      <c r="A1663" s="70">
        <v>1</v>
      </c>
      <c r="F1663" s="87"/>
      <c r="G1663" s="10" t="e">
        <f>Act_Def</f>
        <v>#NAME?</v>
      </c>
      <c r="H1663" s="49" t="str">
        <f>VLOOKUP(C1648,Tbl_Button_Display_ASSTS,22,FALSE)</f>
        <v>Floor</v>
      </c>
      <c r="I1663" s="47" t="e">
        <f>IF(H1663="","",VLOOKUP(H1663,Tbl_DefFB_Volt,2,FALSE))</f>
        <v>#NAME?</v>
      </c>
    </row>
    <row r="1664" spans="1:9" s="10" customFormat="1" hidden="1" outlineLevel="2">
      <c r="A1664" s="70">
        <v>1</v>
      </c>
      <c r="F1664" s="87"/>
      <c r="G1664" s="10" t="e">
        <f>Act_Intake</f>
        <v>#NAME?</v>
      </c>
      <c r="H1664" s="49" t="str">
        <f>VLOOKUP(C1648,Tbl_Button_Display_ASSTS,35,FALSE)</f>
        <v>Intake_TD 연산에 따름</v>
      </c>
      <c r="I1664" s="48" t="e">
        <f>IF(H1664="","",VLOOKUP(H1664,Tbl_IntakeFB_Volt,2,FALSE))</f>
        <v>#NAME?</v>
      </c>
    </row>
    <row r="1665" spans="1:10" s="10" customFormat="1" hidden="1" outlineLevel="2">
      <c r="A1665" s="70">
        <v>1</v>
      </c>
      <c r="F1665" s="87"/>
      <c r="G1665" s="10" t="e">
        <f>BLW_Front</f>
        <v>#NAME?</v>
      </c>
      <c r="H1665" s="49" t="str">
        <f>VLOOKUP(C1648,Tbl_Button_Display_ASSTS,24,FALSE)</f>
        <v>blower_TD 연산에 따름</v>
      </c>
      <c r="I1665" s="47" t="e">
        <f>IF(H1665="","",VLOOKUP(H1665,Tbl_Blower_Volt,2,FALSE))</f>
        <v>#NAME?</v>
      </c>
    </row>
    <row r="1666" spans="1:10" s="40" customFormat="1" ht="15">
      <c r="A1666" s="66">
        <v>1</v>
      </c>
      <c r="B1666" s="40" t="s">
        <v>561</v>
      </c>
      <c r="C1666" s="40" t="s">
        <v>609</v>
      </c>
      <c r="D1666" s="40" t="str">
        <f>VLOOKUP(B1666,Tbl_Button_Display_ASSTS,2,FALSE)</f>
        <v>100% FLOOR PURGE</v>
      </c>
      <c r="F1666" s="82"/>
    </row>
    <row r="1667" spans="1:10" s="38" customFormat="1" collapsed="1">
      <c r="A1667" s="71">
        <v>1</v>
      </c>
      <c r="B1667" s="38" t="s">
        <v>7</v>
      </c>
      <c r="C1667" s="38" t="s">
        <v>625</v>
      </c>
      <c r="D1667" s="38" t="str">
        <f>VLOOKUP(C1667,Tbl_Button_Display_ASSTS, 2,FALSE)</f>
        <v>100% FLOOR PURGE 동작 확인 - System On 상태</v>
      </c>
      <c r="F1667" s="88"/>
    </row>
    <row r="1668" spans="1:10" s="11" customFormat="1" hidden="1" outlineLevel="1">
      <c r="A1668" s="72">
        <v>1</v>
      </c>
      <c r="B1668" s="11" t="s">
        <v>38</v>
      </c>
      <c r="C1668" s="11" t="s">
        <v>626</v>
      </c>
      <c r="D1668" s="11" t="s">
        <v>39</v>
      </c>
      <c r="F1668" s="89"/>
    </row>
    <row r="1669" spans="1:10" s="10" customFormat="1" hidden="1" outlineLevel="2">
      <c r="A1669" s="70">
        <v>1</v>
      </c>
      <c r="E1669" s="14" t="str">
        <f>VLOOKUP(C1668,Tbl_Button_Display_ASSTS,11,FALSE)</f>
        <v>MsgBox</v>
      </c>
      <c r="F1669" s="85" t="str">
        <f>VLOOKUP(C1668,Tbl_Button_Display_ASSTS,12,FALSE)</f>
        <v>원격공조 Signal Defualt 값 설정</v>
      </c>
    </row>
    <row r="1670" spans="1:10" s="10" customFormat="1" hidden="1" outlineLevel="2">
      <c r="A1670" s="70">
        <v>1</v>
      </c>
      <c r="E1670" s="14" t="e">
        <f>RAC_TempSetVal</f>
        <v>#NAME?</v>
      </c>
      <c r="F1670" s="85">
        <v>0</v>
      </c>
      <c r="J1670" s="15"/>
    </row>
    <row r="1671" spans="1:10" s="10" customFormat="1" hidden="1" outlineLevel="2">
      <c r="A1671" s="70">
        <v>1</v>
      </c>
      <c r="E1671" s="14" t="e">
        <f>RAC_TempModTyp</f>
        <v>#NAME?</v>
      </c>
      <c r="F1671" s="85" t="e">
        <f>IF(const_TempUnit="degC",0,1)</f>
        <v>#NAME?</v>
      </c>
      <c r="J1671" s="15"/>
    </row>
    <row r="1672" spans="1:10" s="10" customFormat="1" hidden="1" outlineLevel="2">
      <c r="A1672" s="70">
        <v>1</v>
      </c>
      <c r="E1672" s="14" t="e">
        <f>RAC_DfrstCtrlReq</f>
        <v>#NAME?</v>
      </c>
      <c r="F1672" s="85">
        <v>0</v>
      </c>
      <c r="J1672" s="15"/>
    </row>
    <row r="1673" spans="1:10" s="10" customFormat="1" hidden="1" outlineLevel="2">
      <c r="A1673" s="70">
        <v>1</v>
      </c>
      <c r="E1673" s="8" t="e">
        <f>Amb_IN</f>
        <v>#NAME?</v>
      </c>
      <c r="F1673" s="93" cm="1">
        <f t="array" ref="F1673">VINTERPOLATION(VLOOKUP(C1668,Tbl_Button_Display_ASSTS,3,FALSE),Tbl_Amb_Sensor,3)</f>
        <v>3.613742433344115</v>
      </c>
    </row>
    <row r="1674" spans="1:10" s="10" customFormat="1" hidden="1" outlineLevel="2">
      <c r="A1674" s="70">
        <v>1</v>
      </c>
      <c r="E1674" s="14" t="s">
        <v>95</v>
      </c>
      <c r="F1674" s="85" t="s">
        <v>1189</v>
      </c>
    </row>
    <row r="1675" spans="1:10" s="10" customFormat="1" hidden="1" outlineLevel="2">
      <c r="A1675" s="70">
        <v>1</v>
      </c>
      <c r="E1675" s="15" t="s">
        <v>5</v>
      </c>
      <c r="F1675" s="85">
        <f>VLOOKUP(C1668,Tbl_Button_Display_ASSTS,13,FALSE)</f>
        <v>10</v>
      </c>
    </row>
    <row r="1676" spans="1:10" s="10" customFormat="1" hidden="1" outlineLevel="2">
      <c r="A1676" s="70">
        <v>1</v>
      </c>
      <c r="F1676" s="87"/>
      <c r="G1676" s="10" t="e">
        <f>Amb_OUT</f>
        <v>#NAME?</v>
      </c>
      <c r="I1676" s="13">
        <f>VLOOKUP(C1668,Tbl_Button_Display_ASSTS,3,FALSE)</f>
        <v>4</v>
      </c>
    </row>
    <row r="1677" spans="1:10" s="10" customFormat="1" hidden="1" outlineLevel="2">
      <c r="A1677" s="70">
        <v>1</v>
      </c>
      <c r="F1677" s="87"/>
      <c r="G1677" s="10" t="e">
        <f>ModDisp</f>
        <v>#NAME?</v>
      </c>
      <c r="I1677" s="13" t="str">
        <f>VLOOKUP(C1668,Tbl_Button_Display_ASSTS,16,FALSE)</f>
        <v>Floor</v>
      </c>
    </row>
    <row r="1678" spans="1:10" s="10" customFormat="1" hidden="1" outlineLevel="2">
      <c r="A1678" s="70">
        <v>1</v>
      </c>
      <c r="F1678" s="87"/>
      <c r="G1678" s="10" t="e">
        <f>FrontBlwDisp</f>
        <v>#NAME?</v>
      </c>
      <c r="I1678" s="13" t="str">
        <f>VLOOKUP(C1668,Tbl_Button_Display_ASSTS,23,FALSE)</f>
        <v>Blower 제어단수 확인</v>
      </c>
    </row>
    <row r="1679" spans="1:10" s="10" customFormat="1" hidden="1" outlineLevel="2">
      <c r="A1679" s="70">
        <v>1</v>
      </c>
      <c r="F1679" s="87"/>
      <c r="G1679" s="10" t="e">
        <f>Act_DrMode</f>
        <v>#NAME?</v>
      </c>
      <c r="H1679" s="49" t="str">
        <f>VLOOKUP(C1668,Tbl_Button_Display_ASSTS,19,FALSE)</f>
        <v>Floor</v>
      </c>
      <c r="I1679" s="47" t="e">
        <f>IF(H1679="","",VLOOKUP(H1679,Tbl_ModeFB_Volt,2,FALSE))</f>
        <v>#NAME?</v>
      </c>
    </row>
    <row r="1680" spans="1:10" s="10" customFormat="1" hidden="1" outlineLevel="2">
      <c r="A1680" s="70">
        <v>1</v>
      </c>
      <c r="F1680" s="87"/>
      <c r="G1680" s="10" t="e">
        <f>Act_Def</f>
        <v>#NAME?</v>
      </c>
      <c r="H1680" s="49" t="str">
        <f>VLOOKUP(C1668,Tbl_Button_Display_ASSTS,22,FALSE)</f>
        <v>Floor</v>
      </c>
      <c r="I1680" s="47" t="e">
        <f>IF(H1680="","",VLOOKUP(H1680,Tbl_DefFB_Volt,2,FALSE))</f>
        <v>#NAME?</v>
      </c>
    </row>
    <row r="1681" spans="1:12" s="10" customFormat="1" hidden="1" outlineLevel="2">
      <c r="A1681" s="70">
        <v>1</v>
      </c>
      <c r="F1681" s="87"/>
      <c r="G1681" s="10" t="e">
        <f>BLW_Front</f>
        <v>#NAME?</v>
      </c>
      <c r="H1681" s="49" t="str">
        <f>VLOOKUP(C1668,Tbl_Button_Display_ASSTS,24,FALSE)</f>
        <v>blower_TD 연산에 따름</v>
      </c>
      <c r="I1681" s="47" t="e">
        <f>IF(H1681="","",VLOOKUP(H1681,Tbl_Blower_Volt,2,FALSE))</f>
        <v>#NAME?</v>
      </c>
    </row>
    <row r="1682" spans="1:12" s="39" customFormat="1" hidden="1" outlineLevel="1">
      <c r="A1682" s="73">
        <v>1</v>
      </c>
      <c r="B1682" s="39" t="s">
        <v>155</v>
      </c>
      <c r="C1682" s="39" t="s">
        <v>627</v>
      </c>
      <c r="D1682" s="39" t="str">
        <f>CONCATENATE("100% FLOOR PURGE 동작을 확인하기 위한 수동 설정")</f>
        <v>100% FLOOR PURGE 동작을 확인하기 위한 수동 설정</v>
      </c>
      <c r="F1682" s="91"/>
    </row>
    <row r="1683" spans="1:12" s="10" customFormat="1" hidden="1" outlineLevel="2">
      <c r="A1683" s="70">
        <v>1</v>
      </c>
      <c r="E1683" s="14" t="str">
        <f>VLOOKUP(C1682,Tbl_Button_Display_ASSTS,11,FALSE)</f>
        <v>MsgBox</v>
      </c>
      <c r="F1683" s="85" t="str">
        <f>VLOOKUP(C1682,Tbl_Button_Display_ASSTS,12,FALSE)</f>
        <v>Mode=Mix, Blower=8단 수동 설정</v>
      </c>
      <c r="J1683" s="15"/>
    </row>
    <row r="1684" spans="1:12" s="10" customFormat="1" hidden="1" outlineLevel="2">
      <c r="A1684" s="70">
        <v>1</v>
      </c>
      <c r="E1684" s="15" t="s">
        <v>5</v>
      </c>
      <c r="F1684" s="85">
        <f>VLOOKUP(C1682,Tbl_Button_Display_ASSTS,13,FALSE)</f>
        <v>2</v>
      </c>
    </row>
    <row r="1685" spans="1:12" s="10" customFormat="1" hidden="1" outlineLevel="2">
      <c r="A1685" s="70">
        <v>1</v>
      </c>
      <c r="F1685" s="87"/>
      <c r="G1685" s="10" t="e">
        <f>ModDisp</f>
        <v>#NAME?</v>
      </c>
      <c r="I1685" s="13" t="str">
        <f>VLOOKUP(C1682,Tbl_Button_Display_ASSTS,16,FALSE)</f>
        <v>Mix</v>
      </c>
    </row>
    <row r="1686" spans="1:12" s="10" customFormat="1" hidden="1" outlineLevel="2">
      <c r="A1686" s="70">
        <v>1</v>
      </c>
      <c r="F1686" s="87"/>
      <c r="G1686" s="10" t="e">
        <f>FrontBlwDisp</f>
        <v>#NAME?</v>
      </c>
      <c r="I1686" s="13">
        <f>VLOOKUP(C1682,Tbl_Button_Display_ASSTS,23,FALSE)</f>
        <v>8</v>
      </c>
    </row>
    <row r="1687" spans="1:12" s="10" customFormat="1" hidden="1" outlineLevel="2">
      <c r="A1687" s="70">
        <v>1</v>
      </c>
      <c r="F1687" s="87"/>
      <c r="G1687" s="10" t="e">
        <f>Act_DrMode</f>
        <v>#NAME?</v>
      </c>
      <c r="H1687" s="49" t="str">
        <f>VLOOKUP(C1682,Tbl_Button_Display_ASSTS,19,FALSE)</f>
        <v>Mix</v>
      </c>
      <c r="I1687" s="47" t="e">
        <f>IF(H1687="","",VLOOKUP(H1687,Tbl_ModeFB_Volt,2,FALSE))</f>
        <v>#NAME?</v>
      </c>
    </row>
    <row r="1688" spans="1:12" s="10" customFormat="1" hidden="1" outlineLevel="2">
      <c r="A1688" s="70">
        <v>1</v>
      </c>
      <c r="F1688" s="87"/>
      <c r="G1688" s="10" t="e">
        <f>Act_Def</f>
        <v>#NAME?</v>
      </c>
      <c r="H1688" s="49" t="str">
        <f>VLOOKUP(C1682,Tbl_Button_Display_ASSTS,22,FALSE)</f>
        <v>Mix</v>
      </c>
      <c r="I1688" s="47" t="e">
        <f>IF(H1688="","",VLOOKUP(H1688,Tbl_DefFB_Volt,2,FALSE))</f>
        <v>#NAME?</v>
      </c>
    </row>
    <row r="1689" spans="1:12" s="10" customFormat="1" hidden="1" outlineLevel="2">
      <c r="A1689" s="70">
        <v>1</v>
      </c>
      <c r="F1689" s="87"/>
      <c r="G1689" s="10" t="e">
        <f>BLW_Front</f>
        <v>#NAME?</v>
      </c>
      <c r="H1689" s="49">
        <f>VLOOKUP(C1682,Tbl_Button_Display_ASSTS,24,FALSE)</f>
        <v>8</v>
      </c>
      <c r="I1689" s="47" t="e">
        <f>IF(H1689="","",VLOOKUP(H1689,Tbl_Blower_Volt,2,FALSE))</f>
        <v>#NAME?</v>
      </c>
    </row>
    <row r="1690" spans="1:12" s="39" customFormat="1" ht="16.5" hidden="1" outlineLevel="1">
      <c r="A1690" s="73">
        <v>1</v>
      </c>
      <c r="B1690" s="39" t="s">
        <v>155</v>
      </c>
      <c r="C1690" s="39" t="s">
        <v>628</v>
      </c>
      <c r="D1690" s="39" t="str">
        <f>CONCATENATE(E1691," 후 ",E1696," 시 100%FloorPurge 제어 동작 확인")</f>
        <v>IGN1,2_Off 후 IGN1,2_On 시 100%FloorPurge 제어 동작 확인</v>
      </c>
      <c r="F1690" s="91"/>
      <c r="L1690" s="199" t="s">
        <v>1756</v>
      </c>
    </row>
    <row r="1691" spans="1:12" s="10" customFormat="1" ht="16.5" hidden="1" outlineLevel="2">
      <c r="A1691" s="70">
        <v>1</v>
      </c>
      <c r="E1691" s="14" t="str">
        <f>VLOOKUP(C1690,Tbl_Button_Display_ASSTS,11,FALSE)</f>
        <v>IGN1,2_Off</v>
      </c>
      <c r="F1691" s="85" t="str">
        <f>VLOOKUP(C1690,Tbl_Button_Display_ASSTS,12,FALSE)</f>
        <v xml:space="preserve"> </v>
      </c>
      <c r="J1691" s="15"/>
      <c r="L1691" s="130" t="s">
        <v>1757</v>
      </c>
    </row>
    <row r="1692" spans="1:12" s="10" customFormat="1" hidden="1" outlineLevel="2">
      <c r="A1692" s="70">
        <v>1</v>
      </c>
      <c r="E1692" s="15" t="s">
        <v>5</v>
      </c>
      <c r="F1692" s="85">
        <f>VLOOKUP(C1690,Tbl_Button_Display_ASSTS,13,FALSE)</f>
        <v>10</v>
      </c>
    </row>
    <row r="1693" spans="1:12" s="10" customFormat="1" hidden="1" outlineLevel="2">
      <c r="A1693" s="70">
        <v>1</v>
      </c>
      <c r="F1693" s="87"/>
      <c r="G1693" s="10" t="e">
        <f>Act_DrMode</f>
        <v>#NAME?</v>
      </c>
      <c r="H1693" s="49" t="str">
        <f>VLOOKUP(C1690,Tbl_Button_Display_ASSTS,19,FALSE)</f>
        <v>100%Floor</v>
      </c>
      <c r="I1693" s="47" t="e">
        <f>IF(H1693="","",VLOOKUP(H1693,Tbl_ModeFB_Volt,2,FALSE))</f>
        <v>#NAME?</v>
      </c>
    </row>
    <row r="1694" spans="1:12" s="10" customFormat="1" hidden="1" outlineLevel="2">
      <c r="A1694" s="70">
        <v>1</v>
      </c>
      <c r="F1694" s="87"/>
      <c r="G1694" s="10" t="e">
        <f>Act_Def</f>
        <v>#NAME?</v>
      </c>
      <c r="H1694" s="49" t="str">
        <f>VLOOKUP(C1690,Tbl_Button_Display_ASSTS,22,FALSE)</f>
        <v>100%Floor</v>
      </c>
      <c r="I1694" s="47" t="e">
        <f>IF(H1694="","",VLOOKUP(H1694,Tbl_DefFB_Volt,2,FALSE))</f>
        <v>#NAME?</v>
      </c>
    </row>
    <row r="1695" spans="1:12" s="10" customFormat="1" hidden="1" outlineLevel="2">
      <c r="A1695" s="70">
        <v>1</v>
      </c>
      <c r="F1695" s="87"/>
      <c r="G1695" s="10" t="e">
        <f>BLW_Front</f>
        <v>#NAME?</v>
      </c>
      <c r="H1695" s="49" t="s">
        <v>744</v>
      </c>
      <c r="I1695" s="47" t="e">
        <f>IF(H1695="","",VLOOKUP(H1695,Tbl_Blower_Volt,2,FALSE))</f>
        <v>#NAME?</v>
      </c>
    </row>
    <row r="1696" spans="1:12" s="10" customFormat="1" hidden="1" outlineLevel="2">
      <c r="A1696" s="70">
        <v>1</v>
      </c>
      <c r="E1696" s="15" t="s">
        <v>743</v>
      </c>
      <c r="F1696" s="85"/>
    </row>
    <row r="1697" spans="1:10" s="10" customFormat="1" hidden="1" outlineLevel="2">
      <c r="A1697" s="70">
        <v>1</v>
      </c>
      <c r="F1697" s="87"/>
      <c r="G1697" s="10" t="e">
        <f>Act_DrMode</f>
        <v>#NAME?</v>
      </c>
      <c r="H1697" s="49" t="str">
        <f>VLOOKUP(C1690,Tbl_Button_Display_ASSTS,19,FALSE)</f>
        <v>100%Floor</v>
      </c>
      <c r="I1697" s="47" t="e">
        <f>IF(H1697="","",VLOOKUP(H1697,Tbl_ModeFB_Volt,2,FALSE))</f>
        <v>#NAME?</v>
      </c>
    </row>
    <row r="1698" spans="1:10" s="10" customFormat="1" hidden="1" outlineLevel="2">
      <c r="A1698" s="70">
        <v>1</v>
      </c>
      <c r="F1698" s="87"/>
      <c r="G1698" s="10" t="e">
        <f>Act_Def</f>
        <v>#NAME?</v>
      </c>
      <c r="H1698" s="49" t="str">
        <f>VLOOKUP(C1690,Tbl_Button_Display_ASSTS,22,FALSE)</f>
        <v>100%Floor</v>
      </c>
      <c r="I1698" s="47" t="e">
        <f>IF(H1698="","",VLOOKUP(H1698,Tbl_DefFB_Volt,2,FALSE))</f>
        <v>#NAME?</v>
      </c>
    </row>
    <row r="1699" spans="1:10" s="10" customFormat="1" hidden="1" outlineLevel="2">
      <c r="A1699" s="70">
        <v>1</v>
      </c>
      <c r="F1699" s="87"/>
      <c r="G1699" s="10" t="e">
        <f>BLW_Front</f>
        <v>#NAME?</v>
      </c>
      <c r="H1699" s="49">
        <f>VLOOKUP(C1690,Tbl_Button_Display_ASSTS,24,FALSE)</f>
        <v>1</v>
      </c>
      <c r="I1699" s="47" t="e">
        <f>IF(H1699="","",VLOOKUP(H1699,Tbl_Blower_Volt,2,FALSE))</f>
        <v>#NAME?</v>
      </c>
    </row>
    <row r="1700" spans="1:10" s="10" customFormat="1" hidden="1" outlineLevel="2">
      <c r="A1700" s="70">
        <v>1</v>
      </c>
      <c r="E1700" s="10" t="s">
        <v>90</v>
      </c>
      <c r="F1700" s="90" t="s">
        <v>740</v>
      </c>
      <c r="G1700" s="43"/>
      <c r="H1700" s="43"/>
      <c r="I1700" s="43"/>
    </row>
    <row r="1701" spans="1:10" s="10" customFormat="1" hidden="1" outlineLevel="2">
      <c r="A1701" s="70">
        <v>1</v>
      </c>
      <c r="E1701" s="10" t="s">
        <v>90</v>
      </c>
      <c r="F1701" s="90" t="s">
        <v>741</v>
      </c>
      <c r="G1701" s="43"/>
      <c r="H1701" s="43"/>
      <c r="I1701" s="43"/>
    </row>
    <row r="1702" spans="1:10" s="10" customFormat="1" hidden="1" outlineLevel="2">
      <c r="A1702" s="70">
        <v>1</v>
      </c>
      <c r="E1702" s="15" t="s">
        <v>5</v>
      </c>
      <c r="F1702" s="85">
        <v>20</v>
      </c>
    </row>
    <row r="1703" spans="1:10" s="10" customFormat="1" hidden="1" outlineLevel="2">
      <c r="A1703" s="70">
        <v>1</v>
      </c>
      <c r="F1703" s="87"/>
      <c r="G1703" s="10" t="e">
        <f>Act_DrMode</f>
        <v>#NAME?</v>
      </c>
      <c r="H1703" s="49" t="str">
        <f>H1687</f>
        <v>Mix</v>
      </c>
      <c r="I1703" s="47" t="e">
        <f>IF(H1703="","",VLOOKUP(H1703,Tbl_ModeFB_Volt,2,FALSE))</f>
        <v>#NAME?</v>
      </c>
    </row>
    <row r="1704" spans="1:10" s="10" customFormat="1" hidden="1" outlineLevel="2">
      <c r="A1704" s="70">
        <v>1</v>
      </c>
      <c r="F1704" s="87"/>
      <c r="G1704" s="10" t="e">
        <f>Act_Def</f>
        <v>#NAME?</v>
      </c>
      <c r="H1704" s="49" t="str">
        <f>H1688</f>
        <v>Mix</v>
      </c>
      <c r="I1704" s="47" t="e">
        <f>IF(H1704="","",VLOOKUP(H1704,Tbl_DefFB_Volt,2,FALSE))</f>
        <v>#NAME?</v>
      </c>
    </row>
    <row r="1705" spans="1:10" s="10" customFormat="1" hidden="1" outlineLevel="2">
      <c r="A1705" s="70">
        <v>1</v>
      </c>
      <c r="F1705" s="87"/>
      <c r="G1705" s="10" t="e">
        <f>BLW_Front</f>
        <v>#NAME?</v>
      </c>
      <c r="H1705" s="49">
        <f>H1689</f>
        <v>8</v>
      </c>
      <c r="I1705" s="47" t="e">
        <f>IF(H1705="","",VLOOKUP(H1705,Tbl_Blower_Volt,2,FALSE))</f>
        <v>#NAME?</v>
      </c>
    </row>
    <row r="1706" spans="1:10" s="38" customFormat="1" collapsed="1">
      <c r="A1706" s="71">
        <v>1</v>
      </c>
      <c r="B1706" s="38" t="s">
        <v>7</v>
      </c>
      <c r="C1706" s="38" t="s">
        <v>629</v>
      </c>
      <c r="D1706" s="38" t="str">
        <f>VLOOKUP(C1706,Tbl_Button_Display_ASSTS, 2,FALSE)</f>
        <v>100% FLOOR PURGE 동작 확인 - System Off 상태</v>
      </c>
      <c r="F1706" s="88"/>
    </row>
    <row r="1707" spans="1:10" s="39" customFormat="1" hidden="1" outlineLevel="1">
      <c r="A1707" s="73">
        <v>1</v>
      </c>
      <c r="B1707" s="39" t="s">
        <v>155</v>
      </c>
      <c r="C1707" s="39" t="s">
        <v>630</v>
      </c>
      <c r="D1707" s="39" t="str">
        <f>CONCATENATE(E1708," ",F1708,"회 선택 시 System Off 확인")</f>
        <v>Sw_OFF 1회 선택 시 System Off 확인</v>
      </c>
      <c r="F1707" s="91"/>
    </row>
    <row r="1708" spans="1:10" s="10" customFormat="1" hidden="1" outlineLevel="2">
      <c r="A1708" s="70">
        <v>1</v>
      </c>
      <c r="E1708" s="14" t="str">
        <f>VLOOKUP(C1707,Tbl_Button_Display_ASSTS,11,FALSE)</f>
        <v>Sw_OFF</v>
      </c>
      <c r="F1708" s="85">
        <f>VLOOKUP(C1707,Tbl_Button_Display_ASSTS,12,FALSE)</f>
        <v>1</v>
      </c>
      <c r="J1708" s="15"/>
    </row>
    <row r="1709" spans="1:10" s="10" customFormat="1" hidden="1" outlineLevel="2">
      <c r="A1709" s="70">
        <v>1</v>
      </c>
      <c r="E1709" s="15" t="s">
        <v>5</v>
      </c>
      <c r="F1709" s="85">
        <f>VLOOKUP(C1707,Tbl_Button_Display_ASSTS,13,FALSE)</f>
        <v>2</v>
      </c>
    </row>
    <row r="1710" spans="1:10" s="10" customFormat="1" hidden="1" outlineLevel="2">
      <c r="A1710" s="70">
        <v>1</v>
      </c>
      <c r="F1710" s="87"/>
      <c r="G1710" s="10" t="e">
        <f>ModDisp</f>
        <v>#NAME?</v>
      </c>
      <c r="I1710" s="13" t="e">
        <f>VLOOKUP(C1707,Tbl_Button_Display_ASSTS,16,FALSE)</f>
        <v>#NAME?</v>
      </c>
    </row>
    <row r="1711" spans="1:10" s="10" customFormat="1" hidden="1" outlineLevel="2">
      <c r="A1711" s="70">
        <v>1</v>
      </c>
      <c r="F1711" s="87"/>
      <c r="G1711" s="10" t="e">
        <f>FrontBlwDisp</f>
        <v>#NAME?</v>
      </c>
      <c r="I1711" s="13" t="str">
        <f>VLOOKUP(C1707,Tbl_Button_Display_ASSTS,23,FALSE)</f>
        <v>Off</v>
      </c>
    </row>
    <row r="1712" spans="1:10" s="10" customFormat="1" hidden="1" outlineLevel="2">
      <c r="A1712" s="70">
        <v>1</v>
      </c>
      <c r="F1712" s="87"/>
      <c r="G1712" s="10" t="e">
        <f>Act_DrMode</f>
        <v>#NAME?</v>
      </c>
      <c r="H1712" s="49" t="str">
        <f>VLOOKUP(C1707,Tbl_Button_Display_ASSTS,19,FALSE)</f>
        <v>Mix</v>
      </c>
      <c r="I1712" s="47" t="e">
        <f>IF(H1712="","",VLOOKUP(H1712,Tbl_ModeFB_Volt,2,FALSE))</f>
        <v>#NAME?</v>
      </c>
    </row>
    <row r="1713" spans="1:10" s="10" customFormat="1" hidden="1" outlineLevel="2">
      <c r="A1713" s="70">
        <v>1</v>
      </c>
      <c r="F1713" s="87"/>
      <c r="G1713" s="10" t="e">
        <f>Act_Def</f>
        <v>#NAME?</v>
      </c>
      <c r="H1713" s="49" t="str">
        <f>VLOOKUP(C1707,Tbl_Button_Display_ASSTS,22,FALSE)</f>
        <v>Mix</v>
      </c>
      <c r="I1713" s="47" t="e">
        <f>IF(H1713="","",VLOOKUP(H1713,Tbl_DefFB_Volt,2,FALSE))</f>
        <v>#NAME?</v>
      </c>
    </row>
    <row r="1714" spans="1:10" s="10" customFormat="1" hidden="1" outlineLevel="2">
      <c r="A1714" s="70">
        <v>1</v>
      </c>
      <c r="F1714" s="87"/>
      <c r="G1714" s="10" t="e">
        <f>BLW_Front</f>
        <v>#NAME?</v>
      </c>
      <c r="H1714" s="49" t="str">
        <f>VLOOKUP(C1707,Tbl_Button_Display_ASSTS,24,FALSE)</f>
        <v>Off</v>
      </c>
      <c r="I1714" s="47" t="e">
        <f>IF(H1714="","",VLOOKUP(H1714,Tbl_Blower_Volt,2,FALSE))</f>
        <v>#NAME?</v>
      </c>
    </row>
    <row r="1715" spans="1:10" s="39" customFormat="1" hidden="1" outlineLevel="1">
      <c r="A1715" s="73">
        <v>1</v>
      </c>
      <c r="B1715" s="39" t="s">
        <v>155</v>
      </c>
      <c r="C1715" s="39" t="s">
        <v>631</v>
      </c>
      <c r="D1715" s="39" t="str">
        <f>CONCATENATE(E1716," ",F1716,"시 Mode 100%FloorPurge 제어 동작 확인")</f>
        <v>IGN1,2_Off  시 Mode 100%FloorPurge 제어 동작 확인</v>
      </c>
      <c r="F1715" s="91"/>
    </row>
    <row r="1716" spans="1:10" s="10" customFormat="1" hidden="1" outlineLevel="2">
      <c r="A1716" s="70">
        <v>1</v>
      </c>
      <c r="E1716" s="14" t="str">
        <f>VLOOKUP(C1715,Tbl_Button_Display_ASSTS,11,FALSE)</f>
        <v>IGN1,2_Off</v>
      </c>
      <c r="F1716" s="85" t="str">
        <f>VLOOKUP(C1715,Tbl_Button_Display_ASSTS,12,FALSE)</f>
        <v xml:space="preserve"> </v>
      </c>
      <c r="J1716" s="15"/>
    </row>
    <row r="1717" spans="1:10" s="10" customFormat="1" hidden="1" outlineLevel="2">
      <c r="A1717" s="70">
        <v>1</v>
      </c>
      <c r="E1717" s="15" t="s">
        <v>5</v>
      </c>
      <c r="F1717" s="85">
        <f>VLOOKUP(C1715,Tbl_Button_Display_ASSTS,13,FALSE)</f>
        <v>10</v>
      </c>
    </row>
    <row r="1718" spans="1:10" s="10" customFormat="1" hidden="1" outlineLevel="2">
      <c r="A1718" s="70">
        <v>1</v>
      </c>
      <c r="F1718" s="87"/>
      <c r="G1718" s="10" t="e">
        <f>Act_DrMode</f>
        <v>#NAME?</v>
      </c>
      <c r="H1718" s="49" t="str">
        <f>VLOOKUP(C1715,Tbl_Button_Display_ASSTS,19,FALSE)</f>
        <v>100%Floor</v>
      </c>
      <c r="I1718" s="47" t="e">
        <f>IF(H1718="","",VLOOKUP(H1718,Tbl_ModeFB_Volt,2,FALSE))</f>
        <v>#NAME?</v>
      </c>
    </row>
    <row r="1719" spans="1:10" s="10" customFormat="1" hidden="1" outlineLevel="2">
      <c r="A1719" s="70">
        <v>1</v>
      </c>
      <c r="F1719" s="87"/>
      <c r="G1719" s="10" t="e">
        <f>Act_Def</f>
        <v>#NAME?</v>
      </c>
      <c r="H1719" s="49" t="str">
        <f>VLOOKUP(C1715,Tbl_Button_Display_ASSTS,22,FALSE)</f>
        <v>100%Floor</v>
      </c>
      <c r="I1719" s="47" t="e">
        <f>IF(H1719="","",VLOOKUP(H1719,Tbl_DefFB_Volt,2,FALSE))</f>
        <v>#NAME?</v>
      </c>
    </row>
    <row r="1720" spans="1:10" s="10" customFormat="1" hidden="1" outlineLevel="2">
      <c r="A1720" s="70">
        <v>1</v>
      </c>
      <c r="F1720" s="87"/>
      <c r="G1720" s="10" t="e">
        <f>BLW_Front</f>
        <v>#NAME?</v>
      </c>
      <c r="H1720" s="49" t="s">
        <v>744</v>
      </c>
      <c r="I1720" s="47" t="e">
        <f>IF(H1720="","",VLOOKUP(H1720,Tbl_Blower_Volt,2,FALSE))</f>
        <v>#NAME?</v>
      </c>
    </row>
    <row r="1721" spans="1:10" s="10" customFormat="1" hidden="1" outlineLevel="2">
      <c r="A1721" s="70">
        <v>1</v>
      </c>
      <c r="E1721" s="15" t="s">
        <v>743</v>
      </c>
      <c r="F1721" s="85"/>
    </row>
    <row r="1722" spans="1:10" s="10" customFormat="1" hidden="1" outlineLevel="2">
      <c r="A1722" s="70">
        <v>1</v>
      </c>
      <c r="F1722" s="87"/>
      <c r="G1722" s="10" t="e">
        <f>Act_DrMode</f>
        <v>#NAME?</v>
      </c>
      <c r="H1722" s="49" t="str">
        <f>VLOOKUP(C1715,Tbl_Button_Display_ASSTS,19,FALSE)</f>
        <v>100%Floor</v>
      </c>
      <c r="I1722" s="47" t="e">
        <f>IF(H1722="","",VLOOKUP(H1722,Tbl_ModeFB_Volt,2,FALSE))</f>
        <v>#NAME?</v>
      </c>
    </row>
    <row r="1723" spans="1:10" s="10" customFormat="1" hidden="1" outlineLevel="2">
      <c r="A1723" s="70">
        <v>1</v>
      </c>
      <c r="F1723" s="87"/>
      <c r="G1723" s="10" t="e">
        <f>Act_Def</f>
        <v>#NAME?</v>
      </c>
      <c r="H1723" s="49" t="str">
        <f>VLOOKUP(C1715,Tbl_Button_Display_ASSTS,22,FALSE)</f>
        <v>100%Floor</v>
      </c>
      <c r="I1723" s="47" t="e">
        <f>IF(H1723="","",VLOOKUP(H1723,Tbl_DefFB_Volt,2,FALSE))</f>
        <v>#NAME?</v>
      </c>
    </row>
    <row r="1724" spans="1:10" s="10" customFormat="1" hidden="1" outlineLevel="2">
      <c r="A1724" s="70">
        <v>1</v>
      </c>
      <c r="F1724" s="87"/>
      <c r="G1724" s="10" t="e">
        <f>BLW_Front</f>
        <v>#NAME?</v>
      </c>
      <c r="H1724" s="49" t="str">
        <f>VLOOKUP(C1715,Tbl_Button_Display_ASSTS,24,FALSE)</f>
        <v>Off</v>
      </c>
      <c r="I1724" s="47" t="e">
        <f>IF(H1724="","",VLOOKUP(H1724,Tbl_Blower_Volt,2,FALSE))</f>
        <v>#NAME?</v>
      </c>
    </row>
    <row r="1725" spans="1:10" s="10" customFormat="1" hidden="1" outlineLevel="2">
      <c r="A1725" s="70">
        <v>1</v>
      </c>
      <c r="E1725" s="10" t="s">
        <v>90</v>
      </c>
      <c r="F1725" s="90" t="s">
        <v>741</v>
      </c>
      <c r="G1725" s="43"/>
      <c r="H1725" s="43"/>
      <c r="I1725" s="43"/>
    </row>
    <row r="1726" spans="1:10" s="10" customFormat="1" hidden="1" outlineLevel="2">
      <c r="A1726" s="70">
        <v>1</v>
      </c>
      <c r="E1726" s="15" t="s">
        <v>5</v>
      </c>
      <c r="F1726" s="85">
        <f>VLOOKUP(C1715,Tbl_Button_Display_ASSTS,13,FALSE)</f>
        <v>10</v>
      </c>
    </row>
    <row r="1727" spans="1:10" s="10" customFormat="1" hidden="1" outlineLevel="2">
      <c r="A1727" s="70">
        <v>1</v>
      </c>
      <c r="F1727" s="87"/>
      <c r="G1727" s="10" t="e">
        <f>Act_DrMode</f>
        <v>#NAME?</v>
      </c>
      <c r="H1727" s="49" t="str">
        <f>H1712</f>
        <v>Mix</v>
      </c>
      <c r="I1727" s="47" t="e">
        <f>IF(H1727="","",VLOOKUP(H1727,Tbl_ModeFB_Volt,2,FALSE))</f>
        <v>#NAME?</v>
      </c>
    </row>
    <row r="1728" spans="1:10" s="10" customFormat="1" hidden="1" outlineLevel="2">
      <c r="A1728" s="70">
        <v>1</v>
      </c>
      <c r="F1728" s="87"/>
      <c r="G1728" s="10" t="e">
        <f>Act_Def</f>
        <v>#NAME?</v>
      </c>
      <c r="H1728" s="49" t="str">
        <f>H1713</f>
        <v>Mix</v>
      </c>
      <c r="I1728" s="47" t="e">
        <f>IF(H1728="","",VLOOKUP(H1728,Tbl_DefFB_Volt,2,FALSE))</f>
        <v>#NAME?</v>
      </c>
    </row>
    <row r="1729" spans="1:10" s="39" customFormat="1" hidden="1" outlineLevel="1">
      <c r="A1729" s="73">
        <v>1</v>
      </c>
      <c r="B1729" s="39" t="s">
        <v>155</v>
      </c>
      <c r="C1729" s="39" t="s">
        <v>632</v>
      </c>
      <c r="D1729" s="39" t="str">
        <f>CONCATENATE(E1730," ",F1730,"회 선택 시 Blower 100%FloorPurge 제어 동작 확인")</f>
        <v>Sw_DrTemp_Up 1회 선택 시 Blower 100%FloorPurge 제어 동작 확인</v>
      </c>
      <c r="F1729" s="91"/>
    </row>
    <row r="1730" spans="1:10" s="10" customFormat="1" hidden="1" outlineLevel="2">
      <c r="A1730" s="70">
        <v>1</v>
      </c>
      <c r="E1730" s="14" t="str">
        <f>VLOOKUP(C1729,Tbl_Button_Display_ASSTS,11,FALSE)</f>
        <v>Sw_DrTemp_Up</v>
      </c>
      <c r="F1730" s="85">
        <f>VLOOKUP(C1729,Tbl_Button_Display_ASSTS,12,FALSE)</f>
        <v>1</v>
      </c>
      <c r="J1730" s="15"/>
    </row>
    <row r="1731" spans="1:10" s="10" customFormat="1" hidden="1" outlineLevel="2">
      <c r="A1731" s="70">
        <v>1</v>
      </c>
      <c r="F1731" s="87"/>
      <c r="G1731" s="10" t="e">
        <f>FrontBlwDisp</f>
        <v>#NAME?</v>
      </c>
      <c r="I1731" s="13">
        <f>VLOOKUP(C1729,Tbl_Button_Display_ASSTS,23,FALSE)</f>
        <v>1</v>
      </c>
    </row>
    <row r="1732" spans="1:10" s="10" customFormat="1" hidden="1" outlineLevel="2">
      <c r="A1732" s="70">
        <v>1</v>
      </c>
      <c r="F1732" s="87"/>
      <c r="G1732" s="10" t="e">
        <f>BLW_Front</f>
        <v>#NAME?</v>
      </c>
      <c r="H1732" s="49">
        <f>VLOOKUP(C1729,Tbl_Button_Display_ASSTS,24,FALSE)</f>
        <v>1</v>
      </c>
      <c r="I1732" s="47" t="e">
        <f>IF(H1732="","",VLOOKUP(H1732,Tbl_Blower_Volt,2,FALSE))</f>
        <v>#NAME?</v>
      </c>
    </row>
    <row r="1733" spans="1:10" s="10" customFormat="1" hidden="1" outlineLevel="2">
      <c r="A1733" s="70">
        <v>1</v>
      </c>
      <c r="E1733" s="10" t="s">
        <v>90</v>
      </c>
      <c r="F1733" s="98" t="s">
        <v>742</v>
      </c>
      <c r="G1733" s="43"/>
      <c r="H1733" s="43"/>
      <c r="I1733" s="43"/>
    </row>
    <row r="1734" spans="1:10" s="10" customFormat="1" hidden="1" outlineLevel="2">
      <c r="A1734" s="70">
        <v>1</v>
      </c>
      <c r="E1734" s="15" t="s">
        <v>5</v>
      </c>
      <c r="F1734" s="85">
        <f>VLOOKUP(C1729,Tbl_Button_Display_ASSTS,13,FALSE)</f>
        <v>20</v>
      </c>
    </row>
    <row r="1735" spans="1:10" s="10" customFormat="1" hidden="1" outlineLevel="2">
      <c r="A1735" s="70">
        <v>1</v>
      </c>
      <c r="F1735" s="87"/>
      <c r="G1735" s="10" t="e">
        <f>BLW_Front</f>
        <v>#NAME?</v>
      </c>
      <c r="H1735" s="49">
        <f>H1705</f>
        <v>8</v>
      </c>
      <c r="I1735" s="47" t="e">
        <f>IF(H1735="","",VLOOKUP(H1735,Tbl_Blower_Volt,2,FALSE))</f>
        <v>#NAME?</v>
      </c>
    </row>
    <row r="1736" spans="1:10" s="40" customFormat="1" ht="15">
      <c r="A1736" s="66">
        <v>1</v>
      </c>
      <c r="B1736" s="40" t="s">
        <v>562</v>
      </c>
      <c r="C1736" s="40" t="s">
        <v>610</v>
      </c>
      <c r="D1736" s="40" t="str">
        <f>VLOOKUP(B1736,Tbl_Button_Display_ASSTS,2,FALSE)</f>
        <v>IGN ON/OFF LOGIC</v>
      </c>
      <c r="F1736" s="82"/>
    </row>
    <row r="1737" spans="1:10" s="38" customFormat="1" collapsed="1">
      <c r="A1737" s="71">
        <v>1</v>
      </c>
      <c r="B1737" s="38" t="s">
        <v>7</v>
      </c>
      <c r="C1737" s="38" t="s">
        <v>622</v>
      </c>
      <c r="D1737" s="38" t="str">
        <f>VLOOKUP(C1737,Tbl_Button_Display_ASSTS, 2,FALSE)</f>
        <v>IGN ON/OFF LOGIC 동작 확인 (외기온 5degC 이하 조건)</v>
      </c>
      <c r="F1737" s="88"/>
    </row>
    <row r="1738" spans="1:10" s="11" customFormat="1" hidden="1" outlineLevel="1">
      <c r="A1738" s="72">
        <v>1</v>
      </c>
      <c r="B1738" s="11" t="s">
        <v>38</v>
      </c>
      <c r="C1738" s="11" t="s">
        <v>623</v>
      </c>
      <c r="D1738" s="11" t="s">
        <v>39</v>
      </c>
      <c r="F1738" s="89"/>
    </row>
    <row r="1739" spans="1:10" s="10" customFormat="1" hidden="1" outlineLevel="2">
      <c r="A1739" s="70">
        <v>1</v>
      </c>
      <c r="E1739" s="14" t="str">
        <f>VLOOKUP(C1738,Tbl_Button_Display_ASSTS,11,FALSE)</f>
        <v>MsgBox</v>
      </c>
      <c r="F1739" s="85" t="str">
        <f>VLOOKUP(C1738,Tbl_Button_Display_ASSTS,12,FALSE)</f>
        <v>설정 온도=Lo, AUTO ON (SYNC ON) 선택 상태, Mode=Vent, Intake=REC, Blower=1단 수동 설정</v>
      </c>
    </row>
    <row r="1740" spans="1:10" s="10" customFormat="1" hidden="1" outlineLevel="2">
      <c r="A1740" s="70">
        <v>1</v>
      </c>
      <c r="E1740" s="15" t="s">
        <v>5</v>
      </c>
      <c r="F1740" s="85">
        <f>VLOOKUP(C1738,Tbl_Button_Display_ASSTS,13,FALSE)</f>
        <v>10</v>
      </c>
    </row>
    <row r="1741" spans="1:10" s="10" customFormat="1" hidden="1" outlineLevel="2">
      <c r="A1741" s="70">
        <v>1</v>
      </c>
      <c r="F1741" s="87"/>
      <c r="G1741" s="10" t="e">
        <f>DrTempDispC</f>
        <v>#NAME?</v>
      </c>
      <c r="I1741" s="13" t="e">
        <f>VLOOKUP(C1738,Tbl_Button_Display_ASSTS,26,FALSE)</f>
        <v>#NAME?</v>
      </c>
    </row>
    <row r="1742" spans="1:10" s="10" customFormat="1" hidden="1" outlineLevel="2">
      <c r="A1742" s="70">
        <v>1</v>
      </c>
      <c r="F1742" s="87"/>
      <c r="G1742" s="10" t="e">
        <f>ModDisp</f>
        <v>#NAME?</v>
      </c>
      <c r="I1742" s="13" t="str">
        <f>VLOOKUP(C1738,Tbl_Button_Display_ASSTS,16,FALSE)</f>
        <v>Vent</v>
      </c>
    </row>
    <row r="1743" spans="1:10" s="10" customFormat="1" hidden="1" outlineLevel="2">
      <c r="A1743" s="70">
        <v>1</v>
      </c>
      <c r="F1743" s="87"/>
      <c r="G1743" s="10" t="e">
        <f>IntakeDisp</f>
        <v>#NAME?</v>
      </c>
      <c r="I1743" s="13" t="str">
        <f>VLOOKUP(C1738,Tbl_Button_Display_ASSTS,34,FALSE)</f>
        <v>REC</v>
      </c>
    </row>
    <row r="1744" spans="1:10" s="10" customFormat="1" hidden="1" outlineLevel="2">
      <c r="A1744" s="70">
        <v>1</v>
      </c>
      <c r="F1744" s="87"/>
      <c r="G1744" s="10" t="e">
        <f>FrontBlwDisp</f>
        <v>#NAME?</v>
      </c>
      <c r="I1744" s="13">
        <f>VLOOKUP(C1738,Tbl_Button_Display_ASSTS,23,FALSE)</f>
        <v>1</v>
      </c>
    </row>
    <row r="1745" spans="1:9" s="10" customFormat="1" hidden="1" outlineLevel="2">
      <c r="A1745" s="70">
        <v>1</v>
      </c>
      <c r="F1745" s="87"/>
      <c r="G1745" s="10" t="e">
        <f>Act_DrTemp</f>
        <v>#NAME?</v>
      </c>
      <c r="H1745" s="49" t="str">
        <f>VLOOKUP(C1738,Tbl_Button_Display_ASSTS,39,FALSE)</f>
        <v>Temp_TD 연산에 따름</v>
      </c>
      <c r="I1745" s="47" t="e">
        <f>IF(H1745="","",VLOOKUP(H1745,Tbl_TempFB_Volt,2,FALSE))</f>
        <v>#NAME?</v>
      </c>
    </row>
    <row r="1746" spans="1:9" s="10" customFormat="1" hidden="1" outlineLevel="2">
      <c r="A1746" s="70">
        <v>1</v>
      </c>
      <c r="F1746" s="87"/>
      <c r="G1746" s="10" t="e">
        <f>Act_PsTemp</f>
        <v>#NAME?</v>
      </c>
      <c r="H1746" s="49" t="str">
        <f>VLOOKUP(C1738,Tbl_Button_Display_ASSTS,40,FALSE)</f>
        <v>Temp_TD 연산에 따름</v>
      </c>
      <c r="I1746" s="47" t="e">
        <f>IF(H1746="","",VLOOKUP(H1746,Tbl_TempFB_Volt,2,FALSE))</f>
        <v>#NAME?</v>
      </c>
    </row>
    <row r="1747" spans="1:9" s="10" customFormat="1" hidden="1" outlineLevel="2">
      <c r="A1747" s="70">
        <v>1</v>
      </c>
      <c r="F1747" s="87"/>
      <c r="G1747" s="10" t="e">
        <f>Act_DrMode</f>
        <v>#NAME?</v>
      </c>
      <c r="H1747" s="49" t="str">
        <f>VLOOKUP(C1738,Tbl_Button_Display_ASSTS,19,FALSE)</f>
        <v>Vent</v>
      </c>
      <c r="I1747" s="47" t="e">
        <f>IF(H1747="","",VLOOKUP(H1747,Tbl_ModeFB_Volt,2,FALSE))</f>
        <v>#NAME?</v>
      </c>
    </row>
    <row r="1748" spans="1:9" s="10" customFormat="1" hidden="1" outlineLevel="2">
      <c r="A1748" s="70">
        <v>1</v>
      </c>
      <c r="F1748" s="87"/>
      <c r="G1748" s="10" t="e">
        <f>Act_Def</f>
        <v>#NAME?</v>
      </c>
      <c r="H1748" s="49" t="str">
        <f>VLOOKUP(C1738,Tbl_Button_Display_ASSTS,22,FALSE)</f>
        <v>Vent</v>
      </c>
      <c r="I1748" s="47" t="e">
        <f>IF(H1748="","",VLOOKUP(H1748,Tbl_DefFB_Volt,2,FALSE))</f>
        <v>#NAME?</v>
      </c>
    </row>
    <row r="1749" spans="1:9" s="10" customFormat="1" hidden="1" outlineLevel="2">
      <c r="A1749" s="70">
        <v>1</v>
      </c>
      <c r="F1749" s="87"/>
      <c r="G1749" s="10" t="e">
        <f>Act_Intake</f>
        <v>#NAME?</v>
      </c>
      <c r="H1749" s="49" t="str">
        <f>VLOOKUP(C1738,Tbl_Button_Display_ASSTS,35,FALSE)</f>
        <v>REC</v>
      </c>
      <c r="I1749" s="48" t="e">
        <f>IF(H1749="","",VLOOKUP(H1749,Tbl_IntakeFB_Volt,2,FALSE))</f>
        <v>#NAME?</v>
      </c>
    </row>
    <row r="1750" spans="1:9" s="39" customFormat="1" hidden="1" outlineLevel="1">
      <c r="A1750" s="73">
        <v>1</v>
      </c>
      <c r="B1750" s="39" t="s">
        <v>155</v>
      </c>
      <c r="C1750" s="39" t="s">
        <v>1761</v>
      </c>
      <c r="D1750" s="39" t="str">
        <f>CONCATENATE(E1751," ",F1751,"시 Actuator 제어 동작 확인")</f>
        <v>IGN1,2_Off  시 Actuator 제어 동작 확인</v>
      </c>
      <c r="F1750" s="91"/>
    </row>
    <row r="1751" spans="1:9" s="10" customFormat="1" hidden="1" outlineLevel="2">
      <c r="A1751" s="70">
        <v>1</v>
      </c>
      <c r="E1751" s="14" t="str">
        <f>VLOOKUP(C1750,Tbl_Button_Display_ASSTS,11,FALSE)</f>
        <v>IGN1,2_Off</v>
      </c>
      <c r="F1751" s="85" t="str">
        <f>VLOOKUP(C1750,Tbl_Button_Display_ASSTS,12,FALSE)</f>
        <v xml:space="preserve"> </v>
      </c>
    </row>
    <row r="1752" spans="1:9" s="10" customFormat="1" hidden="1" outlineLevel="2">
      <c r="A1752" s="70">
        <v>1</v>
      </c>
      <c r="E1752" s="15" t="s">
        <v>5</v>
      </c>
      <c r="F1752" s="85">
        <f>VLOOKUP(C1750,Tbl_Button_Display_ASSTS,13,FALSE)</f>
        <v>10</v>
      </c>
    </row>
    <row r="1753" spans="1:9" s="10" customFormat="1" ht="16.5" hidden="1" outlineLevel="2">
      <c r="A1753" s="70">
        <v>1</v>
      </c>
      <c r="E1753" s="10" t="s">
        <v>772</v>
      </c>
      <c r="F1753" s="98" t="s">
        <v>773</v>
      </c>
      <c r="G1753" s="43"/>
      <c r="H1753" s="43"/>
      <c r="I1753" s="43"/>
    </row>
    <row r="1754" spans="1:9" s="10" customFormat="1" hidden="1" outlineLevel="2">
      <c r="A1754" s="70">
        <v>1</v>
      </c>
      <c r="F1754" s="87"/>
      <c r="G1754" s="10" t="e">
        <f>Act_DrTemp</f>
        <v>#NAME?</v>
      </c>
      <c r="H1754" s="49" t="str">
        <f>VLOOKUP(C1750,Tbl_Button_Display_ASSTS,39,FALSE)</f>
        <v>Hot</v>
      </c>
      <c r="I1754" s="47" t="e">
        <f>IF(H1754="","",VLOOKUP(H1754,Tbl_TempFB_Volt,2,FALSE))</f>
        <v>#NAME?</v>
      </c>
    </row>
    <row r="1755" spans="1:9" s="10" customFormat="1" hidden="1" outlineLevel="2">
      <c r="A1755" s="70">
        <v>1</v>
      </c>
      <c r="F1755" s="87"/>
      <c r="G1755" s="10" t="e">
        <f>Act_PsTemp</f>
        <v>#NAME?</v>
      </c>
      <c r="H1755" s="49" t="str">
        <f>VLOOKUP(C1750,Tbl_Button_Display_ASSTS,40,FALSE)</f>
        <v>Hot</v>
      </c>
      <c r="I1755" s="47" t="e">
        <f>IF(H1755="","",VLOOKUP(H1755,Tbl_TempFB_Volt,2,FALSE))</f>
        <v>#NAME?</v>
      </c>
    </row>
    <row r="1756" spans="1:9" s="10" customFormat="1" hidden="1" outlineLevel="2">
      <c r="A1756" s="70">
        <v>1</v>
      </c>
      <c r="F1756" s="87"/>
      <c r="G1756" s="10" t="e">
        <f>Act_DrMode</f>
        <v>#NAME?</v>
      </c>
      <c r="H1756" s="49" t="str">
        <f>VLOOKUP(C1750,Tbl_Button_Display_ASSTS,19,FALSE)</f>
        <v>100%Floor</v>
      </c>
      <c r="I1756" s="47" t="e">
        <f>IF(H1756="","",VLOOKUP(H1756,Tbl_ModeFB_Volt,2,FALSE))</f>
        <v>#NAME?</v>
      </c>
    </row>
    <row r="1757" spans="1:9" s="10" customFormat="1" hidden="1" outlineLevel="2">
      <c r="A1757" s="70">
        <v>1</v>
      </c>
      <c r="F1757" s="87"/>
      <c r="G1757" s="10" t="e">
        <f>Act_Def</f>
        <v>#NAME?</v>
      </c>
      <c r="H1757" s="49" t="str">
        <f>VLOOKUP(C1750,Tbl_Button_Display_ASSTS,22,FALSE)</f>
        <v>100%Floor</v>
      </c>
      <c r="I1757" s="47" t="e">
        <f>IF(H1757="","",VLOOKUP(H1757,Tbl_DefFB_Volt,2,FALSE))</f>
        <v>#NAME?</v>
      </c>
    </row>
    <row r="1758" spans="1:9" s="10" customFormat="1" hidden="1" outlineLevel="2">
      <c r="A1758" s="70">
        <v>1</v>
      </c>
      <c r="F1758" s="87"/>
      <c r="G1758" s="10" t="e">
        <f>Act_Intake</f>
        <v>#NAME?</v>
      </c>
      <c r="H1758" s="49" t="str">
        <f>VLOOKUP(C1750,Tbl_Button_Display_ASSTS,35,FALSE)</f>
        <v>FRE</v>
      </c>
      <c r="I1758" s="48" t="e">
        <f>IF(H1758="","",VLOOKUP(H1758,Tbl_IntakeFB_Volt,2,FALSE))</f>
        <v>#NAME?</v>
      </c>
    </row>
    <row r="1759" spans="1:9" s="39" customFormat="1" hidden="1" outlineLevel="1">
      <c r="A1759" s="73">
        <v>1</v>
      </c>
      <c r="B1759" s="39" t="s">
        <v>155</v>
      </c>
      <c r="C1759" s="39" t="s">
        <v>747</v>
      </c>
      <c r="D1759" s="39" t="str">
        <f>CONCATENATE(E1760," ",F1760,"시 Actuator 제어 동작 확인")</f>
        <v>IGN1,2_On  시 Actuator 제어 동작 확인</v>
      </c>
      <c r="F1759" s="91"/>
    </row>
    <row r="1760" spans="1:9" s="10" customFormat="1" hidden="1" outlineLevel="2">
      <c r="A1760" s="70">
        <v>1</v>
      </c>
      <c r="E1760" s="14" t="str">
        <f>VLOOKUP(C1759,Tbl_Button_Display_ASSTS,11,FALSE)</f>
        <v>IGN1,2_On</v>
      </c>
      <c r="F1760" s="85" t="str">
        <f>VLOOKUP(C1759,Tbl_Button_Display_ASSTS,12,FALSE)</f>
        <v xml:space="preserve"> </v>
      </c>
    </row>
    <row r="1761" spans="1:9" s="10" customFormat="1" hidden="1" outlineLevel="2">
      <c r="A1761" s="70">
        <v>1</v>
      </c>
      <c r="E1761" s="15" t="s">
        <v>5</v>
      </c>
      <c r="F1761" s="85">
        <f>VLOOKUP(C1759,Tbl_Button_Display_ASSTS,13,FALSE)</f>
        <v>18</v>
      </c>
    </row>
    <row r="1762" spans="1:9" s="10" customFormat="1" hidden="1" outlineLevel="2">
      <c r="A1762" s="70">
        <v>1</v>
      </c>
      <c r="E1762" s="10" t="s">
        <v>90</v>
      </c>
      <c r="F1762" s="98" t="s">
        <v>741</v>
      </c>
      <c r="G1762" s="43"/>
      <c r="H1762" s="43"/>
      <c r="I1762" s="43"/>
    </row>
    <row r="1763" spans="1:9" s="10" customFormat="1" hidden="1" outlineLevel="2">
      <c r="A1763" s="70">
        <v>1</v>
      </c>
      <c r="F1763" s="87"/>
      <c r="G1763" s="10" t="e">
        <f>Act_DrTemp</f>
        <v>#NAME?</v>
      </c>
      <c r="H1763" s="49" t="str">
        <f>VLOOKUP(C1759,Tbl_Button_Display_ASSTS,39,FALSE)</f>
        <v>Temp_TD 연산에 따름</v>
      </c>
      <c r="I1763" s="47" t="e">
        <f>IF(H1763="","",VLOOKUP(H1763,Tbl_TempFB_Volt,2,FALSE))</f>
        <v>#NAME?</v>
      </c>
    </row>
    <row r="1764" spans="1:9" s="10" customFormat="1" hidden="1" outlineLevel="2">
      <c r="A1764" s="70">
        <v>1</v>
      </c>
      <c r="F1764" s="87"/>
      <c r="G1764" s="10" t="e">
        <f>Act_PsTemp</f>
        <v>#NAME?</v>
      </c>
      <c r="H1764" s="49" t="str">
        <f>VLOOKUP(C1759,Tbl_Button_Display_ASSTS,40,FALSE)</f>
        <v>Temp_TD 연산에 따름</v>
      </c>
      <c r="I1764" s="47" t="e">
        <f>IF(H1764="","",VLOOKUP(H1764,Tbl_TempFB_Volt,2,FALSE))</f>
        <v>#NAME?</v>
      </c>
    </row>
    <row r="1765" spans="1:9" s="10" customFormat="1" hidden="1" outlineLevel="2">
      <c r="A1765" s="70">
        <v>1</v>
      </c>
      <c r="F1765" s="87"/>
      <c r="G1765" s="10" t="e">
        <f>Act_DrMode</f>
        <v>#NAME?</v>
      </c>
      <c r="H1765" s="49" t="str">
        <f>VLOOKUP(C1759,Tbl_Button_Display_ASSTS,19,FALSE)</f>
        <v>Vent</v>
      </c>
      <c r="I1765" s="47" t="e">
        <f>IF(H1765="","",VLOOKUP(H1765,Tbl_ModeFB_Volt,2,FALSE))</f>
        <v>#NAME?</v>
      </c>
    </row>
    <row r="1766" spans="1:9" s="10" customFormat="1" hidden="1" outlineLevel="2">
      <c r="A1766" s="70">
        <v>1</v>
      </c>
      <c r="F1766" s="87"/>
      <c r="G1766" s="10" t="e">
        <f>Act_Def</f>
        <v>#NAME?</v>
      </c>
      <c r="H1766" s="49" t="str">
        <f>VLOOKUP(C1759,Tbl_Button_Display_ASSTS,22,FALSE)</f>
        <v>Vent</v>
      </c>
      <c r="I1766" s="47" t="e">
        <f>IF(H1766="","",VLOOKUP(H1766,Tbl_DefFB_Volt,2,FALSE))</f>
        <v>#NAME?</v>
      </c>
    </row>
    <row r="1767" spans="1:9" s="10" customFormat="1" hidden="1" outlineLevel="2">
      <c r="A1767" s="70">
        <v>1</v>
      </c>
      <c r="F1767" s="87"/>
      <c r="G1767" s="10" t="e">
        <f>Act_Intake</f>
        <v>#NAME?</v>
      </c>
      <c r="H1767" s="49" t="str">
        <f>VLOOKUP(C1759,Tbl_Button_Display_ASSTS,35,FALSE)</f>
        <v>REC</v>
      </c>
      <c r="I1767" s="48" t="e">
        <f>IF(H1767="","",VLOOKUP(H1767,Tbl_IntakeFB_Volt,2,FALSE))</f>
        <v>#NAME?</v>
      </c>
    </row>
    <row r="1768" spans="1:9" s="39" customFormat="1" hidden="1" outlineLevel="1">
      <c r="A1768" s="73">
        <v>1</v>
      </c>
      <c r="B1768" s="39" t="s">
        <v>155</v>
      </c>
      <c r="C1768" s="39" t="s">
        <v>748</v>
      </c>
      <c r="D1768" s="39" t="str">
        <f>CONCATENATE(E1769," ",F1769,"회 선택 후 IGN1,2_Off  시 Actuator 제어 동작 확인")</f>
        <v>Sw_OFF 1회 선택 후 IGN1,2_Off  시 Actuator 제어 동작 확인</v>
      </c>
      <c r="F1768" s="91"/>
    </row>
    <row r="1769" spans="1:9" s="10" customFormat="1" hidden="1" outlineLevel="2">
      <c r="A1769" s="70">
        <v>1</v>
      </c>
      <c r="E1769" s="14" t="str">
        <f>VLOOKUP(C1768,Tbl_Button_Display_ASSTS,11,FALSE)</f>
        <v>Sw_OFF</v>
      </c>
      <c r="F1769" s="85">
        <f>VLOOKUP(C1768,Tbl_Button_Display_ASSTS,12,FALSE)</f>
        <v>1</v>
      </c>
    </row>
    <row r="1770" spans="1:9" s="10" customFormat="1" hidden="1" outlineLevel="2">
      <c r="A1770" s="70">
        <v>1</v>
      </c>
      <c r="E1770" s="14" t="s">
        <v>418</v>
      </c>
      <c r="F1770" s="85" t="s">
        <v>1189</v>
      </c>
    </row>
    <row r="1771" spans="1:9" s="10" customFormat="1" hidden="1" outlineLevel="2">
      <c r="A1771" s="70">
        <v>1</v>
      </c>
      <c r="E1771" s="15" t="s">
        <v>5</v>
      </c>
      <c r="F1771" s="85">
        <f>VLOOKUP(C1768,Tbl_Button_Display_ASSTS,13,FALSE)</f>
        <v>10</v>
      </c>
    </row>
    <row r="1772" spans="1:9" s="10" customFormat="1" ht="16.5" hidden="1" outlineLevel="2">
      <c r="A1772" s="70">
        <v>1</v>
      </c>
      <c r="E1772" s="10" t="s">
        <v>772</v>
      </c>
      <c r="F1772" s="98" t="s">
        <v>773</v>
      </c>
      <c r="G1772" s="43"/>
      <c r="H1772" s="43"/>
      <c r="I1772" s="43"/>
    </row>
    <row r="1773" spans="1:9" s="10" customFormat="1" hidden="1" outlineLevel="2">
      <c r="A1773" s="70">
        <v>1</v>
      </c>
      <c r="F1773" s="87"/>
      <c r="G1773" s="10" t="e">
        <f>Act_DrTemp</f>
        <v>#NAME?</v>
      </c>
      <c r="H1773" s="49" t="str">
        <f>VLOOKUP(C1768,Tbl_Button_Display_ASSTS,39,FALSE)</f>
        <v>Hot</v>
      </c>
      <c r="I1773" s="47" t="e">
        <f>IF(H1773="","",VLOOKUP(H1773,Tbl_TempFB_Volt,2,FALSE))</f>
        <v>#NAME?</v>
      </c>
    </row>
    <row r="1774" spans="1:9" s="10" customFormat="1" hidden="1" outlineLevel="2">
      <c r="A1774" s="70">
        <v>1</v>
      </c>
      <c r="F1774" s="87"/>
      <c r="G1774" s="10" t="e">
        <f>Act_PsTemp</f>
        <v>#NAME?</v>
      </c>
      <c r="H1774" s="49" t="str">
        <f>VLOOKUP(C1768,Tbl_Button_Display_ASSTS,40,FALSE)</f>
        <v>Hot</v>
      </c>
      <c r="I1774" s="47" t="e">
        <f>IF(H1774="","",VLOOKUP(H1774,Tbl_TempFB_Volt,2,FALSE))</f>
        <v>#NAME?</v>
      </c>
    </row>
    <row r="1775" spans="1:9" s="10" customFormat="1" hidden="1" outlineLevel="2">
      <c r="A1775" s="70">
        <v>1</v>
      </c>
      <c r="F1775" s="87"/>
      <c r="G1775" s="10" t="e">
        <f>Act_DrMode</f>
        <v>#NAME?</v>
      </c>
      <c r="H1775" s="49" t="str">
        <f>VLOOKUP(C1768,Tbl_Button_Display_ASSTS,19,FALSE)</f>
        <v>100%Floor</v>
      </c>
      <c r="I1775" s="47" t="e">
        <f>IF(H1775="","",VLOOKUP(H1775,Tbl_ModeFB_Volt,2,FALSE))</f>
        <v>#NAME?</v>
      </c>
    </row>
    <row r="1776" spans="1:9" s="10" customFormat="1" hidden="1" outlineLevel="2">
      <c r="A1776" s="70">
        <v>1</v>
      </c>
      <c r="F1776" s="87"/>
      <c r="G1776" s="10" t="e">
        <f>Act_Def</f>
        <v>#NAME?</v>
      </c>
      <c r="H1776" s="49" t="str">
        <f>VLOOKUP(C1768,Tbl_Button_Display_ASSTS,22,FALSE)</f>
        <v>100%Floor</v>
      </c>
      <c r="I1776" s="47" t="e">
        <f>IF(H1776="","",VLOOKUP(H1776,Tbl_DefFB_Volt,2,FALSE))</f>
        <v>#NAME?</v>
      </c>
    </row>
    <row r="1777" spans="1:10" s="10" customFormat="1" hidden="1" outlineLevel="2">
      <c r="A1777" s="70">
        <v>1</v>
      </c>
      <c r="F1777" s="87"/>
      <c r="G1777" s="10" t="e">
        <f>Act_Intake</f>
        <v>#NAME?</v>
      </c>
      <c r="H1777" s="49" t="str">
        <f>VLOOKUP(C1768,Tbl_Button_Display_ASSTS,35,FALSE)</f>
        <v>FRE</v>
      </c>
      <c r="I1777" s="48" t="e">
        <f>IF(H1777="","",VLOOKUP(H1777,Tbl_IntakeFB_Volt,2,FALSE))</f>
        <v>#NAME?</v>
      </c>
    </row>
    <row r="1778" spans="1:10" s="39" customFormat="1" hidden="1" outlineLevel="1">
      <c r="A1778" s="73">
        <v>1</v>
      </c>
      <c r="B1778" s="39" t="s">
        <v>155</v>
      </c>
      <c r="C1778" s="39" t="s">
        <v>749</v>
      </c>
      <c r="D1778" s="39" t="str">
        <f>CONCATENATE(E1779," ",F1779,"시 Actuator 제어 동작 확인")</f>
        <v>IGN1,2_On  시 Actuator 제어 동작 확인</v>
      </c>
      <c r="F1778" s="91"/>
    </row>
    <row r="1779" spans="1:10" s="10" customFormat="1" hidden="1" outlineLevel="2">
      <c r="A1779" s="70">
        <v>1</v>
      </c>
      <c r="E1779" s="14" t="str">
        <f>VLOOKUP(C1778,Tbl_Button_Display_ASSTS,11,FALSE)</f>
        <v>IGN1,2_On</v>
      </c>
      <c r="F1779" s="85" t="str">
        <f>VLOOKUP(C1778,Tbl_Button_Display_ASSTS,12,FALSE)</f>
        <v xml:space="preserve"> </v>
      </c>
    </row>
    <row r="1780" spans="1:10" s="10" customFormat="1" hidden="1" outlineLevel="2">
      <c r="A1780" s="70">
        <v>1</v>
      </c>
      <c r="E1780" s="15" t="s">
        <v>5</v>
      </c>
      <c r="F1780" s="85">
        <f>VLOOKUP(C1778,Tbl_Button_Display_ASSTS,13,FALSE)</f>
        <v>18</v>
      </c>
    </row>
    <row r="1781" spans="1:10" s="10" customFormat="1" hidden="1" outlineLevel="2">
      <c r="A1781" s="70">
        <v>1</v>
      </c>
      <c r="E1781" s="10" t="s">
        <v>90</v>
      </c>
      <c r="F1781" s="98" t="s">
        <v>741</v>
      </c>
      <c r="G1781" s="43"/>
      <c r="H1781" s="43"/>
      <c r="I1781" s="43"/>
    </row>
    <row r="1782" spans="1:10" s="10" customFormat="1" hidden="1" outlineLevel="2">
      <c r="A1782" s="70">
        <v>1</v>
      </c>
      <c r="F1782" s="87"/>
      <c r="G1782" s="10" t="e">
        <f>Act_DrTemp</f>
        <v>#NAME?</v>
      </c>
      <c r="H1782" s="49" t="str">
        <f>VLOOKUP(C1778,Tbl_Button_Display_ASSTS,39,FALSE)</f>
        <v>Hot</v>
      </c>
      <c r="I1782" s="47" t="e">
        <f>IF(H1782="","",VLOOKUP(H1782,Tbl_TempFB_Volt,2,FALSE))</f>
        <v>#NAME?</v>
      </c>
    </row>
    <row r="1783" spans="1:10" s="10" customFormat="1" hidden="1" outlineLevel="2">
      <c r="A1783" s="70">
        <v>1</v>
      </c>
      <c r="F1783" s="87"/>
      <c r="G1783" s="10" t="e">
        <f>Act_PsTemp</f>
        <v>#NAME?</v>
      </c>
      <c r="H1783" s="49" t="str">
        <f>VLOOKUP(C1778,Tbl_Button_Display_ASSTS,40,FALSE)</f>
        <v>Hot</v>
      </c>
      <c r="I1783" s="47" t="e">
        <f>IF(H1783="","",VLOOKUP(H1783,Tbl_TempFB_Volt,2,FALSE))</f>
        <v>#NAME?</v>
      </c>
    </row>
    <row r="1784" spans="1:10" s="10" customFormat="1" hidden="1" outlineLevel="2">
      <c r="A1784" s="70">
        <v>1</v>
      </c>
      <c r="F1784" s="87"/>
      <c r="G1784" s="10" t="e">
        <f>Act_DrMode</f>
        <v>#NAME?</v>
      </c>
      <c r="H1784" s="49" t="str">
        <f>VLOOKUP(C1778,Tbl_Button_Display_ASSTS,19,FALSE)</f>
        <v>Vent</v>
      </c>
      <c r="I1784" s="47" t="e">
        <f>IF(H1784="","",VLOOKUP(H1784,Tbl_ModeFB_Volt,2,FALSE))</f>
        <v>#NAME?</v>
      </c>
    </row>
    <row r="1785" spans="1:10" s="10" customFormat="1" hidden="1" outlineLevel="2">
      <c r="A1785" s="70">
        <v>1</v>
      </c>
      <c r="F1785" s="87"/>
      <c r="G1785" s="10" t="e">
        <f>Act_Def</f>
        <v>#NAME?</v>
      </c>
      <c r="H1785" s="49" t="str">
        <f>VLOOKUP(C1778,Tbl_Button_Display_ASSTS,22,FALSE)</f>
        <v>Vent</v>
      </c>
      <c r="I1785" s="47" t="e">
        <f>IF(H1785="","",VLOOKUP(H1785,Tbl_DefFB_Volt,2,FALSE))</f>
        <v>#NAME?</v>
      </c>
    </row>
    <row r="1786" spans="1:10" s="10" customFormat="1" hidden="1" outlineLevel="2">
      <c r="A1786" s="70">
        <v>1</v>
      </c>
      <c r="F1786" s="87"/>
      <c r="G1786" s="10" t="e">
        <f>Act_Intake</f>
        <v>#NAME?</v>
      </c>
      <c r="H1786" s="49" t="str">
        <f>VLOOKUP(C1778,Tbl_Button_Display_ASSTS,35,FALSE)</f>
        <v>REC</v>
      </c>
      <c r="I1786" s="48" t="e">
        <f>IF(H1786="","",VLOOKUP(H1786,Tbl_IntakeFB_Volt,2,FALSE))</f>
        <v>#NAME?</v>
      </c>
    </row>
    <row r="1787" spans="1:10" s="40" customFormat="1" ht="15">
      <c r="A1787" s="66">
        <v>1</v>
      </c>
      <c r="B1787" s="40" t="s">
        <v>563</v>
      </c>
      <c r="C1787" s="40" t="s">
        <v>912</v>
      </c>
      <c r="D1787" s="40" t="str">
        <f>VLOOKUP(B1787,Tbl_Button_Display_ASSTS,2,FALSE)</f>
        <v>CO2 제어 &lt;CO2 사양 ONLY&gt;</v>
      </c>
      <c r="F1787" s="82"/>
    </row>
    <row r="1788" spans="1:10" s="38" customFormat="1" collapsed="1">
      <c r="A1788" s="71">
        <v>1</v>
      </c>
      <c r="B1788" s="38" t="s">
        <v>7</v>
      </c>
      <c r="C1788" s="38" t="s">
        <v>908</v>
      </c>
      <c r="D1788" s="38" t="str">
        <f>VLOOKUP(C1788,Tbl_Button_Display_ASSTS, 2,FALSE)</f>
        <v>CO2 제어 로직 동작 확인</v>
      </c>
      <c r="F1788" s="88"/>
    </row>
    <row r="1789" spans="1:10" s="11" customFormat="1" ht="16.5" hidden="1" outlineLevel="1">
      <c r="A1789" s="72">
        <v>1</v>
      </c>
      <c r="B1789" s="11" t="s">
        <v>38</v>
      </c>
      <c r="C1789" s="11" t="s">
        <v>909</v>
      </c>
      <c r="D1789" s="11" t="s">
        <v>1856</v>
      </c>
    </row>
    <row r="1790" spans="1:10" s="10" customFormat="1" hidden="1" outlineLevel="2">
      <c r="A1790" s="70">
        <v>1</v>
      </c>
      <c r="E1790" s="8" t="e">
        <f>Incar_IN</f>
        <v>#NAME?</v>
      </c>
      <c r="F1790" s="65" cm="1">
        <f t="array" ref="F1790">VINTERPOLATION(VLOOKUP(C1789,Tbl_Button_Display_ASSTS,2,FALSE),Tbl_Incar_Sensor,3)</f>
        <v>1.2169285942829429</v>
      </c>
    </row>
    <row r="1791" spans="1:10" s="10" customFormat="1" hidden="1" outlineLevel="2">
      <c r="A1791" s="70">
        <v>1</v>
      </c>
      <c r="E1791" s="8" t="e">
        <f>Amb_IN</f>
        <v>#NAME?</v>
      </c>
      <c r="F1791" s="65" cm="1">
        <f t="array" ref="F1791">VINTERPOLATION(VLOOKUP(C1789,Tbl_Button_Display_ASSTS,3,FALSE),Tbl_Amb_Sensor,3)</f>
        <v>3.3107917881958127</v>
      </c>
    </row>
    <row r="1792" spans="1:10" s="10" customFormat="1" hidden="1" outlineLevel="2">
      <c r="A1792" s="70">
        <v>1</v>
      </c>
      <c r="E1792" s="14" t="e">
        <f>CO2_PPM_V</f>
        <v>#NAME?</v>
      </c>
      <c r="F1792" s="65" t="e" cm="1">
        <f t="array" ref="F1792">VINTERPOLATION(VLOOKUP(C1789,Tbl_Button_Display_ASSTS,8,FALSE),Tbl_CO2_Snr,2)</f>
        <v>#VALUE!</v>
      </c>
      <c r="J1792" s="15"/>
    </row>
    <row r="1793" spans="1:10" s="10" customFormat="1" hidden="1" outlineLevel="2">
      <c r="A1793" s="70">
        <v>1</v>
      </c>
      <c r="E1793" s="14" t="str">
        <f>VLOOKUP(C1789,Tbl_Button_Display_ASSTS,11,FALSE)</f>
        <v>MsgBox</v>
      </c>
      <c r="F1793" s="12" t="e">
        <f>VLOOKUP(C1789,Tbl_Button_Display_ASSTS,12,FALSE)</f>
        <v>#NAME?</v>
      </c>
    </row>
    <row r="1794" spans="1:10" s="10" customFormat="1" hidden="1" outlineLevel="2">
      <c r="A1794" s="70">
        <v>1</v>
      </c>
      <c r="E1794" s="14" t="s">
        <v>95</v>
      </c>
      <c r="F1794" s="12" t="s">
        <v>1189</v>
      </c>
    </row>
    <row r="1795" spans="1:10" s="10" customFormat="1" hidden="1" outlineLevel="2">
      <c r="A1795" s="70">
        <v>1</v>
      </c>
      <c r="E1795" s="15" t="s">
        <v>5</v>
      </c>
      <c r="F1795" s="12">
        <f>VLOOKUP(C1789,Tbl_Button_Display_ASSTS,13,FALSE)</f>
        <v>10</v>
      </c>
    </row>
    <row r="1796" spans="1:10" s="10" customFormat="1" hidden="1" outlineLevel="2">
      <c r="A1796" s="70">
        <v>1</v>
      </c>
      <c r="G1796" s="10" t="e">
        <f>Incar_OUT</f>
        <v>#NAME?</v>
      </c>
      <c r="I1796" s="13">
        <f>VLOOKUP(C1789,Tbl_Button_Display_ASSTS,2,FALSE)</f>
        <v>53</v>
      </c>
    </row>
    <row r="1797" spans="1:10" s="10" customFormat="1" hidden="1" outlineLevel="2">
      <c r="A1797" s="70">
        <v>1</v>
      </c>
      <c r="G1797" s="10" t="e">
        <f>Amb_OUT</f>
        <v>#NAME?</v>
      </c>
      <c r="I1797" s="13">
        <f>VLOOKUP(C1789,Tbl_Button_Display_ASSTS,3,FALSE)</f>
        <v>10</v>
      </c>
    </row>
    <row r="1798" spans="1:10" s="10" customFormat="1" hidden="1" outlineLevel="2">
      <c r="A1798" s="70">
        <v>1</v>
      </c>
      <c r="G1798" s="10" t="e">
        <f>CO2_OnOffSta</f>
        <v>#NAME?</v>
      </c>
      <c r="I1798" s="13">
        <f>VLOOKUP(C1789,Tbl_Button_Display_ASSTS,49,FALSE)</f>
        <v>1</v>
      </c>
    </row>
    <row r="1799" spans="1:10" s="10" customFormat="1" hidden="1" outlineLevel="2">
      <c r="A1799" s="70">
        <v>1</v>
      </c>
      <c r="G1799" s="10" t="e">
        <f>CO2_Warning</f>
        <v>#NAME?</v>
      </c>
      <c r="I1799" s="13">
        <f>VLOOKUP(C1789,Tbl_Button_Display_ASSTS,48,FALSE)</f>
        <v>0</v>
      </c>
    </row>
    <row r="1800" spans="1:10" s="10" customFormat="1" hidden="1" outlineLevel="2">
      <c r="A1800" s="70">
        <v>1</v>
      </c>
      <c r="G1800" s="10" t="e">
        <f>DrTempDispC</f>
        <v>#NAME?</v>
      </c>
      <c r="I1800" s="13" t="e">
        <f>VLOOKUP(C1789,Tbl_Button_Display_ASSTS,26,FALSE)</f>
        <v>#NAME?</v>
      </c>
    </row>
    <row r="1801" spans="1:10" s="10" customFormat="1" hidden="1" outlineLevel="2">
      <c r="A1801" s="70">
        <v>1</v>
      </c>
      <c r="G1801" s="10" t="e">
        <f>IntakeDisp</f>
        <v>#NAME?</v>
      </c>
      <c r="I1801" s="13" t="str">
        <f>VLOOKUP(C1789,Tbl_Button_Display_ASSTS,34,FALSE)</f>
        <v>REC</v>
      </c>
    </row>
    <row r="1802" spans="1:10" s="10" customFormat="1" hidden="1" outlineLevel="2">
      <c r="A1802" s="70">
        <v>1</v>
      </c>
      <c r="F1802" s="87"/>
      <c r="G1802" s="10" t="e">
        <f>FrontBlwDisp</f>
        <v>#NAME?</v>
      </c>
      <c r="I1802" s="13" t="e">
        <f>VLOOKUP(C1789,Tbl_Button_Display_ASSTS,23,FALSE)</f>
        <v>#VALUE!</v>
      </c>
    </row>
    <row r="1803" spans="1:10" s="10" customFormat="1" hidden="1" outlineLevel="2">
      <c r="A1803" s="70">
        <v>1</v>
      </c>
      <c r="F1803" s="87"/>
      <c r="G1803" s="10" t="e">
        <f>Act_Intake</f>
        <v>#NAME?</v>
      </c>
      <c r="H1803" s="49" t="str">
        <f>VLOOKUP(C1789,Tbl_Button_Display_ASSTS,35,FALSE)</f>
        <v>REC</v>
      </c>
      <c r="I1803" s="48" t="e">
        <f>IF(H1803="","",VLOOKUP(H1803,Tbl_IntakeFB_Volt,2,FALSE))</f>
        <v>#NAME?</v>
      </c>
    </row>
    <row r="1804" spans="1:10" s="10" customFormat="1" hidden="1" outlineLevel="2">
      <c r="A1804" s="70">
        <v>1</v>
      </c>
      <c r="D1804" s="130" t="s">
        <v>1855</v>
      </c>
      <c r="F1804" s="87"/>
      <c r="G1804" s="10" t="e">
        <f>BLW_Front</f>
        <v>#NAME?</v>
      </c>
      <c r="I1804" s="47" t="e">
        <f>VLOOKUP(C1789,Tbl_Button_Display_ASSTS,24,FALSE)</f>
        <v>#VALUE!</v>
      </c>
    </row>
    <row r="1805" spans="1:10" s="39" customFormat="1" hidden="1" outlineLevel="1">
      <c r="A1805" s="73">
        <v>1</v>
      </c>
      <c r="B1805" s="39" t="s">
        <v>155</v>
      </c>
      <c r="C1805" s="39" t="s">
        <v>910</v>
      </c>
      <c r="D1805" s="39" t="e">
        <f>CONCATENATE(E1806," = ",F1806," 설정 시, CO2 진입 확인")</f>
        <v>#NAME?</v>
      </c>
    </row>
    <row r="1806" spans="1:10" s="10" customFormat="1" hidden="1" outlineLevel="2">
      <c r="A1806" s="70">
        <v>1</v>
      </c>
      <c r="E1806" s="14" t="e">
        <f>VLOOKUP(C1805,Tbl_Button_Display_ASSTS,11,FALSE)</f>
        <v>#NAME?</v>
      </c>
      <c r="F1806" s="65" t="e" cm="1">
        <f t="array" ref="F1806">VINTERPOLATION(VLOOKUP(C1805,Tbl_Button_Display_ASSTS,8,FALSE),Tbl_CO2_Snr,2)</f>
        <v>#VALUE!</v>
      </c>
      <c r="J1806" s="15"/>
    </row>
    <row r="1807" spans="1:10" s="10" customFormat="1" hidden="1" outlineLevel="2">
      <c r="A1807" s="70">
        <v>1</v>
      </c>
      <c r="E1807" s="15" t="s">
        <v>5</v>
      </c>
      <c r="F1807" s="12">
        <f>VLOOKUP(C1805,Tbl_Button_Display_ASSTS,13,FALSE)</f>
        <v>10</v>
      </c>
    </row>
    <row r="1808" spans="1:10" s="10" customFormat="1" hidden="1" outlineLevel="2">
      <c r="A1808" s="70">
        <v>1</v>
      </c>
      <c r="G1808" s="10" t="e">
        <f>CO2_Warning</f>
        <v>#NAME?</v>
      </c>
      <c r="I1808" s="13">
        <f>VLOOKUP(C1805,Tbl_Button_Display_ASSTS,48,FALSE)</f>
        <v>1</v>
      </c>
    </row>
    <row r="1809" spans="1:12" s="10" customFormat="1" hidden="1" outlineLevel="2">
      <c r="A1809" s="70">
        <v>1</v>
      </c>
      <c r="G1809" s="10" t="e">
        <f>IntakeDisp</f>
        <v>#NAME?</v>
      </c>
      <c r="I1809" s="13" t="str">
        <f>VLOOKUP(C1805,Tbl_Button_Display_ASSTS,34,FALSE)</f>
        <v>FRE</v>
      </c>
    </row>
    <row r="1810" spans="1:12" s="10" customFormat="1" hidden="1" outlineLevel="2">
      <c r="A1810" s="70">
        <v>1</v>
      </c>
      <c r="F1810" s="87"/>
      <c r="G1810" s="10" t="e">
        <f>FrontBlwDisp</f>
        <v>#NAME?</v>
      </c>
      <c r="I1810" s="13" t="e">
        <f>VLOOKUP(C1805,Tbl_Button_Display_ASSTS,23,FALSE)</f>
        <v>#VALUE!</v>
      </c>
    </row>
    <row r="1811" spans="1:12" s="10" customFormat="1" hidden="1" outlineLevel="2">
      <c r="A1811" s="70">
        <v>1</v>
      </c>
      <c r="F1811" s="87"/>
      <c r="G1811" s="10" t="e">
        <f>Act_Intake</f>
        <v>#NAME?</v>
      </c>
      <c r="H1811" s="49" t="str">
        <f>VLOOKUP(C1805,Tbl_Button_Display_ASSTS,35,FALSE)</f>
        <v>FRE_50</v>
      </c>
      <c r="I1811" s="48" t="e">
        <f>IF(H1811="","",VLOOKUP(H1811,Tbl_IntakeFB_Volt,2,FALSE))</f>
        <v>#NAME?</v>
      </c>
    </row>
    <row r="1812" spans="1:12" s="10" customFormat="1" hidden="1" outlineLevel="2">
      <c r="A1812" s="70">
        <v>1</v>
      </c>
      <c r="F1812" s="87"/>
      <c r="G1812" s="10" t="e">
        <f>BLW_Front</f>
        <v>#NAME?</v>
      </c>
      <c r="I1812" s="47" t="e">
        <f>VLOOKUP(C1805,Tbl_Button_Display_ASSTS,24,FALSE)</f>
        <v>#VALUE!</v>
      </c>
    </row>
    <row r="1813" spans="1:12" s="39" customFormat="1" hidden="1" outlineLevel="1">
      <c r="A1813" s="73">
        <v>1</v>
      </c>
      <c r="B1813" s="39" t="s">
        <v>155</v>
      </c>
      <c r="C1813" s="39" t="s">
        <v>911</v>
      </c>
      <c r="D1813" s="39" t="e">
        <f>CONCATENATE(E1814," = ",F1814," 설정 시, CO2 해제 확인")</f>
        <v>#NAME?</v>
      </c>
    </row>
    <row r="1814" spans="1:12" s="10" customFormat="1" hidden="1" outlineLevel="2">
      <c r="A1814" s="70">
        <v>1</v>
      </c>
      <c r="E1814" s="14" t="e">
        <f>VLOOKUP(C1813,Tbl_Button_Display_ASSTS,11,FALSE)</f>
        <v>#NAME?</v>
      </c>
      <c r="F1814" s="65" t="e" cm="1">
        <f t="array" ref="F1814">VINTERPOLATION(VLOOKUP(C1813,Tbl_Button_Display_ASSTS,8,FALSE),Tbl_CO2_Snr,2)</f>
        <v>#VALUE!</v>
      </c>
      <c r="J1814" s="15"/>
    </row>
    <row r="1815" spans="1:12" s="10" customFormat="1" hidden="1" outlineLevel="2">
      <c r="A1815" s="70">
        <v>1</v>
      </c>
      <c r="E1815" s="15" t="s">
        <v>5</v>
      </c>
      <c r="F1815" s="12">
        <f>VLOOKUP(C1813,Tbl_Button_Display_ASSTS,13,FALSE)</f>
        <v>10</v>
      </c>
    </row>
    <row r="1816" spans="1:12" s="10" customFormat="1" hidden="1" outlineLevel="2">
      <c r="A1816" s="70">
        <v>1</v>
      </c>
      <c r="G1816" s="10" t="e">
        <f>CO2_Warning</f>
        <v>#NAME?</v>
      </c>
      <c r="I1816" s="13">
        <f>VLOOKUP(C1813,Tbl_Button_Display_ASSTS,48,FALSE)</f>
        <v>0</v>
      </c>
    </row>
    <row r="1817" spans="1:12" s="10" customFormat="1" hidden="1" outlineLevel="2">
      <c r="A1817" s="70">
        <v>1</v>
      </c>
      <c r="G1817" s="10" t="e">
        <f>IntakeDisp</f>
        <v>#NAME?</v>
      </c>
      <c r="I1817" s="13" t="str">
        <f>VLOOKUP(C1813,Tbl_Button_Display_ASSTS,34,FALSE)</f>
        <v>REC</v>
      </c>
    </row>
    <row r="1818" spans="1:12" s="10" customFormat="1" hidden="1" outlineLevel="2">
      <c r="A1818" s="70">
        <v>1</v>
      </c>
      <c r="F1818" s="87"/>
      <c r="G1818" s="10" t="e">
        <f>FrontBlwDisp</f>
        <v>#NAME?</v>
      </c>
      <c r="I1818" s="13" t="e">
        <f>VLOOKUP(C1813,Tbl_Button_Display_ASSTS,23,FALSE)</f>
        <v>#VALUE!</v>
      </c>
    </row>
    <row r="1819" spans="1:12" s="10" customFormat="1" hidden="1" outlineLevel="2">
      <c r="A1819" s="70">
        <v>1</v>
      </c>
      <c r="F1819" s="87"/>
      <c r="G1819" s="10" t="e">
        <f>Act_Intake</f>
        <v>#NAME?</v>
      </c>
      <c r="H1819" s="49" t="str">
        <f>VLOOKUP(C1813,Tbl_Button_Display_ASSTS,35,FALSE)</f>
        <v>REC</v>
      </c>
      <c r="I1819" s="48" t="e">
        <f>IF(H1819="","",VLOOKUP(H1819,Tbl_IntakeFB_Volt,2,FALSE))</f>
        <v>#NAME?</v>
      </c>
    </row>
    <row r="1820" spans="1:12" s="10" customFormat="1" hidden="1" outlineLevel="2">
      <c r="A1820" s="70">
        <v>1</v>
      </c>
      <c r="F1820" s="87"/>
      <c r="G1820" s="10" t="e">
        <f>BLW_Front</f>
        <v>#NAME?</v>
      </c>
      <c r="I1820" s="47" t="e">
        <f>VLOOKUP(C1813,Tbl_Button_Display_ASSTS,24,FALSE)</f>
        <v>#VALUE!</v>
      </c>
    </row>
    <row r="1821" spans="1:12" s="40" customFormat="1" ht="15">
      <c r="A1821" s="66">
        <v>1</v>
      </c>
      <c r="B1821" s="40" t="s">
        <v>913</v>
      </c>
      <c r="C1821" s="40" t="s">
        <v>917</v>
      </c>
      <c r="D1821" s="40" t="e">
        <f>VLOOKUP(B1821,Tbl_Button_Display_ASSTS,2,FALSE)</f>
        <v>#NAME?</v>
      </c>
      <c r="F1821" s="82"/>
    </row>
    <row r="1822" spans="1:12" s="38" customFormat="1" collapsed="1">
      <c r="A1822" s="71">
        <v>1</v>
      </c>
      <c r="B1822" s="38" t="s">
        <v>7</v>
      </c>
      <c r="C1822" s="38" t="s">
        <v>875</v>
      </c>
      <c r="D1822" s="38" t="str">
        <f>VLOOKUP(C1822,Tbl_Button_Display_ASSTS, 2,FALSE)</f>
        <v>온도단위 동기화 로직 동작 확인</v>
      </c>
      <c r="F1822" s="88"/>
    </row>
    <row r="1823" spans="1:12" s="11" customFormat="1" ht="16.5" hidden="1" outlineLevel="1">
      <c r="A1823" s="72">
        <v>1</v>
      </c>
      <c r="B1823" s="11" t="s">
        <v>38</v>
      </c>
      <c r="C1823" s="11" t="s">
        <v>876</v>
      </c>
      <c r="D1823" s="11" t="s">
        <v>39</v>
      </c>
      <c r="F1823" s="89"/>
      <c r="L1823" s="240" t="s">
        <v>1762</v>
      </c>
    </row>
    <row r="1824" spans="1:12" s="10" customFormat="1" ht="16.5" hidden="1" outlineLevel="2">
      <c r="A1824" s="70">
        <v>1</v>
      </c>
      <c r="E1824" s="14" t="e">
        <f>CLU_TempUnitSetReq</f>
        <v>#NAME?</v>
      </c>
      <c r="F1824" s="85">
        <f>VLOOKUP(C1822,Tbl_Button_Display_ASSTS,7,FALSE)</f>
        <v>0</v>
      </c>
      <c r="J1824" s="15"/>
      <c r="L1824" s="130" t="s">
        <v>1764</v>
      </c>
    </row>
    <row r="1825" spans="1:15" s="10" customFormat="1" hidden="1" outlineLevel="2">
      <c r="A1825" s="70">
        <v>1</v>
      </c>
      <c r="E1825" s="14" t="e">
        <f>AVN_TempUnit_Set</f>
        <v>#NAME?</v>
      </c>
      <c r="F1825" s="12">
        <v>0</v>
      </c>
      <c r="J1825" s="15"/>
    </row>
    <row r="1826" spans="1:15" s="10" customFormat="1" hidden="1" outlineLevel="2">
      <c r="A1826" s="70">
        <v>1</v>
      </c>
      <c r="E1826" s="14" t="e">
        <f>AVN_CluUSMReset</f>
        <v>#NAME?</v>
      </c>
      <c r="F1826" s="12">
        <v>0</v>
      </c>
      <c r="J1826" s="15"/>
    </row>
    <row r="1827" spans="1:15" s="10" customFormat="1" hidden="1" outlineLevel="2">
      <c r="A1827" s="70">
        <v>1</v>
      </c>
      <c r="E1827" s="14" t="e">
        <f>CLU_USM_StaRst1Req</f>
        <v>#NAME?</v>
      </c>
      <c r="F1827" s="12">
        <v>0</v>
      </c>
      <c r="J1827" s="15"/>
    </row>
    <row r="1828" spans="1:15" s="10" customFormat="1" hidden="1" outlineLevel="2">
      <c r="A1828" s="70">
        <v>1</v>
      </c>
      <c r="E1828" s="14" t="str">
        <f>VLOOKUP(C1823,Tbl_Button_Display_ASSTS,11,FALSE)</f>
        <v>Power_Reset</v>
      </c>
      <c r="F1828" s="85" t="str">
        <f>VLOOKUP(C1823,Tbl_Button_Display_ASSTS,12,FALSE)</f>
        <v xml:space="preserve"> </v>
      </c>
    </row>
    <row r="1829" spans="1:15" s="10" customFormat="1" hidden="1" outlineLevel="2">
      <c r="A1829" s="70">
        <v>1</v>
      </c>
      <c r="E1829" s="15" t="s">
        <v>5</v>
      </c>
      <c r="F1829" s="85">
        <f>VLOOKUP(C1823,Tbl_Button_Display_ASSTS,13,FALSE)</f>
        <v>10</v>
      </c>
    </row>
    <row r="1830" spans="1:15" s="10" customFormat="1" hidden="1" outlineLevel="2">
      <c r="A1830" s="70">
        <v>1</v>
      </c>
      <c r="F1830" s="87"/>
      <c r="G1830" s="10" t="e">
        <f>TempDispUnit</f>
        <v>#NAME?</v>
      </c>
      <c r="I1830" s="13" t="e">
        <f>VLOOKUP(C1823,Tbl_Button_Display_ASSTS,25,FALSE)</f>
        <v>#NAME?</v>
      </c>
    </row>
    <row r="1831" spans="1:15" s="10" customFormat="1" ht="16.5" hidden="1" outlineLevel="2">
      <c r="A1831" s="70">
        <v>1</v>
      </c>
      <c r="F1831" s="87"/>
      <c r="G1831" s="10" t="e">
        <f>DrTempDispC</f>
        <v>#NAME?</v>
      </c>
      <c r="I1831" s="13" t="e">
        <f>VLOOKUP(C1823,Tbl_Button_Display_ASSTS,26,FALSE)</f>
        <v>#NAME?</v>
      </c>
      <c r="O1831" s="241"/>
    </row>
    <row r="1832" spans="1:15" s="10" customFormat="1" hidden="1" outlineLevel="2">
      <c r="A1832" s="70">
        <v>1</v>
      </c>
      <c r="F1832" s="87"/>
      <c r="G1832" s="10" t="e">
        <f>PsTempDispC</f>
        <v>#NAME?</v>
      </c>
      <c r="I1832" s="13" t="e">
        <f>VLOOKUP(C1823,Tbl_Button_Display_ASSTS,27,FALSE)</f>
        <v>#NAME?</v>
      </c>
    </row>
    <row r="1833" spans="1:15" s="10" customFormat="1" hidden="1" outlineLevel="2">
      <c r="A1833" s="70">
        <v>1</v>
      </c>
      <c r="F1833" s="87"/>
      <c r="G1833" s="10" t="e">
        <f>DrTempDispF</f>
        <v>#NAME?</v>
      </c>
      <c r="I1833" s="13" t="e">
        <f>VLOOKUP(C1823,Tbl_Button_Display_ASSTS,28,FALSE)</f>
        <v>#NAME?</v>
      </c>
    </row>
    <row r="1834" spans="1:15" s="10" customFormat="1" hidden="1" outlineLevel="2">
      <c r="A1834" s="70">
        <v>1</v>
      </c>
      <c r="F1834" s="87"/>
      <c r="G1834" s="10" t="e">
        <f>PsTempDispF</f>
        <v>#NAME?</v>
      </c>
      <c r="I1834" s="13" t="e">
        <f>VLOOKUP(C1823,Tbl_Button_Display_ASSTS,29,FALSE)</f>
        <v>#NAME?</v>
      </c>
    </row>
    <row r="1835" spans="1:15" s="39" customFormat="1" hidden="1" outlineLevel="1">
      <c r="A1835" s="73">
        <v>1</v>
      </c>
      <c r="B1835" s="39" t="s">
        <v>155</v>
      </c>
      <c r="C1835" s="39" t="s">
        <v>877</v>
      </c>
      <c r="D1835" s="39" t="e">
        <f>CONCATENATE(E1836," = ",F1836," 설정 시 ",G1838, " = ",I1838," 확인")</f>
        <v>#NAME?</v>
      </c>
      <c r="F1835" s="91"/>
    </row>
    <row r="1836" spans="1:15" s="10" customFormat="1" hidden="1" outlineLevel="2">
      <c r="A1836" s="70">
        <v>1</v>
      </c>
      <c r="E1836" s="14" t="e">
        <f>VLOOKUP(C1835,Tbl_Button_Display_ASSTS,11,FALSE)</f>
        <v>#NAME?</v>
      </c>
      <c r="F1836" s="85">
        <f>VLOOKUP(C1835,Tbl_Button_Display_ASSTS,12,FALSE)</f>
        <v>2</v>
      </c>
    </row>
    <row r="1837" spans="1:15" s="10" customFormat="1" hidden="1" outlineLevel="2">
      <c r="A1837" s="70">
        <v>1</v>
      </c>
      <c r="E1837" s="15" t="s">
        <v>5</v>
      </c>
      <c r="F1837" s="85">
        <f>VLOOKUP(C1835,Tbl_Button_Display_ASSTS,13,FALSE)</f>
        <v>1</v>
      </c>
    </row>
    <row r="1838" spans="1:15" s="10" customFormat="1" hidden="1" outlineLevel="2">
      <c r="A1838" s="70">
        <v>1</v>
      </c>
      <c r="F1838" s="87"/>
      <c r="G1838" s="10" t="e">
        <f>TempDispUnit</f>
        <v>#NAME?</v>
      </c>
      <c r="I1838" s="13" t="e">
        <f>VLOOKUP(C1835,Tbl_Button_Display_ASSTS,25,FALSE)</f>
        <v>#NAME?</v>
      </c>
    </row>
    <row r="1839" spans="1:15" s="10" customFormat="1" hidden="1" outlineLevel="2">
      <c r="A1839" s="70">
        <v>1</v>
      </c>
      <c r="F1839" s="87"/>
      <c r="G1839" s="10" t="e">
        <f>IF(온도단위_동기화="O","",DrTempDispC)</f>
        <v>#NAME?</v>
      </c>
      <c r="I1839" s="13" t="e">
        <f>IF(온도단위_동기화="O","",VLOOKUP(C1835,Tbl_Button_Display_ASSTS,26,FALSE))</f>
        <v>#NAME?</v>
      </c>
    </row>
    <row r="1840" spans="1:15" s="10" customFormat="1" hidden="1" outlineLevel="2">
      <c r="A1840" s="70">
        <v>1</v>
      </c>
      <c r="F1840" s="87"/>
      <c r="G1840" s="10" t="e">
        <f>IF(온도단위_동기화="O","",PsTempDispC)</f>
        <v>#NAME?</v>
      </c>
      <c r="I1840" s="13" t="e">
        <f>IF(온도단위_동기화="O","",VLOOKUP(C1835,Tbl_Button_Display_ASSTS,27,FALSE))</f>
        <v>#NAME?</v>
      </c>
    </row>
    <row r="1841" spans="1:9" s="10" customFormat="1" hidden="1" outlineLevel="2">
      <c r="A1841" s="70">
        <v>1</v>
      </c>
      <c r="F1841" s="87"/>
      <c r="G1841" s="10" t="e">
        <f>IF(온도단위_동기화="O","",DrTempDispF)</f>
        <v>#NAME?</v>
      </c>
      <c r="I1841" s="13" t="e">
        <f>IF(온도단위_동기화="O","",VLOOKUP(C1835,Tbl_Button_Display_ASSTS,28,FALSE))</f>
        <v>#NAME?</v>
      </c>
    </row>
    <row r="1842" spans="1:9" s="10" customFormat="1" hidden="1" outlineLevel="2">
      <c r="A1842" s="70">
        <v>1</v>
      </c>
      <c r="F1842" s="87"/>
      <c r="G1842" s="10" t="e">
        <f>IF(온도단위_동기화="O","",PsTempDispF)</f>
        <v>#NAME?</v>
      </c>
      <c r="I1842" s="13" t="e">
        <f>IF(온도단위_동기화="O","",VLOOKUP(C1835,Tbl_Button_Display_ASSTS,29,FALSE))</f>
        <v>#NAME?</v>
      </c>
    </row>
    <row r="1843" spans="1:9" s="39" customFormat="1" hidden="1" outlineLevel="1">
      <c r="A1843" s="73">
        <v>1</v>
      </c>
      <c r="B1843" s="39" t="s">
        <v>155</v>
      </c>
      <c r="C1843" s="39" t="s">
        <v>890</v>
      </c>
      <c r="D1843" s="39" t="e">
        <f>CONCATENATE(E1844," = ",F1844," 설정 시 ",G1846, " = ",I1846," 확인")</f>
        <v>#NAME?</v>
      </c>
      <c r="F1843" s="91"/>
    </row>
    <row r="1844" spans="1:9" s="10" customFormat="1" hidden="1" outlineLevel="2">
      <c r="A1844" s="70">
        <v>1</v>
      </c>
      <c r="E1844" s="14" t="e">
        <f>VLOOKUP(C1843,Tbl_Button_Display_ASSTS,11,FALSE)</f>
        <v>#NAME?</v>
      </c>
      <c r="F1844" s="85">
        <f>VLOOKUP(C1843,Tbl_Button_Display_ASSTS,12,FALSE)</f>
        <v>1</v>
      </c>
    </row>
    <row r="1845" spans="1:9" s="10" customFormat="1" hidden="1" outlineLevel="2">
      <c r="A1845" s="70">
        <v>1</v>
      </c>
      <c r="E1845" s="15" t="s">
        <v>5</v>
      </c>
      <c r="F1845" s="85">
        <f>VLOOKUP(C1843,Tbl_Button_Display_ASSTS,13,FALSE)</f>
        <v>1</v>
      </c>
    </row>
    <row r="1846" spans="1:9" s="10" customFormat="1" hidden="1" outlineLevel="2">
      <c r="A1846" s="70">
        <v>1</v>
      </c>
      <c r="F1846" s="87"/>
      <c r="G1846" s="10" t="e">
        <f>TempDispUnit</f>
        <v>#NAME?</v>
      </c>
      <c r="I1846" s="13" t="e">
        <f>VLOOKUP(C1843,Tbl_Button_Display_ASSTS,25,FALSE)</f>
        <v>#NAME?</v>
      </c>
    </row>
    <row r="1847" spans="1:9" s="10" customFormat="1" hidden="1" outlineLevel="2">
      <c r="A1847" s="70">
        <v>1</v>
      </c>
      <c r="F1847" s="87"/>
      <c r="G1847" s="10" t="e">
        <f>IF(온도단위_동기화="O","",DrTempDispC)</f>
        <v>#NAME?</v>
      </c>
      <c r="I1847" s="13" t="e">
        <f>IF(온도단위_동기화="O","",VLOOKUP(C1843,Tbl_Button_Display_ASSTS,26,FALSE))</f>
        <v>#NAME?</v>
      </c>
    </row>
    <row r="1848" spans="1:9" s="10" customFormat="1" hidden="1" outlineLevel="2">
      <c r="A1848" s="70">
        <v>1</v>
      </c>
      <c r="F1848" s="87"/>
      <c r="G1848" s="10" t="e">
        <f>IF(온도단위_동기화="O","",PsTempDispC)</f>
        <v>#NAME?</v>
      </c>
      <c r="I1848" s="13" t="e">
        <f>IF(온도단위_동기화="O","",VLOOKUP(C1843,Tbl_Button_Display_ASSTS,27,FALSE))</f>
        <v>#NAME?</v>
      </c>
    </row>
    <row r="1849" spans="1:9" s="10" customFormat="1" hidden="1" outlineLevel="2">
      <c r="A1849" s="70">
        <v>1</v>
      </c>
      <c r="F1849" s="87"/>
      <c r="G1849" s="10" t="e">
        <f>IF(온도단위_동기화="O","",DrTempDispF)</f>
        <v>#NAME?</v>
      </c>
      <c r="I1849" s="13" t="e">
        <f>IF(온도단위_동기화="O","",VLOOKUP(C1843,Tbl_Button_Display_ASSTS,28,FALSE))</f>
        <v>#NAME?</v>
      </c>
    </row>
    <row r="1850" spans="1:9" s="10" customFormat="1" hidden="1" outlineLevel="2">
      <c r="A1850" s="70">
        <v>1</v>
      </c>
      <c r="F1850" s="87"/>
      <c r="G1850" s="10" t="e">
        <f>IF(온도단위_동기화="O","",PsTempDispF)</f>
        <v>#NAME?</v>
      </c>
      <c r="I1850" s="13" t="e">
        <f>IF(온도단위_동기화="O","",VLOOKUP(C1843,Tbl_Button_Display_ASSTS,29,FALSE))</f>
        <v>#NAME?</v>
      </c>
    </row>
    <row r="1851" spans="1:9" s="39" customFormat="1" hidden="1" outlineLevel="1">
      <c r="A1851" s="73">
        <v>1</v>
      </c>
      <c r="B1851" s="39" t="s">
        <v>155</v>
      </c>
      <c r="C1851" s="39" t="s">
        <v>914</v>
      </c>
      <c r="D1851" s="39" t="e">
        <f>CONCATENATE(E1852," = ",F1852," 설정 시 ",G1854, " = ",I1854," 확인")</f>
        <v>#NAME?</v>
      </c>
      <c r="F1851" s="91"/>
    </row>
    <row r="1852" spans="1:9" s="10" customFormat="1" hidden="1" outlineLevel="2">
      <c r="A1852" s="70">
        <v>1</v>
      </c>
      <c r="E1852" s="14" t="e">
        <f>VLOOKUP(C1851,Tbl_Button_Display_ASSTS,11,FALSE)</f>
        <v>#NAME?</v>
      </c>
      <c r="F1852" s="85">
        <f>VLOOKUP(C1851,Tbl_Button_Display_ASSTS,12,FALSE)</f>
        <v>2</v>
      </c>
    </row>
    <row r="1853" spans="1:9" s="10" customFormat="1" hidden="1" outlineLevel="2">
      <c r="A1853" s="70">
        <v>1</v>
      </c>
      <c r="E1853" s="15" t="s">
        <v>5</v>
      </c>
      <c r="F1853" s="85">
        <f>VLOOKUP(C1851,Tbl_Button_Display_ASSTS,13,FALSE)</f>
        <v>1</v>
      </c>
    </row>
    <row r="1854" spans="1:9" s="10" customFormat="1" hidden="1" outlineLevel="2">
      <c r="A1854" s="70">
        <v>1</v>
      </c>
      <c r="F1854" s="87"/>
      <c r="G1854" s="10" t="e">
        <f>TempDispUnit</f>
        <v>#NAME?</v>
      </c>
      <c r="I1854" s="13" t="e">
        <f>VLOOKUP(C1851,Tbl_Button_Display_ASSTS,25,FALSE)</f>
        <v>#NAME?</v>
      </c>
    </row>
    <row r="1855" spans="1:9" s="10" customFormat="1" hidden="1" outlineLevel="2">
      <c r="A1855" s="70">
        <v>1</v>
      </c>
      <c r="F1855" s="87"/>
      <c r="G1855" s="10" t="e">
        <f>IF(온도단위_동기화="O","",DrTempDispC)</f>
        <v>#NAME?</v>
      </c>
      <c r="I1855" s="13" t="e">
        <f>IF(온도단위_동기화="O","",VLOOKUP(C1851,Tbl_Button_Display_ASSTS,26,FALSE))</f>
        <v>#NAME?</v>
      </c>
    </row>
    <row r="1856" spans="1:9" s="10" customFormat="1" hidden="1" outlineLevel="2">
      <c r="A1856" s="70">
        <v>1</v>
      </c>
      <c r="F1856" s="87"/>
      <c r="G1856" s="10" t="e">
        <f>IF(온도단위_동기화="O","",PsTempDispC)</f>
        <v>#NAME?</v>
      </c>
      <c r="I1856" s="13" t="e">
        <f>IF(온도단위_동기화="O","",VLOOKUP(C1851,Tbl_Button_Display_ASSTS,27,FALSE))</f>
        <v>#NAME?</v>
      </c>
    </row>
    <row r="1857" spans="1:10" s="10" customFormat="1" hidden="1" outlineLevel="2">
      <c r="A1857" s="70">
        <v>1</v>
      </c>
      <c r="F1857" s="87"/>
      <c r="G1857" s="10" t="e">
        <f>IF(온도단위_동기화="O","",DrTempDispF)</f>
        <v>#NAME?</v>
      </c>
      <c r="I1857" s="13" t="e">
        <f>IF(온도단위_동기화="O","",VLOOKUP(C1851,Tbl_Button_Display_ASSTS,28,FALSE))</f>
        <v>#NAME?</v>
      </c>
    </row>
    <row r="1858" spans="1:10" s="10" customFormat="1" hidden="1" outlineLevel="2">
      <c r="A1858" s="70">
        <v>1</v>
      </c>
      <c r="F1858" s="87"/>
      <c r="G1858" s="10" t="e">
        <f>IF(온도단위_동기화="O","",PsTempDispF)</f>
        <v>#NAME?</v>
      </c>
      <c r="I1858" s="13" t="e">
        <f>IF(온도단위_동기화="O","",VLOOKUP(C1851,Tbl_Button_Display_ASSTS,29,FALSE))</f>
        <v>#NAME?</v>
      </c>
    </row>
    <row r="1859" spans="1:10" s="39" customFormat="1" hidden="1" outlineLevel="1">
      <c r="A1859" s="73">
        <v>1</v>
      </c>
      <c r="B1859" s="39" t="s">
        <v>155</v>
      </c>
      <c r="C1859" s="39" t="s">
        <v>915</v>
      </c>
      <c r="D1859" s="39" t="e">
        <f>CONCATENATE(E1860," = ",F1860," 설정 시 ",G1862, " = ",I1862," 확인")</f>
        <v>#NAME?</v>
      </c>
      <c r="F1859" s="91"/>
    </row>
    <row r="1860" spans="1:10" s="10" customFormat="1" hidden="1" outlineLevel="2">
      <c r="A1860" s="70">
        <v>1</v>
      </c>
      <c r="E1860" s="14" t="e">
        <f>VLOOKUP(C1859,Tbl_Button_Display_ASSTS,11,FALSE)</f>
        <v>#NAME?</v>
      </c>
      <c r="F1860" s="85">
        <f>VLOOKUP(C1859,Tbl_Button_Display_ASSTS,12,FALSE)</f>
        <v>1</v>
      </c>
    </row>
    <row r="1861" spans="1:10" s="10" customFormat="1" hidden="1" outlineLevel="2">
      <c r="A1861" s="70">
        <v>1</v>
      </c>
      <c r="E1861" s="15" t="s">
        <v>5</v>
      </c>
      <c r="F1861" s="85">
        <f>VLOOKUP(C1859,Tbl_Button_Display_ASSTS,13,FALSE)</f>
        <v>1</v>
      </c>
    </row>
    <row r="1862" spans="1:10" s="10" customFormat="1" hidden="1" outlineLevel="2">
      <c r="A1862" s="70">
        <v>1</v>
      </c>
      <c r="F1862" s="87"/>
      <c r="G1862" s="10" t="e">
        <f>TempDispUnit</f>
        <v>#NAME?</v>
      </c>
      <c r="I1862" s="13" t="e">
        <f>VLOOKUP(C1859,Tbl_Button_Display_ASSTS,25,FALSE)</f>
        <v>#NAME?</v>
      </c>
    </row>
    <row r="1863" spans="1:10" s="10" customFormat="1" hidden="1" outlineLevel="2">
      <c r="A1863" s="70">
        <v>1</v>
      </c>
      <c r="F1863" s="87"/>
      <c r="G1863" s="10" t="e">
        <f>IF(온도단위_동기화="O","",DrTempDispC)</f>
        <v>#NAME?</v>
      </c>
      <c r="I1863" s="13" t="e">
        <f>IF(온도단위_동기화="O","",VLOOKUP(C1859,Tbl_Button_Display_ASSTS,26,FALSE))</f>
        <v>#NAME?</v>
      </c>
    </row>
    <row r="1864" spans="1:10" s="10" customFormat="1" hidden="1" outlineLevel="2">
      <c r="A1864" s="70">
        <v>1</v>
      </c>
      <c r="F1864" s="87"/>
      <c r="G1864" s="10" t="e">
        <f>IF(온도단위_동기화="O","",PsTempDispC)</f>
        <v>#NAME?</v>
      </c>
      <c r="I1864" s="13" t="e">
        <f>IF(온도단위_동기화="O","",VLOOKUP(C1859,Tbl_Button_Display_ASSTS,27,FALSE))</f>
        <v>#NAME?</v>
      </c>
    </row>
    <row r="1865" spans="1:10" s="10" customFormat="1" hidden="1" outlineLevel="2">
      <c r="A1865" s="70">
        <v>1</v>
      </c>
      <c r="F1865" s="87"/>
      <c r="G1865" s="10" t="e">
        <f>IF(온도단위_동기화="O","",DrTempDispF)</f>
        <v>#NAME?</v>
      </c>
      <c r="I1865" s="13" t="e">
        <f>IF(온도단위_동기화="O","",VLOOKUP(C1859,Tbl_Button_Display_ASSTS,28,FALSE))</f>
        <v>#NAME?</v>
      </c>
    </row>
    <row r="1866" spans="1:10" s="10" customFormat="1" hidden="1" outlineLevel="2">
      <c r="A1866" s="70">
        <v>1</v>
      </c>
      <c r="F1866" s="87"/>
      <c r="G1866" s="10" t="e">
        <f>IF(온도단위_동기화="O","",PsTempDispF)</f>
        <v>#NAME?</v>
      </c>
      <c r="I1866" s="13" t="e">
        <f>IF(온도단위_동기화="O","",VLOOKUP(C1859,Tbl_Button_Display_ASSTS,29,FALSE))</f>
        <v>#NAME?</v>
      </c>
    </row>
    <row r="1867" spans="1:10" s="39" customFormat="1" hidden="1" outlineLevel="1">
      <c r="A1867" s="73">
        <v>1</v>
      </c>
      <c r="B1867" s="39" t="s">
        <v>155</v>
      </c>
      <c r="C1867" s="39" t="s">
        <v>916</v>
      </c>
      <c r="D1867" s="39" t="e">
        <f>CONCATENATE(F1868," 시 ",G1872, " = ",I1872," 유지 확인")</f>
        <v>#NAME?</v>
      </c>
      <c r="F1867" s="91"/>
    </row>
    <row r="1868" spans="1:10" s="10" customFormat="1" hidden="1" outlineLevel="2">
      <c r="A1868" s="70">
        <v>1</v>
      </c>
      <c r="E1868" s="14" t="str">
        <f>VLOOKUP(C1867,Tbl_Button_Display_ASSTS,11,FALSE)</f>
        <v>MsgBox</v>
      </c>
      <c r="F1868" s="85" t="str">
        <f>VLOOKUP(C1867,Tbl_Button_Display_ASSTS,12,FALSE)</f>
        <v>USM Signal Defualt 값 설정</v>
      </c>
    </row>
    <row r="1869" spans="1:10" s="10" customFormat="1" hidden="1" outlineLevel="2">
      <c r="A1869" s="70">
        <v>1</v>
      </c>
      <c r="E1869" s="14" t="e">
        <f>CLU_TempUnitSetReq</f>
        <v>#NAME?</v>
      </c>
      <c r="F1869" s="12">
        <v>0</v>
      </c>
      <c r="J1869" s="15"/>
    </row>
    <row r="1870" spans="1:10" s="10" customFormat="1" hidden="1" outlineLevel="2">
      <c r="A1870" s="70">
        <v>1</v>
      </c>
      <c r="E1870" s="14" t="e">
        <f>AVN_TempUnit_Set</f>
        <v>#NAME?</v>
      </c>
      <c r="F1870" s="12">
        <v>0</v>
      </c>
      <c r="J1870" s="15"/>
    </row>
    <row r="1871" spans="1:10" s="10" customFormat="1" hidden="1" outlineLevel="2">
      <c r="A1871" s="70">
        <v>1</v>
      </c>
      <c r="E1871" s="15" t="s">
        <v>5</v>
      </c>
      <c r="F1871" s="85">
        <f>VLOOKUP(C1867,Tbl_Button_Display_ASSTS,13,FALSE)</f>
        <v>1</v>
      </c>
    </row>
    <row r="1872" spans="1:10" s="10" customFormat="1" hidden="1" outlineLevel="2">
      <c r="A1872" s="70">
        <v>1</v>
      </c>
      <c r="F1872" s="87"/>
      <c r="G1872" s="10" t="e">
        <f>TempDispUnit</f>
        <v>#NAME?</v>
      </c>
      <c r="I1872" s="13" t="e">
        <f>VLOOKUP(C1867,Tbl_Button_Display_ASSTS,25,FALSE)</f>
        <v>#NAME?</v>
      </c>
    </row>
    <row r="1873" spans="1:9" s="10" customFormat="1" hidden="1" outlineLevel="2">
      <c r="A1873" s="70">
        <v>1</v>
      </c>
      <c r="F1873" s="87"/>
      <c r="G1873" s="10" t="e">
        <f>IF(온도단위_동기화="O","",DrTempDispC)</f>
        <v>#NAME?</v>
      </c>
      <c r="I1873" s="13" t="e">
        <f>IF(온도단위_동기화="O","",VLOOKUP(C1869,Tbl_Button_Display_ASSTS,26,FALSE))</f>
        <v>#NAME?</v>
      </c>
    </row>
    <row r="1874" spans="1:9" s="10" customFormat="1" hidden="1" outlineLevel="2">
      <c r="A1874" s="70">
        <v>1</v>
      </c>
      <c r="F1874" s="87"/>
      <c r="G1874" s="10" t="e">
        <f>IF(온도단위_동기화="O","",PsTempDispC)</f>
        <v>#NAME?</v>
      </c>
      <c r="I1874" s="13" t="e">
        <f>IF(온도단위_동기화="O","",VLOOKUP(C1869,Tbl_Button_Display_ASSTS,27,FALSE))</f>
        <v>#NAME?</v>
      </c>
    </row>
    <row r="1875" spans="1:9" s="10" customFormat="1" hidden="1" outlineLevel="2">
      <c r="A1875" s="70">
        <v>1</v>
      </c>
      <c r="F1875" s="87"/>
      <c r="G1875" s="10" t="e">
        <f>IF(온도단위_동기화="O","",DrTempDispF)</f>
        <v>#NAME?</v>
      </c>
      <c r="I1875" s="13" t="e">
        <f>IF(온도단위_동기화="O","",VLOOKUP(C1869,Tbl_Button_Display_ASSTS,28,FALSE))</f>
        <v>#NAME?</v>
      </c>
    </row>
    <row r="1876" spans="1:9" s="10" customFormat="1" hidden="1" outlineLevel="2">
      <c r="A1876" s="70">
        <v>1</v>
      </c>
      <c r="F1876" s="87"/>
      <c r="G1876" s="10" t="e">
        <f>IF(온도단위_동기화="O","",PsTempDispF)</f>
        <v>#NAME?</v>
      </c>
      <c r="I1876" s="13" t="e">
        <f>IF(온도단위_동기화="O","",VLOOKUP(C1869,Tbl_Button_Display_ASSTS,29,FALSE))</f>
        <v>#NAME?</v>
      </c>
    </row>
    <row r="1877" spans="1:9" s="40" customFormat="1" ht="15">
      <c r="A1877" s="66">
        <v>1</v>
      </c>
      <c r="B1877" s="40" t="s">
        <v>929</v>
      </c>
      <c r="C1877" s="40" t="s">
        <v>930</v>
      </c>
      <c r="D1877" s="40" t="str">
        <f t="shared" ref="D1877:D2190" si="18">VLOOKUP(B1877,Tbl_Button_Display_ASSTS,2,FALSE)</f>
        <v>결로 방지 로직 &lt;북미,유럽,중국 외&gt; (장시간)</v>
      </c>
      <c r="F1877" s="82"/>
    </row>
    <row r="1878" spans="1:9" s="123" customFormat="1" collapsed="1">
      <c r="A1878" s="122">
        <v>1</v>
      </c>
      <c r="B1878" s="123" t="s">
        <v>7</v>
      </c>
      <c r="C1878" s="123" t="s">
        <v>1241</v>
      </c>
      <c r="D1878" s="123" t="str">
        <f>VLOOKUP(C1878,Tbl_Button_Display_ASSTS, 2,FALSE)</f>
        <v>결로 방지 로직 동작 확인</v>
      </c>
    </row>
    <row r="1879" spans="1:9" s="125" customFormat="1" hidden="1" outlineLevel="1">
      <c r="A1879" s="124">
        <v>1</v>
      </c>
      <c r="B1879" s="125" t="s">
        <v>38</v>
      </c>
      <c r="C1879" s="125" t="s">
        <v>1242</v>
      </c>
      <c r="D1879" s="125" t="s">
        <v>39</v>
      </c>
    </row>
    <row r="1880" spans="1:9" s="10" customFormat="1" hidden="1" outlineLevel="2">
      <c r="A1880" s="70">
        <v>1</v>
      </c>
      <c r="E1880" s="8" t="e">
        <f>Incar_IN</f>
        <v>#NAME?</v>
      </c>
      <c r="F1880" s="65" cm="1">
        <f t="array" ref="F1880">VINTERPOLATION(VLOOKUP(C1879,Tbl_Button_Display_ASSTS,2,FALSE),Tbl_Incar_Sensor,3)</f>
        <v>3.3272756433630186</v>
      </c>
    </row>
    <row r="1881" spans="1:9" s="10" customFormat="1" hidden="1" outlineLevel="2">
      <c r="A1881" s="70">
        <v>1</v>
      </c>
      <c r="E1881" s="114" t="e">
        <f>Amb_IN</f>
        <v>#NAME?</v>
      </c>
      <c r="F1881" s="65" cm="1">
        <f t="array" ref="F1881">VINTERPOLATION(VLOOKUP(C1879,Tbl_Button_Display_ASSTS,3,FALSE),Tbl_Amb_Sensor,3)</f>
        <v>4.0144546649145862</v>
      </c>
    </row>
    <row r="1882" spans="1:9" s="10" customFormat="1" hidden="1" outlineLevel="2">
      <c r="A1882" s="70">
        <v>1</v>
      </c>
      <c r="E1882" s="114" t="str">
        <f>VLOOKUP(C1879,Tbl_Button_Display_ASSTS,11,FALSE)</f>
        <v>MsgBox</v>
      </c>
      <c r="F1882" s="12" t="e">
        <f>VLOOKUP(C1879,Tbl_Button_Display_ASSTS,12,FALSE)</f>
        <v>#NAME?</v>
      </c>
    </row>
    <row r="1883" spans="1:9" s="10" customFormat="1" hidden="1" outlineLevel="2">
      <c r="A1883" s="70">
        <v>1</v>
      </c>
      <c r="E1883" s="114" t="s">
        <v>95</v>
      </c>
      <c r="F1883" s="12" t="s">
        <v>1189</v>
      </c>
    </row>
    <row r="1884" spans="1:9" s="10" customFormat="1" hidden="1" outlineLevel="2">
      <c r="A1884" s="70">
        <v>1</v>
      </c>
      <c r="E1884" s="15" t="s">
        <v>5</v>
      </c>
      <c r="F1884" s="12">
        <f>VLOOKUP(C1879,Tbl_Button_Display_ASSTS,13,FALSE)</f>
        <v>10</v>
      </c>
    </row>
    <row r="1885" spans="1:9" s="10" customFormat="1" hidden="1" outlineLevel="2">
      <c r="A1885" s="70">
        <v>1</v>
      </c>
      <c r="G1885" s="10" t="e">
        <f>Incar_OUT</f>
        <v>#NAME?</v>
      </c>
      <c r="I1885" s="13">
        <f>VLOOKUP(C1879,Tbl_Button_Display_ASSTS,2,FALSE)</f>
        <v>10</v>
      </c>
    </row>
    <row r="1886" spans="1:9" s="10" customFormat="1" hidden="1" outlineLevel="2">
      <c r="A1886" s="70">
        <v>1</v>
      </c>
      <c r="F1886" s="87"/>
      <c r="G1886" s="10" t="e">
        <f>Amb_OUT</f>
        <v>#NAME?</v>
      </c>
      <c r="I1886" s="13">
        <f>VLOOKUP(C1879,Tbl_Button_Display_ASSTS,3,FALSE)</f>
        <v>-5</v>
      </c>
    </row>
    <row r="1887" spans="1:9" s="10" customFormat="1" hidden="1" outlineLevel="2">
      <c r="A1887" s="70">
        <v>1</v>
      </c>
      <c r="G1887" s="10" t="e">
        <f>IntakeDisp</f>
        <v>#NAME?</v>
      </c>
      <c r="I1887" s="13" t="str">
        <f>VLOOKUP(C1879,Tbl_Button_Display_ASSTS,34,FALSE)</f>
        <v>FRE</v>
      </c>
    </row>
    <row r="1888" spans="1:9" s="10" customFormat="1" hidden="1" outlineLevel="2">
      <c r="A1888" s="70">
        <v>1</v>
      </c>
      <c r="G1888" s="10" t="e">
        <f>Act_Intake</f>
        <v>#NAME?</v>
      </c>
      <c r="H1888" s="49" t="str">
        <f>VLOOKUP(C1879,Tbl_Button_Display_ASSTS,35,FALSE)</f>
        <v>FRE</v>
      </c>
      <c r="I1888" s="48" t="e">
        <f>IF(H1888="","",VLOOKUP(H1888,Tbl_IntakeFB_Volt,2,FALSE))</f>
        <v>#NAME?</v>
      </c>
    </row>
    <row r="1889" spans="1:10" s="39" customFormat="1" hidden="1" outlineLevel="1">
      <c r="A1889" s="73">
        <v>1</v>
      </c>
      <c r="B1889" s="39" t="s">
        <v>155</v>
      </c>
      <c r="C1889" s="39" t="s">
        <v>1243</v>
      </c>
      <c r="D1889" s="39" t="str">
        <f>CONCATENATE(E1890," ",F1890,"회 선택 후 30분 이상 유지 시, 결로 방지 로직 해제 확인")</f>
        <v>Sw_REC 1회 선택 후 30분 이상 유지 시, 결로 방지 로직 해제 확인</v>
      </c>
    </row>
    <row r="1890" spans="1:10" s="10" customFormat="1" hidden="1" outlineLevel="2">
      <c r="A1890" s="70">
        <v>1</v>
      </c>
      <c r="E1890" s="114" t="str">
        <f>VLOOKUP(C1889,Tbl_Button_Display_ASSTS,11,FALSE)</f>
        <v>Sw_REC</v>
      </c>
      <c r="F1890" s="12">
        <f>VLOOKUP(C1889,Tbl_Button_Display_ASSTS,12,FALSE)</f>
        <v>1</v>
      </c>
      <c r="J1890" s="15"/>
    </row>
    <row r="1891" spans="1:10" s="10" customFormat="1" hidden="1" outlineLevel="2">
      <c r="A1891" s="70">
        <v>1</v>
      </c>
      <c r="E1891" s="15" t="s">
        <v>5</v>
      </c>
      <c r="F1891" s="12">
        <f>VLOOKUP(C1889,Tbl_Button_Display_ASSTS,13,FALSE)</f>
        <v>5</v>
      </c>
    </row>
    <row r="1892" spans="1:10" s="10" customFormat="1" hidden="1" outlineLevel="2">
      <c r="A1892" s="70">
        <v>1</v>
      </c>
      <c r="G1892" s="10" t="e">
        <f>IntakeDisp</f>
        <v>#NAME?</v>
      </c>
      <c r="I1892" s="13" t="str">
        <f>VLOOKUP(C1889,Tbl_Button_Display_ASSTS,34,FALSE)</f>
        <v>REC</v>
      </c>
    </row>
    <row r="1893" spans="1:10" s="10" customFormat="1" hidden="1" outlineLevel="2">
      <c r="A1893" s="70">
        <v>1</v>
      </c>
      <c r="G1893" s="10" t="e">
        <f>Act_Intake</f>
        <v>#NAME?</v>
      </c>
      <c r="H1893" s="49" t="str">
        <f>VLOOKUP(C1889,Tbl_Button_Display_ASSTS,35,FALSE)</f>
        <v>REC</v>
      </c>
      <c r="I1893" s="48" t="e">
        <f>IF(H1893="","",VLOOKUP(H1893,Tbl_IntakeFB_Volt,2,FALSE))</f>
        <v>#NAME?</v>
      </c>
    </row>
    <row r="1894" spans="1:10" s="10" customFormat="1" hidden="1" outlineLevel="2">
      <c r="A1894" s="70">
        <v>1</v>
      </c>
      <c r="E1894" s="15" t="s">
        <v>5</v>
      </c>
      <c r="F1894" s="12">
        <f>(30*60)-F1891</f>
        <v>1795</v>
      </c>
    </row>
    <row r="1895" spans="1:10" s="10" customFormat="1" hidden="1" outlineLevel="2">
      <c r="A1895" s="70">
        <v>1</v>
      </c>
      <c r="G1895" s="10" t="e">
        <f>IntakeDisp</f>
        <v>#NAME?</v>
      </c>
      <c r="I1895" s="13" t="s">
        <v>1404</v>
      </c>
    </row>
    <row r="1896" spans="1:10" s="10" customFormat="1" hidden="1" outlineLevel="2">
      <c r="A1896" s="70">
        <v>1</v>
      </c>
      <c r="G1896" s="10" t="e">
        <f>Act_Intake</f>
        <v>#NAME?</v>
      </c>
      <c r="H1896" s="49" t="s">
        <v>1404</v>
      </c>
      <c r="I1896" s="48" t="e">
        <f>IF(H1896="","",VLOOKUP(H1896,Tbl_IntakeFB_Volt,2,FALSE))</f>
        <v>#NAME?</v>
      </c>
    </row>
    <row r="1897" spans="1:10" s="40" customFormat="1" ht="15">
      <c r="A1897" s="66">
        <v>1</v>
      </c>
      <c r="B1897" s="40" t="s">
        <v>878</v>
      </c>
      <c r="C1897" s="40" t="s">
        <v>879</v>
      </c>
      <c r="D1897" s="40" t="str">
        <f t="shared" si="18"/>
        <v>결로 방지 해제/복귀 로직 (동작만, 확인은 장시간)</v>
      </c>
      <c r="F1897" s="82"/>
    </row>
    <row r="1898" spans="1:10" s="38" customFormat="1" collapsed="1">
      <c r="A1898" s="71">
        <v>1</v>
      </c>
      <c r="B1898" s="38" t="s">
        <v>7</v>
      </c>
      <c r="C1898" s="38" t="s">
        <v>919</v>
      </c>
      <c r="D1898" s="38" t="str">
        <f>VLOOKUP(C1898,Tbl_Button_Display_ASSTS, 2,FALSE)</f>
        <v>Key 조합 입력에 의한 결로방지 해제/복귀 로직 동작 확인</v>
      </c>
    </row>
    <row r="1899" spans="1:10" s="11" customFormat="1" hidden="1" outlineLevel="1">
      <c r="A1899" s="72">
        <v>1</v>
      </c>
      <c r="B1899" s="11" t="s">
        <v>38</v>
      </c>
      <c r="C1899" s="11" t="s">
        <v>920</v>
      </c>
      <c r="D1899" s="11" t="s">
        <v>39</v>
      </c>
    </row>
    <row r="1900" spans="1:10" s="10" customFormat="1" hidden="1" outlineLevel="2">
      <c r="A1900" s="70">
        <v>1</v>
      </c>
      <c r="E1900" s="114" t="str">
        <f>VLOOKUP(C1899,Tbl_Button_Display_ASSTS,11,FALSE)</f>
        <v>MsgBox</v>
      </c>
      <c r="F1900" s="12" t="e">
        <f>VLOOKUP(C1899,Tbl_Button_Display_ASSTS,12,FALSE)</f>
        <v>#NAME?</v>
      </c>
    </row>
    <row r="1901" spans="1:10" s="10" customFormat="1" hidden="1" outlineLevel="2">
      <c r="A1901" s="70">
        <v>1</v>
      </c>
      <c r="E1901" s="114" t="s">
        <v>95</v>
      </c>
      <c r="F1901" s="12" t="s">
        <v>1189</v>
      </c>
    </row>
    <row r="1902" spans="1:10" s="10" customFormat="1" hidden="1" outlineLevel="2">
      <c r="A1902" s="70">
        <v>1</v>
      </c>
      <c r="E1902" s="15" t="s">
        <v>5</v>
      </c>
      <c r="F1902" s="12">
        <f>VLOOKUP(C1899,Tbl_Button_Display_ASSTS,13,FALSE)</f>
        <v>10</v>
      </c>
    </row>
    <row r="1903" spans="1:10" s="10" customFormat="1" hidden="1" outlineLevel="2">
      <c r="A1903" s="70">
        <v>1</v>
      </c>
      <c r="G1903" s="10" t="e">
        <f>AutoFrshUSMSta</f>
        <v>#NAME?</v>
      </c>
      <c r="I1903" s="13">
        <f>VLOOKUP(C1899,Tbl_Button_Display_ASSTS,42,FALSE)</f>
        <v>2</v>
      </c>
    </row>
    <row r="1904" spans="1:10" s="10" customFormat="1" hidden="1" outlineLevel="2">
      <c r="A1904" s="70">
        <v>1</v>
      </c>
      <c r="G1904" s="10" t="e">
        <f>IntakeDisp</f>
        <v>#NAME?</v>
      </c>
      <c r="I1904" s="13" t="str">
        <f>VLOOKUP(C1899,Tbl_Button_Display_ASSTS,34,FALSE)</f>
        <v>FRE</v>
      </c>
    </row>
    <row r="1905" spans="1:10" s="39" customFormat="1" hidden="1" outlineLevel="1">
      <c r="A1905" s="73">
        <v>1</v>
      </c>
      <c r="B1905" s="39" t="s">
        <v>155</v>
      </c>
      <c r="C1905" s="39" t="s">
        <v>921</v>
      </c>
      <c r="D1905" s="39" t="e">
        <f>CONCATENATE(F1906," 시 ",I1909," 확인")</f>
        <v>#NAME?</v>
      </c>
    </row>
    <row r="1906" spans="1:10" s="10" customFormat="1" hidden="1" outlineLevel="2">
      <c r="A1906" s="70">
        <v>1</v>
      </c>
      <c r="E1906" s="14" t="str">
        <f>VLOOKUP(C1905,Tbl_Button_Display_ASSTS,11,FALSE)</f>
        <v>MsgBox</v>
      </c>
      <c r="F1906" s="12" t="e">
        <f>VLOOKUP(C1905,Tbl_Button_Display_ASSTS,12,FALSE)</f>
        <v>#NAME?</v>
      </c>
      <c r="J1906" s="15"/>
    </row>
    <row r="1907" spans="1:10" s="10" customFormat="1" hidden="1" outlineLevel="2">
      <c r="A1907" s="70">
        <v>1</v>
      </c>
      <c r="E1907" s="15" t="s">
        <v>5</v>
      </c>
      <c r="F1907" s="12">
        <f>VLOOKUP(C1905,Tbl_Button_Display_ASSTS,13,FALSE)</f>
        <v>1</v>
      </c>
    </row>
    <row r="1908" spans="1:10" s="10" customFormat="1" hidden="1" outlineLevel="2">
      <c r="A1908" s="70">
        <v>1</v>
      </c>
      <c r="G1908" s="10" t="e">
        <f>AutoFrshUSMSta</f>
        <v>#NAME?</v>
      </c>
      <c r="I1908" s="13">
        <f>VLOOKUP(C1905,Tbl_Button_Display_ASSTS,42,FALSE)</f>
        <v>1</v>
      </c>
    </row>
    <row r="1909" spans="1:10" s="10" customFormat="1" hidden="1" outlineLevel="2">
      <c r="A1909" s="70">
        <v>1</v>
      </c>
      <c r="G1909" s="10" t="e">
        <f>IntakeDisp</f>
        <v>#NAME?</v>
      </c>
      <c r="I1909" s="13" t="str">
        <f>VLOOKUP(C1905,Tbl_Button_Display_ASSTS,34,FALSE)</f>
        <v>0.5초 간격 3회 점/소등 후 FRE</v>
      </c>
    </row>
    <row r="1910" spans="1:10" s="39" customFormat="1" hidden="1" outlineLevel="1">
      <c r="A1910" s="73">
        <v>1</v>
      </c>
      <c r="B1910" s="39" t="s">
        <v>155</v>
      </c>
      <c r="C1910" s="39" t="s">
        <v>922</v>
      </c>
      <c r="D1910" s="39" t="str">
        <f>CONCATENATE(E1911," ",F1911,"회 선택, 30분 후 ",I1914," 유지 확인")</f>
        <v>Sw_REC 1회 선택, 30분 후 REC 유지 확인</v>
      </c>
    </row>
    <row r="1911" spans="1:10" s="10" customFormat="1" hidden="1" outlineLevel="2">
      <c r="A1911" s="70">
        <v>1</v>
      </c>
      <c r="E1911" s="14" t="str">
        <f>VLOOKUP(C1910,Tbl_Button_Display_ASSTS,11,FALSE)</f>
        <v>Sw_REC</v>
      </c>
      <c r="F1911" s="12">
        <f>VLOOKUP(C1910,Tbl_Button_Display_ASSTS,12,FALSE)</f>
        <v>1</v>
      </c>
      <c r="J1911" s="15"/>
    </row>
    <row r="1912" spans="1:10" s="10" customFormat="1" hidden="1" outlineLevel="2">
      <c r="A1912" s="70">
        <v>1</v>
      </c>
      <c r="E1912" s="15" t="s">
        <v>5</v>
      </c>
      <c r="F1912" s="12">
        <f>VLOOKUP(C1910,Tbl_Button_Display_ASSTS,13,FALSE)</f>
        <v>1800</v>
      </c>
    </row>
    <row r="1913" spans="1:10" s="10" customFormat="1" hidden="1" outlineLevel="2">
      <c r="A1913" s="70">
        <v>1</v>
      </c>
      <c r="G1913" s="10" t="e">
        <f>AutoFrshUSMSta</f>
        <v>#NAME?</v>
      </c>
      <c r="I1913" s="13">
        <f>VLOOKUP(C1910,Tbl_Button_Display_ASSTS,42,FALSE)</f>
        <v>1</v>
      </c>
    </row>
    <row r="1914" spans="1:10" s="10" customFormat="1" hidden="1" outlineLevel="2">
      <c r="A1914" s="70">
        <v>1</v>
      </c>
      <c r="G1914" s="10" t="e">
        <f>IntakeDisp</f>
        <v>#NAME?</v>
      </c>
      <c r="I1914" s="13" t="str">
        <f>VLOOKUP(C1910,Tbl_Button_Display_ASSTS,34,FALSE)</f>
        <v>REC</v>
      </c>
    </row>
    <row r="1915" spans="1:10" s="39" customFormat="1" hidden="1" outlineLevel="1">
      <c r="A1915" s="73">
        <v>1</v>
      </c>
      <c r="B1915" s="39" t="s">
        <v>155</v>
      </c>
      <c r="C1915" s="39" t="s">
        <v>923</v>
      </c>
      <c r="D1915" s="39" t="e">
        <f>CONCATENATE(F1916," 시 ",I1919," 확인")</f>
        <v>#NAME?</v>
      </c>
    </row>
    <row r="1916" spans="1:10" s="10" customFormat="1" hidden="1" outlineLevel="2">
      <c r="A1916" s="70">
        <v>1</v>
      </c>
      <c r="E1916" s="14" t="str">
        <f>VLOOKUP(C1915,Tbl_Button_Display_ASSTS,11,FALSE)</f>
        <v>MsgBox</v>
      </c>
      <c r="F1916" s="12" t="e">
        <f>VLOOKUP(C1915,Tbl_Button_Display_ASSTS,12,FALSE)</f>
        <v>#NAME?</v>
      </c>
      <c r="J1916" s="15"/>
    </row>
    <row r="1917" spans="1:10" s="10" customFormat="1" hidden="1" outlineLevel="2">
      <c r="A1917" s="70">
        <v>1</v>
      </c>
      <c r="E1917" s="15" t="s">
        <v>5</v>
      </c>
      <c r="F1917" s="12">
        <f>VLOOKUP(C1915,Tbl_Button_Display_ASSTS,13,FALSE)</f>
        <v>1</v>
      </c>
    </row>
    <row r="1918" spans="1:10" s="10" customFormat="1" hidden="1" outlineLevel="2">
      <c r="A1918" s="70">
        <v>1</v>
      </c>
      <c r="G1918" s="10" t="e">
        <f>AutoFrshUSMSta</f>
        <v>#NAME?</v>
      </c>
      <c r="I1918" s="13">
        <f>VLOOKUP(C1915,Tbl_Button_Display_ASSTS,42,FALSE)</f>
        <v>2</v>
      </c>
    </row>
    <row r="1919" spans="1:10" s="10" customFormat="1" hidden="1" outlineLevel="2">
      <c r="A1919" s="70">
        <v>1</v>
      </c>
      <c r="G1919" s="10" t="e">
        <f>IntakeDisp</f>
        <v>#NAME?</v>
      </c>
      <c r="I1919" s="13" t="str">
        <f>VLOOKUP(C1915,Tbl_Button_Display_ASSTS,34,FALSE)</f>
        <v>0.25초 간격 6회 점/소등 후 FRE</v>
      </c>
    </row>
    <row r="1920" spans="1:10" s="38" customFormat="1" collapsed="1">
      <c r="A1920" s="71">
        <v>1</v>
      </c>
      <c r="B1920" s="38" t="s">
        <v>7</v>
      </c>
      <c r="C1920" s="38" t="s">
        <v>925</v>
      </c>
      <c r="D1920" s="38" t="str">
        <f>VLOOKUP(C1920,Tbl_Button_Display_ASSTS, 2,FALSE)</f>
        <v>AVN USM 설정에 의한 결로방지 해제/복귀 로직 동작 확인</v>
      </c>
    </row>
    <row r="1921" spans="1:10" s="11" customFormat="1" hidden="1" outlineLevel="1">
      <c r="A1921" s="72">
        <v>1</v>
      </c>
      <c r="B1921" s="11" t="s">
        <v>38</v>
      </c>
      <c r="C1921" s="11" t="s">
        <v>926</v>
      </c>
      <c r="D1921" s="11" t="s">
        <v>39</v>
      </c>
    </row>
    <row r="1922" spans="1:10" s="10" customFormat="1" hidden="1" outlineLevel="2">
      <c r="A1922" s="70">
        <v>1</v>
      </c>
      <c r="E1922" s="14" t="e">
        <f>AutoFresh_USM_Set</f>
        <v>#NAME?</v>
      </c>
      <c r="F1922" s="12">
        <v>0</v>
      </c>
      <c r="J1922" s="15"/>
    </row>
    <row r="1923" spans="1:10" s="10" customFormat="1" hidden="1" outlineLevel="2">
      <c r="A1923" s="70">
        <v>1</v>
      </c>
      <c r="E1923" s="14" t="e">
        <f>AVN_CluUSMReset</f>
        <v>#NAME?</v>
      </c>
      <c r="F1923" s="12">
        <v>0</v>
      </c>
      <c r="J1923" s="15"/>
    </row>
    <row r="1924" spans="1:10" s="10" customFormat="1" hidden="1" outlineLevel="2">
      <c r="A1924" s="70">
        <v>1</v>
      </c>
      <c r="E1924" s="14" t="e">
        <f>CLU_USM_StaRst1Req</f>
        <v>#NAME?</v>
      </c>
      <c r="F1924" s="12">
        <v>0</v>
      </c>
      <c r="J1924" s="15"/>
    </row>
    <row r="1925" spans="1:10" s="10" customFormat="1" hidden="1" outlineLevel="2">
      <c r="A1925" s="70">
        <v>1</v>
      </c>
      <c r="E1925" s="114" t="str">
        <f>VLOOKUP(C1921,Tbl_Button_Display_ASSTS,11,FALSE)</f>
        <v>MsgBox</v>
      </c>
      <c r="F1925" s="12" t="e">
        <f>VLOOKUP(C1921,Tbl_Button_Display_ASSTS,12,FALSE)</f>
        <v>#NAME?</v>
      </c>
    </row>
    <row r="1926" spans="1:10" s="10" customFormat="1" hidden="1" outlineLevel="2">
      <c r="A1926" s="70">
        <v>1</v>
      </c>
      <c r="E1926" s="15" t="s">
        <v>5</v>
      </c>
      <c r="F1926" s="12">
        <f>VLOOKUP(C1921,Tbl_Button_Display_ASSTS,13,FALSE)</f>
        <v>10</v>
      </c>
    </row>
    <row r="1927" spans="1:10" s="10" customFormat="1" hidden="1" outlineLevel="2">
      <c r="A1927" s="70">
        <v>1</v>
      </c>
      <c r="G1927" s="10" t="e">
        <f>AutoFrshUSMSta</f>
        <v>#NAME?</v>
      </c>
      <c r="I1927" s="13">
        <f>VLOOKUP(C1921,Tbl_Button_Display_ASSTS,42,FALSE)</f>
        <v>2</v>
      </c>
    </row>
    <row r="1928" spans="1:10" s="10" customFormat="1" hidden="1" outlineLevel="2">
      <c r="A1928" s="70">
        <v>1</v>
      </c>
      <c r="G1928" s="10" t="e">
        <f>IntakeDisp</f>
        <v>#NAME?</v>
      </c>
      <c r="I1928" s="13" t="str">
        <f>VLOOKUP(C1921,Tbl_Button_Display_ASSTS,34,FALSE)</f>
        <v>FRE</v>
      </c>
    </row>
    <row r="1929" spans="1:10" s="39" customFormat="1" hidden="1" outlineLevel="1">
      <c r="A1929" s="73">
        <v>1</v>
      </c>
      <c r="B1929" s="39" t="s">
        <v>155</v>
      </c>
      <c r="C1929" s="39" t="s">
        <v>927</v>
      </c>
      <c r="D1929" s="39" t="e">
        <f>CONCATENATE(E1930," = ",F1930," 설정 시 ",G1932, " = ",I1932," 확인")</f>
        <v>#NAME?</v>
      </c>
    </row>
    <row r="1930" spans="1:10" s="10" customFormat="1" hidden="1" outlineLevel="2">
      <c r="A1930" s="70">
        <v>1</v>
      </c>
      <c r="E1930" s="14" t="e">
        <f>VLOOKUP(C1929,Tbl_Button_Display_ASSTS,11,FALSE)</f>
        <v>#NAME?</v>
      </c>
      <c r="F1930" s="12">
        <f>VLOOKUP(C1929,Tbl_Button_Display_ASSTS,12,FALSE)</f>
        <v>1</v>
      </c>
      <c r="J1930" s="15"/>
    </row>
    <row r="1931" spans="1:10" s="10" customFormat="1" hidden="1" outlineLevel="2">
      <c r="A1931" s="70">
        <v>1</v>
      </c>
      <c r="E1931" s="15" t="s">
        <v>5</v>
      </c>
      <c r="F1931" s="12">
        <f>VLOOKUP(C1929,Tbl_Button_Display_ASSTS,13,FALSE)</f>
        <v>1</v>
      </c>
    </row>
    <row r="1932" spans="1:10" s="10" customFormat="1" hidden="1" outlineLevel="2">
      <c r="A1932" s="70">
        <v>1</v>
      </c>
      <c r="G1932" s="10" t="e">
        <f>AutoFrshUSMSta</f>
        <v>#NAME?</v>
      </c>
      <c r="I1932" s="13">
        <f>VLOOKUP(C1929,Tbl_Button_Display_ASSTS,42,FALSE)</f>
        <v>1</v>
      </c>
    </row>
    <row r="1933" spans="1:10" s="39" customFormat="1" hidden="1" outlineLevel="1">
      <c r="A1933" s="73">
        <v>1</v>
      </c>
      <c r="B1933" s="39" t="s">
        <v>155</v>
      </c>
      <c r="C1933" s="39" t="s">
        <v>1767</v>
      </c>
      <c r="D1933" s="39" t="e">
        <f>CONCATENATE(E1934," = ",F1934," 설정 시 ",G1936, " = ",I1936," 확인")</f>
        <v>#NAME?</v>
      </c>
    </row>
    <row r="1934" spans="1:10" s="10" customFormat="1" hidden="1" outlineLevel="2">
      <c r="A1934" s="70">
        <v>1</v>
      </c>
      <c r="E1934" s="14" t="e">
        <f>VLOOKUP(C1933,Tbl_Button_Display_ASSTS,11,FALSE)</f>
        <v>#NAME?</v>
      </c>
      <c r="F1934" s="12">
        <f>VLOOKUP(C1933,Tbl_Button_Display_ASSTS,12,FALSE)</f>
        <v>2</v>
      </c>
      <c r="J1934" s="15"/>
    </row>
    <row r="1935" spans="1:10" s="10" customFormat="1" hidden="1" outlineLevel="2">
      <c r="A1935" s="70">
        <v>1</v>
      </c>
      <c r="E1935" s="15" t="s">
        <v>5</v>
      </c>
      <c r="F1935" s="12">
        <f>VLOOKUP(C1933,Tbl_Button_Display_ASSTS,13,FALSE)</f>
        <v>1</v>
      </c>
    </row>
    <row r="1936" spans="1:10" s="10" customFormat="1" hidden="1" outlineLevel="2">
      <c r="A1936" s="70">
        <v>1</v>
      </c>
      <c r="G1936" s="10" t="e">
        <f>AutoFrshUSMSta</f>
        <v>#NAME?</v>
      </c>
      <c r="I1936" s="13">
        <f>VLOOKUP(C1933,Tbl_Button_Display_ASSTS,42,FALSE)</f>
        <v>2</v>
      </c>
    </row>
    <row r="1937" spans="1:12" s="39" customFormat="1" hidden="1" outlineLevel="1">
      <c r="A1937" s="73">
        <v>1</v>
      </c>
      <c r="B1937" s="39" t="s">
        <v>155</v>
      </c>
      <c r="C1937" s="39" t="s">
        <v>928</v>
      </c>
      <c r="D1937" s="39" t="e">
        <f>CONCATENATE(F1938," 시 ",G1941, " = ",I1941," 유지 확인")</f>
        <v>#NAME?</v>
      </c>
    </row>
    <row r="1938" spans="1:12" s="10" customFormat="1" hidden="1" outlineLevel="2">
      <c r="A1938" s="70">
        <v>1</v>
      </c>
      <c r="E1938" s="14" t="str">
        <f>VLOOKUP(C1937,Tbl_Button_Display_ASSTS,11,FALSE)</f>
        <v>MsgBox</v>
      </c>
      <c r="F1938" s="12" t="str">
        <f>VLOOKUP(C1937,Tbl_Button_Display_ASSTS,12,FALSE)</f>
        <v>USM Signal Defualt 값 설정</v>
      </c>
      <c r="J1938" s="15"/>
    </row>
    <row r="1939" spans="1:12" s="10" customFormat="1" hidden="1" outlineLevel="2">
      <c r="A1939" s="70">
        <v>1</v>
      </c>
      <c r="E1939" s="14" t="e">
        <f>AutoFresh_USM_Set</f>
        <v>#NAME?</v>
      </c>
      <c r="F1939" s="12">
        <v>0</v>
      </c>
      <c r="J1939" s="15"/>
    </row>
    <row r="1940" spans="1:12" s="10" customFormat="1" hidden="1" outlineLevel="2">
      <c r="A1940" s="70">
        <v>1</v>
      </c>
      <c r="E1940" s="15" t="s">
        <v>5</v>
      </c>
      <c r="F1940" s="12">
        <f>VLOOKUP(C1937,Tbl_Button_Display_ASSTS,13,FALSE)</f>
        <v>1</v>
      </c>
    </row>
    <row r="1941" spans="1:12" s="10" customFormat="1" hidden="1" outlineLevel="2">
      <c r="A1941" s="70">
        <v>1</v>
      </c>
      <c r="G1941" s="10" t="e">
        <f>AutoFrshUSMSta</f>
        <v>#NAME?</v>
      </c>
      <c r="I1941" s="13">
        <f>VLOOKUP(C1937,Tbl_Button_Display_ASSTS,42,FALSE)</f>
        <v>2</v>
      </c>
    </row>
    <row r="1942" spans="1:12" s="127" customFormat="1" ht="15">
      <c r="A1942" s="66">
        <v>1</v>
      </c>
      <c r="B1942" s="40" t="s">
        <v>1244</v>
      </c>
      <c r="C1942" s="127" t="s">
        <v>1365</v>
      </c>
      <c r="D1942" s="127" t="str">
        <f t="shared" ref="D1942" si="19">VLOOKUP(B1942,Tbl_Button_Display_ASSTS,2,FALSE)</f>
        <v>자동환기 보조 시스템 (SMART VENTILATION)</v>
      </c>
      <c r="F1942" s="82"/>
    </row>
    <row r="1943" spans="1:12" s="123" customFormat="1" collapsed="1">
      <c r="A1943" s="122">
        <v>1</v>
      </c>
      <c r="B1943" s="123" t="s">
        <v>7</v>
      </c>
      <c r="C1943" s="123" t="s">
        <v>1245</v>
      </c>
      <c r="D1943" s="123" t="str">
        <f>VLOOKUP(C1943,Tbl_Button_Display_ASSTS, 2,FALSE)</f>
        <v>자동환기 보조 시스템 로직 동작 확인 (Non CO2 사양)</v>
      </c>
    </row>
    <row r="1944" spans="1:12" s="125" customFormat="1" ht="16.5" hidden="1" outlineLevel="1">
      <c r="A1944" s="124">
        <v>1</v>
      </c>
      <c r="B1944" s="125" t="s">
        <v>38</v>
      </c>
      <c r="C1944" s="125" t="s">
        <v>1246</v>
      </c>
      <c r="D1944" s="125" t="s">
        <v>39</v>
      </c>
      <c r="L1944" s="240" t="s">
        <v>1768</v>
      </c>
    </row>
    <row r="1945" spans="1:12" s="10" customFormat="1" ht="16.5" hidden="1" outlineLevel="2">
      <c r="A1945" s="70">
        <v>1</v>
      </c>
      <c r="E1945" s="114" t="e">
        <f>Amb_IN</f>
        <v>#NAME?</v>
      </c>
      <c r="F1945" s="65" cm="1">
        <f t="array" ref="F1945">VINTERPOLATION(VLOOKUP(C1944,Tbl_Button_Display_ASSTS,3,FALSE),Tbl_Amb_Sensor,3)</f>
        <v>3.7554036226051895</v>
      </c>
      <c r="L1945" s="130" t="s">
        <v>1769</v>
      </c>
    </row>
    <row r="1946" spans="1:12" s="10" customFormat="1" hidden="1" outlineLevel="2">
      <c r="A1946" s="70">
        <v>1</v>
      </c>
      <c r="E1946" s="114" t="e">
        <f>T_windshield</f>
        <v>#NAME?</v>
      </c>
      <c r="F1946" s="65" cm="1">
        <f t="array" ref="F1946">VINTERPOLATION(VLOOKUP(C1944,Tbl_Button_Display_ASSTS,7,FALSE),Tbl_GlassTemp_Sensor,3)</f>
        <v>3.6758507312217219</v>
      </c>
    </row>
    <row r="1947" spans="1:12" s="10" customFormat="1" hidden="1" outlineLevel="2">
      <c r="A1947" s="70">
        <v>1</v>
      </c>
      <c r="E1947" s="114" t="e">
        <f>SmartVent_Set</f>
        <v>#NAME?</v>
      </c>
      <c r="F1947" s="12">
        <v>0</v>
      </c>
    </row>
    <row r="1948" spans="1:12" s="10" customFormat="1" hidden="1" outlineLevel="2">
      <c r="A1948" s="70">
        <v>1</v>
      </c>
      <c r="E1948" s="114" t="str">
        <f>VLOOKUP(C1944,Tbl_Button_Display_ASSTS,11,FALSE)</f>
        <v>MsgBox</v>
      </c>
      <c r="F1948" s="12" t="e">
        <f>VLOOKUP(C1944,Tbl_Button_Display_ASSTS,12,FALSE)</f>
        <v>#NAME?</v>
      </c>
    </row>
    <row r="1949" spans="1:12" s="10" customFormat="1" hidden="1" outlineLevel="2">
      <c r="A1949" s="70">
        <v>1</v>
      </c>
      <c r="E1949" s="114" t="s">
        <v>95</v>
      </c>
      <c r="F1949" s="12" t="s">
        <v>1189</v>
      </c>
    </row>
    <row r="1950" spans="1:12" s="10" customFormat="1" hidden="1" outlineLevel="2">
      <c r="A1950" s="70">
        <v>1</v>
      </c>
      <c r="E1950" s="14" t="s">
        <v>710</v>
      </c>
      <c r="F1950" s="12">
        <v>1</v>
      </c>
      <c r="J1950" s="15"/>
    </row>
    <row r="1951" spans="1:12" s="10" customFormat="1" hidden="1" outlineLevel="2">
      <c r="A1951" s="70">
        <v>1</v>
      </c>
      <c r="E1951" s="15" t="s">
        <v>5</v>
      </c>
      <c r="F1951" s="12">
        <f>VLOOKUP(C1944,Tbl_Button_Display_ASSTS,13,FALSE)</f>
        <v>10</v>
      </c>
      <c r="L1951" s="130"/>
    </row>
    <row r="1952" spans="1:12" s="10" customFormat="1" hidden="1" outlineLevel="2">
      <c r="A1952" s="70">
        <v>1</v>
      </c>
      <c r="F1952" s="87"/>
      <c r="G1952" s="10" t="e">
        <f>Amb_OUT</f>
        <v>#NAME?</v>
      </c>
      <c r="I1952" s="13">
        <f>VLOOKUP(C1944,Tbl_Button_Display_ASSTS,3,FALSE)</f>
        <v>1</v>
      </c>
    </row>
    <row r="1953" spans="1:10" s="10" customFormat="1" hidden="1" outlineLevel="2">
      <c r="A1953" s="70">
        <v>1</v>
      </c>
      <c r="G1953" s="10" t="e">
        <f>SmartVent_Symbol</f>
        <v>#NAME?</v>
      </c>
      <c r="I1953" s="13">
        <v>0</v>
      </c>
    </row>
    <row r="1954" spans="1:10" s="10" customFormat="1" hidden="1" outlineLevel="2">
      <c r="A1954" s="70">
        <v>1</v>
      </c>
      <c r="G1954" s="10" t="e">
        <f>SmartVent_Status</f>
        <v>#NAME?</v>
      </c>
      <c r="I1954" s="13">
        <v>0</v>
      </c>
    </row>
    <row r="1955" spans="1:10" s="10" customFormat="1" hidden="1" outlineLevel="2">
      <c r="A1955" s="70">
        <v>1</v>
      </c>
      <c r="G1955" s="10" t="e">
        <f>ClmtTxtPopupOSD</f>
        <v>#NAME?</v>
      </c>
      <c r="I1955" s="13">
        <v>0</v>
      </c>
    </row>
    <row r="1956" spans="1:10" s="10" customFormat="1" hidden="1" outlineLevel="2">
      <c r="A1956" s="70">
        <v>1</v>
      </c>
      <c r="G1956" s="10" t="e">
        <f>ModDisp</f>
        <v>#NAME?</v>
      </c>
      <c r="I1956" s="13" t="e">
        <f>VLOOKUP(C1944,Tbl_Button_Display_ASSTS,16,FALSE)</f>
        <v>#NAME?</v>
      </c>
    </row>
    <row r="1957" spans="1:10" s="10" customFormat="1" hidden="1" outlineLevel="2">
      <c r="A1957" s="70">
        <v>1</v>
      </c>
      <c r="G1957" s="10" t="e">
        <f>IntakeDisp</f>
        <v>#NAME?</v>
      </c>
      <c r="I1957" s="13" t="str">
        <f>VLOOKUP(C1944,Tbl_Button_Display_ASSTS,34,FALSE)</f>
        <v>REC</v>
      </c>
    </row>
    <row r="1958" spans="1:10" s="10" customFormat="1" hidden="1" outlineLevel="2">
      <c r="A1958" s="70">
        <v>1</v>
      </c>
      <c r="G1958" s="10" t="e">
        <f>FrontBlwDisp</f>
        <v>#NAME?</v>
      </c>
      <c r="I1958" s="13" t="str">
        <f>VLOOKUP(C1944,Tbl_Button_Display_ASSTS,23,FALSE)</f>
        <v>Off</v>
      </c>
    </row>
    <row r="1959" spans="1:10" s="10" customFormat="1" hidden="1" outlineLevel="2">
      <c r="A1959" s="70">
        <v>1</v>
      </c>
      <c r="G1959" s="10" t="e">
        <f>Act_Def</f>
        <v>#NAME?</v>
      </c>
      <c r="H1959" s="49" t="str">
        <f>VLOOKUP(C1944,Tbl_Button_Display_ASSTS,22,FALSE)</f>
        <v>Floor</v>
      </c>
      <c r="I1959" s="47" t="e">
        <f>IF(H1959="","",VLOOKUP(H1959,Tbl_DefFB_Volt,2,FALSE))</f>
        <v>#NAME?</v>
      </c>
    </row>
    <row r="1960" spans="1:10" s="10" customFormat="1" hidden="1" outlineLevel="2">
      <c r="A1960" s="70">
        <v>1</v>
      </c>
      <c r="G1960" s="10" t="e">
        <f>Act_Intake</f>
        <v>#NAME?</v>
      </c>
      <c r="H1960" s="49" t="str">
        <f>VLOOKUP(C1944,Tbl_Button_Display_ASSTS,35,FALSE)</f>
        <v>REC</v>
      </c>
      <c r="I1960" s="47" t="e">
        <f>IF(H1960="","",VLOOKUP(H1960,Tbl_IntakeFB_Volt,2,FALSE))</f>
        <v>#NAME?</v>
      </c>
    </row>
    <row r="1961" spans="1:10" s="10" customFormat="1" hidden="1" outlineLevel="2">
      <c r="A1961" s="70">
        <v>1</v>
      </c>
      <c r="G1961" s="10" t="e">
        <f>BLW_Front</f>
        <v>#NAME?</v>
      </c>
      <c r="H1961" s="49" t="str">
        <f>VLOOKUP(C1944,Tbl_Button_Display_ASSTS,24,FALSE)</f>
        <v>Off</v>
      </c>
      <c r="I1961" s="47" t="e">
        <f>IF(H1961="","",VLOOKUP(H1961,Tbl_Blower_Volt,2,FALSE))</f>
        <v>#NAME?</v>
      </c>
    </row>
    <row r="1962" spans="1:10" s="39" customFormat="1" hidden="1" outlineLevel="1">
      <c r="A1962" s="73">
        <v>1</v>
      </c>
      <c r="B1962" s="39" t="s">
        <v>155</v>
      </c>
      <c r="C1962" s="39" t="s">
        <v>1247</v>
      </c>
      <c r="D1962" s="39" t="e">
        <f>CONCATENATE(E1963," = ",F1963," 설정 시, Smart Ventilation 기능 동작 확인")</f>
        <v>#NAME?</v>
      </c>
    </row>
    <row r="1963" spans="1:10" s="10" customFormat="1" hidden="1" outlineLevel="2">
      <c r="A1963" s="70">
        <v>1</v>
      </c>
      <c r="E1963" s="114" t="e">
        <f>VLOOKUP(C1962,Tbl_Button_Display_ASSTS,11,FALSE)</f>
        <v>#NAME?</v>
      </c>
      <c r="F1963" s="13">
        <f>VLOOKUP(C1962,Tbl_Button_Display_ASSTS,12,FALSE)</f>
        <v>1</v>
      </c>
      <c r="J1963" s="15"/>
    </row>
    <row r="1964" spans="1:10" s="10" customFormat="1" hidden="1" outlineLevel="2">
      <c r="A1964" s="70">
        <v>1</v>
      </c>
      <c r="E1964" s="15" t="s">
        <v>5</v>
      </c>
      <c r="F1964" s="12">
        <f>VLOOKUP(C1962,Tbl_Button_Display_ASSTS,13,FALSE)</f>
        <v>10</v>
      </c>
    </row>
    <row r="1965" spans="1:10" s="10" customFormat="1" ht="14.65" hidden="1" customHeight="1" outlineLevel="2">
      <c r="A1965" s="70">
        <v>1</v>
      </c>
      <c r="G1965" s="10" t="e">
        <f>SmartVent_Symbol</f>
        <v>#NAME?</v>
      </c>
      <c r="I1965" s="13">
        <v>1</v>
      </c>
    </row>
    <row r="1966" spans="1:10" s="10" customFormat="1" ht="14.65" hidden="1" customHeight="1" outlineLevel="2">
      <c r="A1966" s="70">
        <v>1</v>
      </c>
      <c r="G1966" s="10" t="e">
        <f>SmartVent_Status</f>
        <v>#NAME?</v>
      </c>
      <c r="I1966" s="13">
        <v>1</v>
      </c>
    </row>
    <row r="1967" spans="1:10" s="10" customFormat="1" hidden="1" outlineLevel="2">
      <c r="A1967" s="70">
        <v>1</v>
      </c>
      <c r="E1967" s="114" t="s">
        <v>772</v>
      </c>
      <c r="F1967" s="43" t="s">
        <v>1366</v>
      </c>
      <c r="G1967" s="43"/>
      <c r="H1967" s="43"/>
      <c r="I1967" s="43"/>
      <c r="J1967" s="15"/>
    </row>
    <row r="1968" spans="1:10" s="10" customFormat="1" hidden="1" outlineLevel="2">
      <c r="A1968" s="70">
        <v>1</v>
      </c>
      <c r="G1968" s="10" t="e">
        <f>ClmtTxtPopupOSD</f>
        <v>#NAME?</v>
      </c>
      <c r="I1968" s="13" t="s">
        <v>1473</v>
      </c>
    </row>
    <row r="1969" spans="1:10" s="10" customFormat="1" hidden="1" outlineLevel="2">
      <c r="A1969" s="70">
        <v>1</v>
      </c>
      <c r="G1969" s="10" t="e">
        <f>FrontBlwDisp</f>
        <v>#NAME?</v>
      </c>
      <c r="I1969" s="13">
        <f>VLOOKUP(C1962,Tbl_Button_Display_ASSTS,23,FALSE)</f>
        <v>1</v>
      </c>
    </row>
    <row r="1970" spans="1:10" s="10" customFormat="1" hidden="1" outlineLevel="2">
      <c r="A1970" s="70">
        <v>1</v>
      </c>
      <c r="G1970" s="10" t="e">
        <f>IntakeDisp</f>
        <v>#NAME?</v>
      </c>
      <c r="I1970" s="13" t="str">
        <f>VLOOKUP(C1962,Tbl_Button_Display_ASSTS,34,FALSE)</f>
        <v>FRE</v>
      </c>
    </row>
    <row r="1971" spans="1:10" s="10" customFormat="1" hidden="1" outlineLevel="2">
      <c r="A1971" s="70">
        <v>1</v>
      </c>
      <c r="G1971" s="10" t="e">
        <f>Act_Def</f>
        <v>#NAME?</v>
      </c>
      <c r="H1971" s="49" t="str">
        <f>VLOOKUP(C1962,Tbl_Button_Display_ASSTS,22,FALSE)</f>
        <v>Full_Close</v>
      </c>
      <c r="I1971" s="47" t="e">
        <f>IF(H1971="","",VLOOKUP(H1971,Tbl_DefFB_Volt,2,FALSE))</f>
        <v>#NAME?</v>
      </c>
    </row>
    <row r="1972" spans="1:10" s="10" customFormat="1" hidden="1" outlineLevel="2">
      <c r="A1972" s="70">
        <v>1</v>
      </c>
      <c r="G1972" s="10" t="e">
        <f>Act_Intake</f>
        <v>#NAME?</v>
      </c>
      <c r="H1972" s="49" t="str">
        <f>VLOOKUP(C1962,Tbl_Button_Display_ASSTS,35,FALSE)</f>
        <v>FRE</v>
      </c>
      <c r="I1972" s="47" t="e">
        <f>IF(H1972="","",VLOOKUP(H1972,Tbl_IntakeFB_Volt,2,FALSE))</f>
        <v>#NAME?</v>
      </c>
    </row>
    <row r="1973" spans="1:10" s="10" customFormat="1" hidden="1" outlineLevel="2">
      <c r="A1973" s="70">
        <v>1</v>
      </c>
      <c r="G1973" s="10" t="e">
        <f>BLW_Front</f>
        <v>#NAME?</v>
      </c>
      <c r="H1973" s="49">
        <f>VLOOKUP(C1962,Tbl_Button_Display_ASSTS,24,FALSE)</f>
        <v>3</v>
      </c>
      <c r="I1973" s="47" t="e">
        <f>IF(H1973="","",VLOOKUP(H1973,Tbl_Blower_Volt,2,FALSE))</f>
        <v>#NAME?</v>
      </c>
    </row>
    <row r="1974" spans="1:10" s="39" customFormat="1" hidden="1" outlineLevel="1">
      <c r="A1974" s="73">
        <v>1</v>
      </c>
      <c r="B1974" s="39" t="s">
        <v>155</v>
      </c>
      <c r="C1974" s="39" t="s">
        <v>1248</v>
      </c>
      <c r="D1974" s="39" t="e">
        <f>CONCATENATE(E1975," = ",F1975," 설정 시, Smart Ventilation 기능 동작 해제 확인")</f>
        <v>#NAME?</v>
      </c>
    </row>
    <row r="1975" spans="1:10" s="10" customFormat="1" hidden="1" outlineLevel="2">
      <c r="A1975" s="70">
        <v>1</v>
      </c>
      <c r="E1975" s="114" t="e">
        <f>VLOOKUP(C1974,Tbl_Button_Display_ASSTS,11,FALSE)</f>
        <v>#NAME?</v>
      </c>
      <c r="F1975" s="13">
        <f>VLOOKUP(C1974,Tbl_Button_Display_ASSTS,12,FALSE)</f>
        <v>0</v>
      </c>
      <c r="J1975" s="15"/>
    </row>
    <row r="1976" spans="1:10" s="10" customFormat="1" hidden="1" outlineLevel="2">
      <c r="A1976" s="70">
        <v>1</v>
      </c>
      <c r="E1976" s="15" t="s">
        <v>5</v>
      </c>
      <c r="F1976" s="12">
        <f>VLOOKUP(C1974,Tbl_Button_Display_ASSTS,13,FALSE)</f>
        <v>10</v>
      </c>
    </row>
    <row r="1977" spans="1:10" s="10" customFormat="1" hidden="1" outlineLevel="2">
      <c r="A1977" s="70">
        <v>1</v>
      </c>
      <c r="G1977" s="10" t="e">
        <f>SmartVent_Symbol</f>
        <v>#NAME?</v>
      </c>
      <c r="I1977" s="13">
        <v>0</v>
      </c>
    </row>
    <row r="1978" spans="1:10" s="10" customFormat="1" ht="14.65" hidden="1" customHeight="1" outlineLevel="2">
      <c r="A1978" s="70">
        <v>1</v>
      </c>
      <c r="G1978" s="10" t="e">
        <f>SmartVent_Status</f>
        <v>#NAME?</v>
      </c>
      <c r="I1978" s="13">
        <v>0</v>
      </c>
    </row>
    <row r="1979" spans="1:10" s="10" customFormat="1" hidden="1" outlineLevel="2">
      <c r="A1979" s="70">
        <v>1</v>
      </c>
      <c r="G1979" s="10" t="e">
        <f>ClmtTxtPopupOSD</f>
        <v>#NAME?</v>
      </c>
      <c r="I1979" s="13">
        <v>0</v>
      </c>
    </row>
    <row r="1980" spans="1:10" s="10" customFormat="1" hidden="1" outlineLevel="2">
      <c r="A1980" s="70">
        <v>1</v>
      </c>
      <c r="G1980" s="10" t="e">
        <f>FrontBlwDisp</f>
        <v>#NAME?</v>
      </c>
      <c r="I1980" s="13" t="str">
        <f>VLOOKUP(C1974,Tbl_Button_Display_ASSTS,23,FALSE)</f>
        <v>Off</v>
      </c>
    </row>
    <row r="1981" spans="1:10" s="10" customFormat="1" hidden="1" outlineLevel="2">
      <c r="A1981" s="70">
        <v>1</v>
      </c>
      <c r="G1981" s="10" t="e">
        <f>IntakeDisp</f>
        <v>#NAME?</v>
      </c>
      <c r="I1981" s="13" t="str">
        <f>VLOOKUP(C1974,Tbl_Button_Display_ASSTS,34,FALSE)</f>
        <v>REC</v>
      </c>
    </row>
    <row r="1982" spans="1:10" s="10" customFormat="1" hidden="1" outlineLevel="2">
      <c r="A1982" s="70">
        <v>1</v>
      </c>
      <c r="G1982" s="10" t="e">
        <f>Act_Def</f>
        <v>#NAME?</v>
      </c>
      <c r="H1982" s="49" t="str">
        <f>VLOOKUP(C1974,Tbl_Button_Display_ASSTS,22,FALSE)</f>
        <v>Floor</v>
      </c>
      <c r="I1982" s="47" t="e">
        <f>IF(H1982="","",VLOOKUP(H1982,Tbl_DefFB_Volt,2,FALSE))</f>
        <v>#NAME?</v>
      </c>
    </row>
    <row r="1983" spans="1:10" s="10" customFormat="1" hidden="1" outlineLevel="2">
      <c r="A1983" s="70">
        <v>1</v>
      </c>
      <c r="G1983" s="10" t="e">
        <f>Act_Intake</f>
        <v>#NAME?</v>
      </c>
      <c r="H1983" s="49" t="str">
        <f>VLOOKUP(C1974,Tbl_Button_Display_ASSTS,35,FALSE)</f>
        <v>REC</v>
      </c>
      <c r="I1983" s="47" t="e">
        <f>IF(H1983="","",VLOOKUP(H1983,Tbl_IntakeFB_Volt,2,FALSE))</f>
        <v>#NAME?</v>
      </c>
    </row>
    <row r="1984" spans="1:10" s="10" customFormat="1" hidden="1" outlineLevel="2">
      <c r="A1984" s="70">
        <v>1</v>
      </c>
      <c r="G1984" s="10" t="e">
        <f>BLW_Front</f>
        <v>#NAME?</v>
      </c>
      <c r="H1984" s="49" t="str">
        <f>VLOOKUP(C1974,Tbl_Button_Display_ASSTS,24,FALSE)</f>
        <v>Off</v>
      </c>
      <c r="I1984" s="47" t="e">
        <f>IF(H1984="","",VLOOKUP(H1984,Tbl_Blower_Volt,2,FALSE))</f>
        <v>#NAME?</v>
      </c>
    </row>
    <row r="1985" spans="1:12" s="127" customFormat="1" ht="15">
      <c r="A1985" s="66">
        <v>1</v>
      </c>
      <c r="B1985" s="40" t="s">
        <v>1249</v>
      </c>
      <c r="C1985" s="127" t="s">
        <v>1367</v>
      </c>
      <c r="D1985" s="127" t="str">
        <f t="shared" ref="D1985" si="20">VLOOKUP(B1985,Tbl_Button_Display_ASSTS,2,FALSE)</f>
        <v>PTC 강제구동 로직 &lt;전석에 PTC 적용사양&gt;</v>
      </c>
      <c r="F1985" s="82"/>
    </row>
    <row r="1986" spans="1:12" s="123" customFormat="1" collapsed="1">
      <c r="A1986" s="122">
        <v>1</v>
      </c>
      <c r="B1986" s="123" t="s">
        <v>7</v>
      </c>
      <c r="C1986" s="123" t="s">
        <v>1250</v>
      </c>
      <c r="D1986" s="123" t="str">
        <f>VLOOKUP(C1986,Tbl_Button_Display_ASSTS, 2,FALSE)</f>
        <v>PTC 강제구동 로직 동작 확인</v>
      </c>
    </row>
    <row r="1987" spans="1:12" s="125" customFormat="1" hidden="1" outlineLevel="1">
      <c r="A1987" s="124">
        <v>1</v>
      </c>
      <c r="B1987" s="125" t="s">
        <v>38</v>
      </c>
      <c r="C1987" s="125" t="s">
        <v>1251</v>
      </c>
      <c r="D1987" s="125" t="s">
        <v>39</v>
      </c>
    </row>
    <row r="1988" spans="1:12" s="10" customFormat="1" hidden="1" outlineLevel="2">
      <c r="A1988" s="70">
        <v>1</v>
      </c>
      <c r="E1988" s="114" t="e">
        <f>T_windshield</f>
        <v>#NAME?</v>
      </c>
      <c r="F1988" s="65" cm="1">
        <f t="array" ref="F1988">VINTERPOLATION(VLOOKUP(C1987,Tbl_Button_Display_ASSTS,7,FALSE),Tbl_GlassTemp_Sensor,3)</f>
        <v>1.4614241999700592</v>
      </c>
    </row>
    <row r="1989" spans="1:12" s="10" customFormat="1" hidden="1" outlineLevel="2">
      <c r="A1989" s="70">
        <v>1</v>
      </c>
      <c r="E1989" s="114" t="str">
        <f>VLOOKUP(C1987,Tbl_Button_Display_ASSTS,11,FALSE)</f>
        <v>MsgBox</v>
      </c>
      <c r="F1989" s="12" t="str">
        <f>VLOOKUP(C1987,Tbl_Button_Display_ASSTS,12,FALSE)</f>
        <v>설정온도=Hi, Mode=Floor 수동 설정</v>
      </c>
    </row>
    <row r="1990" spans="1:12" s="10" customFormat="1" hidden="1" outlineLevel="2">
      <c r="A1990" s="70">
        <v>1</v>
      </c>
      <c r="E1990" s="15" t="s">
        <v>5</v>
      </c>
      <c r="F1990" s="12">
        <f>VLOOKUP(C1987,Tbl_Button_Display_ASSTS,13,FALSE)</f>
        <v>10</v>
      </c>
    </row>
    <row r="1991" spans="1:12" s="10" customFormat="1" hidden="1" outlineLevel="2">
      <c r="A1991" s="70">
        <v>1</v>
      </c>
      <c r="G1991" s="10" t="s">
        <v>1368</v>
      </c>
      <c r="I1991" s="13" t="s">
        <v>744</v>
      </c>
    </row>
    <row r="1992" spans="1:12" s="10" customFormat="1" hidden="1" outlineLevel="2">
      <c r="A1992" s="70">
        <v>1</v>
      </c>
      <c r="G1992" s="10" t="s">
        <v>1369</v>
      </c>
      <c r="I1992" s="48" t="s">
        <v>744</v>
      </c>
    </row>
    <row r="1993" spans="1:12" s="10" customFormat="1" hidden="1" outlineLevel="2">
      <c r="A1993" s="70">
        <v>1</v>
      </c>
      <c r="G1993" s="10" t="e">
        <f>DrTempDispC</f>
        <v>#NAME?</v>
      </c>
      <c r="I1993" s="13" t="e">
        <f>VLOOKUP(C1987,Tbl_Button_Display_ASSTS,26,FALSE)</f>
        <v>#NAME?</v>
      </c>
    </row>
    <row r="1994" spans="1:12" s="10" customFormat="1" hidden="1" outlineLevel="2">
      <c r="A1994" s="70">
        <v>1</v>
      </c>
      <c r="G1994" s="10" t="e">
        <f>ModDisp</f>
        <v>#NAME?</v>
      </c>
      <c r="I1994" s="13" t="str">
        <f>VLOOKUP(C1987,Tbl_Button_Display_ASSTS,16,FALSE)</f>
        <v>Floor</v>
      </c>
    </row>
    <row r="1995" spans="1:12" s="10" customFormat="1" hidden="1" outlineLevel="2">
      <c r="A1995" s="70">
        <v>1</v>
      </c>
      <c r="G1995" s="10" t="e">
        <f>IntakeDisp</f>
        <v>#NAME?</v>
      </c>
      <c r="I1995" s="13" t="str">
        <f>VLOOKUP(C1987,Tbl_Button_Display_ASSTS,34,FALSE)</f>
        <v>FRE</v>
      </c>
    </row>
    <row r="1996" spans="1:12" s="10" customFormat="1" hidden="1" outlineLevel="2">
      <c r="A1996" s="70">
        <v>1</v>
      </c>
      <c r="G1996" s="10" t="e">
        <f>AcDisp</f>
        <v>#NAME?</v>
      </c>
      <c r="I1996" s="13" t="str">
        <f>VLOOKUP(C1987,Tbl_Button_Display_ASSTS,31,FALSE)</f>
        <v>Off</v>
      </c>
    </row>
    <row r="1997" spans="1:12" s="39" customFormat="1" hidden="1" outlineLevel="1">
      <c r="A1997" s="73">
        <v>1</v>
      </c>
      <c r="B1997" s="39" t="s">
        <v>155</v>
      </c>
      <c r="C1997" s="39" t="s">
        <v>1252</v>
      </c>
      <c r="D1997" s="39" t="e">
        <f>CONCATENATE(F1998," 시 ",G2013,",",G2014," ",I2004," 확인")</f>
        <v>#NAME?</v>
      </c>
    </row>
    <row r="1998" spans="1:12" s="10" customFormat="1" hidden="1" outlineLevel="2">
      <c r="A1998" s="70">
        <v>1</v>
      </c>
      <c r="E1998" s="114" t="str">
        <f>VLOOKUP(C1997,Tbl_Button_Display_ASSTS,11,FALSE)</f>
        <v>MsgBox</v>
      </c>
      <c r="F1998" s="13" t="e">
        <f>VLOOKUP(C1997,Tbl_Button_Display_ASSTS,12,FALSE)</f>
        <v>#NAME?</v>
      </c>
      <c r="J1998" s="15"/>
      <c r="L1998" s="130"/>
    </row>
    <row r="1999" spans="1:12" s="10" customFormat="1" hidden="1" outlineLevel="2">
      <c r="A1999" s="70">
        <v>1</v>
      </c>
      <c r="E1999" s="15" t="s">
        <v>5</v>
      </c>
      <c r="F1999" s="12">
        <f>VLOOKUP(C1997,Tbl_Button_Display_ASSTS,13,FALSE)</f>
        <v>0.5</v>
      </c>
    </row>
    <row r="2000" spans="1:12" s="10" customFormat="1" hidden="1" outlineLevel="2">
      <c r="A2000" s="70">
        <v>1</v>
      </c>
      <c r="G2000" s="10" t="s">
        <v>1368</v>
      </c>
      <c r="I2000" s="13" t="s">
        <v>744</v>
      </c>
    </row>
    <row r="2001" spans="1:12" s="10" customFormat="1" hidden="1" outlineLevel="2">
      <c r="A2001" s="70">
        <v>1</v>
      </c>
      <c r="G2001" s="10" t="s">
        <v>1369</v>
      </c>
      <c r="I2001" s="48" t="s">
        <v>744</v>
      </c>
    </row>
    <row r="2002" spans="1:12" s="10" customFormat="1" hidden="1" outlineLevel="2">
      <c r="A2002" s="70">
        <v>1</v>
      </c>
      <c r="G2002" s="10" t="e">
        <f>DrTempDispC</f>
        <v>#NAME?</v>
      </c>
      <c r="I2002" s="13" t="e">
        <f>VLOOKUP(C1997,Tbl_Button_Display_ASSTS,26,FALSE)</f>
        <v>#NAME?</v>
      </c>
    </row>
    <row r="2003" spans="1:12" s="10" customFormat="1" hidden="1" outlineLevel="2">
      <c r="A2003" s="70">
        <v>1</v>
      </c>
      <c r="G2003" s="10" t="e">
        <f>ModDisp</f>
        <v>#NAME?</v>
      </c>
      <c r="I2003" s="13" t="e">
        <f>VLOOKUP(C1997,Tbl_Button_Display_ASSTS,16,FALSE)</f>
        <v>#NAME?</v>
      </c>
      <c r="L2003" s="130"/>
    </row>
    <row r="2004" spans="1:12" s="10" customFormat="1" hidden="1" outlineLevel="2">
      <c r="A2004" s="70">
        <v>1</v>
      </c>
      <c r="G2004" s="10" t="e">
        <f>IntakeDisp</f>
        <v>#NAME?</v>
      </c>
      <c r="I2004" s="13" t="str">
        <f>VLOOKUP(C1997,Tbl_Button_Display_ASSTS,34,FALSE)</f>
        <v>0.5초 간격으로 점/소등 확인</v>
      </c>
      <c r="L2004" s="130"/>
    </row>
    <row r="2005" spans="1:12" s="10" customFormat="1" hidden="1" outlineLevel="2">
      <c r="A2005" s="70">
        <v>1</v>
      </c>
      <c r="G2005" s="10" t="e">
        <f>AcDisp</f>
        <v>#NAME?</v>
      </c>
      <c r="I2005" s="13" t="str">
        <f>VLOOKUP(C1997,Tbl_Button_Display_ASSTS,31,FALSE)</f>
        <v>0.5초 간격으로 점/소등 확인</v>
      </c>
    </row>
    <row r="2006" spans="1:12" s="39" customFormat="1" hidden="1" outlineLevel="1">
      <c r="A2006" s="73">
        <v>1</v>
      </c>
      <c r="B2006" s="39" t="s">
        <v>155</v>
      </c>
      <c r="C2006" s="39" t="s">
        <v>1253</v>
      </c>
      <c r="D2006" s="39" t="str">
        <f>CONCATENATE(E2007," ",F2007,"회 선택으로 System On 시, PTC 강제구동 로직 진입 확인 ")</f>
        <v xml:space="preserve">Sw_DrTemp_Up 1회 선택으로 System On 시, PTC 강제구동 로직 진입 확인 </v>
      </c>
      <c r="L2006" s="131"/>
    </row>
    <row r="2007" spans="1:12" s="10" customFormat="1" hidden="1" outlineLevel="2">
      <c r="A2007" s="70">
        <v>1</v>
      </c>
      <c r="E2007" s="114" t="str">
        <f>VLOOKUP(C2006,Tbl_Button_Display_ASSTS,11,FALSE)</f>
        <v>Sw_DrTemp_Up</v>
      </c>
      <c r="F2007" s="13">
        <f>VLOOKUP(C2006,Tbl_Button_Display_ASSTS,12,FALSE)</f>
        <v>1</v>
      </c>
      <c r="J2007" s="15"/>
      <c r="L2007" s="130"/>
    </row>
    <row r="2008" spans="1:12" s="10" customFormat="1" hidden="1" outlineLevel="2">
      <c r="A2008" s="70">
        <v>1</v>
      </c>
      <c r="E2008" s="15" t="s">
        <v>5</v>
      </c>
      <c r="F2008" s="12">
        <f>VLOOKUP(C2006,Tbl_Button_Display_ASSTS,13,FALSE)</f>
        <v>3</v>
      </c>
    </row>
    <row r="2009" spans="1:12" s="10" customFormat="1" hidden="1" outlineLevel="2">
      <c r="A2009" s="70">
        <v>1</v>
      </c>
      <c r="G2009" s="10" t="s">
        <v>1368</v>
      </c>
      <c r="I2009" s="13" t="s">
        <v>1376</v>
      </c>
      <c r="L2009" s="130"/>
    </row>
    <row r="2010" spans="1:12" s="10" customFormat="1" hidden="1" outlineLevel="2">
      <c r="A2010" s="70">
        <v>1</v>
      </c>
      <c r="G2010" s="10" t="s">
        <v>1369</v>
      </c>
      <c r="I2010" s="48" t="s">
        <v>744</v>
      </c>
      <c r="L2010" s="130"/>
    </row>
    <row r="2011" spans="1:12" s="10" customFormat="1" hidden="1" outlineLevel="2">
      <c r="A2011" s="70">
        <v>1</v>
      </c>
      <c r="G2011" s="10" t="e">
        <f>DrTempDispC</f>
        <v>#NAME?</v>
      </c>
      <c r="I2011" s="13" t="e">
        <f>VLOOKUP(C2006,Tbl_Button_Display_ASSTS,26,FALSE)</f>
        <v>#NAME?</v>
      </c>
    </row>
    <row r="2012" spans="1:12" s="10" customFormat="1" hidden="1" outlineLevel="2">
      <c r="A2012" s="70">
        <v>1</v>
      </c>
      <c r="G2012" s="10" t="e">
        <f>ModDisp</f>
        <v>#NAME?</v>
      </c>
      <c r="I2012" s="13" t="str">
        <f>VLOOKUP(C2006,Tbl_Button_Display_ASSTS,16,FALSE)</f>
        <v>Floor</v>
      </c>
    </row>
    <row r="2013" spans="1:12" s="10" customFormat="1" hidden="1" outlineLevel="2">
      <c r="A2013" s="70">
        <v>1</v>
      </c>
      <c r="G2013" s="10" t="e">
        <f>IntakeDisp</f>
        <v>#NAME?</v>
      </c>
      <c r="I2013" s="13" t="str">
        <f>VLOOKUP(C2006,Tbl_Button_Display_ASSTS,34,FALSE)</f>
        <v>0.5초 간격으로 점/소등 확인</v>
      </c>
    </row>
    <row r="2014" spans="1:12" s="10" customFormat="1" hidden="1" outlineLevel="2">
      <c r="A2014" s="70">
        <v>1</v>
      </c>
      <c r="G2014" s="10" t="e">
        <f>AcDisp</f>
        <v>#NAME?</v>
      </c>
      <c r="I2014" s="13" t="str">
        <f>VLOOKUP(C2006,Tbl_Button_Display_ASSTS,31,FALSE)</f>
        <v>0.5초 간격으로 점/소등 확인</v>
      </c>
    </row>
    <row r="2015" spans="1:12" s="10" customFormat="1" hidden="1" outlineLevel="2">
      <c r="A2015" s="70">
        <v>1</v>
      </c>
      <c r="E2015" s="15" t="s">
        <v>5</v>
      </c>
      <c r="F2015" s="12">
        <f>VLOOKUP(C2006,Tbl_Button_Display_ASSTS,13,FALSE)</f>
        <v>3</v>
      </c>
    </row>
    <row r="2016" spans="1:12" s="10" customFormat="1" hidden="1" outlineLevel="2">
      <c r="A2016" s="70">
        <v>1</v>
      </c>
      <c r="G2016" s="10" t="s">
        <v>1368</v>
      </c>
      <c r="I2016" s="13" t="s">
        <v>1376</v>
      </c>
    </row>
    <row r="2017" spans="1:12" s="10" customFormat="1" hidden="1" outlineLevel="2">
      <c r="A2017" s="70">
        <v>1</v>
      </c>
      <c r="G2017" s="10" t="s">
        <v>1369</v>
      </c>
      <c r="I2017" s="48" t="s">
        <v>1376</v>
      </c>
    </row>
    <row r="2018" spans="1:12" s="39" customFormat="1" hidden="1" outlineLevel="1">
      <c r="A2018" s="73">
        <v>1</v>
      </c>
      <c r="B2018" s="39" t="s">
        <v>155</v>
      </c>
      <c r="C2018" s="39" t="s">
        <v>1405</v>
      </c>
      <c r="D2018" s="39" t="str">
        <f>CONCATENATE("진입 후 ",E2019," ",F2019,"회 선택 시, PTC 강제구동 로직 해제 확인 ")</f>
        <v xml:space="preserve">진입 후 Sw_AC 1회 선택 시, PTC 강제구동 로직 해제 확인 </v>
      </c>
      <c r="L2018" s="131"/>
    </row>
    <row r="2019" spans="1:12" s="10" customFormat="1" hidden="1" outlineLevel="2">
      <c r="A2019" s="70">
        <v>1</v>
      </c>
      <c r="E2019" s="114" t="str">
        <f>VLOOKUP(C2018,Tbl_Button_Display_ASSTS,11,FALSE)</f>
        <v>Sw_AC</v>
      </c>
      <c r="F2019" s="13">
        <f>VLOOKUP(C2018,Tbl_Button_Display_ASSTS,12,FALSE)</f>
        <v>1</v>
      </c>
      <c r="J2019" s="15"/>
      <c r="L2019" s="130"/>
    </row>
    <row r="2020" spans="1:12" s="10" customFormat="1" hidden="1" outlineLevel="2">
      <c r="A2020" s="70">
        <v>1</v>
      </c>
      <c r="E2020" s="15" t="s">
        <v>5</v>
      </c>
      <c r="F2020" s="12">
        <f>VLOOKUP(C2018,Tbl_Button_Display_ASSTS,13,FALSE)</f>
        <v>0</v>
      </c>
    </row>
    <row r="2021" spans="1:12" s="10" customFormat="1" hidden="1" outlineLevel="2">
      <c r="A2021" s="70">
        <v>1</v>
      </c>
      <c r="G2021" s="10" t="s">
        <v>1368</v>
      </c>
      <c r="I2021" s="13" t="s">
        <v>744</v>
      </c>
    </row>
    <row r="2022" spans="1:12" s="10" customFormat="1" hidden="1" outlineLevel="2">
      <c r="A2022" s="70">
        <v>1</v>
      </c>
      <c r="G2022" s="10" t="s">
        <v>1369</v>
      </c>
      <c r="I2022" s="48" t="s">
        <v>744</v>
      </c>
    </row>
    <row r="2023" spans="1:12" s="10" customFormat="1" hidden="1" outlineLevel="2">
      <c r="A2023" s="70">
        <v>1</v>
      </c>
      <c r="G2023" s="10" t="e">
        <f>DrTempDispC</f>
        <v>#NAME?</v>
      </c>
      <c r="I2023" s="13" t="e">
        <f>VLOOKUP(C2018,Tbl_Button_Display_ASSTS,26,FALSE)</f>
        <v>#NAME?</v>
      </c>
    </row>
    <row r="2024" spans="1:12" s="10" customFormat="1" hidden="1" outlineLevel="2">
      <c r="A2024" s="70">
        <v>1</v>
      </c>
      <c r="G2024" s="10" t="e">
        <f>ModDisp</f>
        <v>#NAME?</v>
      </c>
      <c r="I2024" s="13" t="str">
        <f>VLOOKUP(C2018,Tbl_Button_Display_ASSTS,16,FALSE)</f>
        <v>Floor</v>
      </c>
    </row>
    <row r="2025" spans="1:12" s="10" customFormat="1" hidden="1" outlineLevel="2">
      <c r="A2025" s="70">
        <v>1</v>
      </c>
      <c r="G2025" s="10" t="e">
        <f>IntakeDisp</f>
        <v>#NAME?</v>
      </c>
      <c r="I2025" s="13" t="str">
        <f>VLOOKUP(C2018,Tbl_Button_Display_ASSTS,34,FALSE)</f>
        <v>FRE</v>
      </c>
    </row>
    <row r="2026" spans="1:12" s="10" customFormat="1" hidden="1" outlineLevel="2">
      <c r="A2026" s="70">
        <v>1</v>
      </c>
      <c r="G2026" s="10" t="e">
        <f>AcDisp</f>
        <v>#NAME?</v>
      </c>
      <c r="I2026" s="13" t="str">
        <f>VLOOKUP(C2018,Tbl_Button_Display_ASSTS,31,FALSE)</f>
        <v>Off</v>
      </c>
      <c r="L2026" s="130"/>
    </row>
    <row r="2027" spans="1:12" s="127" customFormat="1" ht="15">
      <c r="A2027" s="126">
        <v>1</v>
      </c>
      <c r="B2027" s="127" t="s">
        <v>565</v>
      </c>
      <c r="C2027" s="127" t="s">
        <v>611</v>
      </c>
      <c r="D2027" s="127" t="str">
        <f t="shared" ref="D2027" si="21">VLOOKUP(B2027,Tbl_Button_Display_ASSTS,2,FALSE)</f>
        <v>DEF시 TEMP 하한치 규제 &lt;EV 外 차종&gt;</v>
      </c>
      <c r="F2027" s="82"/>
    </row>
    <row r="2028" spans="1:12" s="123" customFormat="1" ht="14.65" customHeight="1" collapsed="1">
      <c r="A2028" s="122">
        <v>1</v>
      </c>
      <c r="B2028" s="123" t="s">
        <v>7</v>
      </c>
      <c r="C2028" s="123" t="s">
        <v>1254</v>
      </c>
      <c r="D2028" s="123" t="str">
        <f>VLOOKUP(C2028,Tbl_Button_Display_ASSTS, 2,FALSE)</f>
        <v>DEF시 TEMP 하한치 규제 동작 확인</v>
      </c>
    </row>
    <row r="2029" spans="1:12" s="125" customFormat="1" hidden="1" outlineLevel="1">
      <c r="A2029" s="124">
        <v>1</v>
      </c>
      <c r="B2029" s="125" t="s">
        <v>38</v>
      </c>
      <c r="C2029" s="125" t="s">
        <v>1255</v>
      </c>
      <c r="D2029" s="125" t="s">
        <v>39</v>
      </c>
    </row>
    <row r="2030" spans="1:12" s="10" customFormat="1" hidden="1" outlineLevel="2">
      <c r="A2030" s="70">
        <v>1</v>
      </c>
      <c r="E2030" s="114" t="e">
        <f>Incar_IN</f>
        <v>#NAME?</v>
      </c>
      <c r="F2030" s="65" cm="1">
        <f t="array" ref="F2030">VINTERPOLATION(VLOOKUP(C2029,Tbl_Button_Display_ASSTS,2,FALSE),Tbl_Incar_Sensor,3)</f>
        <v>0.99601123277225601</v>
      </c>
    </row>
    <row r="2031" spans="1:12" s="10" customFormat="1" hidden="1" outlineLevel="2">
      <c r="A2031" s="70">
        <v>1</v>
      </c>
      <c r="E2031" s="114" t="e">
        <f>Amb_IN</f>
        <v>#NAME?</v>
      </c>
      <c r="F2031" s="65" cm="1">
        <f t="array" ref="F2031">VINTERPOLATION(VLOOKUP(C2029,Tbl_Button_Display_ASSTS,3,FALSE),Tbl_Amb_Sensor,3)</f>
        <v>2.5</v>
      </c>
    </row>
    <row r="2032" spans="1:12" s="10" customFormat="1" hidden="1" outlineLevel="2">
      <c r="A2032" s="70">
        <v>1</v>
      </c>
      <c r="E2032" s="114" t="e">
        <f>EvaDr_IN</f>
        <v>#NAME?</v>
      </c>
      <c r="F2032" s="65" cm="1">
        <f t="array" ref="F2032">VINTERPOLATION(VLOOKUP(C2029,Tbl_Button_Display_ASSTS,4,FALSE),Tbl_Eva_Sensor,3)</f>
        <v>1.9281179602703256</v>
      </c>
    </row>
    <row r="2033" spans="1:10" s="10" customFormat="1" hidden="1" outlineLevel="2">
      <c r="A2033" s="70">
        <v>1</v>
      </c>
      <c r="E2033" s="114" t="str">
        <f>VLOOKUP(C2029,Tbl_Button_Display_ASSTS,11,FALSE)</f>
        <v>MsgBox</v>
      </c>
      <c r="F2033" s="12" t="e">
        <f>VLOOKUP(C2029,Tbl_Button_Display_ASSTS,12,FALSE)</f>
        <v>#NAME?</v>
      </c>
    </row>
    <row r="2034" spans="1:10" s="10" customFormat="1" hidden="1" outlineLevel="2">
      <c r="A2034" s="70">
        <v>1</v>
      </c>
      <c r="E2034" s="114" t="s">
        <v>95</v>
      </c>
      <c r="F2034" s="12" t="s">
        <v>1189</v>
      </c>
    </row>
    <row r="2035" spans="1:10" s="10" customFormat="1" hidden="1" outlineLevel="2">
      <c r="A2035" s="70">
        <v>1</v>
      </c>
      <c r="E2035" s="15" t="s">
        <v>5</v>
      </c>
      <c r="F2035" s="12">
        <f>VLOOKUP(C2029,Tbl_Button_Display_ASSTS,13,FALSE)</f>
        <v>10</v>
      </c>
    </row>
    <row r="2036" spans="1:10" s="10" customFormat="1" hidden="1" outlineLevel="2">
      <c r="A2036" s="70">
        <v>1</v>
      </c>
      <c r="F2036" s="87"/>
      <c r="G2036" s="10" t="e">
        <f>Incar_OUT</f>
        <v>#NAME?</v>
      </c>
      <c r="I2036" s="13">
        <f>VLOOKUP(C2029,Tbl_Button_Display_ASSTS,2,FALSE)</f>
        <v>60</v>
      </c>
    </row>
    <row r="2037" spans="1:10" s="10" customFormat="1" hidden="1" outlineLevel="2">
      <c r="A2037" s="70">
        <v>1</v>
      </c>
      <c r="F2037" s="87"/>
      <c r="G2037" s="10" t="e">
        <f>Amb_OUT</f>
        <v>#NAME?</v>
      </c>
      <c r="I2037" s="13">
        <f>VLOOKUP(C2029,Tbl_Button_Display_ASSTS,3,FALSE)</f>
        <v>25</v>
      </c>
    </row>
    <row r="2038" spans="1:10" s="10" customFormat="1" hidden="1" outlineLevel="2">
      <c r="A2038" s="70">
        <v>1</v>
      </c>
      <c r="F2038" s="87"/>
      <c r="G2038" s="10" t="e">
        <f>EvaDr_OUT</f>
        <v>#NAME?</v>
      </c>
      <c r="I2038" s="13">
        <f>VLOOKUP(C2029,Tbl_Button_Display_ASSTS,4,FALSE)</f>
        <v>9</v>
      </c>
    </row>
    <row r="2039" spans="1:10" s="10" customFormat="1" hidden="1" outlineLevel="2">
      <c r="A2039" s="70">
        <v>1</v>
      </c>
      <c r="G2039" s="10" t="e">
        <f>ModDisp</f>
        <v>#NAME?</v>
      </c>
      <c r="I2039" s="13" t="str">
        <f>VLOOKUP(C2029,Tbl_Button_Display_ASSTS,16,FALSE)</f>
        <v>Vent</v>
      </c>
    </row>
    <row r="2040" spans="1:10" s="10" customFormat="1" hidden="1" outlineLevel="2">
      <c r="A2040" s="70">
        <v>1</v>
      </c>
      <c r="G2040" s="10" t="e">
        <f>AcDisp</f>
        <v>#NAME?</v>
      </c>
      <c r="I2040" s="13" t="str">
        <f>VLOOKUP(C2029,Tbl_Button_Display_ASSTS,31,FALSE)</f>
        <v>On</v>
      </c>
    </row>
    <row r="2041" spans="1:10" s="10" customFormat="1" hidden="1" outlineLevel="2">
      <c r="A2041" s="70">
        <v>1</v>
      </c>
      <c r="G2041" s="10" t="e">
        <f>AcnReqSwi</f>
        <v>#NAME?</v>
      </c>
      <c r="I2041" s="13" t="str">
        <f>VLOOKUP(C2029,Tbl_Button_Display_ASSTS,32,FALSE)</f>
        <v>On</v>
      </c>
    </row>
    <row r="2042" spans="1:10" s="10" customFormat="1" hidden="1" outlineLevel="2">
      <c r="A2042" s="70">
        <v>1</v>
      </c>
      <c r="G2042" s="10" t="e">
        <f>Act_DrTemp</f>
        <v>#NAME?</v>
      </c>
      <c r="H2042" s="49" t="e">
        <f>VLOOKUP(C2029,Tbl_Button_Display_ASSTS,39,FALSE)</f>
        <v>#NAME?</v>
      </c>
      <c r="I2042" s="47" t="e">
        <f>IF(H2042="","",VLOOKUP(H2042,Tbl_TempFB_Volt,2,FALSE))</f>
        <v>#NAME?</v>
      </c>
    </row>
    <row r="2043" spans="1:10" s="10" customFormat="1" hidden="1" outlineLevel="2">
      <c r="A2043" s="70">
        <v>1</v>
      </c>
      <c r="G2043" s="10" t="e">
        <f>Act_PsTemp</f>
        <v>#NAME?</v>
      </c>
      <c r="H2043" s="49" t="e">
        <f>VLOOKUP(C2029,Tbl_Button_Display_ASSTS,40,FALSE)</f>
        <v>#NAME?</v>
      </c>
      <c r="I2043" s="47" t="e">
        <f>IF(H2043="","",VLOOKUP(H2043,Tbl_TempFB_Volt,2,FALSE))</f>
        <v>#NAME?</v>
      </c>
    </row>
    <row r="2044" spans="1:10" s="39" customFormat="1" hidden="1" outlineLevel="1">
      <c r="A2044" s="73">
        <v>1</v>
      </c>
      <c r="B2044" s="39" t="s">
        <v>155</v>
      </c>
      <c r="C2044" s="39" t="s">
        <v>1256</v>
      </c>
      <c r="D2044" s="39" t="e">
        <f>CONCATENATE(E2045," ",F2045,"회 선택 시, ",I2047,"V 로 Temp 하한치 규제 확인")</f>
        <v>#NAME?</v>
      </c>
    </row>
    <row r="2045" spans="1:10" s="10" customFormat="1" hidden="1" outlineLevel="2">
      <c r="A2045" s="70">
        <v>1</v>
      </c>
      <c r="E2045" s="114" t="str">
        <f>VLOOKUP(C2044,Tbl_Button_Display_ASSTS,11,FALSE)</f>
        <v>Sw_DEF</v>
      </c>
      <c r="F2045" s="12">
        <f>VLOOKUP(C2044,Tbl_Button_Display_ASSTS,12,FALSE)</f>
        <v>1</v>
      </c>
      <c r="J2045" s="15"/>
    </row>
    <row r="2046" spans="1:10" s="10" customFormat="1" hidden="1" outlineLevel="2">
      <c r="A2046" s="70">
        <v>1</v>
      </c>
      <c r="E2046" s="15" t="s">
        <v>5</v>
      </c>
      <c r="F2046" s="12">
        <f>VLOOKUP(C2044,Tbl_Button_Display_ASSTS,13,FALSE)</f>
        <v>2</v>
      </c>
    </row>
    <row r="2047" spans="1:10" s="10" customFormat="1" hidden="1" outlineLevel="2">
      <c r="A2047" s="70">
        <v>1</v>
      </c>
      <c r="G2047" s="10" t="e">
        <f>Act_DrTemp</f>
        <v>#NAME?</v>
      </c>
      <c r="H2047" s="49" t="str">
        <f>VLOOKUP(C2044,Tbl_Button_Display_ASSTS,39,FALSE)</f>
        <v>TempLimit</v>
      </c>
      <c r="I2047" s="47" t="e">
        <f>IF(H2047="","",VLOOKUP(H2047,Tbl_TempFB_Volt,2,FALSE))</f>
        <v>#NAME?</v>
      </c>
    </row>
    <row r="2048" spans="1:10" s="10" customFormat="1" hidden="1" outlineLevel="2">
      <c r="A2048" s="70">
        <v>1</v>
      </c>
      <c r="G2048" s="10" t="e">
        <f>Act_PsTemp</f>
        <v>#NAME?</v>
      </c>
      <c r="H2048" s="49" t="str">
        <f>VLOOKUP(C2044,Tbl_Button_Display_ASSTS,40,FALSE)</f>
        <v>TempLimit</v>
      </c>
      <c r="I2048" s="47" t="e">
        <f>IF(H2048="","",VLOOKUP(H2048,Tbl_TempFB_Volt,2,FALSE))</f>
        <v>#NAME?</v>
      </c>
    </row>
    <row r="2049" spans="1:10" s="39" customFormat="1" hidden="1" outlineLevel="1">
      <c r="A2049" s="73">
        <v>1</v>
      </c>
      <c r="B2049" s="39" t="s">
        <v>155</v>
      </c>
      <c r="C2049" s="39" t="s">
        <v>1257</v>
      </c>
      <c r="D2049" s="39" t="e">
        <f>CONCATENATE(E2050," ",F2050,"회 선택 시, ",I2052,"V 로 Temp 하한치 규제 해제 확인")</f>
        <v>#NAME?</v>
      </c>
    </row>
    <row r="2050" spans="1:10" s="10" customFormat="1" hidden="1" outlineLevel="2">
      <c r="A2050" s="70">
        <v>1</v>
      </c>
      <c r="E2050" s="114" t="str">
        <f>VLOOKUP(C2049,Tbl_Button_Display_ASSTS,11,FALSE)</f>
        <v>Sw_DEF</v>
      </c>
      <c r="F2050" s="12">
        <f>VLOOKUP(C2049,Tbl_Button_Display_ASSTS,12,FALSE)</f>
        <v>1</v>
      </c>
      <c r="J2050" s="15"/>
    </row>
    <row r="2051" spans="1:10" s="10" customFormat="1" hidden="1" outlineLevel="2">
      <c r="A2051" s="70">
        <v>1</v>
      </c>
      <c r="E2051" s="15" t="s">
        <v>5</v>
      </c>
      <c r="F2051" s="12">
        <f>VLOOKUP(C2049,Tbl_Button_Display_ASSTS,13,FALSE)</f>
        <v>2</v>
      </c>
    </row>
    <row r="2052" spans="1:10" s="10" customFormat="1" hidden="1" outlineLevel="2">
      <c r="A2052" s="70">
        <v>1</v>
      </c>
      <c r="G2052" s="10" t="e">
        <f>Act_DrTemp</f>
        <v>#NAME?</v>
      </c>
      <c r="H2052" s="49" t="e">
        <f>VLOOKUP(C2049,Tbl_Button_Display_ASSTS,39,FALSE)</f>
        <v>#NAME?</v>
      </c>
      <c r="I2052" s="47" t="e">
        <f>IF(H2052="","",VLOOKUP(H2052,Tbl_TempFB_Volt,2,FALSE))</f>
        <v>#NAME?</v>
      </c>
    </row>
    <row r="2053" spans="1:10" s="10" customFormat="1" hidden="1" outlineLevel="2">
      <c r="A2053" s="70">
        <v>1</v>
      </c>
      <c r="G2053" s="10" t="e">
        <f>Act_PsTemp</f>
        <v>#NAME?</v>
      </c>
      <c r="H2053" s="49" t="e">
        <f>VLOOKUP(C2049,Tbl_Button_Display_ASSTS,40,FALSE)</f>
        <v>#NAME?</v>
      </c>
      <c r="I2053" s="47" t="e">
        <f>IF(H2053="","",VLOOKUP(H2053,Tbl_TempFB_Volt,2,FALSE))</f>
        <v>#NAME?</v>
      </c>
    </row>
    <row r="2054" spans="1:10" s="127" customFormat="1" ht="15">
      <c r="A2054" s="66">
        <v>1</v>
      </c>
      <c r="B2054" s="40" t="s">
        <v>566</v>
      </c>
      <c r="C2054" s="127" t="s">
        <v>612</v>
      </c>
      <c r="D2054" s="127" t="str">
        <f t="shared" ref="D2054" si="22">VLOOKUP(B2054,Tbl_Button_Display_ASSTS,2,FALSE)</f>
        <v>Floor 모드 시 DEF 토출방지 로직</v>
      </c>
      <c r="F2054" s="82"/>
    </row>
    <row r="2055" spans="1:10" s="123" customFormat="1" ht="14.65" customHeight="1" collapsed="1">
      <c r="A2055" s="122">
        <v>1</v>
      </c>
      <c r="B2055" s="123" t="s">
        <v>7</v>
      </c>
      <c r="C2055" s="123" t="s">
        <v>1259</v>
      </c>
      <c r="D2055" s="123" t="str">
        <f>VLOOKUP(C2055,Tbl_Button_Display_ASSTS, 2,FALSE)</f>
        <v>Floor 모드 시 DEF 토출방지 동작 확인</v>
      </c>
    </row>
    <row r="2056" spans="1:10" s="125" customFormat="1" hidden="1" outlineLevel="1">
      <c r="A2056" s="124">
        <v>1</v>
      </c>
      <c r="B2056" s="125" t="s">
        <v>38</v>
      </c>
      <c r="C2056" s="125" t="s">
        <v>1260</v>
      </c>
      <c r="D2056" s="125" t="s">
        <v>39</v>
      </c>
    </row>
    <row r="2057" spans="1:10" s="10" customFormat="1" hidden="1" outlineLevel="2">
      <c r="A2057" s="70">
        <v>1</v>
      </c>
      <c r="E2057" s="114" t="e">
        <f>EvaDr_IN</f>
        <v>#NAME?</v>
      </c>
      <c r="F2057" s="65" cm="1">
        <f t="array" ref="F2057">VINTERPOLATION(VLOOKUP(C2056,Tbl_Button_Display_ASSTS,4,FALSE),Tbl_Eva_Sensor,3)</f>
        <v>1.7384213959556425</v>
      </c>
    </row>
    <row r="2058" spans="1:10" s="10" customFormat="1" hidden="1" outlineLevel="2">
      <c r="A2058" s="70">
        <v>1</v>
      </c>
      <c r="E2058" s="15" t="s">
        <v>5</v>
      </c>
      <c r="F2058" s="12">
        <f>VLOOKUP(C2056,Tbl_Button_Display_ASSTS,13,FALSE)</f>
        <v>10</v>
      </c>
    </row>
    <row r="2059" spans="1:10" s="10" customFormat="1" hidden="1" outlineLevel="2">
      <c r="A2059" s="70">
        <v>1</v>
      </c>
      <c r="F2059" s="87"/>
      <c r="G2059" s="10" t="e">
        <f>EvaDr_OUT</f>
        <v>#NAME?</v>
      </c>
      <c r="I2059" s="13">
        <f>VLOOKUP(C2056,Tbl_Button_Display_ASSTS,4,FALSE)</f>
        <v>13</v>
      </c>
    </row>
    <row r="2060" spans="1:10" s="10" customFormat="1" hidden="1" outlineLevel="2">
      <c r="A2060" s="70">
        <v>1</v>
      </c>
      <c r="G2060" s="10" t="e">
        <f>ModDisp</f>
        <v>#NAME?</v>
      </c>
      <c r="I2060" s="13" t="str">
        <f>VLOOKUP(C2056,Tbl_Button_Display_ASSTS,16,FALSE)</f>
        <v>Vent</v>
      </c>
    </row>
    <row r="2061" spans="1:10" s="10" customFormat="1" hidden="1" outlineLevel="2">
      <c r="A2061" s="70">
        <v>1</v>
      </c>
      <c r="G2061" s="10" t="e">
        <f>AcDisp</f>
        <v>#NAME?</v>
      </c>
      <c r="I2061" s="13" t="str">
        <f>VLOOKUP(C2056,Tbl_Button_Display_ASSTS,31,FALSE)</f>
        <v>On</v>
      </c>
    </row>
    <row r="2062" spans="1:10" s="10" customFormat="1" hidden="1" outlineLevel="2">
      <c r="A2062" s="70">
        <v>1</v>
      </c>
      <c r="G2062" s="10" t="e">
        <f>AcnReqSwi</f>
        <v>#NAME?</v>
      </c>
      <c r="I2062" s="13" t="str">
        <f>VLOOKUP(C2056,Tbl_Button_Display_ASSTS,32,FALSE)</f>
        <v>On</v>
      </c>
    </row>
    <row r="2063" spans="1:10" s="10" customFormat="1" hidden="1" outlineLevel="2">
      <c r="A2063" s="70">
        <v>1</v>
      </c>
      <c r="G2063" s="10" t="e">
        <f>Act_DrMode</f>
        <v>#NAME?</v>
      </c>
      <c r="H2063" s="49" t="str">
        <f>VLOOKUP(C2056,Tbl_Button_Display_ASSTS,19,FALSE)</f>
        <v>Vent</v>
      </c>
      <c r="I2063" s="48" t="e">
        <f>IF(H2063="","",VLOOKUP(H2063,Tbl_ModeFB_Volt,2,FALSE))</f>
        <v>#NAME?</v>
      </c>
    </row>
    <row r="2064" spans="1:10" s="10" customFormat="1" hidden="1" outlineLevel="2">
      <c r="A2064" s="70">
        <v>1</v>
      </c>
      <c r="G2064" s="10" t="e">
        <f>Act_Def</f>
        <v>#NAME?</v>
      </c>
      <c r="H2064" s="49" t="str">
        <f>VLOOKUP(C2056,Tbl_Button_Display_ASSTS,22,FALSE)</f>
        <v>Vent</v>
      </c>
      <c r="I2064" s="48" t="e">
        <f>IF(H2064="","",VLOOKUP(H2064,Tbl_DefFB_Volt,2,FALSE))</f>
        <v>#NAME?</v>
      </c>
    </row>
    <row r="2065" spans="1:10" s="39" customFormat="1" hidden="1" outlineLevel="1">
      <c r="A2065" s="73">
        <v>1</v>
      </c>
      <c r="B2065" s="39" t="s">
        <v>155</v>
      </c>
      <c r="C2065" s="39" t="s">
        <v>1261</v>
      </c>
      <c r="D2065" s="39" t="str">
        <f>CONCATENATE(E2066," ",F2066,"회 선택 시, Floor 모드 DEF 토출방지 동작 확인 ")</f>
        <v xml:space="preserve">Sw_DrMode 2회 선택 시, Floor 모드 DEF 토출방지 동작 확인 </v>
      </c>
    </row>
    <row r="2066" spans="1:10" s="10" customFormat="1" hidden="1" outlineLevel="2">
      <c r="A2066" s="70">
        <v>1</v>
      </c>
      <c r="E2066" s="114" t="str">
        <f>VLOOKUP(C2065,Tbl_Button_Display_ASSTS,11,FALSE)</f>
        <v>Sw_DrMode</v>
      </c>
      <c r="F2066" s="12">
        <f>VLOOKUP(C2065,Tbl_Button_Display_ASSTS,12,FALSE)</f>
        <v>2</v>
      </c>
      <c r="J2066" s="15"/>
    </row>
    <row r="2067" spans="1:10" s="10" customFormat="1" hidden="1" outlineLevel="2">
      <c r="A2067" s="70">
        <v>1</v>
      </c>
      <c r="E2067" s="15" t="s">
        <v>5</v>
      </c>
      <c r="F2067" s="12">
        <f>VLOOKUP(C2065,Tbl_Button_Display_ASSTS,13,FALSE)</f>
        <v>2</v>
      </c>
    </row>
    <row r="2068" spans="1:10" s="10" customFormat="1" hidden="1" outlineLevel="2">
      <c r="A2068" s="70">
        <v>1</v>
      </c>
      <c r="G2068" s="10" t="e">
        <f>ModDisp</f>
        <v>#NAME?</v>
      </c>
      <c r="I2068" s="13" t="str">
        <f>VLOOKUP(C2065,Tbl_Button_Display_ASSTS,16,FALSE)</f>
        <v>Floor</v>
      </c>
    </row>
    <row r="2069" spans="1:10" s="10" customFormat="1" hidden="1" outlineLevel="2">
      <c r="A2069" s="70">
        <v>1</v>
      </c>
      <c r="G2069" s="10" t="e">
        <f>Act_DrMode</f>
        <v>#NAME?</v>
      </c>
      <c r="H2069" s="49" t="str">
        <f>VLOOKUP(C2065,Tbl_Button_Display_ASSTS,19,FALSE)</f>
        <v>100%Floor</v>
      </c>
      <c r="I2069" s="48" t="e">
        <f>IF(H2069="","",VLOOKUP(H2069,Tbl_ModeFB_Volt,2,FALSE))</f>
        <v>#NAME?</v>
      </c>
    </row>
    <row r="2070" spans="1:10" s="10" customFormat="1" hidden="1" outlineLevel="2">
      <c r="A2070" s="70">
        <v>1</v>
      </c>
      <c r="G2070" s="10" t="e">
        <f>Act_Def</f>
        <v>#NAME?</v>
      </c>
      <c r="H2070" s="49" t="str">
        <f>VLOOKUP(C2065,Tbl_Button_Display_ASSTS,22,FALSE)</f>
        <v>100%Floor</v>
      </c>
      <c r="I2070" s="48" t="e">
        <f>IF(H2070="","",VLOOKUP(H2070,Tbl_DefFB_Volt,2,FALSE))</f>
        <v>#NAME?</v>
      </c>
    </row>
    <row r="2071" spans="1:10" s="39" customFormat="1" hidden="1" outlineLevel="1">
      <c r="A2071" s="73">
        <v>1</v>
      </c>
      <c r="B2071" s="39" t="s">
        <v>155</v>
      </c>
      <c r="C2071" s="39" t="s">
        <v>1262</v>
      </c>
      <c r="D2071" s="39" t="str">
        <f>CONCATENATE(E2072," ",F2072,"회 선택 시, Floor 모드 DEF 토출방지 동작 해제 확인 ")</f>
        <v xml:space="preserve">Sw_DrMode 1회 선택 시, Floor 모드 DEF 토출방지 동작 해제 확인 </v>
      </c>
    </row>
    <row r="2072" spans="1:10" s="10" customFormat="1" hidden="1" outlineLevel="2">
      <c r="A2072" s="70">
        <v>1</v>
      </c>
      <c r="E2072" s="114" t="str">
        <f>VLOOKUP(C2071,Tbl_Button_Display_ASSTS,11,FALSE)</f>
        <v>Sw_DrMode</v>
      </c>
      <c r="F2072" s="12">
        <f>VLOOKUP(C2071,Tbl_Button_Display_ASSTS,12,FALSE)</f>
        <v>1</v>
      </c>
      <c r="J2072" s="15"/>
    </row>
    <row r="2073" spans="1:10" s="10" customFormat="1" hidden="1" outlineLevel="2">
      <c r="A2073" s="70">
        <v>1</v>
      </c>
      <c r="E2073" s="15" t="s">
        <v>5</v>
      </c>
      <c r="F2073" s="12">
        <f>VLOOKUP(C2071,Tbl_Button_Display_ASSTS,13,FALSE)</f>
        <v>2</v>
      </c>
    </row>
    <row r="2074" spans="1:10" s="10" customFormat="1" hidden="1" outlineLevel="2">
      <c r="A2074" s="70">
        <v>1</v>
      </c>
      <c r="G2074" s="10" t="e">
        <f>ModDisp</f>
        <v>#NAME?</v>
      </c>
      <c r="I2074" s="13" t="str">
        <f>VLOOKUP(C2071,Tbl_Button_Display_ASSTS,16,FALSE)</f>
        <v>MIX</v>
      </c>
    </row>
    <row r="2075" spans="1:10" s="10" customFormat="1" hidden="1" outlineLevel="2">
      <c r="A2075" s="70">
        <v>1</v>
      </c>
      <c r="G2075" s="10" t="e">
        <f>Act_DrMode</f>
        <v>#NAME?</v>
      </c>
      <c r="H2075" s="49" t="str">
        <f>VLOOKUP(C2071,Tbl_Button_Display_ASSTS,19,FALSE)</f>
        <v>MIX</v>
      </c>
      <c r="I2075" s="48" t="e">
        <f>IF(H2075="","",VLOOKUP(H2075,Tbl_ModeFB_Volt,2,FALSE))</f>
        <v>#NAME?</v>
      </c>
    </row>
    <row r="2076" spans="1:10" s="10" customFormat="1" hidden="1" outlineLevel="2">
      <c r="A2076" s="70">
        <v>1</v>
      </c>
      <c r="G2076" s="10" t="e">
        <f>Act_Def</f>
        <v>#NAME?</v>
      </c>
      <c r="H2076" s="49" t="str">
        <f>VLOOKUP(C2071,Tbl_Button_Display_ASSTS,22,FALSE)</f>
        <v>MIX</v>
      </c>
      <c r="I2076" s="48" t="e">
        <f>IF(H2076="","",VLOOKUP(H2076,Tbl_DefFB_Volt,2,FALSE))</f>
        <v>#NAME?</v>
      </c>
    </row>
    <row r="2077" spans="1:10" s="127" customFormat="1" ht="15">
      <c r="A2077" s="66">
        <v>1</v>
      </c>
      <c r="B2077" s="40" t="s">
        <v>567</v>
      </c>
      <c r="C2077" s="127" t="s">
        <v>613</v>
      </c>
      <c r="D2077" s="127" t="str">
        <f t="shared" ref="D2077" si="23">VLOOKUP(B2077,Tbl_Button_Display_ASSTS,2,FALSE)</f>
        <v>VENT BLEED 제어 (전지역 적용) ※ 유럽사양 H/W 구현 불가시 미적용</v>
      </c>
      <c r="F2077" s="82"/>
    </row>
    <row r="2078" spans="1:10" s="123" customFormat="1" ht="14.65" customHeight="1" collapsed="1">
      <c r="A2078" s="122">
        <v>1</v>
      </c>
      <c r="B2078" s="123" t="s">
        <v>7</v>
      </c>
      <c r="C2078" s="123" t="s">
        <v>1263</v>
      </c>
      <c r="D2078" s="123" t="str">
        <f>VLOOKUP(C2078,Tbl_Button_Display_ASSTS, 2,FALSE)</f>
        <v>VENT BLEED 제어 동작 확인</v>
      </c>
    </row>
    <row r="2079" spans="1:10" s="125" customFormat="1" hidden="1" outlineLevel="1">
      <c r="A2079" s="124">
        <v>1</v>
      </c>
      <c r="B2079" s="125" t="s">
        <v>38</v>
      </c>
      <c r="C2079" s="125" t="s">
        <v>1264</v>
      </c>
      <c r="D2079" s="125" t="s">
        <v>39</v>
      </c>
    </row>
    <row r="2080" spans="1:10" s="10" customFormat="1" hidden="1" outlineLevel="2">
      <c r="A2080" s="70">
        <v>1</v>
      </c>
      <c r="E2080" s="114" t="e">
        <f>Amb_IN</f>
        <v>#NAME?</v>
      </c>
      <c r="F2080" s="65" cm="1">
        <f t="array" ref="F2080">VINTERPOLATION(VLOOKUP(C2079,Tbl_Button_Display_ASSTS,3,FALSE),Tbl_Amb_Sensor,3)</f>
        <v>1.0084089518081907</v>
      </c>
    </row>
    <row r="2081" spans="1:10" s="10" customFormat="1" hidden="1" outlineLevel="2">
      <c r="A2081" s="70">
        <v>1</v>
      </c>
      <c r="E2081" s="114" t="str">
        <f>VLOOKUP(C2079,Tbl_Button_Display_ASSTS,11,FALSE)</f>
        <v>MsgBox</v>
      </c>
      <c r="F2081" s="12" t="str">
        <f>VLOOKUP(C2079,Tbl_Button_Display_ASSTS,12,FALSE)</f>
        <v>Mode=Mix 수동 설정</v>
      </c>
    </row>
    <row r="2082" spans="1:10" s="10" customFormat="1" hidden="1" outlineLevel="2">
      <c r="A2082" s="70">
        <v>1</v>
      </c>
      <c r="E2082" s="114" t="s">
        <v>95</v>
      </c>
      <c r="F2082" s="12" t="s">
        <v>1189</v>
      </c>
    </row>
    <row r="2083" spans="1:10" s="10" customFormat="1" hidden="1" outlineLevel="2">
      <c r="A2083" s="70">
        <v>1</v>
      </c>
      <c r="E2083" s="15" t="s">
        <v>5</v>
      </c>
      <c r="F2083" s="12">
        <f>VLOOKUP(C2079,Tbl_Button_Display_ASSTS,13,FALSE)</f>
        <v>10</v>
      </c>
    </row>
    <row r="2084" spans="1:10" s="10" customFormat="1" hidden="1" outlineLevel="2">
      <c r="A2084" s="70">
        <v>1</v>
      </c>
      <c r="F2084" s="87"/>
      <c r="G2084" s="10" t="e">
        <f>Amb_OUT</f>
        <v>#NAME?</v>
      </c>
      <c r="I2084" s="13">
        <f>VLOOKUP(C2079,Tbl_Button_Display_ASSTS,3,FALSE)</f>
        <v>60</v>
      </c>
    </row>
    <row r="2085" spans="1:10" s="10" customFormat="1" hidden="1" outlineLevel="2">
      <c r="A2085" s="70">
        <v>1</v>
      </c>
      <c r="G2085" s="10" t="e">
        <f>ModDisp</f>
        <v>#NAME?</v>
      </c>
      <c r="I2085" s="13" t="str">
        <f>VLOOKUP(C2079,Tbl_Button_Display_ASSTS,16,FALSE)</f>
        <v>MIX</v>
      </c>
    </row>
    <row r="2086" spans="1:10" s="10" customFormat="1" hidden="1" outlineLevel="2">
      <c r="A2086" s="70">
        <v>1</v>
      </c>
      <c r="G2086" s="10" t="e">
        <f>Act_DrMode</f>
        <v>#NAME?</v>
      </c>
      <c r="H2086" s="49" t="str">
        <f>VLOOKUP(C2079,Tbl_Button_Display_ASSTS,19,FALSE)</f>
        <v>MIX</v>
      </c>
      <c r="I2086" s="48" t="e">
        <f>IF(H2086="","",VLOOKUP(H2086,Tbl_ModeFB_Volt,2,FALSE))</f>
        <v>#NAME?</v>
      </c>
    </row>
    <row r="2087" spans="1:10" s="39" customFormat="1" hidden="1" outlineLevel="1">
      <c r="A2087" s="73">
        <v>1</v>
      </c>
      <c r="B2087" s="39" t="s">
        <v>155</v>
      </c>
      <c r="C2087" s="39" t="s">
        <v>1265</v>
      </c>
      <c r="D2087" s="39" t="str">
        <f>CONCATENATE(E2088," ", F2088,"회 선택 시, VENT BLEED 제어 확인")</f>
        <v>Sw_DrMode 1회 선택 시, VENT BLEED 제어 확인</v>
      </c>
    </row>
    <row r="2088" spans="1:10" s="10" customFormat="1" hidden="1" outlineLevel="2">
      <c r="A2088" s="70">
        <v>1</v>
      </c>
      <c r="E2088" s="114" t="str">
        <f>VLOOKUP(C2087,Tbl_Button_Display_ASSTS,11,FALSE)</f>
        <v>Sw_DrMode</v>
      </c>
      <c r="F2088" s="12">
        <f>VLOOKUP(C2087,Tbl_Button_Display_ASSTS,12,FALSE)</f>
        <v>1</v>
      </c>
    </row>
    <row r="2089" spans="1:10" s="10" customFormat="1" hidden="1" outlineLevel="2">
      <c r="A2089" s="70">
        <v>1</v>
      </c>
      <c r="E2089" s="15" t="s">
        <v>5</v>
      </c>
      <c r="F2089" s="12">
        <f>VLOOKUP(C2087,Tbl_Button_Display_ASSTS,13,FALSE)</f>
        <v>2</v>
      </c>
    </row>
    <row r="2090" spans="1:10" s="10" customFormat="1" hidden="1" outlineLevel="2">
      <c r="A2090" s="70">
        <v>1</v>
      </c>
      <c r="G2090" s="10" t="e">
        <f>ModDisp</f>
        <v>#NAME?</v>
      </c>
      <c r="I2090" s="13" t="str">
        <f>VLOOKUP(C2087,Tbl_Button_Display_ASSTS,16,FALSE)</f>
        <v>Vent</v>
      </c>
    </row>
    <row r="2091" spans="1:10" s="10" customFormat="1" hidden="1" outlineLevel="2">
      <c r="A2091" s="70">
        <v>1</v>
      </c>
      <c r="G2091" s="10" t="e">
        <f>Act_DrMode</f>
        <v>#NAME?</v>
      </c>
      <c r="H2091" s="49" t="str">
        <f>VLOOKUP(C2087,Tbl_Button_Display_ASSTS,19,FALSE)</f>
        <v>Vent Bleed</v>
      </c>
      <c r="I2091" s="48" t="e">
        <f>IF(H2091="","",VLOOKUP(H2091,Tbl_ModeFB_Volt,2,FALSE))</f>
        <v>#NAME?</v>
      </c>
    </row>
    <row r="2092" spans="1:10" s="39" customFormat="1" hidden="1" outlineLevel="1">
      <c r="A2092" s="73">
        <v>1</v>
      </c>
      <c r="B2092" s="39" t="s">
        <v>155</v>
      </c>
      <c r="C2092" s="39" t="s">
        <v>1266</v>
      </c>
      <c r="D2092" s="39" t="str">
        <f>CONCATENATE(E2093," ", F2093,"회 선택 시, VENT BLEED 제어 해제 확인")</f>
        <v>Sw_DrMode 4회 선택 시, VENT BLEED 제어 해제 확인</v>
      </c>
    </row>
    <row r="2093" spans="1:10" s="10" customFormat="1" hidden="1" outlineLevel="2">
      <c r="A2093" s="70">
        <v>1</v>
      </c>
      <c r="E2093" s="114" t="str">
        <f>VLOOKUP(C2092,Tbl_Button_Display_ASSTS,11,FALSE)</f>
        <v>Sw_DrMode</v>
      </c>
      <c r="F2093" s="12">
        <f>VLOOKUP(C2092,Tbl_Button_Display_ASSTS,12,FALSE)</f>
        <v>4</v>
      </c>
      <c r="J2093" s="15"/>
    </row>
    <row r="2094" spans="1:10" s="10" customFormat="1" hidden="1" outlineLevel="2">
      <c r="A2094" s="70">
        <v>1</v>
      </c>
      <c r="E2094" s="15" t="s">
        <v>5</v>
      </c>
      <c r="F2094" s="12">
        <f>VLOOKUP(C2092,Tbl_Button_Display_ASSTS,13,FALSE)</f>
        <v>2</v>
      </c>
    </row>
    <row r="2095" spans="1:10" s="10" customFormat="1" hidden="1" outlineLevel="2">
      <c r="A2095" s="70">
        <v>1</v>
      </c>
      <c r="G2095" s="10" t="e">
        <f>ModDisp</f>
        <v>#NAME?</v>
      </c>
      <c r="I2095" s="13" t="str">
        <f>VLOOKUP(C2092,Tbl_Button_Display_ASSTS,16,FALSE)</f>
        <v>Vent</v>
      </c>
    </row>
    <row r="2096" spans="1:10" s="10" customFormat="1" hidden="1" outlineLevel="2">
      <c r="A2096" s="70">
        <v>1</v>
      </c>
      <c r="G2096" s="10" t="e">
        <f>Act_DrMode</f>
        <v>#NAME?</v>
      </c>
      <c r="H2096" s="49" t="str">
        <f>VLOOKUP(C2092,Tbl_Button_Display_ASSTS,19,FALSE)</f>
        <v>Vent</v>
      </c>
      <c r="I2096" s="48" t="e">
        <f>IF(H2096="","",VLOOKUP(H2096,Tbl_ModeFB_Volt,2,FALSE))</f>
        <v>#NAME?</v>
      </c>
    </row>
    <row r="2097" spans="1:9" s="127" customFormat="1" ht="15">
      <c r="A2097" s="66">
        <v>1</v>
      </c>
      <c r="B2097" s="40" t="s">
        <v>568</v>
      </c>
      <c r="C2097" s="127" t="s">
        <v>614</v>
      </c>
      <c r="D2097" s="127" t="str">
        <f t="shared" ref="D2097" si="24">VLOOKUP(B2097,Tbl_Button_Display_ASSTS,2,FALSE)</f>
        <v>Quick Fog 방지로직 (전지역)</v>
      </c>
      <c r="F2097" s="82"/>
    </row>
    <row r="2098" spans="1:9" s="123" customFormat="1" ht="14.65" customHeight="1" collapsed="1">
      <c r="A2098" s="122">
        <v>1</v>
      </c>
      <c r="B2098" s="123" t="s">
        <v>7</v>
      </c>
      <c r="C2098" s="123" t="s">
        <v>1267</v>
      </c>
      <c r="D2098" s="123" t="str">
        <f>VLOOKUP(C2098,Tbl_Button_Display_ASSTS, 2,FALSE)</f>
        <v>Quick Fog 방지로직 동작 확인</v>
      </c>
    </row>
    <row r="2099" spans="1:9" s="125" customFormat="1" hidden="1" outlineLevel="1">
      <c r="A2099" s="124">
        <v>1</v>
      </c>
      <c r="B2099" s="125" t="s">
        <v>38</v>
      </c>
      <c r="C2099" s="125" t="s">
        <v>1268</v>
      </c>
      <c r="D2099" s="125" t="s">
        <v>39</v>
      </c>
    </row>
    <row r="2100" spans="1:9" s="10" customFormat="1" hidden="1" outlineLevel="2">
      <c r="A2100" s="70">
        <v>1</v>
      </c>
      <c r="E2100" s="114" t="e">
        <f>Incar_IN</f>
        <v>#NAME?</v>
      </c>
      <c r="F2100" s="65" cm="1">
        <f t="array" ref="F2100">VINTERPOLATION(VLOOKUP(C2099,Tbl_Button_Display_ASSTS,2,FALSE),Tbl_Incar_Sensor,3)</f>
        <v>3.3272756433630186</v>
      </c>
    </row>
    <row r="2101" spans="1:9" s="10" customFormat="1" hidden="1" outlineLevel="2">
      <c r="A2101" s="70">
        <v>1</v>
      </c>
      <c r="E2101" s="114" t="e">
        <f>Amb_IN</f>
        <v>#NAME?</v>
      </c>
      <c r="F2101" s="65" cm="1">
        <f t="array" ref="F2101">VINTERPOLATION(VLOOKUP(C2099,Tbl_Button_Display_ASSTS,3,FALSE),Tbl_Amb_Sensor,3)</f>
        <v>3.3107917881958127</v>
      </c>
    </row>
    <row r="2102" spans="1:9" s="10" customFormat="1" hidden="1" outlineLevel="2">
      <c r="A2102" s="70">
        <v>1</v>
      </c>
      <c r="E2102" s="114" t="s">
        <v>95</v>
      </c>
      <c r="F2102" s="12" t="s">
        <v>1189</v>
      </c>
    </row>
    <row r="2103" spans="1:9" s="10" customFormat="1" hidden="1" outlineLevel="2">
      <c r="A2103" s="70">
        <v>1</v>
      </c>
      <c r="E2103" s="114" t="str">
        <f>VLOOKUP(C2099,Tbl_Button_Display_ASSTS,11,FALSE)</f>
        <v>MsgBox</v>
      </c>
      <c r="F2103" s="12" t="e">
        <f>VLOOKUP(C2099,Tbl_Button_Display_ASSTS,12,FALSE)</f>
        <v>#NAME?</v>
      </c>
    </row>
    <row r="2104" spans="1:9" s="10" customFormat="1" hidden="1" outlineLevel="2">
      <c r="A2104" s="70">
        <v>1</v>
      </c>
      <c r="E2104" s="15" t="s">
        <v>5</v>
      </c>
      <c r="F2104" s="12">
        <f>VLOOKUP(C2099,Tbl_Button_Display_ASSTS,13,FALSE)</f>
        <v>10</v>
      </c>
    </row>
    <row r="2105" spans="1:9" s="10" customFormat="1" hidden="1" outlineLevel="2">
      <c r="A2105" s="70">
        <v>1</v>
      </c>
      <c r="F2105" s="87"/>
      <c r="G2105" s="10" t="e">
        <f>Incar_OUT</f>
        <v>#NAME?</v>
      </c>
      <c r="I2105" s="13">
        <f>VLOOKUP(C2099,Tbl_Button_Display_ASSTS,2,FALSE)</f>
        <v>10</v>
      </c>
    </row>
    <row r="2106" spans="1:9" s="10" customFormat="1" hidden="1" outlineLevel="2">
      <c r="A2106" s="70">
        <v>1</v>
      </c>
      <c r="F2106" s="87"/>
      <c r="G2106" s="10" t="e">
        <f>Amb_OUT</f>
        <v>#NAME?</v>
      </c>
      <c r="I2106" s="13">
        <f>VLOOKUP(C2099,Tbl_Button_Display_ASSTS,3,FALSE)</f>
        <v>10</v>
      </c>
    </row>
    <row r="2107" spans="1:9" s="10" customFormat="1" hidden="1" outlineLevel="2">
      <c r="A2107" s="70">
        <v>1</v>
      </c>
      <c r="G2107" s="10" t="e">
        <f>ModDisp</f>
        <v>#NAME?</v>
      </c>
      <c r="I2107" s="13" t="str">
        <f>VLOOKUP(C2099,Tbl_Button_Display_ASSTS,16,FALSE)</f>
        <v>Floor</v>
      </c>
    </row>
    <row r="2108" spans="1:9" s="10" customFormat="1" hidden="1" outlineLevel="2">
      <c r="A2108" s="70">
        <v>1</v>
      </c>
      <c r="G2108" s="10" t="e">
        <f>AcDisp</f>
        <v>#NAME?</v>
      </c>
      <c r="I2108" s="13" t="str">
        <f>VLOOKUP(C2099,Tbl_Button_Display_ASSTS,31,FALSE)</f>
        <v>On</v>
      </c>
    </row>
    <row r="2109" spans="1:9" s="10" customFormat="1" hidden="1" outlineLevel="2">
      <c r="A2109" s="70">
        <v>1</v>
      </c>
      <c r="G2109" s="10" t="e">
        <f>AcnReqSwi</f>
        <v>#NAME?</v>
      </c>
      <c r="I2109" s="13" t="str">
        <f>VLOOKUP(C2099,Tbl_Button_Display_ASSTS,32,FALSE)</f>
        <v>On</v>
      </c>
    </row>
    <row r="2110" spans="1:9" s="10" customFormat="1" hidden="1" outlineLevel="2">
      <c r="A2110" s="70">
        <v>1</v>
      </c>
      <c r="F2110" s="87"/>
      <c r="G2110" s="10" t="e" cm="1">
        <f t="array" ref="G2110">CompSpd_rpm</f>
        <v>#NAME?</v>
      </c>
      <c r="I2110" s="13" t="str">
        <f>VLOOKUP(C2099,Tbl_Button_Display_ASSTS,33,FALSE)</f>
        <v>On</v>
      </c>
    </row>
    <row r="2111" spans="1:9" s="10" customFormat="1" hidden="1" outlineLevel="2">
      <c r="A2111" s="70">
        <v>1</v>
      </c>
      <c r="G2111" s="10" t="e">
        <f>Act_DrMode</f>
        <v>#NAME?</v>
      </c>
      <c r="H2111" s="49" t="str">
        <f>VLOOKUP(C2099,Tbl_Button_Display_ASSTS,19,FALSE)</f>
        <v>Floor</v>
      </c>
      <c r="I2111" s="48" t="e">
        <f>IF(H2111="","",VLOOKUP(H2111,Tbl_ModeFB_Volt,2,FALSE))</f>
        <v>#NAME?</v>
      </c>
    </row>
    <row r="2112" spans="1:9" s="10" customFormat="1" hidden="1" outlineLevel="2">
      <c r="A2112" s="70">
        <v>1</v>
      </c>
      <c r="G2112" s="10" t="e">
        <f>Act_Def</f>
        <v>#NAME?</v>
      </c>
      <c r="H2112" s="49" t="str">
        <f>VLOOKUP(C2099,Tbl_Button_Display_ASSTS,22,FALSE)</f>
        <v>Floor</v>
      </c>
      <c r="I2112" s="48" t="e">
        <f>IF(H2112="","",VLOOKUP(H2112,Tbl_DefFB_Volt,2,FALSE))</f>
        <v>#NAME?</v>
      </c>
    </row>
    <row r="2113" spans="1:10" s="39" customFormat="1" hidden="1" outlineLevel="1">
      <c r="A2113" s="73">
        <v>1</v>
      </c>
      <c r="B2113" s="39" t="s">
        <v>155</v>
      </c>
      <c r="C2113" s="39" t="s">
        <v>1269</v>
      </c>
      <c r="D2113" s="39" t="str">
        <f>CONCATENATE(E2114," ",F2114,"회 선택 시, 90초 동안 Quick Fog 방지로직 동작 확인 ")</f>
        <v xml:space="preserve">Sw_AC 1회 선택 시, 90초 동안 Quick Fog 방지로직 동작 확인 </v>
      </c>
    </row>
    <row r="2114" spans="1:10" s="10" customFormat="1" hidden="1" outlineLevel="2">
      <c r="A2114" s="70">
        <v>1</v>
      </c>
      <c r="E2114" s="114" t="str">
        <f>VLOOKUP(C2113,Tbl_Button_Display_ASSTS,11,FALSE)</f>
        <v>Sw_AC</v>
      </c>
      <c r="F2114" s="12">
        <f>VLOOKUP(C2113,Tbl_Button_Display_ASSTS,12,FALSE)</f>
        <v>1</v>
      </c>
      <c r="J2114" s="15"/>
    </row>
    <row r="2115" spans="1:10" s="10" customFormat="1" hidden="1" outlineLevel="2">
      <c r="A2115" s="70">
        <v>1</v>
      </c>
      <c r="G2115" s="10" t="e">
        <f>ModDisp</f>
        <v>#NAME?</v>
      </c>
      <c r="I2115" s="13" t="str">
        <f>VLOOKUP(C2113,Tbl_Button_Display_ASSTS,16,FALSE)</f>
        <v>Floor</v>
      </c>
    </row>
    <row r="2116" spans="1:10" s="10" customFormat="1" hidden="1" outlineLevel="2">
      <c r="A2116" s="70">
        <v>1</v>
      </c>
      <c r="G2116" s="10" t="e">
        <f>AcDisp</f>
        <v>#NAME?</v>
      </c>
      <c r="I2116" s="13" t="str">
        <f>VLOOKUP(C2113,Tbl_Button_Display_ASSTS,31,FALSE)</f>
        <v>Off</v>
      </c>
    </row>
    <row r="2117" spans="1:10" s="10" customFormat="1" hidden="1" outlineLevel="2">
      <c r="A2117" s="70">
        <v>1</v>
      </c>
      <c r="G2117" s="10" t="e">
        <f>AcnReqSwi</f>
        <v>#NAME?</v>
      </c>
      <c r="I2117" s="13" t="str">
        <f>VLOOKUP(C2113,Tbl_Button_Display_ASSTS,32,FALSE)</f>
        <v>Off</v>
      </c>
    </row>
    <row r="2118" spans="1:10" s="10" customFormat="1" hidden="1" outlineLevel="2">
      <c r="A2118" s="70">
        <v>1</v>
      </c>
      <c r="F2118" s="87"/>
      <c r="G2118" s="10" t="e" cm="1">
        <f t="array" ref="G2118">CompSpd_rpm</f>
        <v>#NAME?</v>
      </c>
      <c r="I2118" s="13" t="str">
        <f>VLOOKUP(C2113,Tbl_Button_Display_ASSTS,33,FALSE)</f>
        <v>Off</v>
      </c>
    </row>
    <row r="2119" spans="1:10" s="10" customFormat="1" hidden="1" outlineLevel="2">
      <c r="A2119" s="70">
        <v>1</v>
      </c>
      <c r="G2119" s="10" t="e">
        <f>Act_DrMode</f>
        <v>#NAME?</v>
      </c>
      <c r="H2119" s="49" t="str">
        <f>VLOOKUP(C2113,Tbl_Button_Display_ASSTS,19,FALSE)</f>
        <v>100%Floor</v>
      </c>
      <c r="I2119" s="48" t="e">
        <f>IF(H2119="","",VLOOKUP(H2119,Tbl_ModeFB_Volt,2,FALSE))</f>
        <v>#NAME?</v>
      </c>
    </row>
    <row r="2120" spans="1:10" s="10" customFormat="1" hidden="1" outlineLevel="2">
      <c r="A2120" s="70">
        <v>1</v>
      </c>
      <c r="G2120" s="10" t="e">
        <f>Act_Def</f>
        <v>#NAME?</v>
      </c>
      <c r="H2120" s="49" t="str">
        <f>VLOOKUP(C2113,Tbl_Button_Display_ASSTS,22,FALSE)</f>
        <v>100%Floor</v>
      </c>
      <c r="I2120" s="48" t="e">
        <f>IF(H2120="","",VLOOKUP(H2120,Tbl_DefFB_Volt,2,FALSE))</f>
        <v>#NAME?</v>
      </c>
    </row>
    <row r="2121" spans="1:10" s="10" customFormat="1" hidden="1" outlineLevel="2">
      <c r="A2121" s="70">
        <v>1</v>
      </c>
      <c r="E2121" s="15" t="s">
        <v>5</v>
      </c>
      <c r="F2121" s="12">
        <f>VLOOKUP(C2113,Tbl_Button_Display_ASSTS,13,FALSE)</f>
        <v>90</v>
      </c>
    </row>
    <row r="2122" spans="1:10" s="10" customFormat="1" hidden="1" outlineLevel="2">
      <c r="A2122" s="70">
        <v>1</v>
      </c>
      <c r="G2122" s="10" t="e">
        <f>Act_DrMode</f>
        <v>#NAME?</v>
      </c>
      <c r="H2122" s="49" t="s">
        <v>1370</v>
      </c>
      <c r="I2122" s="48" t="e">
        <f>IF(H2122="","",VLOOKUP(H2122,Tbl_ModeFB_Volt,2,FALSE))</f>
        <v>#NAME?</v>
      </c>
    </row>
    <row r="2123" spans="1:10" s="10" customFormat="1" hidden="1" outlineLevel="2">
      <c r="A2123" s="70">
        <v>1</v>
      </c>
      <c r="G2123" s="10" t="e">
        <f>Act_Def</f>
        <v>#NAME?</v>
      </c>
      <c r="H2123" s="49" t="s">
        <v>1370</v>
      </c>
      <c r="I2123" s="48" t="e">
        <f>IF(H2123="","",VLOOKUP(H2123,Tbl_DefFB_Volt,2,FALSE))</f>
        <v>#NAME?</v>
      </c>
    </row>
    <row r="2124" spans="1:10" s="127" customFormat="1" ht="15">
      <c r="A2124" s="66">
        <v>1</v>
      </c>
      <c r="B2124" s="40" t="s">
        <v>569</v>
      </c>
      <c r="C2124" s="127" t="s">
        <v>615</v>
      </c>
      <c r="D2124" s="127" t="str">
        <f t="shared" ref="D2124" si="25">VLOOKUP(B2124,Tbl_Button_Display_ASSTS,2,FALSE)</f>
        <v>음성인식/핸즈프리/TMU 연동 로직 (2세대 CAN 기준) (전지역)</v>
      </c>
      <c r="F2124" s="82"/>
    </row>
    <row r="2125" spans="1:10" s="123" customFormat="1" ht="14.65" customHeight="1" collapsed="1">
      <c r="A2125" s="122">
        <v>1</v>
      </c>
      <c r="B2125" s="123" t="s">
        <v>7</v>
      </c>
      <c r="C2125" s="123" t="s">
        <v>1270</v>
      </c>
      <c r="D2125" s="123" t="str">
        <f>VLOOKUP(C2125,Tbl_Button_Display_ASSTS, 2,FALSE)</f>
        <v>음성인식/핸즈프리/TMU 연동 로직 동작 확인</v>
      </c>
    </row>
    <row r="2126" spans="1:10" s="125" customFormat="1" hidden="1" outlineLevel="1">
      <c r="A2126" s="124">
        <v>1</v>
      </c>
      <c r="B2126" s="125" t="s">
        <v>38</v>
      </c>
      <c r="C2126" s="125" t="s">
        <v>1271</v>
      </c>
      <c r="D2126" s="125" t="s">
        <v>39</v>
      </c>
    </row>
    <row r="2127" spans="1:10" s="10" customFormat="1" hidden="1" outlineLevel="2">
      <c r="A2127" s="70">
        <v>1</v>
      </c>
      <c r="E2127" s="114" t="str">
        <f>VLOOKUP(C2126,Tbl_Button_Display_ASSTS,11,FALSE)</f>
        <v>MsgBox</v>
      </c>
      <c r="F2127" s="12" t="e">
        <f>VLOOKUP(C2126,Tbl_Button_Display_ASSTS,12,FALSE)</f>
        <v>#NAME?</v>
      </c>
    </row>
    <row r="2128" spans="1:10" s="10" customFormat="1" hidden="1" outlineLevel="2">
      <c r="A2128" s="70">
        <v>1</v>
      </c>
      <c r="E2128" s="15" t="s">
        <v>5</v>
      </c>
      <c r="F2128" s="12">
        <f>VLOOKUP(C2126,Tbl_Button_Display_ASSTS,13,FALSE)</f>
        <v>10</v>
      </c>
    </row>
    <row r="2129" spans="1:10" s="10" customFormat="1" hidden="1" outlineLevel="2">
      <c r="A2129" s="70">
        <v>1</v>
      </c>
      <c r="G2129" s="10" t="e">
        <f>FrontBlwDisp</f>
        <v>#NAME?</v>
      </c>
      <c r="I2129" s="13">
        <f>VLOOKUP(C2126,Tbl_Button_Display_ASSTS,23,FALSE)</f>
        <v>8</v>
      </c>
    </row>
    <row r="2130" spans="1:10" s="10" customFormat="1" hidden="1" outlineLevel="2">
      <c r="A2130" s="70">
        <v>1</v>
      </c>
      <c r="G2130" s="10" t="e">
        <f>BLW_Front</f>
        <v>#NAME?</v>
      </c>
      <c r="H2130" s="49">
        <f>VLOOKUP(C2126,Tbl_Button_Display_ASSTS,24,FALSE)</f>
        <v>8</v>
      </c>
      <c r="I2130" s="48" t="e">
        <f>IF(H2130="","",VLOOKUP(H2130,Tbl_Blower_Volt,2,FALSE))</f>
        <v>#NAME?</v>
      </c>
    </row>
    <row r="2131" spans="1:10" s="39" customFormat="1" hidden="1" outlineLevel="1">
      <c r="A2131" s="73">
        <v>1</v>
      </c>
      <c r="B2131" s="39" t="s">
        <v>155</v>
      </c>
      <c r="C2131" s="39" t="s">
        <v>1272</v>
      </c>
      <c r="D2131" s="39" t="e">
        <f>CONCATENATE(E2132," = ",F2132," 설정 시, 공조 블로어 전압 ",G2135," = ",I2135,"V 제한 동작 확인 ")</f>
        <v>#NAME?</v>
      </c>
    </row>
    <row r="2132" spans="1:10" s="10" customFormat="1" hidden="1" outlineLevel="2">
      <c r="A2132" s="70">
        <v>1</v>
      </c>
      <c r="E2132" s="114" t="e">
        <f>VLOOKUP(C2131,Tbl_Button_Display_ASSTS,11,FALSE)</f>
        <v>#NAME?</v>
      </c>
      <c r="F2132" s="12">
        <f>VLOOKUP(C2131,Tbl_Button_Display_ASSTS,12,FALSE)</f>
        <v>1</v>
      </c>
      <c r="J2132" s="15"/>
    </row>
    <row r="2133" spans="1:10" s="10" customFormat="1" hidden="1" outlineLevel="2">
      <c r="A2133" s="70">
        <v>1</v>
      </c>
      <c r="E2133" s="15" t="s">
        <v>5</v>
      </c>
      <c r="F2133" s="12">
        <f>VLOOKUP(C2131,Tbl_Button_Display_ASSTS,13,FALSE)</f>
        <v>10</v>
      </c>
    </row>
    <row r="2134" spans="1:10" s="10" customFormat="1" hidden="1" outlineLevel="2">
      <c r="A2134" s="70">
        <v>1</v>
      </c>
      <c r="G2134" s="10" t="e">
        <f>FrontBlwDisp</f>
        <v>#NAME?</v>
      </c>
      <c r="I2134" s="13">
        <f>VLOOKUP(C2131,Tbl_Button_Display_ASSTS,23,FALSE)</f>
        <v>4</v>
      </c>
    </row>
    <row r="2135" spans="1:10" s="10" customFormat="1" hidden="1" outlineLevel="2">
      <c r="A2135" s="70">
        <v>1</v>
      </c>
      <c r="G2135" s="10" t="e">
        <f>BLW_Front</f>
        <v>#NAME?</v>
      </c>
      <c r="H2135" s="49">
        <f>VLOOKUP(C2131,Tbl_Button_Display_ASSTS,24,FALSE)</f>
        <v>4</v>
      </c>
      <c r="I2135" s="48" t="e">
        <f>IF(H2135="","",VLOOKUP(H2135,Tbl_Blower_Volt,2,FALSE))</f>
        <v>#NAME?</v>
      </c>
    </row>
    <row r="2136" spans="1:10" s="39" customFormat="1" hidden="1" outlineLevel="1">
      <c r="A2136" s="73">
        <v>1</v>
      </c>
      <c r="B2136" s="39" t="s">
        <v>155</v>
      </c>
      <c r="C2136" s="39" t="s">
        <v>1273</v>
      </c>
      <c r="D2136" s="39" t="e">
        <f>CONCATENATE(E2137," = ",F2137," 설정 시, 공조 블로어 전압 ",G2140," = ",I2140,"V 제한 해제 확인 ")</f>
        <v>#NAME?</v>
      </c>
    </row>
    <row r="2137" spans="1:10" s="10" customFormat="1" hidden="1" outlineLevel="2">
      <c r="A2137" s="70">
        <v>1</v>
      </c>
      <c r="E2137" s="114" t="e">
        <f>VLOOKUP(C2136,Tbl_Button_Display_ASSTS,11,FALSE)</f>
        <v>#NAME?</v>
      </c>
      <c r="F2137" s="12">
        <f>VLOOKUP(C2136,Tbl_Button_Display_ASSTS,12,FALSE)</f>
        <v>0</v>
      </c>
      <c r="J2137" s="15"/>
    </row>
    <row r="2138" spans="1:10" s="10" customFormat="1" hidden="1" outlineLevel="2">
      <c r="A2138" s="70">
        <v>1</v>
      </c>
      <c r="E2138" s="15" t="s">
        <v>5</v>
      </c>
      <c r="F2138" s="12">
        <f>VLOOKUP(C2136,Tbl_Button_Display_ASSTS,13,FALSE)</f>
        <v>10</v>
      </c>
    </row>
    <row r="2139" spans="1:10" s="10" customFormat="1" hidden="1" outlineLevel="2">
      <c r="A2139" s="70">
        <v>1</v>
      </c>
      <c r="G2139" s="10" t="e">
        <f>FrontBlwDisp</f>
        <v>#NAME?</v>
      </c>
      <c r="I2139" s="13">
        <f>VLOOKUP(C2136,Tbl_Button_Display_ASSTS,23,FALSE)</f>
        <v>8</v>
      </c>
    </row>
    <row r="2140" spans="1:10" s="10" customFormat="1" hidden="1" outlineLevel="2">
      <c r="A2140" s="70">
        <v>1</v>
      </c>
      <c r="G2140" s="10" t="e">
        <f>BLW_Front</f>
        <v>#NAME?</v>
      </c>
      <c r="H2140" s="49">
        <f>VLOOKUP(C2136,Tbl_Button_Display_ASSTS,24,FALSE)</f>
        <v>8</v>
      </c>
      <c r="I2140" s="48" t="e">
        <f>IF(H2140="","",VLOOKUP(H2140,Tbl_Blower_Volt,2,FALSE))</f>
        <v>#NAME?</v>
      </c>
    </row>
    <row r="2141" spans="1:10" s="127" customFormat="1" ht="15">
      <c r="A2141" s="66">
        <v>1</v>
      </c>
      <c r="B2141" s="40" t="s">
        <v>570</v>
      </c>
      <c r="C2141" s="127" t="s">
        <v>616</v>
      </c>
      <c r="D2141" s="127" t="str">
        <f t="shared" ref="D2141" si="26">VLOOKUP(B2141,Tbl_Button_Display_ASSTS,2,FALSE)</f>
        <v>타 제어기에 의한 공조조작 신호 무시 로직</v>
      </c>
      <c r="F2141" s="82"/>
    </row>
    <row r="2142" spans="1:10" s="123" customFormat="1" collapsed="1">
      <c r="A2142" s="122">
        <v>1</v>
      </c>
      <c r="B2142" s="123" t="s">
        <v>7</v>
      </c>
      <c r="C2142" s="123" t="s">
        <v>1274</v>
      </c>
      <c r="D2142" s="123" t="str">
        <f>VLOOKUP(C2142,Tbl_Button_Display_ASSTS, 2,FALSE)</f>
        <v>타 제어기에 의한 공조조작 신호 무시 동작 확인</v>
      </c>
      <c r="F2142" s="88"/>
    </row>
    <row r="2143" spans="1:10" s="125" customFormat="1" hidden="1" outlineLevel="1">
      <c r="A2143" s="124">
        <v>1</v>
      </c>
      <c r="B2143" s="125" t="s">
        <v>38</v>
      </c>
      <c r="C2143" s="125" t="s">
        <v>1275</v>
      </c>
      <c r="D2143" s="125" t="s">
        <v>39</v>
      </c>
      <c r="F2143" s="89"/>
    </row>
    <row r="2144" spans="1:10" s="10" customFormat="1" hidden="1" outlineLevel="2">
      <c r="A2144" s="70">
        <v>1</v>
      </c>
      <c r="E2144" s="114" t="str">
        <f>VLOOKUP(C2143,Tbl_Button_Display_ASSTS,11,FALSE)</f>
        <v>MsgBox</v>
      </c>
      <c r="F2144" s="12" t="str">
        <f>VLOOKUP(C2143,Tbl_Button_Display_ASSTS,12,FALSE)</f>
        <v>blower=8단 수동 설정</v>
      </c>
    </row>
    <row r="2145" spans="1:12" s="10" customFormat="1" hidden="1" outlineLevel="2">
      <c r="A2145" s="70">
        <v>1</v>
      </c>
      <c r="E2145" s="15" t="s">
        <v>5</v>
      </c>
      <c r="F2145" s="85">
        <f>VLOOKUP(C2143,Tbl_Button_Display_ASSTS,13,FALSE)</f>
        <v>10</v>
      </c>
    </row>
    <row r="2146" spans="1:12" s="10" customFormat="1" hidden="1" outlineLevel="2">
      <c r="A2146" s="70">
        <v>1</v>
      </c>
      <c r="F2146" s="87"/>
      <c r="G2146" s="10" t="e">
        <f>FrontBlwDisp</f>
        <v>#NAME?</v>
      </c>
      <c r="I2146" s="13">
        <f>VLOOKUP(C2143,Tbl_Button_Display_ASSTS,23,FALSE)</f>
        <v>8</v>
      </c>
    </row>
    <row r="2147" spans="1:12" s="39" customFormat="1" hidden="1" outlineLevel="1">
      <c r="A2147" s="73">
        <v>1</v>
      </c>
      <c r="B2147" s="39" t="s">
        <v>155</v>
      </c>
      <c r="C2147" s="39" t="s">
        <v>1276</v>
      </c>
      <c r="D2147" s="39" t="e">
        <f>CONCATENATE(,F2148," 시, CAN Signal 동작 무시처리 확인")</f>
        <v>#NAME?</v>
      </c>
      <c r="F2147" s="91"/>
    </row>
    <row r="2148" spans="1:12" s="10" customFormat="1" hidden="1" outlineLevel="2">
      <c r="A2148" s="70">
        <v>1</v>
      </c>
      <c r="E2148" s="114" t="str">
        <f>VLOOKUP(C2147,Tbl_Button_Display_ASSTS,11,FALSE)</f>
        <v>Sw_OFF</v>
      </c>
      <c r="F2148" s="85" t="e">
        <f>VLOOKUP(C2147,Tbl_Button_Display_ASSTS,12,FALSE)</f>
        <v>#NAME?</v>
      </c>
    </row>
    <row r="2149" spans="1:12" s="10" customFormat="1" hidden="1" outlineLevel="2">
      <c r="A2149" s="70">
        <v>1</v>
      </c>
      <c r="E2149" s="15" t="s">
        <v>772</v>
      </c>
      <c r="F2149" s="90" t="str">
        <f>VLOOKUP(C2147,Tbl_Button_Display_ASSTS,13,FALSE)</f>
        <v>설정온도 표시부에 OFF 전 설정온도 기준 점/소등 0.5sec 간격으로 3회 동작 확인</v>
      </c>
      <c r="G2149" s="43"/>
      <c r="H2149" s="43"/>
      <c r="I2149" s="43"/>
    </row>
    <row r="2150" spans="1:12" s="10" customFormat="1" hidden="1" outlineLevel="2">
      <c r="A2150" s="70">
        <v>1</v>
      </c>
      <c r="F2150" s="87"/>
      <c r="G2150" s="10" t="e">
        <f>FrontBlwDisp</f>
        <v>#NAME?</v>
      </c>
      <c r="I2150" s="13" t="str">
        <f>VLOOKUP(C2147,Tbl_Button_Display_ASSTS,23,FALSE)</f>
        <v>Off</v>
      </c>
    </row>
    <row r="2151" spans="1:12" s="10" customFormat="1" hidden="1" outlineLevel="2">
      <c r="A2151" s="70">
        <v>1</v>
      </c>
      <c r="D2151" s="10" t="s">
        <v>1371</v>
      </c>
      <c r="E2151" s="114" t="s">
        <v>1413</v>
      </c>
      <c r="F2151" s="85" t="s">
        <v>1636</v>
      </c>
    </row>
    <row r="2152" spans="1:12" s="10" customFormat="1" hidden="1" outlineLevel="2">
      <c r="A2152" s="70">
        <v>1</v>
      </c>
      <c r="E2152" s="15" t="s">
        <v>5</v>
      </c>
      <c r="F2152" s="85">
        <v>2</v>
      </c>
    </row>
    <row r="2153" spans="1:12" s="10" customFormat="1" hidden="1" outlineLevel="2">
      <c r="A2153" s="70">
        <v>1</v>
      </c>
      <c r="F2153" s="87"/>
      <c r="G2153" s="10" t="e">
        <f>FrontBlwDisp</f>
        <v>#NAME?</v>
      </c>
      <c r="I2153" s="13" t="str">
        <f>I2150</f>
        <v>Off</v>
      </c>
    </row>
    <row r="2154" spans="1:12" s="10" customFormat="1" hidden="1" outlineLevel="2">
      <c r="A2154" s="70">
        <v>1</v>
      </c>
      <c r="D2154" s="10" t="s">
        <v>1371</v>
      </c>
      <c r="E2154" s="114" t="s">
        <v>1412</v>
      </c>
      <c r="F2154" s="85" t="s">
        <v>1636</v>
      </c>
    </row>
    <row r="2155" spans="1:12" s="10" customFormat="1" hidden="1" outlineLevel="2">
      <c r="A2155" s="70">
        <v>1</v>
      </c>
      <c r="E2155" s="15" t="s">
        <v>5</v>
      </c>
      <c r="F2155" s="85">
        <v>2</v>
      </c>
    </row>
    <row r="2156" spans="1:12" s="10" customFormat="1" hidden="1" outlineLevel="2">
      <c r="A2156" s="70">
        <v>1</v>
      </c>
      <c r="F2156" s="87"/>
      <c r="G2156" s="10" t="e">
        <f>FrontBlwDisp</f>
        <v>#NAME?</v>
      </c>
      <c r="I2156" s="13" t="str">
        <f>I2153</f>
        <v>Off</v>
      </c>
    </row>
    <row r="2157" spans="1:12" s="39" customFormat="1" ht="16.5" hidden="1" outlineLevel="1">
      <c r="A2157" s="73">
        <v>1</v>
      </c>
      <c r="B2157" s="39" t="s">
        <v>155</v>
      </c>
      <c r="C2157" s="39" t="s">
        <v>1277</v>
      </c>
      <c r="D2157" s="39" t="e">
        <f>CONCATENATE(,F2158," 시, CAN Signal 동작 정상처리 확인")</f>
        <v>#NAME?</v>
      </c>
      <c r="F2157" s="91"/>
      <c r="L2157" s="242" t="s">
        <v>1772</v>
      </c>
    </row>
    <row r="2158" spans="1:12" s="10" customFormat="1" ht="16.5" hidden="1" outlineLevel="2">
      <c r="A2158" s="70">
        <v>1</v>
      </c>
      <c r="E2158" s="114" t="str">
        <f>VLOOKUP(C2157,Tbl_Button_Display_ASSTS,11,FALSE)</f>
        <v>Sw_OFF</v>
      </c>
      <c r="F2158" s="85" t="e">
        <f>VLOOKUP(C2157,Tbl_Button_Display_ASSTS,12,FALSE)</f>
        <v>#NAME?</v>
      </c>
      <c r="L2158" s="130" t="s">
        <v>1773</v>
      </c>
    </row>
    <row r="2159" spans="1:12" s="10" customFormat="1" hidden="1" outlineLevel="2">
      <c r="A2159" s="70">
        <v>1</v>
      </c>
      <c r="E2159" s="15" t="s">
        <v>772</v>
      </c>
      <c r="F2159" s="90" t="str">
        <f>VLOOKUP(C2157,Tbl_Button_Display_ASSTS,13,FALSE)</f>
        <v>설정온도 표시부에 OFF 전 설정온도 기준 점/소등 0.25sec 간격으로 6회 동작 확인</v>
      </c>
      <c r="G2159" s="43"/>
      <c r="H2159" s="43"/>
      <c r="I2159" s="43"/>
    </row>
    <row r="2160" spans="1:12" s="10" customFormat="1" hidden="1" outlineLevel="2">
      <c r="A2160" s="70">
        <v>1</v>
      </c>
      <c r="F2160" s="87"/>
      <c r="G2160" s="10" t="e">
        <f>FrontBlwDisp</f>
        <v>#NAME?</v>
      </c>
      <c r="I2160" s="13" t="str">
        <f>VLOOKUP(C2157,Tbl_Button_Display_ASSTS,23,FALSE)</f>
        <v>Off</v>
      </c>
    </row>
    <row r="2161" spans="1:17" s="10" customFormat="1" hidden="1" outlineLevel="2">
      <c r="A2161" s="70">
        <v>1</v>
      </c>
      <c r="D2161" s="10" t="s">
        <v>1371</v>
      </c>
      <c r="E2161" s="114" t="s">
        <v>1413</v>
      </c>
      <c r="F2161" s="85" t="s">
        <v>1636</v>
      </c>
    </row>
    <row r="2162" spans="1:17" s="10" customFormat="1" hidden="1" outlineLevel="2">
      <c r="A2162" s="70">
        <v>1</v>
      </c>
      <c r="E2162" s="15" t="s">
        <v>5</v>
      </c>
      <c r="F2162" s="85">
        <v>2</v>
      </c>
    </row>
    <row r="2163" spans="1:17" s="10" customFormat="1" hidden="1" outlineLevel="2">
      <c r="A2163" s="70">
        <v>1</v>
      </c>
      <c r="F2163" s="87"/>
      <c r="G2163" s="10" t="e">
        <f>FrontBlwDisp</f>
        <v>#NAME?</v>
      </c>
      <c r="I2163" s="13">
        <v>1</v>
      </c>
    </row>
    <row r="2164" spans="1:17" s="10" customFormat="1" hidden="1" outlineLevel="2">
      <c r="A2164" s="70">
        <v>1</v>
      </c>
      <c r="D2164" s="10" t="s">
        <v>1371</v>
      </c>
      <c r="E2164" s="114" t="s">
        <v>1412</v>
      </c>
      <c r="F2164" s="85" t="s">
        <v>1636</v>
      </c>
    </row>
    <row r="2165" spans="1:17" s="10" customFormat="1" hidden="1" outlineLevel="2">
      <c r="A2165" s="70">
        <v>1</v>
      </c>
      <c r="E2165" s="15" t="s">
        <v>5</v>
      </c>
      <c r="F2165" s="85">
        <v>2</v>
      </c>
    </row>
    <row r="2166" spans="1:17" s="10" customFormat="1" hidden="1" outlineLevel="2">
      <c r="A2166" s="70">
        <v>1</v>
      </c>
      <c r="F2166" s="87"/>
      <c r="G2166" s="10" t="e">
        <f>FrontBlwDisp</f>
        <v>#NAME?</v>
      </c>
      <c r="I2166" s="13">
        <f>I2163+1</f>
        <v>2</v>
      </c>
    </row>
    <row r="2167" spans="1:17" s="127" customFormat="1" ht="15">
      <c r="A2167" s="66">
        <v>1</v>
      </c>
      <c r="B2167" s="40" t="s">
        <v>571</v>
      </c>
      <c r="C2167" s="127" t="s">
        <v>617</v>
      </c>
      <c r="D2167" s="127" t="str">
        <f t="shared" ref="D2167" si="27">VLOOKUP(B2167,Tbl_Button_Display_ASSTS,2,FALSE)</f>
        <v>외기 역류 유입 방지 로직 &lt;스마트 인테이크 적용차종 Only&gt;</v>
      </c>
      <c r="F2167" s="82"/>
    </row>
    <row r="2168" spans="1:17" s="123" customFormat="1" collapsed="1">
      <c r="A2168" s="122">
        <v>1</v>
      </c>
      <c r="B2168" s="123" t="s">
        <v>7</v>
      </c>
      <c r="C2168" s="123" t="s">
        <v>1278</v>
      </c>
      <c r="D2168" s="123" t="str">
        <f>VLOOKUP(C2168,Tbl_Button_Display_ASSTS, 2,FALSE)</f>
        <v>외기 역류 유입 방지 로직 동작 확인</v>
      </c>
      <c r="F2168" s="88"/>
    </row>
    <row r="2169" spans="1:17" s="125" customFormat="1" hidden="1" outlineLevel="1">
      <c r="A2169" s="124">
        <v>1</v>
      </c>
      <c r="B2169" s="125" t="s">
        <v>38</v>
      </c>
      <c r="C2169" s="125" t="s">
        <v>1279</v>
      </c>
      <c r="D2169" s="125" t="s">
        <v>1474</v>
      </c>
      <c r="F2169" s="89"/>
    </row>
    <row r="2170" spans="1:17" s="10" customFormat="1" ht="13.9" hidden="1" customHeight="1" outlineLevel="2">
      <c r="A2170" s="70">
        <v>1</v>
      </c>
      <c r="E2170" s="114" t="e">
        <f>Amb_IN</f>
        <v>#NAME?</v>
      </c>
      <c r="F2170" s="93" cm="1">
        <f t="array" ref="F2170">VINTERPOLATION(VLOOKUP(C2169,Tbl_Button_Display_ASSTS,3,FALSE),Tbl_Amb_Sensor,3)</f>
        <v>4.2028908491869492</v>
      </c>
      <c r="N2170" s="194"/>
      <c r="O2170" s="194"/>
      <c r="P2170" s="194"/>
      <c r="Q2170" s="195"/>
    </row>
    <row r="2171" spans="1:17" s="10" customFormat="1" ht="13.9" hidden="1" customHeight="1" outlineLevel="2">
      <c r="A2171" s="70">
        <v>1</v>
      </c>
      <c r="E2171" s="114" t="e">
        <f>EngColTemp</f>
        <v>#NAME?</v>
      </c>
      <c r="F2171" s="13">
        <f>VLOOKUP(C2169,Tbl_Button_Display_ASSTS,5,FALSE)</f>
        <v>50</v>
      </c>
      <c r="J2171" s="15"/>
      <c r="N2171" s="194"/>
      <c r="O2171" s="194"/>
      <c r="P2171" s="195"/>
      <c r="Q2171" s="195"/>
    </row>
    <row r="2172" spans="1:17" s="10" customFormat="1" hidden="1" outlineLevel="2">
      <c r="A2172" s="70">
        <v>1</v>
      </c>
      <c r="E2172" s="14" t="s">
        <v>95</v>
      </c>
      <c r="F2172" s="85" t="s">
        <v>1189</v>
      </c>
    </row>
    <row r="2173" spans="1:17" s="10" customFormat="1" hidden="1" outlineLevel="2">
      <c r="A2173" s="70">
        <v>1</v>
      </c>
      <c r="E2173" s="114" t="str">
        <f>VLOOKUP(C2169,Tbl_Button_Display_ASSTS,11,FALSE)</f>
        <v>MsgBox</v>
      </c>
      <c r="F2173" s="85" t="str">
        <f>VLOOKUP(C2169,Tbl_Button_Display_ASSTS,12,FALSE)</f>
        <v>설정 온도=Hi, AUTO ON (SYNC ON) 선택 상태 + Blower=6단 수동 설정</v>
      </c>
      <c r="N2173" s="196"/>
      <c r="O2173" s="196"/>
      <c r="P2173" s="196"/>
      <c r="Q2173" s="196"/>
    </row>
    <row r="2174" spans="1:17" s="10" customFormat="1" hidden="1" outlineLevel="2">
      <c r="A2174" s="70">
        <v>1</v>
      </c>
      <c r="E2174" s="15" t="s">
        <v>5</v>
      </c>
      <c r="F2174" s="85">
        <f>VLOOKUP(C2169,Tbl_Button_Display_ASSTS,13,FALSE)</f>
        <v>10</v>
      </c>
      <c r="N2174" s="196"/>
      <c r="O2174" s="196"/>
      <c r="P2174" s="196"/>
      <c r="Q2174" s="196"/>
    </row>
    <row r="2175" spans="1:17" s="10" customFormat="1" hidden="1" outlineLevel="2">
      <c r="A2175" s="70">
        <v>1</v>
      </c>
      <c r="F2175" s="87"/>
      <c r="G2175" s="10" t="e">
        <f>Amb_OUT</f>
        <v>#NAME?</v>
      </c>
      <c r="I2175" s="13">
        <f>VLOOKUP(C2169,Tbl_Button_Display_ASSTS,3,FALSE)</f>
        <v>-10</v>
      </c>
      <c r="N2175" s="196"/>
      <c r="O2175" s="196"/>
      <c r="P2175" s="196"/>
      <c r="Q2175" s="196"/>
    </row>
    <row r="2176" spans="1:17" s="10" customFormat="1" hidden="1" outlineLevel="2">
      <c r="A2176" s="70">
        <v>1</v>
      </c>
      <c r="G2176" s="10" t="e">
        <f>DrTempDispC</f>
        <v>#NAME?</v>
      </c>
      <c r="I2176" s="13" t="e">
        <f>VLOOKUP(C2169,Tbl_Button_Display_ASSTS,26,FALSE)</f>
        <v>#NAME?</v>
      </c>
    </row>
    <row r="2177" spans="1:17" s="10" customFormat="1" hidden="1" outlineLevel="2">
      <c r="A2177" s="70">
        <v>1</v>
      </c>
      <c r="F2177" s="87"/>
      <c r="G2177" s="10" t="e">
        <f>IntakeDisp</f>
        <v>#NAME?</v>
      </c>
      <c r="I2177" s="13" t="str">
        <f>VLOOKUP(C2169,Tbl_Button_Display_ASSTS,34,FALSE)</f>
        <v>FRE</v>
      </c>
      <c r="N2177" s="196"/>
      <c r="O2177" s="196"/>
      <c r="P2177" s="196"/>
      <c r="Q2177" s="196"/>
    </row>
    <row r="2178" spans="1:17" s="10" customFormat="1" hidden="1" outlineLevel="2">
      <c r="A2178" s="70">
        <v>1</v>
      </c>
      <c r="F2178" s="87"/>
      <c r="G2178" s="10" t="e">
        <f>FrontBlwDisp</f>
        <v>#NAME?</v>
      </c>
      <c r="I2178" s="13">
        <f>VLOOKUP(C2169,Tbl_Button_Display_ASSTS,23,FALSE)</f>
        <v>6</v>
      </c>
      <c r="N2178" s="196"/>
      <c r="O2178" s="196"/>
      <c r="P2178" s="196"/>
      <c r="Q2178" s="196"/>
    </row>
    <row r="2179" spans="1:17" s="10" customFormat="1" hidden="1" outlineLevel="2">
      <c r="A2179" s="70">
        <v>1</v>
      </c>
      <c r="F2179" s="87"/>
      <c r="G2179" s="10" t="e">
        <f>Act_DrTemp</f>
        <v>#NAME?</v>
      </c>
      <c r="H2179" s="49" t="e">
        <f>VLOOKUP(C2169,Tbl_Button_Display_ASSTS,39,FALSE)</f>
        <v>#NAME?</v>
      </c>
      <c r="I2179" s="48" t="e">
        <f>IF(H2179="","",VLOOKUP(H2179,Tbl_TempFB_Volt,2,FALSE))</f>
        <v>#NAME?</v>
      </c>
    </row>
    <row r="2180" spans="1:17" s="10" customFormat="1" hidden="1" outlineLevel="2">
      <c r="A2180" s="70">
        <v>1</v>
      </c>
      <c r="F2180" s="87"/>
      <c r="G2180" s="10" t="e">
        <f>Act_Intake</f>
        <v>#NAME?</v>
      </c>
      <c r="H2180" s="49" t="str">
        <f>VLOOKUP(C2169,Tbl_Button_Display_ASSTS,35,FALSE)</f>
        <v>P_intake</v>
      </c>
      <c r="I2180" s="48" t="e">
        <f>IF(H2180="","",VLOOKUP(H2180,Tbl_IntakeFB_Volt,2,FALSE))</f>
        <v>#NAME?</v>
      </c>
    </row>
    <row r="2181" spans="1:17" s="10" customFormat="1" hidden="1" outlineLevel="2">
      <c r="A2181" s="70">
        <v>1</v>
      </c>
      <c r="F2181" s="87"/>
      <c r="G2181" s="10" t="e">
        <f>BLW_Front</f>
        <v>#NAME?</v>
      </c>
      <c r="H2181" s="49">
        <f>VLOOKUP(C2169,Tbl_Button_Display_ASSTS,24,FALSE)</f>
        <v>6</v>
      </c>
      <c r="I2181" s="48" t="e">
        <f>IF(H2181="","",VLOOKUP(H2181,Tbl_Blower_Volt,2,FALSE))</f>
        <v>#NAME?</v>
      </c>
    </row>
    <row r="2182" spans="1:17" s="39" customFormat="1" hidden="1" outlineLevel="1">
      <c r="A2182" s="73">
        <v>1</v>
      </c>
      <c r="B2182" s="39" t="s">
        <v>155</v>
      </c>
      <c r="C2182" s="39" t="s">
        <v>1280</v>
      </c>
      <c r="D2182" s="39" t="e">
        <f>CONCATENATE(E2183," = ",F2183," 설정 시, 외기 역류 유입 방지 로직 동작 확인")</f>
        <v>#NAME?</v>
      </c>
      <c r="F2182" s="91"/>
    </row>
    <row r="2183" spans="1:17" s="10" customFormat="1" hidden="1" outlineLevel="2">
      <c r="A2183" s="70">
        <v>1</v>
      </c>
      <c r="E2183" s="114" t="e">
        <f>VLOOKUP(C2182,Tbl_Button_Display_ASSTS,11,FALSE)</f>
        <v>#NAME?</v>
      </c>
      <c r="F2183" s="85">
        <f>VLOOKUP(C2182,Tbl_Button_Display_ASSTS,12,FALSE)</f>
        <v>100</v>
      </c>
    </row>
    <row r="2184" spans="1:17" s="10" customFormat="1" hidden="1" outlineLevel="2">
      <c r="A2184" s="70">
        <v>1</v>
      </c>
      <c r="E2184" s="15" t="s">
        <v>5</v>
      </c>
      <c r="F2184" s="85">
        <f>VLOOKUP(C2182,Tbl_Button_Display_ASSTS,13,FALSE)</f>
        <v>5</v>
      </c>
    </row>
    <row r="2185" spans="1:17" s="10" customFormat="1" hidden="1" outlineLevel="2">
      <c r="A2185" s="70">
        <v>1</v>
      </c>
      <c r="F2185" s="87"/>
      <c r="G2185" s="10" t="e">
        <f>Act_Intake</f>
        <v>#NAME?</v>
      </c>
      <c r="H2185" s="49" t="str">
        <f>VLOOKUP(C2182,Tbl_Button_Display_ASSTS,35,FALSE)</f>
        <v>FRE</v>
      </c>
      <c r="I2185" s="48" t="e">
        <f>IF(H2185="","",VLOOKUP(H2185,Tbl_IntakeFB_Volt,2,FALSE))</f>
        <v>#NAME?</v>
      </c>
    </row>
    <row r="2186" spans="1:17" s="39" customFormat="1" hidden="1" outlineLevel="1">
      <c r="A2186" s="73">
        <v>1</v>
      </c>
      <c r="B2186" s="39" t="s">
        <v>155</v>
      </c>
      <c r="C2186" s="39" t="s">
        <v>1281</v>
      </c>
      <c r="D2186" s="39" t="e">
        <f>CONCATENATE(E2187," = ",F2187," 설정 시, 외기 역류 유입 방지 로직 동작 해제 확인")</f>
        <v>#NAME?</v>
      </c>
      <c r="F2186" s="91"/>
    </row>
    <row r="2187" spans="1:17" s="10" customFormat="1" hidden="1" outlineLevel="2">
      <c r="A2187" s="70">
        <v>1</v>
      </c>
      <c r="E2187" s="114" t="e">
        <f>VLOOKUP(C2186,Tbl_Button_Display_ASSTS,11,FALSE)</f>
        <v>#NAME?</v>
      </c>
      <c r="F2187" s="85">
        <f>VLOOKUP(C2186,Tbl_Button_Display_ASSTS,12,FALSE)</f>
        <v>35</v>
      </c>
      <c r="J2187" s="15"/>
    </row>
    <row r="2188" spans="1:17" s="10" customFormat="1" hidden="1" outlineLevel="2">
      <c r="A2188" s="70">
        <v>1</v>
      </c>
      <c r="E2188" s="15" t="s">
        <v>5</v>
      </c>
      <c r="F2188" s="85">
        <f>VLOOKUP(C2186,Tbl_Button_Display_ASSTS,13,FALSE)</f>
        <v>2</v>
      </c>
    </row>
    <row r="2189" spans="1:17" s="10" customFormat="1" hidden="1" outlineLevel="2">
      <c r="A2189" s="70">
        <v>1</v>
      </c>
      <c r="F2189" s="87"/>
      <c r="G2189" s="10" t="e">
        <f>Act_Intake</f>
        <v>#NAME?</v>
      </c>
      <c r="H2189" s="49" t="str">
        <f>VLOOKUP(C2186,Tbl_Button_Display_ASSTS,35,FALSE)</f>
        <v>P_intake</v>
      </c>
      <c r="I2189" s="48" t="e">
        <f>IF(H2189="","",VLOOKUP(H2189,Tbl_IntakeFB_Volt,2,FALSE))</f>
        <v>#NAME?</v>
      </c>
    </row>
    <row r="2190" spans="1:17" s="40" customFormat="1" ht="15">
      <c r="A2190" s="66">
        <v>1</v>
      </c>
      <c r="B2190" s="40" t="s">
        <v>572</v>
      </c>
      <c r="C2190" s="40" t="s">
        <v>618</v>
      </c>
      <c r="D2190" s="40" t="str">
        <f t="shared" si="18"/>
        <v>워셔액 로직 (해제복귀 로직 있음)</v>
      </c>
      <c r="F2190" s="82"/>
    </row>
    <row r="2191" spans="1:17" s="38" customFormat="1" collapsed="1">
      <c r="A2191" s="71">
        <v>1</v>
      </c>
      <c r="B2191" s="38" t="s">
        <v>7</v>
      </c>
      <c r="C2191" s="38" t="s">
        <v>1709</v>
      </c>
      <c r="D2191" s="38" t="str">
        <f>VLOOKUP(C2191,Tbl_Button_Display_ASSTS, 2,FALSE)</f>
        <v>워셔액 로직 동작 확인</v>
      </c>
      <c r="F2191" s="88"/>
    </row>
    <row r="2192" spans="1:17" s="11" customFormat="1" hidden="1" outlineLevel="1">
      <c r="A2192" s="72">
        <v>1</v>
      </c>
      <c r="B2192" s="11" t="s">
        <v>38</v>
      </c>
      <c r="C2192" s="11" t="s">
        <v>1710</v>
      </c>
      <c r="D2192" s="11" t="s">
        <v>39</v>
      </c>
      <c r="F2192" s="89"/>
    </row>
    <row r="2193" spans="1:9" s="10" customFormat="1" hidden="1" outlineLevel="2">
      <c r="A2193" s="70">
        <v>1</v>
      </c>
      <c r="E2193" s="8" t="e">
        <f>Amb_IN</f>
        <v>#NAME?</v>
      </c>
      <c r="F2193" s="93" cm="1">
        <f t="array" ref="F2193">VINTERPOLATION(VLOOKUP(C2192,Tbl_Button_Display_ASSTS,3,FALSE),Tbl_Amb_Sensor,3)</f>
        <v>3.5649228885232098</v>
      </c>
    </row>
    <row r="2194" spans="1:9" s="10" customFormat="1" hidden="1" outlineLevel="2">
      <c r="A2194" s="70">
        <v>1</v>
      </c>
      <c r="E2194" s="14" t="str">
        <f>VLOOKUP(C2192,Tbl_Button_Display_ASSTS,11,FALSE)</f>
        <v>MsgBox</v>
      </c>
      <c r="F2194" s="85" t="e">
        <f>VLOOKUP(C2192,Tbl_Button_Display_ASSTS,12,FALSE)</f>
        <v>#NAME?</v>
      </c>
    </row>
    <row r="2195" spans="1:9" s="10" customFormat="1" hidden="1" outlineLevel="2">
      <c r="A2195" s="70">
        <v>1</v>
      </c>
      <c r="E2195" s="14" t="s">
        <v>95</v>
      </c>
      <c r="F2195" s="85" t="s">
        <v>1189</v>
      </c>
    </row>
    <row r="2196" spans="1:9" s="10" customFormat="1" hidden="1" outlineLevel="2">
      <c r="A2196" s="70">
        <v>1</v>
      </c>
      <c r="E2196" s="15" t="s">
        <v>5</v>
      </c>
      <c r="F2196" s="85">
        <f>VLOOKUP(C2192,Tbl_Button_Display_ASSTS,13,FALSE)</f>
        <v>10</v>
      </c>
    </row>
    <row r="2197" spans="1:9" s="10" customFormat="1" hidden="1" outlineLevel="2">
      <c r="A2197" s="70">
        <v>1</v>
      </c>
      <c r="F2197" s="87"/>
      <c r="G2197" s="10" t="e">
        <f>Amb_OUT</f>
        <v>#NAME?</v>
      </c>
      <c r="I2197" s="13">
        <f>VLOOKUP(C2192,Tbl_Button_Display_ASSTS,3,FALSE)</f>
        <v>5</v>
      </c>
    </row>
    <row r="2198" spans="1:9" s="10" customFormat="1" hidden="1" outlineLevel="2">
      <c r="A2198" s="70">
        <v>1</v>
      </c>
      <c r="F2198" s="87"/>
      <c r="G2198" s="10" t="e">
        <f>WshFldUSMSta</f>
        <v>#NAME?</v>
      </c>
      <c r="I2198" s="13">
        <f>VLOOKUP(C2192,Tbl_Button_Display_ASSTS,44,FALSE)</f>
        <v>2</v>
      </c>
    </row>
    <row r="2199" spans="1:9" s="10" customFormat="1" hidden="1" outlineLevel="2">
      <c r="A2199" s="70">
        <v>1</v>
      </c>
      <c r="F2199" s="87"/>
      <c r="G2199" s="10" t="e">
        <f>AcDisp</f>
        <v>#NAME?</v>
      </c>
      <c r="I2199" s="13" t="str">
        <f>VLOOKUP(C2192,Tbl_Button_Display_ASSTS,31,FALSE)</f>
        <v>Off</v>
      </c>
    </row>
    <row r="2200" spans="1:9" s="10" customFormat="1" hidden="1" outlineLevel="2">
      <c r="A2200" s="70">
        <v>1</v>
      </c>
      <c r="F2200" s="87"/>
      <c r="G2200" s="10" t="e" cm="1">
        <f t="array" ref="G2200">CompSpd_rpm</f>
        <v>#NAME?</v>
      </c>
      <c r="I2200" s="13" t="str">
        <f>VLOOKUP(C2192,Tbl_Button_Display_ASSTS,33,FALSE)</f>
        <v>Off</v>
      </c>
    </row>
    <row r="2201" spans="1:9" s="10" customFormat="1" hidden="1" outlineLevel="2">
      <c r="A2201" s="70">
        <v>1</v>
      </c>
      <c r="F2201" s="87"/>
      <c r="G2201" s="10" t="e">
        <f>IntakeDisp</f>
        <v>#NAME?</v>
      </c>
      <c r="I2201" s="13" t="str">
        <f>VLOOKUP(C2192,Tbl_Button_Display_ASSTS,34,FALSE)</f>
        <v>FRE</v>
      </c>
    </row>
    <row r="2202" spans="1:9" s="10" customFormat="1" hidden="1" outlineLevel="2">
      <c r="A2202" s="70">
        <v>1</v>
      </c>
      <c r="F2202" s="87"/>
      <c r="G2202" s="10" t="e">
        <f>Act_Intake</f>
        <v>#NAME?</v>
      </c>
      <c r="H2202" s="49" t="str">
        <f>VLOOKUP(C2192,Tbl_Button_Display_ASSTS,35,FALSE)</f>
        <v>Intake_TD 연산에 따름</v>
      </c>
      <c r="I2202" s="48" t="e">
        <f>IF(H2202="","",VLOOKUP(H2202,Tbl_IntakeFB_Volt,2,FALSE))</f>
        <v>#NAME?</v>
      </c>
    </row>
    <row r="2203" spans="1:9" s="39" customFormat="1" hidden="1" outlineLevel="1">
      <c r="A2203" s="73">
        <v>1</v>
      </c>
      <c r="B2203" s="39" t="s">
        <v>155</v>
      </c>
      <c r="C2203" s="39" t="s">
        <v>1712</v>
      </c>
      <c r="D2203" s="39" t="e">
        <f>CONCATENATE(E2204," = ",F2204," 설정 시 워셔액 로직 진입 확인")</f>
        <v>#NAME?</v>
      </c>
      <c r="F2203" s="91"/>
    </row>
    <row r="2204" spans="1:9" s="10" customFormat="1" hidden="1" outlineLevel="2">
      <c r="A2204" s="70">
        <v>1</v>
      </c>
      <c r="E2204" s="14" t="e">
        <f>VLOOKUP(C2203,Tbl_Button_Display_ASSTS,11,FALSE)</f>
        <v>#NAME?</v>
      </c>
      <c r="F2204" s="85" t="str">
        <f>VLOOKUP(C2203,Tbl_Button_Display_ASSTS,12,FALSE)</f>
        <v>0-&gt;1-&gt;0</v>
      </c>
    </row>
    <row r="2205" spans="1:9" s="10" customFormat="1" hidden="1" outlineLevel="2">
      <c r="A2205" s="70">
        <v>1</v>
      </c>
      <c r="E2205" s="15" t="s">
        <v>5</v>
      </c>
      <c r="F2205" s="85">
        <f>VLOOKUP(C2203,Tbl_Button_Display_ASSTS,13,FALSE)</f>
        <v>1</v>
      </c>
    </row>
    <row r="2206" spans="1:9" s="10" customFormat="1" hidden="1" outlineLevel="2">
      <c r="A2206" s="70">
        <v>1</v>
      </c>
      <c r="F2206" s="87"/>
      <c r="G2206" s="10" t="e">
        <f>AcDisp</f>
        <v>#NAME?</v>
      </c>
      <c r="I2206" s="13" t="str">
        <f>VLOOKUP(C2203,Tbl_Button_Display_ASSTS,31,FALSE)</f>
        <v>Off</v>
      </c>
    </row>
    <row r="2207" spans="1:9" s="10" customFormat="1" hidden="1" outlineLevel="2">
      <c r="A2207" s="70">
        <v>1</v>
      </c>
      <c r="F2207" s="87"/>
      <c r="G2207" s="10" t="e" cm="1">
        <f t="array" ref="G2207">CompSpd_rpm</f>
        <v>#NAME?</v>
      </c>
      <c r="I2207" s="13" t="str">
        <f>VLOOKUP(C2203,Tbl_Button_Display_ASSTS,33,FALSE)</f>
        <v>On</v>
      </c>
    </row>
    <row r="2208" spans="1:9" s="10" customFormat="1" hidden="1" outlineLevel="2">
      <c r="A2208" s="70">
        <v>1</v>
      </c>
      <c r="F2208" s="87"/>
      <c r="G2208" s="10" t="e">
        <f>IntakeDisp</f>
        <v>#NAME?</v>
      </c>
      <c r="I2208" s="13" t="str">
        <f>VLOOKUP(C2203,Tbl_Button_Display_ASSTS,34,FALSE)</f>
        <v>REC</v>
      </c>
    </row>
    <row r="2209" spans="1:9" s="10" customFormat="1" hidden="1" outlineLevel="2">
      <c r="A2209" s="70">
        <v>1</v>
      </c>
      <c r="F2209" s="87"/>
      <c r="G2209" s="10" t="e">
        <f>Act_Intake</f>
        <v>#NAME?</v>
      </c>
      <c r="H2209" s="49" t="str">
        <f>VLOOKUP(C2203,Tbl_Button_Display_ASSTS,35,FALSE)</f>
        <v>REC</v>
      </c>
      <c r="I2209" s="48" t="e">
        <f>IF(H2209="","",VLOOKUP(H2209,Tbl_IntakeFB_Volt,2,FALSE))</f>
        <v>#NAME?</v>
      </c>
    </row>
    <row r="2210" spans="1:9" s="39" customFormat="1" hidden="1" outlineLevel="1">
      <c r="A2210" s="73">
        <v>1</v>
      </c>
      <c r="B2210" s="39" t="s">
        <v>155</v>
      </c>
      <c r="C2210" s="39" t="s">
        <v>1711</v>
      </c>
      <c r="D2210" s="39" t="str">
        <f>CONCATENATE(F2211)</f>
        <v>내기 제어 시작 60초 후 외기로 복귀 확인</v>
      </c>
      <c r="F2210" s="91"/>
    </row>
    <row r="2211" spans="1:9" s="10" customFormat="1" hidden="1" outlineLevel="2">
      <c r="A2211" s="70">
        <v>1</v>
      </c>
      <c r="E2211" s="14" t="str">
        <f>VLOOKUP(C2210,Tbl_Button_Display_ASSTS,11,FALSE)</f>
        <v>MsgBox</v>
      </c>
      <c r="F2211" s="90" t="str">
        <f>VLOOKUP(C2210,Tbl_Button_Display_ASSTS,12,FALSE)</f>
        <v>내기 제어 시작 60초 후 외기로 복귀 확인</v>
      </c>
      <c r="G2211" s="43"/>
      <c r="H2211" s="43"/>
      <c r="I2211" s="43"/>
    </row>
    <row r="2212" spans="1:9" s="10" customFormat="1" hidden="1" outlineLevel="2">
      <c r="A2212" s="70">
        <v>1</v>
      </c>
      <c r="E2212" s="15" t="s">
        <v>5</v>
      </c>
      <c r="F2212" s="85">
        <f>VLOOKUP(C2210,Tbl_Button_Display_ASSTS,13,FALSE)</f>
        <v>59</v>
      </c>
    </row>
    <row r="2213" spans="1:9" s="10" customFormat="1" hidden="1" outlineLevel="2">
      <c r="A2213" s="70">
        <v>1</v>
      </c>
      <c r="F2213" s="87"/>
      <c r="G2213" s="10" t="e">
        <f>AcDisp</f>
        <v>#NAME?</v>
      </c>
      <c r="I2213" s="13" t="str">
        <f>VLOOKUP(C2210,Tbl_Button_Display_ASSTS,31,FALSE)</f>
        <v>Off</v>
      </c>
    </row>
    <row r="2214" spans="1:9" s="10" customFormat="1" hidden="1" outlineLevel="2">
      <c r="A2214" s="70">
        <v>1</v>
      </c>
      <c r="F2214" s="87"/>
      <c r="G2214" s="10" t="e" cm="1">
        <f t="array" ref="G2214">CompSpd_rpm</f>
        <v>#NAME?</v>
      </c>
      <c r="I2214" s="13" t="str">
        <f>VLOOKUP(C2210,Tbl_Button_Display_ASSTS,33,FALSE)</f>
        <v>Off</v>
      </c>
    </row>
    <row r="2215" spans="1:9" s="10" customFormat="1" hidden="1" outlineLevel="2">
      <c r="A2215" s="70">
        <v>1</v>
      </c>
      <c r="F2215" s="87"/>
      <c r="G2215" s="10" t="e">
        <f>IntakeDisp</f>
        <v>#NAME?</v>
      </c>
      <c r="I2215" s="13" t="str">
        <f>VLOOKUP(C2210,Tbl_Button_Display_ASSTS,34,FALSE)</f>
        <v>FRE</v>
      </c>
    </row>
    <row r="2216" spans="1:9" s="10" customFormat="1" hidden="1" outlineLevel="2">
      <c r="A2216" s="70">
        <v>1</v>
      </c>
      <c r="F2216" s="87"/>
      <c r="G2216" s="10" t="e">
        <f>Act_Intake</f>
        <v>#NAME?</v>
      </c>
      <c r="H2216" s="49" t="str">
        <f>VLOOKUP(C2210,Tbl_Button_Display_ASSTS,35,FALSE)</f>
        <v>Intake_TD 연산에 따름</v>
      </c>
      <c r="I2216" s="48" t="e">
        <f>IF(H2216="","",VLOOKUP(H2216,Tbl_IntakeFB_Volt,2,FALSE))</f>
        <v>#NAME?</v>
      </c>
    </row>
    <row r="2217" spans="1:9" s="38" customFormat="1" collapsed="1">
      <c r="A2217" s="71">
        <v>1</v>
      </c>
      <c r="B2217" s="38" t="s">
        <v>7</v>
      </c>
      <c r="C2217" s="38" t="s">
        <v>931</v>
      </c>
      <c r="D2217" s="38" t="str">
        <f>VLOOKUP(C2217,Tbl_Button_Display_ASSTS, 2,FALSE)</f>
        <v>Key 조합 입력에 의한 워셔액 해제 복귀 로직 동작 확인</v>
      </c>
      <c r="F2217" s="88"/>
    </row>
    <row r="2218" spans="1:9" s="39" customFormat="1" hidden="1" outlineLevel="1">
      <c r="A2218" s="73">
        <v>1</v>
      </c>
      <c r="B2218" s="39" t="s">
        <v>155</v>
      </c>
      <c r="C2218" s="39" t="s">
        <v>933</v>
      </c>
      <c r="D2218" s="39" t="e">
        <f>CONCATENATE(F2219," 시 ",I2224," 확인")</f>
        <v>#NAME?</v>
      </c>
      <c r="F2218" s="91"/>
    </row>
    <row r="2219" spans="1:9" s="10" customFormat="1" hidden="1" outlineLevel="2">
      <c r="A2219" s="70">
        <v>1</v>
      </c>
      <c r="E2219" s="14" t="str">
        <f>VLOOKUP(C2218,Tbl_Button_Display_ASSTS,11,FALSE)</f>
        <v>MsgBox</v>
      </c>
      <c r="F2219" s="85" t="e">
        <f>VLOOKUP(C2218,Tbl_Button_Display_ASSTS,12,FALSE)</f>
        <v>#NAME?</v>
      </c>
    </row>
    <row r="2220" spans="1:9" s="10" customFormat="1" hidden="1" outlineLevel="2">
      <c r="A2220" s="70">
        <v>1</v>
      </c>
      <c r="E2220" s="15" t="s">
        <v>5</v>
      </c>
      <c r="F2220" s="85">
        <f>VLOOKUP(C2218,Tbl_Button_Display_ASSTS,13,FALSE)</f>
        <v>1</v>
      </c>
    </row>
    <row r="2221" spans="1:9" s="10" customFormat="1" hidden="1" outlineLevel="2">
      <c r="A2221" s="70">
        <v>1</v>
      </c>
      <c r="F2221" s="87"/>
      <c r="G2221" s="10" t="e">
        <f>WshFldUSMSta</f>
        <v>#NAME?</v>
      </c>
      <c r="I2221" s="13">
        <f>VLOOKUP(C2218,Tbl_Button_Display_ASSTS,44,FALSE)</f>
        <v>1</v>
      </c>
    </row>
    <row r="2222" spans="1:9" s="10" customFormat="1" hidden="1" outlineLevel="2">
      <c r="A2222" s="70">
        <v>1</v>
      </c>
      <c r="F2222" s="87"/>
      <c r="G2222" s="10" t="e">
        <f>AcDisp</f>
        <v>#NAME?</v>
      </c>
      <c r="I2222" s="13" t="str">
        <f>VLOOKUP(C2218,Tbl_Button_Display_ASSTS,31,FALSE)</f>
        <v>Off</v>
      </c>
    </row>
    <row r="2223" spans="1:9" s="10" customFormat="1" hidden="1" outlineLevel="2">
      <c r="A2223" s="70">
        <v>1</v>
      </c>
      <c r="F2223" s="87"/>
      <c r="G2223" s="10" t="e" cm="1">
        <f t="array" ref="G2223">CompSpd_rpm</f>
        <v>#NAME?</v>
      </c>
      <c r="I2223" s="13" t="str">
        <f>VLOOKUP(C2218,Tbl_Button_Display_ASSTS,33,FALSE)</f>
        <v>Off</v>
      </c>
    </row>
    <row r="2224" spans="1:9" s="10" customFormat="1" hidden="1" outlineLevel="2">
      <c r="A2224" s="70">
        <v>1</v>
      </c>
      <c r="F2224" s="87"/>
      <c r="G2224" s="10" t="e">
        <f>IntakeDisp</f>
        <v>#NAME?</v>
      </c>
      <c r="I2224" s="13" t="str">
        <f>VLOOKUP(C2218,Tbl_Button_Display_ASSTS,34,FALSE)</f>
        <v>0.5초 간격 3회 점/소등 후 FRE</v>
      </c>
    </row>
    <row r="2225" spans="1:9" s="10" customFormat="1" hidden="1" outlineLevel="2">
      <c r="A2225" s="70">
        <v>1</v>
      </c>
      <c r="F2225" s="87"/>
      <c r="G2225" s="10" t="e">
        <f>Act_Intake</f>
        <v>#NAME?</v>
      </c>
      <c r="H2225" s="49" t="str">
        <f>VLOOKUP(C2218,Tbl_Button_Display_ASSTS,35,FALSE)</f>
        <v>Intake_TD 연산에 따름</v>
      </c>
      <c r="I2225" s="48" t="e">
        <f>IF(H2225="","",VLOOKUP(H2225,Tbl_IntakeFB_Volt,2,FALSE))</f>
        <v>#NAME?</v>
      </c>
    </row>
    <row r="2226" spans="1:9" s="39" customFormat="1" hidden="1" outlineLevel="1">
      <c r="A2226" s="73">
        <v>1</v>
      </c>
      <c r="B2226" s="39" t="s">
        <v>155</v>
      </c>
      <c r="C2226" s="39" t="s">
        <v>934</v>
      </c>
      <c r="D2226" s="39" t="e">
        <f>CONCATENATE(E2227," = ",F2227," 설정 시 워셔액 로직 미진입 확인")</f>
        <v>#NAME?</v>
      </c>
      <c r="F2226" s="91"/>
    </row>
    <row r="2227" spans="1:9" s="10" customFormat="1" hidden="1" outlineLevel="2">
      <c r="A2227" s="70">
        <v>1</v>
      </c>
      <c r="E2227" s="14" t="e">
        <f>VLOOKUP(C2226,Tbl_Button_Display_ASSTS,11,FALSE)</f>
        <v>#NAME?</v>
      </c>
      <c r="F2227" s="85" t="str">
        <f>VLOOKUP(C2226,Tbl_Button_Display_ASSTS,12,FALSE)</f>
        <v>0-&gt;1-&gt;0</v>
      </c>
    </row>
    <row r="2228" spans="1:9" s="10" customFormat="1" hidden="1" outlineLevel="2">
      <c r="A2228" s="70">
        <v>1</v>
      </c>
      <c r="E2228" s="15" t="s">
        <v>5</v>
      </c>
      <c r="F2228" s="85">
        <f>VLOOKUP(C2226,Tbl_Button_Display_ASSTS,13,FALSE)</f>
        <v>1</v>
      </c>
    </row>
    <row r="2229" spans="1:9" s="10" customFormat="1" hidden="1" outlineLevel="2">
      <c r="A2229" s="70">
        <v>1</v>
      </c>
      <c r="F2229" s="87"/>
      <c r="G2229" s="10" t="e">
        <f>WshFldUSMSta</f>
        <v>#NAME?</v>
      </c>
      <c r="I2229" s="13">
        <f>VLOOKUP(C2226,Tbl_Button_Display_ASSTS,44,FALSE)</f>
        <v>1</v>
      </c>
    </row>
    <row r="2230" spans="1:9" s="10" customFormat="1" hidden="1" outlineLevel="2">
      <c r="A2230" s="70">
        <v>1</v>
      </c>
      <c r="F2230" s="87"/>
      <c r="G2230" s="10" t="e" cm="1">
        <f t="array" ref="G2230">CompSpd_rpm</f>
        <v>#NAME?</v>
      </c>
      <c r="I2230" s="13" t="str">
        <f>VLOOKUP(C2226,Tbl_Button_Display_ASSTS,33,FALSE)</f>
        <v>Off</v>
      </c>
    </row>
    <row r="2231" spans="1:9" s="10" customFormat="1" hidden="1" outlineLevel="2">
      <c r="A2231" s="70">
        <v>1</v>
      </c>
      <c r="F2231" s="87"/>
      <c r="G2231" s="10" t="e">
        <f>IntakeDisp</f>
        <v>#NAME?</v>
      </c>
      <c r="I2231" s="13" t="str">
        <f>VLOOKUP(C2226,Tbl_Button_Display_ASSTS,34,FALSE)</f>
        <v>FRE</v>
      </c>
    </row>
    <row r="2232" spans="1:9" s="39" customFormat="1" hidden="1" outlineLevel="1">
      <c r="A2232" s="73">
        <v>1</v>
      </c>
      <c r="B2232" s="39" t="s">
        <v>155</v>
      </c>
      <c r="C2232" s="39" t="s">
        <v>1713</v>
      </c>
      <c r="D2232" s="39" t="e">
        <f>CONCATENATE(F2233," 시 ",I2237," 확인")</f>
        <v>#NAME?</v>
      </c>
      <c r="F2232" s="91"/>
    </row>
    <row r="2233" spans="1:9" s="10" customFormat="1" hidden="1" outlineLevel="2">
      <c r="A2233" s="70">
        <v>1</v>
      </c>
      <c r="E2233" s="14" t="str">
        <f>VLOOKUP(C2232,Tbl_Button_Display_ASSTS,11,FALSE)</f>
        <v>MsgBox</v>
      </c>
      <c r="F2233" s="85" t="e">
        <f>VLOOKUP(C2232,Tbl_Button_Display_ASSTS,12,FALSE)</f>
        <v>#NAME?</v>
      </c>
    </row>
    <row r="2234" spans="1:9" s="10" customFormat="1" hidden="1" outlineLevel="2">
      <c r="A2234" s="70">
        <v>1</v>
      </c>
      <c r="E2234" s="15" t="s">
        <v>5</v>
      </c>
      <c r="F2234" s="85">
        <f>VLOOKUP(C2232,Tbl_Button_Display_ASSTS,13,FALSE)</f>
        <v>1</v>
      </c>
    </row>
    <row r="2235" spans="1:9" s="10" customFormat="1" hidden="1" outlineLevel="2">
      <c r="A2235" s="70">
        <v>1</v>
      </c>
      <c r="F2235" s="87"/>
      <c r="G2235" s="10" t="e">
        <f>WshFldUSMSta</f>
        <v>#NAME?</v>
      </c>
      <c r="I2235" s="13">
        <f>VLOOKUP(C2232,Tbl_Button_Display_ASSTS,44,FALSE)</f>
        <v>2</v>
      </c>
    </row>
    <row r="2236" spans="1:9" s="10" customFormat="1" hidden="1" outlineLevel="2">
      <c r="A2236" s="70">
        <v>1</v>
      </c>
      <c r="F2236" s="87"/>
      <c r="G2236" s="10" t="e" cm="1">
        <f t="array" ref="G2236">CompSpd_rpm</f>
        <v>#NAME?</v>
      </c>
      <c r="I2236" s="13" t="str">
        <f>VLOOKUP(C2232,Tbl_Button_Display_ASSTS,33,FALSE)</f>
        <v>Off</v>
      </c>
    </row>
    <row r="2237" spans="1:9" s="10" customFormat="1" hidden="1" outlineLevel="2">
      <c r="A2237" s="70">
        <v>1</v>
      </c>
      <c r="F2237" s="87"/>
      <c r="G2237" s="10" t="e">
        <f>IntakeDisp</f>
        <v>#NAME?</v>
      </c>
      <c r="I2237" s="13" t="str">
        <f>VLOOKUP(C2232,Tbl_Button_Display_ASSTS,34,FALSE)</f>
        <v>0.25초 간격 6회 점/소등 후 FRE</v>
      </c>
    </row>
    <row r="2238" spans="1:9" s="39" customFormat="1" hidden="1" outlineLevel="1">
      <c r="A2238" s="73">
        <v>1</v>
      </c>
      <c r="B2238" s="39" t="s">
        <v>155</v>
      </c>
      <c r="C2238" s="39" t="s">
        <v>1717</v>
      </c>
      <c r="D2238" s="39" t="e">
        <f>CONCATENATE(E2239," = ",F2239," 설정 시 워셔액 로직 진입 확인")</f>
        <v>#NAME?</v>
      </c>
      <c r="F2238" s="91"/>
    </row>
    <row r="2239" spans="1:9" s="10" customFormat="1" hidden="1" outlineLevel="2">
      <c r="A2239" s="70">
        <v>1</v>
      </c>
      <c r="E2239" s="14" t="e">
        <f>VLOOKUP(C2238,Tbl_Button_Display_ASSTS,11,FALSE)</f>
        <v>#NAME?</v>
      </c>
      <c r="F2239" s="85" t="str">
        <f>VLOOKUP(C2238,Tbl_Button_Display_ASSTS,12,FALSE)</f>
        <v>0-&gt;1-&gt;0</v>
      </c>
    </row>
    <row r="2240" spans="1:9" s="10" customFormat="1" hidden="1" outlineLevel="2">
      <c r="A2240" s="70">
        <v>1</v>
      </c>
      <c r="E2240" s="15" t="s">
        <v>5</v>
      </c>
      <c r="F2240" s="85">
        <f>VLOOKUP(C2238,Tbl_Button_Display_ASSTS,13,FALSE)</f>
        <v>1</v>
      </c>
    </row>
    <row r="2241" spans="1:10" s="10" customFormat="1" hidden="1" outlineLevel="2">
      <c r="A2241" s="70">
        <v>1</v>
      </c>
      <c r="F2241" s="87"/>
      <c r="G2241" s="10" t="e">
        <f>WshFldUSMSta</f>
        <v>#NAME?</v>
      </c>
      <c r="I2241" s="13">
        <f>VLOOKUP(C2238,Tbl_Button_Display_ASSTS,44,FALSE)</f>
        <v>2</v>
      </c>
    </row>
    <row r="2242" spans="1:10" s="10" customFormat="1" hidden="1" outlineLevel="2">
      <c r="A2242" s="70">
        <v>1</v>
      </c>
      <c r="F2242" s="87"/>
      <c r="G2242" s="10" t="e" cm="1">
        <f t="array" ref="G2242">CompSpd_rpm</f>
        <v>#NAME?</v>
      </c>
      <c r="I2242" s="13" t="str">
        <f>VLOOKUP(C2238,Tbl_Button_Display_ASSTS,33,FALSE)</f>
        <v>On</v>
      </c>
    </row>
    <row r="2243" spans="1:10" s="10" customFormat="1" hidden="1" outlineLevel="2">
      <c r="A2243" s="70">
        <v>1</v>
      </c>
      <c r="F2243" s="87"/>
      <c r="G2243" s="10" t="e">
        <f>IntakeDisp</f>
        <v>#NAME?</v>
      </c>
      <c r="I2243" s="13" t="str">
        <f>VLOOKUP(C2238,Tbl_Button_Display_ASSTS,34,FALSE)</f>
        <v>REC</v>
      </c>
    </row>
    <row r="2244" spans="1:10" s="38" customFormat="1" collapsed="1">
      <c r="A2244" s="71">
        <v>1</v>
      </c>
      <c r="B2244" s="38" t="s">
        <v>7</v>
      </c>
      <c r="C2244" s="38" t="s">
        <v>937</v>
      </c>
      <c r="D2244" s="38" t="str">
        <f>VLOOKUP(C2244,Tbl_Button_Display_ASSTS, 2,FALSE)</f>
        <v>AVN USM 설정에 의한 워셔액 해제 복귀 로직 동작 확인</v>
      </c>
      <c r="F2244" s="88"/>
    </row>
    <row r="2245" spans="1:10" s="11" customFormat="1" hidden="1" outlineLevel="1">
      <c r="A2245" s="72">
        <v>1</v>
      </c>
      <c r="B2245" s="11" t="s">
        <v>38</v>
      </c>
      <c r="C2245" s="11" t="s">
        <v>938</v>
      </c>
      <c r="D2245" s="11" t="s">
        <v>39</v>
      </c>
      <c r="F2245" s="89"/>
    </row>
    <row r="2246" spans="1:10" s="10" customFormat="1" hidden="1" outlineLevel="2">
      <c r="A2246" s="70">
        <v>1</v>
      </c>
      <c r="E2246" s="14" t="e">
        <f>WshFldUSMSet</f>
        <v>#NAME?</v>
      </c>
      <c r="F2246" s="85">
        <f>VLOOKUP(C2245,Tbl_Button_Display_ASSTS,7,FALSE)</f>
        <v>0</v>
      </c>
      <c r="J2246" s="15"/>
    </row>
    <row r="2247" spans="1:10" s="10" customFormat="1" hidden="1" outlineLevel="2">
      <c r="A2247" s="70">
        <v>1</v>
      </c>
      <c r="E2247" s="14" t="e">
        <f>AVN_CluUSMReset</f>
        <v>#NAME?</v>
      </c>
      <c r="F2247" s="85">
        <v>0</v>
      </c>
      <c r="J2247" s="15"/>
    </row>
    <row r="2248" spans="1:10" s="10" customFormat="1" hidden="1" outlineLevel="2">
      <c r="A2248" s="70">
        <v>1</v>
      </c>
      <c r="E2248" s="14" t="e">
        <f>CLU_USM_StaRst1Req</f>
        <v>#NAME?</v>
      </c>
      <c r="F2248" s="85">
        <v>0</v>
      </c>
      <c r="J2248" s="15"/>
    </row>
    <row r="2249" spans="1:10" s="10" customFormat="1" hidden="1" outlineLevel="2">
      <c r="A2249" s="70">
        <v>1</v>
      </c>
      <c r="E2249" s="14" t="str">
        <f>VLOOKUP(C2245,Tbl_Button_Display_ASSTS,11,FALSE)</f>
        <v>IGN1,2_Off_to_On</v>
      </c>
      <c r="F2249" s="85" t="str">
        <f>VLOOKUP(C2245,Tbl_Button_Display_ASSTS,12,FALSE)</f>
        <v xml:space="preserve"> </v>
      </c>
    </row>
    <row r="2250" spans="1:10" s="10" customFormat="1" hidden="1" outlineLevel="2">
      <c r="A2250" s="70">
        <v>1</v>
      </c>
      <c r="E2250" s="15" t="s">
        <v>5</v>
      </c>
      <c r="F2250" s="85">
        <f>VLOOKUP(C2245,Tbl_Button_Display_ASSTS,13,FALSE)</f>
        <v>10</v>
      </c>
    </row>
    <row r="2251" spans="1:10" s="10" customFormat="1" hidden="1" outlineLevel="2">
      <c r="A2251" s="70">
        <v>1</v>
      </c>
      <c r="F2251" s="87"/>
      <c r="G2251" s="10" t="e">
        <f>WshFldUSMSta</f>
        <v>#NAME?</v>
      </c>
      <c r="I2251" s="13">
        <f>VLOOKUP(C2245,Tbl_Button_Display_ASSTS,44,FALSE)</f>
        <v>2</v>
      </c>
    </row>
    <row r="2252" spans="1:10" s="39" customFormat="1" hidden="1" outlineLevel="1">
      <c r="A2252" s="73">
        <v>1</v>
      </c>
      <c r="B2252" s="39" t="s">
        <v>155</v>
      </c>
      <c r="C2252" s="39" t="s">
        <v>939</v>
      </c>
      <c r="D2252" s="39" t="e">
        <f>CONCATENATE(E2253," = ",F2253," 설정 시 ",G2255, " = ",I2255," 확인")</f>
        <v>#NAME?</v>
      </c>
      <c r="F2252" s="91"/>
    </row>
    <row r="2253" spans="1:10" s="10" customFormat="1" hidden="1" outlineLevel="2">
      <c r="A2253" s="70">
        <v>1</v>
      </c>
      <c r="E2253" s="14" t="e">
        <f>VLOOKUP(C2252,Tbl_Button_Display_ASSTS,11,FALSE)</f>
        <v>#NAME?</v>
      </c>
      <c r="F2253" s="85">
        <f>VLOOKUP(C2252,Tbl_Button_Display_ASSTS,12,FALSE)</f>
        <v>1</v>
      </c>
    </row>
    <row r="2254" spans="1:10" s="10" customFormat="1" hidden="1" outlineLevel="2">
      <c r="A2254" s="70">
        <v>1</v>
      </c>
      <c r="E2254" s="15" t="s">
        <v>5</v>
      </c>
      <c r="F2254" s="85">
        <f>VLOOKUP(C2252,Tbl_Button_Display_ASSTS,13,FALSE)</f>
        <v>1</v>
      </c>
    </row>
    <row r="2255" spans="1:10" s="10" customFormat="1" hidden="1" outlineLevel="2">
      <c r="A2255" s="70">
        <v>1</v>
      </c>
      <c r="F2255" s="87"/>
      <c r="G2255" s="10" t="e">
        <f>WshFldUSMSta</f>
        <v>#NAME?</v>
      </c>
      <c r="I2255" s="13">
        <f>VLOOKUP(C2252,Tbl_Button_Display_ASSTS,44,FALSE)</f>
        <v>1</v>
      </c>
    </row>
    <row r="2256" spans="1:10" s="39" customFormat="1" hidden="1" outlineLevel="1">
      <c r="A2256" s="73">
        <v>1</v>
      </c>
      <c r="B2256" s="39" t="s">
        <v>155</v>
      </c>
      <c r="C2256" s="39" t="s">
        <v>1878</v>
      </c>
      <c r="D2256" s="39" t="e">
        <f>CONCATENATE(E2257," = ",F2257," 설정 시 ",G2259, " = ",I2259," 확인")</f>
        <v>#NAME?</v>
      </c>
      <c r="F2256" s="91"/>
    </row>
    <row r="2257" spans="1:10" s="10" customFormat="1" hidden="1" outlineLevel="2">
      <c r="A2257" s="70">
        <v>1</v>
      </c>
      <c r="E2257" s="14" t="e">
        <f>VLOOKUP(C2256,Tbl_Button_Display_ASSTS,11,FALSE)</f>
        <v>#NAME?</v>
      </c>
      <c r="F2257" s="85">
        <f>VLOOKUP(C2256,Tbl_Button_Display_ASSTS,12,FALSE)</f>
        <v>2</v>
      </c>
    </row>
    <row r="2258" spans="1:10" s="10" customFormat="1" hidden="1" outlineLevel="2">
      <c r="A2258" s="70">
        <v>1</v>
      </c>
      <c r="E2258" s="15" t="s">
        <v>5</v>
      </c>
      <c r="F2258" s="85">
        <f>VLOOKUP(C2256,Tbl_Button_Display_ASSTS,13,FALSE)</f>
        <v>1</v>
      </c>
    </row>
    <row r="2259" spans="1:10" s="10" customFormat="1" hidden="1" outlineLevel="2">
      <c r="A2259" s="70">
        <v>1</v>
      </c>
      <c r="F2259" s="87"/>
      <c r="G2259" s="10" t="e">
        <f>WshFldUSMSta</f>
        <v>#NAME?</v>
      </c>
      <c r="I2259" s="13">
        <f>VLOOKUP(C2256,Tbl_Button_Display_ASSTS,44,FALSE)</f>
        <v>2</v>
      </c>
    </row>
    <row r="2260" spans="1:10" s="39" customFormat="1" hidden="1" outlineLevel="1">
      <c r="A2260" s="73">
        <v>1</v>
      </c>
      <c r="B2260" s="39" t="s">
        <v>155</v>
      </c>
      <c r="C2260" s="39" t="s">
        <v>1716</v>
      </c>
      <c r="D2260" s="39" t="e">
        <f>CONCATENATE(F2261," 시 ",G2264, " = ",I2264," 유지 확인")</f>
        <v>#NAME?</v>
      </c>
      <c r="F2260" s="91"/>
    </row>
    <row r="2261" spans="1:10" s="10" customFormat="1" hidden="1" outlineLevel="2">
      <c r="A2261" s="70">
        <v>1</v>
      </c>
      <c r="E2261" s="14" t="str">
        <f>VLOOKUP(C2260,Tbl_Button_Display_ASSTS,11,FALSE)</f>
        <v>MsgBox</v>
      </c>
      <c r="F2261" s="85" t="str">
        <f>VLOOKUP(C2260,Tbl_Button_Display_ASSTS,12,FALSE)</f>
        <v>USM Signal Defualt 값 설정</v>
      </c>
    </row>
    <row r="2262" spans="1:10" s="10" customFormat="1" hidden="1" outlineLevel="2">
      <c r="A2262" s="70">
        <v>1</v>
      </c>
      <c r="E2262" s="14" t="e">
        <f>WshFldUSMSet</f>
        <v>#NAME?</v>
      </c>
      <c r="F2262" s="12">
        <v>0</v>
      </c>
      <c r="J2262" s="15"/>
    </row>
    <row r="2263" spans="1:10" s="10" customFormat="1" hidden="1" outlineLevel="2">
      <c r="A2263" s="70">
        <v>1</v>
      </c>
      <c r="E2263" s="15" t="s">
        <v>5</v>
      </c>
      <c r="F2263" s="85">
        <f>VLOOKUP(C2260,Tbl_Button_Display_ASSTS,13,FALSE)</f>
        <v>1</v>
      </c>
    </row>
    <row r="2264" spans="1:10" s="10" customFormat="1" hidden="1" outlineLevel="2">
      <c r="A2264" s="70">
        <v>1</v>
      </c>
      <c r="F2264" s="87"/>
      <c r="G2264" s="10" t="e">
        <f>WshFldUSMSta</f>
        <v>#NAME?</v>
      </c>
      <c r="I2264" s="13">
        <f>VLOOKUP(C2260,Tbl_Button_Display_ASSTS,44,FALSE)</f>
        <v>2</v>
      </c>
    </row>
    <row r="2265" spans="1:10" s="40" customFormat="1" ht="15">
      <c r="A2265" s="66">
        <v>1</v>
      </c>
      <c r="B2265" s="40" t="s">
        <v>954</v>
      </c>
      <c r="C2265" s="40" t="s">
        <v>956</v>
      </c>
      <c r="D2265" s="40" t="str">
        <f t="shared" ref="D2265:D2451" si="28">VLOOKUP(B2265,Tbl_Button_Display_ASSTS,2,FALSE)</f>
        <v>Multi Auto Blower제어 (AUTO 3단 버튼인 경우)</v>
      </c>
      <c r="F2265" s="82"/>
    </row>
    <row r="2266" spans="1:10" s="123" customFormat="1" ht="14.65" customHeight="1" collapsed="1">
      <c r="A2266" s="122">
        <v>1</v>
      </c>
      <c r="B2266" s="123" t="s">
        <v>7</v>
      </c>
      <c r="C2266" s="123" t="s">
        <v>1017</v>
      </c>
      <c r="D2266" s="123" t="str">
        <f>VLOOKUP(C2266,Tbl_Button_Display_ASSTS, 2,FALSE)</f>
        <v>Multi Auto Blower제어 동작 확인 (AUTO 선택 시, AUTO-3단(Default) → AUTO-2단 → AUTO-1단 → AUTO-3단 → AUTO-2단 순)</v>
      </c>
    </row>
    <row r="2267" spans="1:10" s="125" customFormat="1" hidden="1" outlineLevel="1">
      <c r="A2267" s="124">
        <v>1</v>
      </c>
      <c r="B2267" s="125" t="s">
        <v>38</v>
      </c>
      <c r="C2267" s="125" t="s">
        <v>1018</v>
      </c>
      <c r="D2267" s="125" t="s">
        <v>39</v>
      </c>
    </row>
    <row r="2268" spans="1:10" s="10" customFormat="1" hidden="1" outlineLevel="2">
      <c r="A2268" s="70">
        <v>1</v>
      </c>
      <c r="E2268" s="114" t="e">
        <f>Incar_IN</f>
        <v>#NAME?</v>
      </c>
      <c r="F2268" s="65" cm="1">
        <f t="array" ref="F2268">VINTERPOLATION(VLOOKUP(C2267,Tbl_Button_Display_ASSTS,2,FALSE),Tbl_Incar_Sensor,3)</f>
        <v>0.99601123277225601</v>
      </c>
    </row>
    <row r="2269" spans="1:10" s="10" customFormat="1" hidden="1" outlineLevel="2">
      <c r="A2269" s="70">
        <v>1</v>
      </c>
      <c r="E2269" s="114" t="e">
        <f>Amb_IN</f>
        <v>#NAME?</v>
      </c>
      <c r="F2269" s="65" cm="1">
        <f t="array" ref="F2269">VINTERPOLATION(VLOOKUP(C2267,Tbl_Button_Display_ASSTS,3,FALSE),Tbl_Amb_Sensor,3)</f>
        <v>1.0084089518081907</v>
      </c>
    </row>
    <row r="2270" spans="1:10" s="10" customFormat="1" hidden="1" outlineLevel="2">
      <c r="A2270" s="70">
        <v>1</v>
      </c>
      <c r="E2270" s="114" t="str">
        <f>VLOOKUP(C2267,Tbl_Button_Display_ASSTS,11,FALSE)</f>
        <v>MsgBox</v>
      </c>
      <c r="F2270" s="12" t="e">
        <f>VLOOKUP(C2267,Tbl_Button_Display_ASSTS,12,FALSE)</f>
        <v>#NAME?</v>
      </c>
    </row>
    <row r="2271" spans="1:10" s="10" customFormat="1" hidden="1" outlineLevel="2">
      <c r="A2271" s="70">
        <v>1</v>
      </c>
      <c r="E2271" s="114" t="s">
        <v>95</v>
      </c>
      <c r="F2271" s="12" t="s">
        <v>1189</v>
      </c>
    </row>
    <row r="2272" spans="1:10" s="10" customFormat="1" hidden="1" outlineLevel="2">
      <c r="A2272" s="70">
        <v>1</v>
      </c>
      <c r="E2272" s="15" t="s">
        <v>5</v>
      </c>
      <c r="F2272" s="12">
        <f>VLOOKUP(C2267,Tbl_Button_Display_ASSTS,13,FALSE)</f>
        <v>10</v>
      </c>
    </row>
    <row r="2273" spans="1:10" s="10" customFormat="1" hidden="1" outlineLevel="2">
      <c r="A2273" s="70">
        <v>1</v>
      </c>
      <c r="F2273" s="87"/>
      <c r="G2273" s="10" t="e">
        <f>Incar_OUT</f>
        <v>#NAME?</v>
      </c>
      <c r="I2273" s="13">
        <f>VLOOKUP(C2267,Tbl_Button_Display_ASSTS,2,FALSE)</f>
        <v>60</v>
      </c>
    </row>
    <row r="2274" spans="1:10" s="10" customFormat="1" hidden="1" outlineLevel="2">
      <c r="A2274" s="70">
        <v>1</v>
      </c>
      <c r="F2274" s="87"/>
      <c r="G2274" s="10" t="e">
        <f>Amb_OUT</f>
        <v>#NAME?</v>
      </c>
      <c r="I2274" s="13">
        <f>VLOOKUP(C2267,Tbl_Button_Display_ASSTS,3,FALSE)</f>
        <v>60</v>
      </c>
    </row>
    <row r="2275" spans="1:10" s="10" customFormat="1" hidden="1" outlineLevel="2">
      <c r="A2275" s="70">
        <v>1</v>
      </c>
      <c r="G2275" s="10" t="e">
        <f>AUTOStep</f>
        <v>#NAME?</v>
      </c>
      <c r="I2275" s="13" t="e">
        <f>VLOOKUP(C2267,Tbl_Button_Display_ASSTS,52,FALSE)</f>
        <v>#NAME?</v>
      </c>
    </row>
    <row r="2276" spans="1:10" s="10" customFormat="1" hidden="1" outlineLevel="2">
      <c r="A2276" s="70">
        <v>1</v>
      </c>
      <c r="G2276" s="10" t="e">
        <f>MltAutBlrTxt</f>
        <v>#NAME?</v>
      </c>
      <c r="I2276" s="13" t="e">
        <f>VLOOKUP(C2267,Tbl_Button_Display_ASSTS,53,FALSE)</f>
        <v>#NAME?</v>
      </c>
    </row>
    <row r="2277" spans="1:10" s="10" customFormat="1" hidden="1" outlineLevel="2">
      <c r="A2277" s="70">
        <v>1</v>
      </c>
      <c r="G2277" s="10" t="e">
        <f>FrontBlwDisp</f>
        <v>#NAME?</v>
      </c>
      <c r="I2277" s="13" t="e">
        <f>VLOOKUP(C2267,Tbl_Button_Display_ASSTS,23,FALSE)</f>
        <v>#NAME?</v>
      </c>
    </row>
    <row r="2278" spans="1:10" s="10" customFormat="1" hidden="1" outlineLevel="2">
      <c r="A2278" s="70">
        <v>1</v>
      </c>
      <c r="G2278" s="10" t="e">
        <f>BLW_Front</f>
        <v>#NAME?</v>
      </c>
      <c r="I2278" s="13" t="e">
        <f>VLOOKUP(C2267,Tbl_Button_Display_ASSTS,24,FALSE)</f>
        <v>#NAME?</v>
      </c>
    </row>
    <row r="2279" spans="1:10" s="39" customFormat="1" hidden="1" outlineLevel="1">
      <c r="A2279" s="73">
        <v>1</v>
      </c>
      <c r="B2279" s="39" t="s">
        <v>155</v>
      </c>
      <c r="C2279" s="39" t="s">
        <v>1721</v>
      </c>
      <c r="D2279" s="39" t="str">
        <f>CONCATENATE(E2280," ",F2280,"회 선택 시, Mulit Auto Blower - Auto제어 ",VLOOKUP(C2279,Tbl_Button_Display_ASSTS,14,FALSE)," 확인")</f>
        <v>Sw_AUTO 1회 선택 시, Mulit Auto Blower - Auto제어 2단 확인</v>
      </c>
    </row>
    <row r="2280" spans="1:10" s="10" customFormat="1" hidden="1" outlineLevel="2">
      <c r="A2280" s="70">
        <v>1</v>
      </c>
      <c r="E2280" s="114" t="str">
        <f>VLOOKUP(C2279,Tbl_Button_Display_ASSTS,11,FALSE)</f>
        <v>Sw_AUTO</v>
      </c>
      <c r="F2280" s="12">
        <f>VLOOKUP(C2279,Tbl_Button_Display_ASSTS,12,FALSE)</f>
        <v>1</v>
      </c>
      <c r="J2280" s="15"/>
    </row>
    <row r="2281" spans="1:10" s="10" customFormat="1" hidden="1" outlineLevel="2">
      <c r="A2281" s="70">
        <v>1</v>
      </c>
      <c r="E2281" s="15" t="s">
        <v>5</v>
      </c>
      <c r="F2281" s="12">
        <f>VLOOKUP(C2279,Tbl_Button_Display_ASSTS,13,FALSE)</f>
        <v>2</v>
      </c>
    </row>
    <row r="2282" spans="1:10" s="10" customFormat="1" hidden="1" outlineLevel="2">
      <c r="A2282" s="70">
        <v>1</v>
      </c>
      <c r="G2282" s="10" t="e">
        <f>AUTOStep</f>
        <v>#NAME?</v>
      </c>
      <c r="I2282" s="13" t="e">
        <f>VLOOKUP(C2279,Tbl_Button_Display_ASSTS,52,FALSE)</f>
        <v>#NAME?</v>
      </c>
    </row>
    <row r="2283" spans="1:10" s="10" customFormat="1" hidden="1" outlineLevel="2">
      <c r="A2283" s="70">
        <v>1</v>
      </c>
      <c r="G2283" s="10" t="e">
        <f>MltAutBlrTxt</f>
        <v>#NAME?</v>
      </c>
      <c r="I2283" s="13" t="e">
        <f>VLOOKUP(C2279,Tbl_Button_Display_ASSTS,53,FALSE)</f>
        <v>#NAME?</v>
      </c>
    </row>
    <row r="2284" spans="1:10" s="10" customFormat="1" hidden="1" outlineLevel="2">
      <c r="A2284" s="70">
        <v>1</v>
      </c>
      <c r="G2284" s="10" t="e">
        <f>FrontBlwDisp</f>
        <v>#NAME?</v>
      </c>
      <c r="I2284" s="13" t="e">
        <f>VLOOKUP(C2279,Tbl_Button_Display_ASSTS,23,FALSE)</f>
        <v>#NAME?</v>
      </c>
    </row>
    <row r="2285" spans="1:10" s="10" customFormat="1" hidden="1" outlineLevel="2">
      <c r="A2285" s="70">
        <v>1</v>
      </c>
      <c r="G2285" s="10" t="e">
        <f>BLW_Front</f>
        <v>#NAME?</v>
      </c>
      <c r="I2285" s="13" t="e">
        <f>VLOOKUP(C2279,Tbl_Button_Display_ASSTS,24,FALSE)</f>
        <v>#NAME?</v>
      </c>
    </row>
    <row r="2286" spans="1:10" s="39" customFormat="1" hidden="1" outlineLevel="1">
      <c r="A2286" s="73">
        <v>1</v>
      </c>
      <c r="B2286" s="39" t="s">
        <v>155</v>
      </c>
      <c r="C2286" s="39" t="s">
        <v>1020</v>
      </c>
      <c r="D2286" s="39" t="str">
        <f>CONCATENATE(E2287," ",F2287,"회 선택 시, Mulit Auto Blower - Auto제어 ",VLOOKUP(C2286,Tbl_Button_Display_ASSTS,14,FALSE)," 확인")</f>
        <v>Sw_AUTO 1회 선택 시, Mulit Auto Blower - Auto제어 1단 확인</v>
      </c>
    </row>
    <row r="2287" spans="1:10" s="10" customFormat="1" hidden="1" outlineLevel="2">
      <c r="A2287" s="70">
        <v>1</v>
      </c>
      <c r="E2287" s="114" t="str">
        <f>VLOOKUP(C2286,Tbl_Button_Display_ASSTS,11,FALSE)</f>
        <v>Sw_AUTO</v>
      </c>
      <c r="F2287" s="12">
        <f>VLOOKUP(C2286,Tbl_Button_Display_ASSTS,12,FALSE)</f>
        <v>1</v>
      </c>
      <c r="J2287" s="15"/>
    </row>
    <row r="2288" spans="1:10" s="10" customFormat="1" hidden="1" outlineLevel="2">
      <c r="A2288" s="70">
        <v>1</v>
      </c>
      <c r="E2288" s="15" t="s">
        <v>5</v>
      </c>
      <c r="F2288" s="12">
        <f>VLOOKUP(C2286,Tbl_Button_Display_ASSTS,13,FALSE)</f>
        <v>2</v>
      </c>
    </row>
    <row r="2289" spans="1:10" s="10" customFormat="1" hidden="1" outlineLevel="2">
      <c r="A2289" s="70">
        <v>1</v>
      </c>
      <c r="G2289" s="10" t="e">
        <f>AUTOStep</f>
        <v>#NAME?</v>
      </c>
      <c r="I2289" s="13" t="e">
        <f>VLOOKUP(C2286,Tbl_Button_Display_ASSTS,52,FALSE)</f>
        <v>#NAME?</v>
      </c>
    </row>
    <row r="2290" spans="1:10" s="10" customFormat="1" hidden="1" outlineLevel="2">
      <c r="A2290" s="70">
        <v>1</v>
      </c>
      <c r="G2290" s="10" t="e">
        <f>MltAutBlrTxt</f>
        <v>#NAME?</v>
      </c>
      <c r="I2290" s="13" t="e">
        <f>VLOOKUP(C2286,Tbl_Button_Display_ASSTS,53,FALSE)</f>
        <v>#NAME?</v>
      </c>
    </row>
    <row r="2291" spans="1:10" s="10" customFormat="1" hidden="1" outlineLevel="2">
      <c r="A2291" s="70">
        <v>1</v>
      </c>
      <c r="G2291" s="10" t="e">
        <f>FrontBlwDisp</f>
        <v>#NAME?</v>
      </c>
      <c r="I2291" s="13" t="e">
        <f>VLOOKUP(C2286,Tbl_Button_Display_ASSTS,23,FALSE)</f>
        <v>#NAME?</v>
      </c>
    </row>
    <row r="2292" spans="1:10" s="10" customFormat="1" hidden="1" outlineLevel="2">
      <c r="A2292" s="70">
        <v>1</v>
      </c>
      <c r="G2292" s="10" t="e">
        <f>BLW_Front</f>
        <v>#NAME?</v>
      </c>
      <c r="I2292" s="13" t="e">
        <f>VLOOKUP(C2286,Tbl_Button_Display_ASSTS,24,FALSE)</f>
        <v>#NAME?</v>
      </c>
    </row>
    <row r="2293" spans="1:10" s="39" customFormat="1" hidden="1" outlineLevel="1">
      <c r="A2293" s="73">
        <v>1</v>
      </c>
      <c r="B2293" s="39" t="s">
        <v>155</v>
      </c>
      <c r="C2293" s="39" t="s">
        <v>1719</v>
      </c>
      <c r="D2293" s="39" t="str">
        <f>CONCATENATE(E2294," ",F2294,"회 선택 시, Mulit Auto Blower - Auto제어 ",VLOOKUP(C2293,Tbl_Button_Display_ASSTS,14,FALSE)," 확인")</f>
        <v>Sw_AUTO 1회 선택 시, Mulit Auto Blower - Auto제어 3단 확인</v>
      </c>
    </row>
    <row r="2294" spans="1:10" s="10" customFormat="1" hidden="1" outlineLevel="2">
      <c r="A2294" s="70">
        <v>1</v>
      </c>
      <c r="E2294" s="114" t="str">
        <f>VLOOKUP(C2293,Tbl_Button_Display_ASSTS,11,FALSE)</f>
        <v>Sw_AUTO</v>
      </c>
      <c r="F2294" s="12">
        <f>VLOOKUP(C2293,Tbl_Button_Display_ASSTS,12,FALSE)</f>
        <v>1</v>
      </c>
      <c r="J2294" s="15"/>
    </row>
    <row r="2295" spans="1:10" s="10" customFormat="1" hidden="1" outlineLevel="2">
      <c r="A2295" s="70">
        <v>1</v>
      </c>
      <c r="E2295" s="15" t="s">
        <v>5</v>
      </c>
      <c r="F2295" s="12">
        <f>VLOOKUP(C2293,Tbl_Button_Display_ASSTS,13,FALSE)</f>
        <v>2</v>
      </c>
    </row>
    <row r="2296" spans="1:10" s="10" customFormat="1" hidden="1" outlineLevel="2">
      <c r="A2296" s="70">
        <v>1</v>
      </c>
      <c r="G2296" s="10" t="e">
        <f>AUTOStep</f>
        <v>#NAME?</v>
      </c>
      <c r="I2296" s="13" t="e">
        <f>VLOOKUP(C2293,Tbl_Button_Display_ASSTS,52,FALSE)</f>
        <v>#NAME?</v>
      </c>
    </row>
    <row r="2297" spans="1:10" s="10" customFormat="1" hidden="1" outlineLevel="2">
      <c r="A2297" s="70">
        <v>1</v>
      </c>
      <c r="G2297" s="10" t="e">
        <f>MltAutBlrTxt</f>
        <v>#NAME?</v>
      </c>
      <c r="I2297" s="13" t="e">
        <f>VLOOKUP(C2293,Tbl_Button_Display_ASSTS,53,FALSE)</f>
        <v>#NAME?</v>
      </c>
    </row>
    <row r="2298" spans="1:10" s="10" customFormat="1" hidden="1" outlineLevel="2">
      <c r="A2298" s="70">
        <v>1</v>
      </c>
      <c r="G2298" s="10" t="e">
        <f>FrontBlwDisp</f>
        <v>#NAME?</v>
      </c>
      <c r="I2298" s="13" t="e">
        <f>VLOOKUP(C2293,Tbl_Button_Display_ASSTS,23,FALSE)</f>
        <v>#NAME?</v>
      </c>
    </row>
    <row r="2299" spans="1:10" s="10" customFormat="1" hidden="1" outlineLevel="2">
      <c r="A2299" s="70">
        <v>1</v>
      </c>
      <c r="G2299" s="10" t="e">
        <f>BLW_Front</f>
        <v>#NAME?</v>
      </c>
      <c r="I2299" s="13" t="e">
        <f>VLOOKUP(C2293,Tbl_Button_Display_ASSTS,24,FALSE)</f>
        <v>#NAME?</v>
      </c>
    </row>
    <row r="2300" spans="1:10" s="127" customFormat="1" ht="15">
      <c r="A2300" s="66">
        <v>1</v>
      </c>
      <c r="B2300" s="40" t="s">
        <v>1452</v>
      </c>
      <c r="C2300" s="40" t="s">
        <v>1425</v>
      </c>
      <c r="D2300" s="127" t="str">
        <f t="shared" ref="D2300" si="29">VLOOKUP(B2300,Tbl_Button_Display_ASSTS,2,FALSE)</f>
        <v>공조-시트스티어링휠 연동제어</v>
      </c>
      <c r="F2300" s="82"/>
    </row>
    <row r="2301" spans="1:10" s="123" customFormat="1" ht="14.65" customHeight="1" collapsed="1">
      <c r="A2301" s="122">
        <v>1</v>
      </c>
      <c r="B2301" s="123" t="s">
        <v>7</v>
      </c>
      <c r="C2301" s="123" t="s">
        <v>1283</v>
      </c>
      <c r="D2301" s="123" t="str">
        <f>VLOOKUP(C2301,Tbl_Button_Display_ASSTS, 2,FALSE)</f>
        <v>공조-시트스티어링휠 연동제어 로직 동작 확인</v>
      </c>
    </row>
    <row r="2302" spans="1:10" s="125" customFormat="1" hidden="1" outlineLevel="1">
      <c r="A2302" s="124">
        <v>1</v>
      </c>
      <c r="B2302" s="125" t="s">
        <v>38</v>
      </c>
      <c r="C2302" s="125" t="s">
        <v>1284</v>
      </c>
      <c r="D2302" s="125" t="s">
        <v>39</v>
      </c>
    </row>
    <row r="2303" spans="1:10" s="10" customFormat="1" hidden="1" outlineLevel="2">
      <c r="A2303" s="70">
        <v>1</v>
      </c>
      <c r="E2303" s="114" t="e">
        <f>Incar_IN</f>
        <v>#NAME?</v>
      </c>
      <c r="F2303" s="65" cm="1">
        <f t="array" ref="F2303">VINTERPOLATION(VLOOKUP(C2302,Tbl_Button_Display_ASSTS,2,FALSE),Tbl_Incar_Sensor,3)</f>
        <v>3.3272756433630186</v>
      </c>
    </row>
    <row r="2304" spans="1:10" s="10" customFormat="1" hidden="1" outlineLevel="2">
      <c r="A2304" s="70">
        <v>1</v>
      </c>
      <c r="E2304" s="114" t="e">
        <f>Amb_IN</f>
        <v>#NAME?</v>
      </c>
      <c r="F2304" s="65" cm="1">
        <f t="array" ref="F2304">VINTERPOLATION(VLOOKUP(C2302,Tbl_Button_Display_ASSTS,3,FALSE),Tbl_Amb_Sensor,3)</f>
        <v>3.5649228885232098</v>
      </c>
    </row>
    <row r="2305" spans="1:9" s="10" customFormat="1" hidden="1" outlineLevel="2">
      <c r="A2305" s="70">
        <v>1</v>
      </c>
      <c r="E2305" s="114" t="e">
        <f>WhlHeat_Whl_Set</f>
        <v>#NAME?</v>
      </c>
      <c r="F2305" s="128">
        <v>1</v>
      </c>
    </row>
    <row r="2306" spans="1:9" s="10" customFormat="1" hidden="1" outlineLevel="2">
      <c r="A2306" s="70">
        <v>1</v>
      </c>
      <c r="E2306" s="114" t="e">
        <f>WhlHeat_Heat_Set</f>
        <v>#NAME?</v>
      </c>
      <c r="F2306" s="128">
        <v>1</v>
      </c>
    </row>
    <row r="2307" spans="1:9" s="10" customFormat="1" hidden="1" outlineLevel="2">
      <c r="A2307" s="70">
        <v>1</v>
      </c>
      <c r="E2307" s="114" t="e">
        <f>WhlHeat_Drv</f>
        <v>#NAME?</v>
      </c>
      <c r="F2307" s="128">
        <v>6</v>
      </c>
    </row>
    <row r="2308" spans="1:9" s="10" customFormat="1" hidden="1" outlineLevel="2">
      <c r="A2308" s="70">
        <v>1</v>
      </c>
      <c r="E2308" s="114" t="e">
        <f>WhlHeat_Ast</f>
        <v>#NAME?</v>
      </c>
      <c r="F2308" s="128">
        <v>6</v>
      </c>
    </row>
    <row r="2309" spans="1:9" s="10" customFormat="1" hidden="1" outlineLevel="2">
      <c r="A2309" s="70">
        <v>1</v>
      </c>
      <c r="E2309" s="114" t="e">
        <f>WhlHeat_ICU</f>
        <v>#NAME?</v>
      </c>
      <c r="F2309" s="128">
        <v>1</v>
      </c>
    </row>
    <row r="2310" spans="1:9" s="10" customFormat="1" hidden="1" outlineLevel="2">
      <c r="A2310" s="70">
        <v>1</v>
      </c>
      <c r="E2310" s="114" t="s">
        <v>95</v>
      </c>
      <c r="F2310" s="12" t="s">
        <v>1189</v>
      </c>
    </row>
    <row r="2311" spans="1:9" s="10" customFormat="1" hidden="1" outlineLevel="2">
      <c r="A2311" s="70">
        <v>1</v>
      </c>
      <c r="E2311" s="114" t="str">
        <f>VLOOKUP(C2302,Tbl_Button_Display_ASSTS,11,FALSE)</f>
        <v>MsgBox</v>
      </c>
      <c r="F2311" s="12" t="str">
        <f>VLOOKUP(C2302,Tbl_Button_Display_ASSTS,12,FALSE)</f>
        <v>설정 온도=Hi, AUTO ON (SYNC ON) 선택 상태 설정</v>
      </c>
    </row>
    <row r="2312" spans="1:9" s="10" customFormat="1" hidden="1" outlineLevel="2">
      <c r="A2312" s="70">
        <v>1</v>
      </c>
      <c r="E2312" s="15" t="s">
        <v>5</v>
      </c>
      <c r="F2312" s="12">
        <f>VLOOKUP(C2302,Tbl_Button_Display_ASSTS,13,FALSE)</f>
        <v>10</v>
      </c>
    </row>
    <row r="2313" spans="1:9" s="10" customFormat="1" hidden="1" outlineLevel="2">
      <c r="A2313" s="70">
        <v>1</v>
      </c>
      <c r="F2313" s="87"/>
      <c r="G2313" s="10" t="e">
        <f>Incar_OUT</f>
        <v>#NAME?</v>
      </c>
      <c r="I2313" s="13">
        <f>VLOOKUP(C2302,Tbl_Button_Display_ASSTS,2,FALSE)</f>
        <v>10</v>
      </c>
    </row>
    <row r="2314" spans="1:9" s="10" customFormat="1" hidden="1" outlineLevel="2">
      <c r="A2314" s="70">
        <v>1</v>
      </c>
      <c r="F2314" s="87"/>
      <c r="G2314" s="10" t="e">
        <f>Amb_OUT</f>
        <v>#NAME?</v>
      </c>
      <c r="I2314" s="13">
        <f>VLOOKUP(C2302,Tbl_Button_Display_ASSTS,3,FALSE)</f>
        <v>5</v>
      </c>
    </row>
    <row r="2315" spans="1:9" s="10" customFormat="1" hidden="1" outlineLevel="2">
      <c r="A2315" s="70">
        <v>1</v>
      </c>
      <c r="G2315" s="10" t="e">
        <f>DrTempDispC</f>
        <v>#NAME?</v>
      </c>
      <c r="I2315" s="13" t="e">
        <f>VLOOKUP(C2302,Tbl_Button_Display_ASSTS,26,FALSE)</f>
        <v>#NAME?</v>
      </c>
    </row>
    <row r="2316" spans="1:9" s="10" customFormat="1" hidden="1" outlineLevel="2">
      <c r="A2316" s="70">
        <v>1</v>
      </c>
      <c r="G2316" s="10" t="e">
        <f>WhlHeat_Whl_Sta</f>
        <v>#NAME?</v>
      </c>
      <c r="I2316" s="13">
        <f>VLOOKUP(C2302,Tbl_Button_Display_ASSTS,55,FALSE)</f>
        <v>1</v>
      </c>
    </row>
    <row r="2317" spans="1:9" s="10" customFormat="1" hidden="1" outlineLevel="2">
      <c r="A2317" s="70">
        <v>1</v>
      </c>
      <c r="G2317" s="10" t="e">
        <f>WhlHeat_Heat_Sta</f>
        <v>#NAME?</v>
      </c>
      <c r="I2317" s="13">
        <f>VLOOKUP(C2302,Tbl_Button_Display_ASSTS,56,FALSE)</f>
        <v>1</v>
      </c>
    </row>
    <row r="2318" spans="1:9" s="10" customFormat="1" hidden="1" outlineLevel="2">
      <c r="A2318" s="70">
        <v>1</v>
      </c>
      <c r="G2318" s="10" t="e">
        <f>WhlHeat_Whl_Step</f>
        <v>#NAME?</v>
      </c>
      <c r="I2318" s="13">
        <f>VLOOKUP(C2302,Tbl_Button_Display_ASSTS,57,FALSE)</f>
        <v>1</v>
      </c>
    </row>
    <row r="2319" spans="1:9" s="10" customFormat="1" hidden="1" outlineLevel="2">
      <c r="A2319" s="70">
        <v>1</v>
      </c>
      <c r="G2319" s="10" t="e">
        <f>WhlHeat_LH_Step</f>
        <v>#NAME?</v>
      </c>
      <c r="I2319" s="13">
        <f>VLOOKUP(C2302,Tbl_Button_Display_ASSTS,58,FALSE)</f>
        <v>1</v>
      </c>
    </row>
    <row r="2320" spans="1:9" s="10" customFormat="1" hidden="1" outlineLevel="2">
      <c r="A2320" s="70">
        <v>1</v>
      </c>
      <c r="G2320" s="10" t="e">
        <f>WhlHeat_RH_Step</f>
        <v>#NAME?</v>
      </c>
      <c r="I2320" s="13">
        <f>VLOOKUP(C2302,Tbl_Button_Display_ASSTS,59,FALSE)</f>
        <v>1</v>
      </c>
    </row>
    <row r="2321" spans="1:10" s="39" customFormat="1" hidden="1" outlineLevel="1">
      <c r="A2321" s="73">
        <v>1</v>
      </c>
      <c r="B2321" s="39" t="s">
        <v>155</v>
      </c>
      <c r="C2321" s="39" t="s">
        <v>1285</v>
      </c>
      <c r="D2321" s="39" t="e">
        <f>CONCATENATE(E2322," = ",F2322," 시, 공조부하량에 따라 스티어링 휠 연동제어 단수 확인")</f>
        <v>#NAME?</v>
      </c>
    </row>
    <row r="2322" spans="1:10" s="10" customFormat="1" hidden="1" outlineLevel="2">
      <c r="A2322" s="70">
        <v>1</v>
      </c>
      <c r="E2322" s="114" t="e">
        <f>VLOOKUP(C2321,Tbl_Button_Display_ASSTS,11,FALSE)</f>
        <v>#NAME?</v>
      </c>
      <c r="F2322" s="12">
        <f>VLOOKUP(C2321,Tbl_Button_Display_ASSTS,12,FALSE)</f>
        <v>2</v>
      </c>
      <c r="J2322" s="15"/>
    </row>
    <row r="2323" spans="1:10" s="10" customFormat="1" hidden="1" outlineLevel="2">
      <c r="A2323" s="70">
        <v>1</v>
      </c>
      <c r="E2323" s="15" t="s">
        <v>5</v>
      </c>
      <c r="F2323" s="12">
        <f>VLOOKUP(C2321,Tbl_Button_Display_ASSTS,13,FALSE)</f>
        <v>2</v>
      </c>
    </row>
    <row r="2324" spans="1:10" s="10" customFormat="1" hidden="1" outlineLevel="2">
      <c r="A2324" s="70">
        <v>1</v>
      </c>
      <c r="G2324" s="10" t="e">
        <f>WhlHeat_Whl_Sta</f>
        <v>#NAME?</v>
      </c>
      <c r="I2324" s="13">
        <f>VLOOKUP(C2321,Tbl_Button_Display_ASSTS,55,FALSE)</f>
        <v>2</v>
      </c>
    </row>
    <row r="2325" spans="1:10" s="10" customFormat="1" hidden="1" outlineLevel="2">
      <c r="A2325" s="70">
        <v>1</v>
      </c>
      <c r="G2325" s="10" t="e">
        <f>WhlHeat_Whl_Step</f>
        <v>#NAME?</v>
      </c>
      <c r="I2325" s="13">
        <f>VLOOKUP(C2321,Tbl_Button_Display_ASSTS,57,FALSE)</f>
        <v>4</v>
      </c>
    </row>
    <row r="2326" spans="1:10" s="39" customFormat="1" hidden="1" outlineLevel="1">
      <c r="A2326" s="73">
        <v>1</v>
      </c>
      <c r="B2326" s="39" t="s">
        <v>155</v>
      </c>
      <c r="C2326" s="39" t="s">
        <v>1417</v>
      </c>
      <c r="D2326" s="39" t="e">
        <f>CONCATENATE(E2327," = ",F2327," 시, 공조부하량에 따라 스티어링 휠 연동제어 단수 확인")</f>
        <v>#NAME?</v>
      </c>
    </row>
    <row r="2327" spans="1:10" s="10" customFormat="1" hidden="1" outlineLevel="2">
      <c r="A2327" s="70">
        <v>1</v>
      </c>
      <c r="E2327" s="114" t="e">
        <f>VLOOKUP(C2326,Tbl_Button_Display_ASSTS,11,FALSE)</f>
        <v>#NAME?</v>
      </c>
      <c r="F2327" s="12">
        <f>VLOOKUP(C2326,Tbl_Button_Display_ASSTS,12,FALSE)</f>
        <v>1</v>
      </c>
      <c r="J2327" s="15"/>
    </row>
    <row r="2328" spans="1:10" s="10" customFormat="1" hidden="1" outlineLevel="2">
      <c r="A2328" s="70">
        <v>1</v>
      </c>
      <c r="E2328" s="15" t="s">
        <v>5</v>
      </c>
      <c r="F2328" s="12">
        <f>VLOOKUP(C2326,Tbl_Button_Display_ASSTS,13,FALSE)</f>
        <v>2</v>
      </c>
    </row>
    <row r="2329" spans="1:10" s="10" customFormat="1" hidden="1" outlineLevel="2">
      <c r="A2329" s="70">
        <v>1</v>
      </c>
      <c r="G2329" s="10" t="e">
        <f>WhlHeat_Whl_Sta</f>
        <v>#NAME?</v>
      </c>
      <c r="I2329" s="13">
        <f>VLOOKUP(C2326,Tbl_Button_Display_ASSTS,55,FALSE)</f>
        <v>1</v>
      </c>
    </row>
    <row r="2330" spans="1:10" s="10" customFormat="1" hidden="1" outlineLevel="2">
      <c r="A2330" s="70">
        <v>1</v>
      </c>
      <c r="G2330" s="10" t="e">
        <f>WhlHeat_Whl_Step</f>
        <v>#NAME?</v>
      </c>
      <c r="I2330" s="13">
        <f>VLOOKUP(C2326,Tbl_Button_Display_ASSTS,57,FALSE)</f>
        <v>1</v>
      </c>
    </row>
    <row r="2331" spans="1:10" s="39" customFormat="1" hidden="1" outlineLevel="1">
      <c r="A2331" s="73">
        <v>1</v>
      </c>
      <c r="B2331" s="39" t="s">
        <v>155</v>
      </c>
      <c r="C2331" s="39" t="s">
        <v>1418</v>
      </c>
      <c r="D2331" s="39" t="e">
        <f>CONCATENATE(E2332," = ",F2332," 시, 공조부하량에 따라 시트 연동제어 단수 확인")</f>
        <v>#NAME?</v>
      </c>
      <c r="I2331" s="39" t="s">
        <v>1372</v>
      </c>
    </row>
    <row r="2332" spans="1:10" s="10" customFormat="1" hidden="1" outlineLevel="2">
      <c r="A2332" s="70">
        <v>1</v>
      </c>
      <c r="E2332" s="114" t="e">
        <f>VLOOKUP(C2331,Tbl_Button_Display_ASSTS,11,FALSE)</f>
        <v>#NAME?</v>
      </c>
      <c r="F2332" s="12">
        <f>VLOOKUP(C2331,Tbl_Button_Display_ASSTS,12,FALSE)</f>
        <v>2</v>
      </c>
      <c r="J2332" s="15"/>
    </row>
    <row r="2333" spans="1:10" s="10" customFormat="1" hidden="1" outlineLevel="2">
      <c r="A2333" s="70">
        <v>1</v>
      </c>
      <c r="E2333" s="15" t="s">
        <v>5</v>
      </c>
      <c r="F2333" s="12">
        <f>VLOOKUP(C2331,Tbl_Button_Display_ASSTS,13,FALSE)</f>
        <v>2</v>
      </c>
    </row>
    <row r="2334" spans="1:10" s="10" customFormat="1" hidden="1" outlineLevel="2">
      <c r="A2334" s="70">
        <v>1</v>
      </c>
      <c r="G2334" s="10" t="e">
        <f>WhlHeat_Heat_Sta</f>
        <v>#NAME?</v>
      </c>
      <c r="I2334" s="13">
        <f>VLOOKUP(C2331,Tbl_Button_Display_ASSTS,56,FALSE)</f>
        <v>2</v>
      </c>
    </row>
    <row r="2335" spans="1:10" s="10" customFormat="1" hidden="1" outlineLevel="2">
      <c r="A2335" s="70">
        <v>1</v>
      </c>
      <c r="G2335" s="10" t="e">
        <f>WhlHeat_LH_Step</f>
        <v>#NAME?</v>
      </c>
      <c r="I2335" s="13">
        <f>VLOOKUP(C2331,Tbl_Button_Display_ASSTS,58,FALSE)</f>
        <v>8</v>
      </c>
    </row>
    <row r="2336" spans="1:10" s="10" customFormat="1" hidden="1" outlineLevel="2">
      <c r="A2336" s="70">
        <v>1</v>
      </c>
      <c r="G2336" s="10" t="e">
        <f>WhlHeat_RH_Step</f>
        <v>#NAME?</v>
      </c>
      <c r="I2336" s="13">
        <f>VLOOKUP(C2331,Tbl_Button_Display_ASSTS,59,FALSE)</f>
        <v>8</v>
      </c>
    </row>
    <row r="2337" spans="1:10" s="39" customFormat="1" hidden="1" outlineLevel="1">
      <c r="A2337" s="73">
        <v>1</v>
      </c>
      <c r="B2337" s="39" t="s">
        <v>155</v>
      </c>
      <c r="C2337" s="39" t="s">
        <v>1419</v>
      </c>
      <c r="D2337" s="39" t="e">
        <f>CONCATENATE(E2338," = ",F2338," 시, 공조부하량에 따라 시트 연동제어 단수 확인")</f>
        <v>#NAME?</v>
      </c>
    </row>
    <row r="2338" spans="1:10" s="10" customFormat="1" hidden="1" outlineLevel="2">
      <c r="A2338" s="70">
        <v>1</v>
      </c>
      <c r="E2338" s="114" t="e">
        <f>WhlHeat_Heat_Set</f>
        <v>#NAME?</v>
      </c>
      <c r="F2338" s="12">
        <f>VLOOKUP(C2337,Tbl_Button_Display_ASSTS,12,FALSE)</f>
        <v>1</v>
      </c>
      <c r="J2338" s="15"/>
    </row>
    <row r="2339" spans="1:10" s="10" customFormat="1" hidden="1" outlineLevel="2">
      <c r="A2339" s="70">
        <v>1</v>
      </c>
      <c r="E2339" s="15" t="s">
        <v>5</v>
      </c>
      <c r="F2339" s="12">
        <f>VLOOKUP(C2337,Tbl_Button_Display_ASSTS,13,FALSE)</f>
        <v>2</v>
      </c>
    </row>
    <row r="2340" spans="1:10" s="10" customFormat="1" hidden="1" outlineLevel="2">
      <c r="A2340" s="70">
        <v>1</v>
      </c>
      <c r="G2340" s="10" t="e">
        <f>WhlHeat_Heat_Sta</f>
        <v>#NAME?</v>
      </c>
      <c r="I2340" s="13">
        <f>VLOOKUP(C2337,Tbl_Button_Display_ASSTS,56,FALSE)</f>
        <v>1</v>
      </c>
    </row>
    <row r="2341" spans="1:10" s="10" customFormat="1" hidden="1" outlineLevel="2">
      <c r="A2341" s="70">
        <v>1</v>
      </c>
      <c r="G2341" s="10" t="e">
        <f>WhlHeat_LH_Step</f>
        <v>#NAME?</v>
      </c>
      <c r="I2341" s="13">
        <f>VLOOKUP(C2337,Tbl_Button_Display_ASSTS,58,FALSE)</f>
        <v>1</v>
      </c>
    </row>
    <row r="2342" spans="1:10" s="10" customFormat="1" hidden="1" outlineLevel="2">
      <c r="A2342" s="70">
        <v>1</v>
      </c>
      <c r="G2342" s="10" t="e">
        <f>WhlHeat_RH_Step</f>
        <v>#NAME?</v>
      </c>
      <c r="I2342" s="13">
        <f>VLOOKUP(C2337,Tbl_Button_Display_ASSTS,59,FALSE)</f>
        <v>1</v>
      </c>
    </row>
    <row r="2343" spans="1:10" s="39" customFormat="1" hidden="1" outlineLevel="1">
      <c r="A2343" s="73">
        <v>1</v>
      </c>
      <c r="B2343" s="39" t="s">
        <v>155</v>
      </c>
      <c r="C2343" s="39" t="s">
        <v>1420</v>
      </c>
      <c r="D2343" s="39" t="str">
        <f>CONCATENATE(F2344)</f>
        <v>설정 온도=Lo 설정</v>
      </c>
    </row>
    <row r="2344" spans="1:10" s="10" customFormat="1" hidden="1" outlineLevel="2">
      <c r="A2344" s="70">
        <v>1</v>
      </c>
      <c r="E2344" s="114" t="str">
        <f>VLOOKUP(C2343,Tbl_Button_Display_ASSTS,11,FALSE)</f>
        <v>MsgBox</v>
      </c>
      <c r="F2344" s="12" t="str">
        <f>VLOOKUP(C2343,Tbl_Button_Display_ASSTS,12,FALSE)</f>
        <v>설정 온도=Lo 설정</v>
      </c>
      <c r="J2344" s="15"/>
    </row>
    <row r="2345" spans="1:10" s="10" customFormat="1" hidden="1" outlineLevel="2">
      <c r="A2345" s="70">
        <v>1</v>
      </c>
      <c r="E2345" s="15" t="s">
        <v>5</v>
      </c>
      <c r="F2345" s="12">
        <f>VLOOKUP(C2343,Tbl_Button_Display_ASSTS,13,FALSE)</f>
        <v>2</v>
      </c>
    </row>
    <row r="2346" spans="1:10" s="10" customFormat="1" hidden="1" outlineLevel="2">
      <c r="A2346" s="70">
        <v>1</v>
      </c>
      <c r="G2346" s="10" t="e">
        <f>DrTempDispC</f>
        <v>#NAME?</v>
      </c>
      <c r="I2346" s="13" t="e">
        <f>VLOOKUP(C2343,Tbl_Button_Display_ASSTS,26,FALSE)</f>
        <v>#NAME?</v>
      </c>
    </row>
    <row r="2347" spans="1:10" s="10" customFormat="1" hidden="1" outlineLevel="2">
      <c r="A2347" s="70">
        <v>1</v>
      </c>
      <c r="G2347" s="10" t="e">
        <f>WhlHeat_Whl_Sta</f>
        <v>#NAME?</v>
      </c>
      <c r="I2347" s="13">
        <f>VLOOKUP(C2343,Tbl_Button_Display_ASSTS,55,FALSE)</f>
        <v>1</v>
      </c>
    </row>
    <row r="2348" spans="1:10" s="10" customFormat="1" hidden="1" outlineLevel="2">
      <c r="A2348" s="70">
        <v>1</v>
      </c>
      <c r="G2348" s="10" t="e">
        <f>WhlHeat_Heat_Sta</f>
        <v>#NAME?</v>
      </c>
      <c r="I2348" s="13">
        <f>VLOOKUP(C2343,Tbl_Button_Display_ASSTS,56,FALSE)</f>
        <v>1</v>
      </c>
    </row>
    <row r="2349" spans="1:10" s="10" customFormat="1" hidden="1" outlineLevel="2">
      <c r="A2349" s="70">
        <v>1</v>
      </c>
      <c r="G2349" s="10" t="e">
        <f>WhlHeat_Whl_Step</f>
        <v>#NAME?</v>
      </c>
      <c r="I2349" s="13">
        <f>VLOOKUP(C2343,Tbl_Button_Display_ASSTS,57,FALSE)</f>
        <v>1</v>
      </c>
    </row>
    <row r="2350" spans="1:10" s="10" customFormat="1" hidden="1" outlineLevel="2">
      <c r="A2350" s="70">
        <v>1</v>
      </c>
      <c r="G2350" s="10" t="e">
        <f>WhlHeat_LH_Step</f>
        <v>#NAME?</v>
      </c>
      <c r="I2350" s="13">
        <f>VLOOKUP(C2343,Tbl_Button_Display_ASSTS,58,FALSE)</f>
        <v>1</v>
      </c>
    </row>
    <row r="2351" spans="1:10" s="10" customFormat="1" hidden="1" outlineLevel="2">
      <c r="A2351" s="70">
        <v>1</v>
      </c>
      <c r="G2351" s="10" t="e">
        <f>WhlHeat_RH_Step</f>
        <v>#NAME?</v>
      </c>
      <c r="I2351" s="13">
        <f>VLOOKUP(C2343,Tbl_Button_Display_ASSTS,59,FALSE)</f>
        <v>1</v>
      </c>
    </row>
    <row r="2352" spans="1:10" s="39" customFormat="1" hidden="1" outlineLevel="1">
      <c r="A2352" s="73">
        <v>1</v>
      </c>
      <c r="B2352" s="39" t="s">
        <v>155</v>
      </c>
      <c r="C2352" s="39" t="s">
        <v>1724</v>
      </c>
      <c r="D2352" s="39" t="e">
        <f>CONCATENATE(E2322,",",E2327," = ",F2353," 시, 공조부하량에 따라 시트 및 스티어링 휠 연동제어 단수 확인")</f>
        <v>#NAME?</v>
      </c>
    </row>
    <row r="2353" spans="1:10" s="10" customFormat="1" hidden="1" outlineLevel="2">
      <c r="A2353" s="70">
        <v>1</v>
      </c>
      <c r="E2353" s="114" t="e">
        <f>VLOOKUP(C2352,Tbl_Button_Display_ASSTS,11,FALSE)</f>
        <v>#NAME?</v>
      </c>
      <c r="F2353" s="12">
        <f>VLOOKUP(C2352,Tbl_Button_Display_ASSTS,12,FALSE)</f>
        <v>2</v>
      </c>
      <c r="J2353" s="15"/>
    </row>
    <row r="2354" spans="1:10" s="10" customFormat="1" hidden="1" outlineLevel="2">
      <c r="A2354" s="70">
        <v>1</v>
      </c>
      <c r="E2354" s="114" t="e">
        <f>WhlHeat_Heat_Set</f>
        <v>#NAME?</v>
      </c>
      <c r="F2354" s="12">
        <f>F2353</f>
        <v>2</v>
      </c>
      <c r="J2354" s="15"/>
    </row>
    <row r="2355" spans="1:10" s="10" customFormat="1" hidden="1" outlineLevel="2">
      <c r="A2355" s="70">
        <v>1</v>
      </c>
      <c r="E2355" s="15" t="s">
        <v>5</v>
      </c>
      <c r="F2355" s="12">
        <f>VLOOKUP(C2352,Tbl_Button_Display_ASSTS,13,FALSE)</f>
        <v>2</v>
      </c>
    </row>
    <row r="2356" spans="1:10" s="10" customFormat="1" hidden="1" outlineLevel="2">
      <c r="A2356" s="70">
        <v>1</v>
      </c>
      <c r="G2356" s="10" t="e">
        <f>WhlHeat_Whl_Sta</f>
        <v>#NAME?</v>
      </c>
      <c r="I2356" s="13">
        <f>VLOOKUP(C2352,Tbl_Button_Display_ASSTS,55,FALSE)</f>
        <v>2</v>
      </c>
    </row>
    <row r="2357" spans="1:10" s="10" customFormat="1" hidden="1" outlineLevel="2">
      <c r="A2357" s="70">
        <v>1</v>
      </c>
      <c r="G2357" s="10" t="e">
        <f>WhlHeat_Heat_Sta</f>
        <v>#NAME?</v>
      </c>
      <c r="I2357" s="13">
        <f>VLOOKUP(C2352,Tbl_Button_Display_ASSTS,56,FALSE)</f>
        <v>2</v>
      </c>
    </row>
    <row r="2358" spans="1:10" s="10" customFormat="1" hidden="1" outlineLevel="2">
      <c r="A2358" s="70">
        <v>1</v>
      </c>
      <c r="G2358" s="10" t="e">
        <f>WhlHeat_Whl_Step</f>
        <v>#NAME?</v>
      </c>
      <c r="I2358" s="13">
        <f>VLOOKUP(C2352,Tbl_Button_Display_ASSTS,57,FALSE)</f>
        <v>2</v>
      </c>
    </row>
    <row r="2359" spans="1:10" s="10" customFormat="1" hidden="1" outlineLevel="2">
      <c r="A2359" s="70">
        <v>1</v>
      </c>
      <c r="G2359" s="10" t="e">
        <f>WhlHeat_LH_Step</f>
        <v>#NAME?</v>
      </c>
      <c r="I2359" s="13">
        <f>VLOOKUP(C2352,Tbl_Button_Display_ASSTS,58,FALSE)</f>
        <v>5</v>
      </c>
    </row>
    <row r="2360" spans="1:10" s="10" customFormat="1" hidden="1" outlineLevel="2">
      <c r="A2360" s="70">
        <v>1</v>
      </c>
      <c r="G2360" s="10" t="e">
        <f>WhlHeat_RH_Step</f>
        <v>#NAME?</v>
      </c>
      <c r="I2360" s="13">
        <f>VLOOKUP(C2352,Tbl_Button_Display_ASSTS,59,FALSE)</f>
        <v>5</v>
      </c>
    </row>
    <row r="2361" spans="1:10" s="39" customFormat="1" hidden="1" outlineLevel="1">
      <c r="A2361" s="73">
        <v>1</v>
      </c>
      <c r="B2361" s="39" t="s">
        <v>155</v>
      </c>
      <c r="C2361" s="39" t="s">
        <v>1726</v>
      </c>
      <c r="D2361" s="39" t="e">
        <f>CONCATENATE(E2322,",",E2327," = Off 시, 공조부하량에 따라 시,트 및 스티어링 휠 연동제어 단수 확인")</f>
        <v>#NAME?</v>
      </c>
    </row>
    <row r="2362" spans="1:10" s="10" customFormat="1" hidden="1" outlineLevel="2">
      <c r="A2362" s="70">
        <v>1</v>
      </c>
      <c r="E2362" s="114" t="e">
        <f>VLOOKUP(C2361,Tbl_Button_Display_ASSTS,11,FALSE)</f>
        <v>#NAME?</v>
      </c>
      <c r="F2362" s="12">
        <f>VLOOKUP(C2361,Tbl_Button_Display_ASSTS,12,FALSE)</f>
        <v>1</v>
      </c>
      <c r="J2362" s="15"/>
    </row>
    <row r="2363" spans="1:10" s="10" customFormat="1" hidden="1" outlineLevel="2">
      <c r="A2363" s="70">
        <v>1</v>
      </c>
      <c r="E2363" s="114" t="e">
        <f>WhlHeat_Heat_Set</f>
        <v>#NAME?</v>
      </c>
      <c r="F2363" s="12">
        <f>F2362</f>
        <v>1</v>
      </c>
      <c r="J2363" s="15"/>
    </row>
    <row r="2364" spans="1:10" s="10" customFormat="1" hidden="1" outlineLevel="2">
      <c r="A2364" s="70">
        <v>1</v>
      </c>
      <c r="E2364" s="15" t="s">
        <v>5</v>
      </c>
      <c r="F2364" s="12">
        <f>VLOOKUP(C2361,Tbl_Button_Display_ASSTS,13,FALSE)</f>
        <v>2</v>
      </c>
    </row>
    <row r="2365" spans="1:10" s="10" customFormat="1" hidden="1" outlineLevel="2">
      <c r="A2365" s="70">
        <v>1</v>
      </c>
      <c r="G2365" s="10" t="e">
        <f>WhlHeat_Whl_Sta</f>
        <v>#NAME?</v>
      </c>
      <c r="I2365" s="13">
        <f>VLOOKUP(C2361,Tbl_Button_Display_ASSTS,55,FALSE)</f>
        <v>1</v>
      </c>
    </row>
    <row r="2366" spans="1:10" s="10" customFormat="1" hidden="1" outlineLevel="2">
      <c r="A2366" s="70">
        <v>1</v>
      </c>
      <c r="G2366" s="10" t="e">
        <f>WhlHeat_Heat_Sta</f>
        <v>#NAME?</v>
      </c>
      <c r="I2366" s="13">
        <f>VLOOKUP(C2361,Tbl_Button_Display_ASSTS,56,FALSE)</f>
        <v>1</v>
      </c>
    </row>
    <row r="2367" spans="1:10" s="10" customFormat="1" hidden="1" outlineLevel="2">
      <c r="A2367" s="70">
        <v>1</v>
      </c>
      <c r="G2367" s="10" t="e">
        <f>WhlHeat_Whl_Step</f>
        <v>#NAME?</v>
      </c>
      <c r="I2367" s="13">
        <f>VLOOKUP(C2361,Tbl_Button_Display_ASSTS,57,FALSE)</f>
        <v>1</v>
      </c>
    </row>
    <row r="2368" spans="1:10" s="10" customFormat="1" hidden="1" outlineLevel="2">
      <c r="A2368" s="70">
        <v>1</v>
      </c>
      <c r="G2368" s="10" t="e">
        <f>WhlHeat_LH_Step</f>
        <v>#NAME?</v>
      </c>
      <c r="I2368" s="13">
        <f>VLOOKUP(C2361,Tbl_Button_Display_ASSTS,58,FALSE)</f>
        <v>1</v>
      </c>
    </row>
    <row r="2369" spans="1:10" s="10" customFormat="1" hidden="1" outlineLevel="2">
      <c r="A2369" s="70">
        <v>1</v>
      </c>
      <c r="G2369" s="10" t="e">
        <f>WhlHeat_RH_Step</f>
        <v>#NAME?</v>
      </c>
      <c r="I2369" s="13">
        <f>VLOOKUP(C2361,Tbl_Button_Display_ASSTS,59,FALSE)</f>
        <v>1</v>
      </c>
    </row>
    <row r="2370" spans="1:10" s="39" customFormat="1" hidden="1" outlineLevel="1">
      <c r="A2370" s="73">
        <v>1</v>
      </c>
      <c r="B2370" s="39" t="s">
        <v>155</v>
      </c>
      <c r="C2370" s="39" t="s">
        <v>1728</v>
      </c>
      <c r="D2370" s="39" t="str">
        <f>CONCATENATE(F2371,"  시, 공조부하량에 따라 시트 및 스티어링 휠 연동제어 단수 유지 확인")</f>
        <v>공조-시트스티어링휠 Signal Defualt 값 설정  시, 공조부하량에 따라 시트 및 스티어링 휠 연동제어 단수 유지 확인</v>
      </c>
    </row>
    <row r="2371" spans="1:10" s="10" customFormat="1" hidden="1" outlineLevel="2">
      <c r="A2371" s="70">
        <v>1</v>
      </c>
      <c r="E2371" s="114" t="str">
        <f>VLOOKUP(C2370,Tbl_Button_Display_ASSTS,11,FALSE)</f>
        <v>MsgBox</v>
      </c>
      <c r="F2371" s="12" t="str">
        <f>VLOOKUP(C2370,Tbl_Button_Display_ASSTS,12,FALSE)</f>
        <v>공조-시트스티어링휠 Signal Defualt 값 설정</v>
      </c>
      <c r="J2371" s="15"/>
    </row>
    <row r="2372" spans="1:10" s="10" customFormat="1" hidden="1" outlineLevel="2">
      <c r="A2372" s="70">
        <v>1</v>
      </c>
      <c r="E2372" s="114" t="e">
        <f>WhlHeat_Whl_Set</f>
        <v>#NAME?</v>
      </c>
      <c r="F2372" s="12">
        <v>0</v>
      </c>
      <c r="J2372" s="15"/>
    </row>
    <row r="2373" spans="1:10" s="10" customFormat="1" hidden="1" outlineLevel="2">
      <c r="A2373" s="70">
        <v>1</v>
      </c>
      <c r="E2373" s="114" t="e">
        <f>WhlHeat_Heat_Set</f>
        <v>#NAME?</v>
      </c>
      <c r="F2373" s="12">
        <v>0</v>
      </c>
      <c r="J2373" s="15"/>
    </row>
    <row r="2374" spans="1:10" s="10" customFormat="1" hidden="1" outlineLevel="2">
      <c r="A2374" s="70">
        <v>1</v>
      </c>
      <c r="E2374" s="15" t="s">
        <v>5</v>
      </c>
      <c r="F2374" s="12">
        <f>VLOOKUP(C2370,Tbl_Button_Display_ASSTS,13,FALSE)</f>
        <v>1</v>
      </c>
    </row>
    <row r="2375" spans="1:10" s="10" customFormat="1" hidden="1" outlineLevel="2">
      <c r="A2375" s="70">
        <v>1</v>
      </c>
      <c r="G2375" s="10" t="e">
        <f>WhlHeat_Whl_Sta</f>
        <v>#NAME?</v>
      </c>
      <c r="I2375" s="13">
        <f>VLOOKUP(C2370,Tbl_Button_Display_ASSTS,55,FALSE)</f>
        <v>1</v>
      </c>
    </row>
    <row r="2376" spans="1:10" s="10" customFormat="1" hidden="1" outlineLevel="2">
      <c r="A2376" s="70">
        <v>1</v>
      </c>
      <c r="G2376" s="10" t="e">
        <f>WhlHeat_Whl_Step</f>
        <v>#NAME?</v>
      </c>
      <c r="I2376" s="13">
        <f>VLOOKUP(C2370,Tbl_Button_Display_ASSTS,56,FALSE)</f>
        <v>1</v>
      </c>
    </row>
    <row r="2377" spans="1:10" s="10" customFormat="1" hidden="1" outlineLevel="2">
      <c r="A2377" s="70">
        <v>1</v>
      </c>
      <c r="G2377" s="10" t="e">
        <f>WhlHeat_Heat_Sta</f>
        <v>#NAME?</v>
      </c>
      <c r="I2377" s="13">
        <f>VLOOKUP(C2370,Tbl_Button_Display_ASSTS,57,FALSE)</f>
        <v>1</v>
      </c>
    </row>
    <row r="2378" spans="1:10" s="10" customFormat="1" hidden="1" outlineLevel="2">
      <c r="A2378" s="70">
        <v>1</v>
      </c>
      <c r="G2378" s="10" t="e">
        <f>WhlHeat_LH_Step</f>
        <v>#NAME?</v>
      </c>
      <c r="I2378" s="13">
        <f>VLOOKUP(C2370,Tbl_Button_Display_ASSTS,58,FALSE)</f>
        <v>1</v>
      </c>
    </row>
    <row r="2379" spans="1:10" s="10" customFormat="1" hidden="1" outlineLevel="2">
      <c r="A2379" s="70">
        <v>1</v>
      </c>
      <c r="G2379" s="10" t="e">
        <f>WhlHeat_RH_Step</f>
        <v>#NAME?</v>
      </c>
      <c r="I2379" s="13">
        <f>VLOOKUP(C2370,Tbl_Button_Display_ASSTS,59,FALSE)</f>
        <v>1</v>
      </c>
    </row>
    <row r="2380" spans="1:10" s="127" customFormat="1" ht="15">
      <c r="A2380" s="66">
        <v>1</v>
      </c>
      <c r="B2380" s="40" t="s">
        <v>1451</v>
      </c>
      <c r="C2380" s="127" t="s">
        <v>619</v>
      </c>
      <c r="D2380" s="127" t="str">
        <f t="shared" ref="D2380" si="30">VLOOKUP(B2380,Tbl_Button_Display_ASSTS,2,FALSE)</f>
        <v>PTG 연동 제어</v>
      </c>
      <c r="F2380" s="82"/>
    </row>
    <row r="2381" spans="1:10" s="123" customFormat="1" collapsed="1">
      <c r="A2381" s="122">
        <v>1</v>
      </c>
      <c r="B2381" s="123" t="s">
        <v>156</v>
      </c>
      <c r="C2381" s="123" t="s">
        <v>1287</v>
      </c>
      <c r="D2381" s="123" t="str">
        <f>VLOOKUP(C2381,Tbl_Button_Display_ASSTS, 2,FALSE)</f>
        <v>PTG 연동 제어 로직 동작 확인</v>
      </c>
      <c r="F2381" s="88"/>
    </row>
    <row r="2382" spans="1:10" s="125" customFormat="1" hidden="1" outlineLevel="1">
      <c r="A2382" s="124">
        <v>1</v>
      </c>
      <c r="B2382" s="125" t="s">
        <v>38</v>
      </c>
      <c r="C2382" s="125" t="s">
        <v>1288</v>
      </c>
      <c r="D2382" s="125" t="s">
        <v>39</v>
      </c>
      <c r="F2382" s="89"/>
    </row>
    <row r="2383" spans="1:10" s="10" customFormat="1" hidden="1" outlineLevel="2">
      <c r="A2383" s="70">
        <v>1</v>
      </c>
      <c r="E2383" s="114" t="e">
        <f>PTGM_Type</f>
        <v>#NAME?</v>
      </c>
      <c r="F2383" s="129">
        <v>1</v>
      </c>
    </row>
    <row r="2384" spans="1:10" s="10" customFormat="1" hidden="1" outlineLevel="2">
      <c r="A2384" s="70">
        <v>1</v>
      </c>
      <c r="E2384" s="114" t="e">
        <f>PTGM_Status</f>
        <v>#NAME?</v>
      </c>
      <c r="F2384" s="129">
        <v>0</v>
      </c>
    </row>
    <row r="2385" spans="1:10" s="10" customFormat="1" hidden="1" outlineLevel="2">
      <c r="A2385" s="70">
        <v>1</v>
      </c>
      <c r="E2385" s="114" t="str">
        <f>VLOOKUP(C2382,Tbl_Button_Display_ASSTS,11,FALSE)</f>
        <v>MsgBox</v>
      </c>
      <c r="F2385" s="85" t="e">
        <f>VLOOKUP(C2382,Tbl_Button_Display_ASSTS,12,FALSE)</f>
        <v>#NAME?</v>
      </c>
    </row>
    <row r="2386" spans="1:10" s="10" customFormat="1" hidden="1" outlineLevel="2">
      <c r="A2386" s="70">
        <v>1</v>
      </c>
      <c r="E2386" s="114" t="s">
        <v>715</v>
      </c>
      <c r="F2386" s="85">
        <f>VLOOKUP(C2382,Tbl_Button_Display_ASSTS,13,FALSE)</f>
        <v>10</v>
      </c>
    </row>
    <row r="2387" spans="1:10" s="10" customFormat="1" ht="13.5" hidden="1" customHeight="1" outlineLevel="2">
      <c r="A2387" s="70">
        <v>1</v>
      </c>
      <c r="F2387" s="87"/>
      <c r="G2387" s="10" t="e">
        <f>IntakeDisp</f>
        <v>#NAME?</v>
      </c>
      <c r="I2387" s="13" t="str">
        <f>VLOOKUP(C2382,Tbl_Button_Display_ASSTS,34,FALSE)</f>
        <v>FRE</v>
      </c>
    </row>
    <row r="2388" spans="1:10" s="10" customFormat="1" ht="13.5" hidden="1" customHeight="1" outlineLevel="2">
      <c r="A2388" s="70">
        <v>1</v>
      </c>
      <c r="F2388" s="87"/>
      <c r="G2388" s="10" t="e">
        <f>Act_Intake</f>
        <v>#NAME?</v>
      </c>
      <c r="H2388" s="49" t="str">
        <f>VLOOKUP(C2382,Tbl_Button_Display_ASSTS,35,FALSE)</f>
        <v>Intake_TD 연산에 따름</v>
      </c>
      <c r="I2388" s="48" t="e">
        <f>IF(H2388="","",VLOOKUP(H2388,Tbl_IntakeFB_Volt,2,FALSE))</f>
        <v>#NAME?</v>
      </c>
    </row>
    <row r="2389" spans="1:10" s="39" customFormat="1" hidden="1" outlineLevel="1">
      <c r="A2389" s="73">
        <v>1</v>
      </c>
      <c r="B2389" s="39" t="s">
        <v>155</v>
      </c>
      <c r="C2389" s="39" t="s">
        <v>1289</v>
      </c>
      <c r="D2389" s="39" t="e">
        <f>CONCATENATE(E2390," = ",F2390," 설정 시, PTC 연동 내기 제어 확인" )</f>
        <v>#NAME?</v>
      </c>
      <c r="F2389" s="91"/>
    </row>
    <row r="2390" spans="1:10" s="10" customFormat="1" hidden="1" outlineLevel="2">
      <c r="A2390" s="70">
        <v>1</v>
      </c>
      <c r="E2390" s="114" t="e">
        <f>VLOOKUP(C2389,Tbl_Button_Display_ASSTS,11,FALSE)</f>
        <v>#NAME?</v>
      </c>
      <c r="F2390" s="85">
        <f>VLOOKUP(C2389,Tbl_Button_Display_ASSTS,12,FALSE)</f>
        <v>8</v>
      </c>
      <c r="J2390" s="15"/>
    </row>
    <row r="2391" spans="1:10" s="10" customFormat="1" hidden="1" outlineLevel="2">
      <c r="A2391" s="70">
        <v>1</v>
      </c>
      <c r="E2391" s="15" t="s">
        <v>5</v>
      </c>
      <c r="F2391" s="85">
        <f>VLOOKUP(C2389,Tbl_Button_Display_ASSTS,13,FALSE)</f>
        <v>5</v>
      </c>
    </row>
    <row r="2392" spans="1:10" s="10" customFormat="1" ht="13.5" hidden="1" customHeight="1" outlineLevel="2">
      <c r="A2392" s="70">
        <v>1</v>
      </c>
      <c r="F2392" s="87"/>
      <c r="G2392" s="10" t="e">
        <f>IntakeDisp</f>
        <v>#NAME?</v>
      </c>
      <c r="I2392" s="13" t="str">
        <f>VLOOKUP(C2389,Tbl_Button_Display_ASSTS,34,FALSE)</f>
        <v>FRE</v>
      </c>
    </row>
    <row r="2393" spans="1:10" s="10" customFormat="1" ht="13.5" hidden="1" customHeight="1" outlineLevel="2">
      <c r="A2393" s="70">
        <v>1</v>
      </c>
      <c r="F2393" s="87"/>
      <c r="G2393" s="10" t="e">
        <f>Act_Intake</f>
        <v>#NAME?</v>
      </c>
      <c r="H2393" s="49" t="str">
        <f>VLOOKUP(C2389,Tbl_Button_Display_ASSTS,35,FALSE)</f>
        <v>REC</v>
      </c>
      <c r="I2393" s="48" t="e">
        <f>IF(H2393="","",VLOOKUP(H2393,Tbl_IntakeFB_Volt,2,FALSE))</f>
        <v>#NAME?</v>
      </c>
    </row>
    <row r="2394" spans="1:10" s="39" customFormat="1" hidden="1" outlineLevel="1">
      <c r="A2394" s="73">
        <v>1</v>
      </c>
      <c r="B2394" s="39" t="s">
        <v>155</v>
      </c>
      <c r="C2394" s="39" t="s">
        <v>1290</v>
      </c>
      <c r="D2394" s="39" t="e">
        <f>CONCATENATE(E2395," = ",F2395," 설정 시, PTC 연동 내기 제어 해제 확인" )</f>
        <v>#NAME?</v>
      </c>
      <c r="F2394" s="91"/>
    </row>
    <row r="2395" spans="1:10" s="10" customFormat="1" hidden="1" outlineLevel="2">
      <c r="A2395" s="70">
        <v>1</v>
      </c>
      <c r="E2395" s="114" t="e">
        <f>VLOOKUP(C2394,Tbl_Button_Display_ASSTS,11,FALSE)</f>
        <v>#NAME?</v>
      </c>
      <c r="F2395" s="85">
        <f>VLOOKUP(C2394,Tbl_Button_Display_ASSTS,12,FALSE)</f>
        <v>0</v>
      </c>
      <c r="J2395" s="15"/>
    </row>
    <row r="2396" spans="1:10" s="10" customFormat="1" hidden="1" outlineLevel="2">
      <c r="A2396" s="70">
        <v>1</v>
      </c>
      <c r="E2396" s="15" t="s">
        <v>5</v>
      </c>
      <c r="F2396" s="85">
        <f>VLOOKUP(C2394,Tbl_Button_Display_ASSTS,13,FALSE)</f>
        <v>5</v>
      </c>
    </row>
    <row r="2397" spans="1:10" s="10" customFormat="1" ht="13.5" hidden="1" customHeight="1" outlineLevel="2">
      <c r="A2397" s="70">
        <v>1</v>
      </c>
      <c r="F2397" s="87"/>
      <c r="G2397" s="10" t="e">
        <f>IntakeDisp</f>
        <v>#NAME?</v>
      </c>
      <c r="I2397" s="13" t="str">
        <f>VLOOKUP(C2394,Tbl_Button_Display_ASSTS,34,FALSE)</f>
        <v>FRE</v>
      </c>
    </row>
    <row r="2398" spans="1:10" s="10" customFormat="1" ht="13.5" hidden="1" customHeight="1" outlineLevel="2">
      <c r="A2398" s="70">
        <v>1</v>
      </c>
      <c r="F2398" s="87"/>
      <c r="G2398" s="10" t="e">
        <f>Act_Intake</f>
        <v>#NAME?</v>
      </c>
      <c r="H2398" s="49" t="str">
        <f>VLOOKUP(C2394,Tbl_Button_Display_ASSTS,35,FALSE)</f>
        <v>Intake_TD 연산에 따름</v>
      </c>
      <c r="I2398" s="48" t="e">
        <f>IF(H2398="","",VLOOKUP(H2398,Tbl_IntakeFB_Volt,2,FALSE))</f>
        <v>#NAME?</v>
      </c>
    </row>
    <row r="2399" spans="1:10" s="127" customFormat="1" ht="15">
      <c r="A2399" s="66">
        <v>1</v>
      </c>
      <c r="B2399" s="40" t="s">
        <v>1450</v>
      </c>
      <c r="C2399" s="127" t="s">
        <v>880</v>
      </c>
      <c r="D2399" s="127" t="str">
        <f t="shared" ref="D2399" si="31">VLOOKUP(B2399,Tbl_Button_Display_ASSTS,2,FALSE)</f>
        <v>사용자Profile</v>
      </c>
      <c r="F2399" s="82"/>
    </row>
    <row r="2400" spans="1:10" s="123" customFormat="1" collapsed="1">
      <c r="A2400" s="122">
        <v>1</v>
      </c>
      <c r="B2400" s="123" t="s">
        <v>156</v>
      </c>
      <c r="C2400" s="123" t="s">
        <v>1291</v>
      </c>
      <c r="D2400" s="123" t="str">
        <f>VLOOKUP(C2400,Tbl_Button_Display_ASSTS, 2,FALSE)</f>
        <v>사용자Profile 동작 확인</v>
      </c>
      <c r="F2400" s="88"/>
    </row>
    <row r="2401" spans="1:10" s="125" customFormat="1" ht="16.5" hidden="1" outlineLevel="1">
      <c r="A2401" s="124">
        <v>1</v>
      </c>
      <c r="B2401" s="125" t="s">
        <v>38</v>
      </c>
      <c r="C2401" s="125" t="s">
        <v>1292</v>
      </c>
      <c r="D2401" s="125" t="s">
        <v>1731</v>
      </c>
      <c r="F2401" s="89"/>
    </row>
    <row r="2402" spans="1:10" s="10" customFormat="1" hidden="1" outlineLevel="2">
      <c r="A2402" s="70">
        <v>1</v>
      </c>
      <c r="E2402" s="114" t="e">
        <f>User_Profile</f>
        <v>#NAME?</v>
      </c>
      <c r="F2402" s="85">
        <v>1</v>
      </c>
      <c r="J2402" s="15"/>
    </row>
    <row r="2403" spans="1:10" s="10" customFormat="1" hidden="1" outlineLevel="2">
      <c r="A2403" s="70">
        <v>1</v>
      </c>
      <c r="E2403" s="114" t="e">
        <f>User_Profile2</f>
        <v>#NAME?</v>
      </c>
      <c r="F2403" s="85">
        <v>0</v>
      </c>
      <c r="J2403" s="15"/>
    </row>
    <row r="2404" spans="1:10" s="10" customFormat="1" hidden="1" outlineLevel="2">
      <c r="A2404" s="70">
        <v>1</v>
      </c>
      <c r="E2404" s="114" t="str">
        <f>VLOOKUP(C2401,Tbl_Button_Display_ASSTS,11,FALSE)</f>
        <v>MsgBox</v>
      </c>
      <c r="F2404" s="85" t="e">
        <f>VLOOKUP(C2401,Tbl_Button_Display_ASSTS,12,FALSE)</f>
        <v>#NAME?</v>
      </c>
    </row>
    <row r="2405" spans="1:10" s="10" customFormat="1" hidden="1" outlineLevel="2">
      <c r="A2405" s="70">
        <v>1</v>
      </c>
      <c r="E2405" s="114" t="s">
        <v>1730</v>
      </c>
      <c r="F2405" s="129"/>
    </row>
    <row r="2406" spans="1:10" s="10" customFormat="1" hidden="1" outlineLevel="2">
      <c r="A2406" s="70">
        <v>1</v>
      </c>
      <c r="E2406" s="114" t="s">
        <v>715</v>
      </c>
      <c r="F2406" s="85">
        <f>VLOOKUP(C2401,Tbl_Button_Display_ASSTS,13,FALSE)</f>
        <v>10</v>
      </c>
    </row>
    <row r="2407" spans="1:10" s="10" customFormat="1" ht="13.5" hidden="1" customHeight="1" outlineLevel="2">
      <c r="A2407" s="70">
        <v>1</v>
      </c>
      <c r="F2407" s="87"/>
      <c r="G2407" s="10" t="e">
        <f>DrTempDispC</f>
        <v>#NAME?</v>
      </c>
      <c r="I2407" s="85" t="e">
        <f>VLOOKUP(C2401,Tbl_Button_Display_ASSTS,26,FALSE)</f>
        <v>#NAME?</v>
      </c>
    </row>
    <row r="2408" spans="1:10" s="10" customFormat="1" ht="13.5" hidden="1" customHeight="1" outlineLevel="2">
      <c r="A2408" s="70">
        <v>1</v>
      </c>
      <c r="F2408" s="87"/>
      <c r="G2408" s="10" t="e">
        <f>PsTempDispC</f>
        <v>#NAME?</v>
      </c>
      <c r="I2408" s="85" t="e">
        <f>VLOOKUP(C2401,Tbl_Button_Display_ASSTS,27,FALSE)</f>
        <v>#NAME?</v>
      </c>
    </row>
    <row r="2409" spans="1:10" s="10" customFormat="1" ht="13.5" hidden="1" customHeight="1" outlineLevel="2">
      <c r="A2409" s="70">
        <v>1</v>
      </c>
      <c r="F2409" s="87"/>
      <c r="G2409" s="10" t="e">
        <f>FrontBlwDisp</f>
        <v>#NAME?</v>
      </c>
      <c r="I2409" s="85" t="str">
        <f>VLOOKUP(C2401,Tbl_Button_Display_ASSTS,23,FALSE)</f>
        <v>Off</v>
      </c>
    </row>
    <row r="2410" spans="1:10" s="39" customFormat="1" hidden="1" outlineLevel="1">
      <c r="A2410" s="73">
        <v>1</v>
      </c>
      <c r="B2410" s="39" t="s">
        <v>155</v>
      </c>
      <c r="C2410" s="39" t="s">
        <v>1293</v>
      </c>
      <c r="D2410" s="39" t="e">
        <f>CONCATENATE(E2411," = ",F2411," 설정 시, User1 사용자Profile정보 저장 확인" )</f>
        <v>#NAME?</v>
      </c>
      <c r="F2410" s="91"/>
    </row>
    <row r="2411" spans="1:10" s="10" customFormat="1" hidden="1" outlineLevel="2">
      <c r="A2411" s="70">
        <v>1</v>
      </c>
      <c r="E2411" s="114" t="e">
        <f>User_Profile</f>
        <v>#NAME?</v>
      </c>
      <c r="F2411" s="85">
        <v>2</v>
      </c>
      <c r="J2411" s="15"/>
    </row>
    <row r="2412" spans="1:10" s="10" customFormat="1" ht="13.5" hidden="1" customHeight="1" outlineLevel="2">
      <c r="A2412" s="70">
        <v>1</v>
      </c>
      <c r="E2412" s="114" t="str">
        <f>VLOOKUP(C2410,Tbl_Button_Display_ASSTS,11,FALSE)</f>
        <v>MsgBox</v>
      </c>
      <c r="F2412" s="85" t="e">
        <f>VLOOKUP(C2410,Tbl_Button_Display_ASSTS,12,FALSE)</f>
        <v>#NAME?</v>
      </c>
    </row>
    <row r="2413" spans="1:10" s="10" customFormat="1" hidden="1" outlineLevel="2">
      <c r="A2413" s="70">
        <v>1</v>
      </c>
      <c r="E2413" s="114" t="s">
        <v>1730</v>
      </c>
      <c r="F2413" s="129"/>
    </row>
    <row r="2414" spans="1:10" s="10" customFormat="1" ht="13.5" hidden="1" customHeight="1" outlineLevel="2">
      <c r="A2414" s="70">
        <v>1</v>
      </c>
      <c r="E2414" s="15" t="s">
        <v>5</v>
      </c>
      <c r="F2414" s="85">
        <f>VLOOKUP(C2410,Tbl_Button_Display_ASSTS,13,FALSE)</f>
        <v>5</v>
      </c>
    </row>
    <row r="2415" spans="1:10" s="10" customFormat="1" ht="13.5" hidden="1" customHeight="1" outlineLevel="2">
      <c r="A2415" s="70">
        <v>1</v>
      </c>
      <c r="F2415" s="87"/>
      <c r="G2415" s="10" t="s">
        <v>1373</v>
      </c>
      <c r="I2415" s="85" t="e">
        <f>VLOOKUP(C2410,Tbl_Button_Display_ASSTS,26,FALSE)</f>
        <v>#NAME?</v>
      </c>
    </row>
    <row r="2416" spans="1:10" s="10" customFormat="1" ht="13.5" hidden="1" customHeight="1" outlineLevel="2">
      <c r="A2416" s="70">
        <v>1</v>
      </c>
      <c r="F2416" s="87"/>
      <c r="G2416" s="10" t="s">
        <v>1374</v>
      </c>
      <c r="I2416" s="85" t="e">
        <f>VLOOKUP(C2410,Tbl_Button_Display_ASSTS,27,FALSE)</f>
        <v>#NAME?</v>
      </c>
    </row>
    <row r="2417" spans="1:10" s="10" customFormat="1" ht="13.5" hidden="1" customHeight="1" outlineLevel="2">
      <c r="A2417" s="70">
        <v>1</v>
      </c>
      <c r="F2417" s="87"/>
      <c r="G2417" s="10" t="s">
        <v>94</v>
      </c>
      <c r="I2417" s="85">
        <f>VLOOKUP(C2410,Tbl_Button_Display_ASSTS,23,FALSE)</f>
        <v>8</v>
      </c>
    </row>
    <row r="2418" spans="1:10" s="39" customFormat="1" hidden="1" outlineLevel="1">
      <c r="A2418" s="73">
        <v>1</v>
      </c>
      <c r="B2418" s="39" t="s">
        <v>155</v>
      </c>
      <c r="C2418" s="39" t="s">
        <v>1294</v>
      </c>
      <c r="D2418" s="39" t="e">
        <f>CONCATENATE(E2419," = ",F2419," 설정 시, Guest 사용자Profile 저장된 동작 확인" )</f>
        <v>#NAME?</v>
      </c>
      <c r="F2418" s="91"/>
    </row>
    <row r="2419" spans="1:10" s="10" customFormat="1" hidden="1" outlineLevel="2">
      <c r="A2419" s="70">
        <v>1</v>
      </c>
      <c r="E2419" s="114" t="e">
        <f>VLOOKUP(C2418,Tbl_Button_Display_ASSTS,11,FALSE)</f>
        <v>#NAME?</v>
      </c>
      <c r="F2419" s="85">
        <f>VLOOKUP(C2418,Tbl_Button_Display_ASSTS,12,FALSE)</f>
        <v>1</v>
      </c>
      <c r="J2419" s="15"/>
    </row>
    <row r="2420" spans="1:10" s="10" customFormat="1" hidden="1" outlineLevel="2">
      <c r="A2420" s="70">
        <v>1</v>
      </c>
      <c r="E2420" s="15" t="s">
        <v>5</v>
      </c>
      <c r="F2420" s="85">
        <f>VLOOKUP(C2418,Tbl_Button_Display_ASSTS,13,FALSE)</f>
        <v>2</v>
      </c>
    </row>
    <row r="2421" spans="1:10" s="10" customFormat="1" ht="13.5" hidden="1" customHeight="1" outlineLevel="2">
      <c r="A2421" s="70">
        <v>1</v>
      </c>
      <c r="F2421" s="87"/>
      <c r="G2421" s="10" t="s">
        <v>1373</v>
      </c>
      <c r="I2421" s="85" t="e">
        <f>VLOOKUP(C2418,Tbl_Button_Display_ASSTS,26,FALSE)</f>
        <v>#NAME?</v>
      </c>
    </row>
    <row r="2422" spans="1:10" s="10" customFormat="1" ht="13.5" hidden="1" customHeight="1" outlineLevel="2">
      <c r="A2422" s="70">
        <v>1</v>
      </c>
      <c r="F2422" s="87"/>
      <c r="G2422" s="10" t="s">
        <v>1374</v>
      </c>
      <c r="I2422" s="85" t="e">
        <f>VLOOKUP(C2418,Tbl_Button_Display_ASSTS,27,FALSE)</f>
        <v>#NAME?</v>
      </c>
    </row>
    <row r="2423" spans="1:10" s="10" customFormat="1" ht="13.5" hidden="1" customHeight="1" outlineLevel="2">
      <c r="A2423" s="70">
        <v>1</v>
      </c>
      <c r="F2423" s="87"/>
      <c r="G2423" s="10" t="s">
        <v>94</v>
      </c>
      <c r="I2423" s="85" t="str">
        <f>VLOOKUP(C2418,Tbl_Button_Display_ASSTS,23,FALSE)</f>
        <v>Off</v>
      </c>
    </row>
    <row r="2424" spans="1:10" s="39" customFormat="1" hidden="1" outlineLevel="1">
      <c r="A2424" s="73">
        <v>1</v>
      </c>
      <c r="B2424" s="39" t="s">
        <v>155</v>
      </c>
      <c r="C2424" s="39" t="s">
        <v>1295</v>
      </c>
      <c r="D2424" s="39" t="e">
        <f>CONCATENATE(E2425," = ",F2425," 설정 시, User1 사용자Profile 저장된 동작 확인" )</f>
        <v>#NAME?</v>
      </c>
      <c r="F2424" s="91"/>
    </row>
    <row r="2425" spans="1:10" s="10" customFormat="1" hidden="1" outlineLevel="2">
      <c r="A2425" s="70">
        <v>1</v>
      </c>
      <c r="E2425" s="114" t="e">
        <f>VLOOKUP(C2424,Tbl_Button_Display_ASSTS,11,FALSE)</f>
        <v>#NAME?</v>
      </c>
      <c r="F2425" s="85">
        <f>VLOOKUP(C2424,Tbl_Button_Display_ASSTS,12,FALSE)</f>
        <v>2</v>
      </c>
      <c r="J2425" s="15"/>
    </row>
    <row r="2426" spans="1:10" s="10" customFormat="1" hidden="1" outlineLevel="2">
      <c r="A2426" s="70">
        <v>1</v>
      </c>
      <c r="E2426" s="15" t="s">
        <v>5</v>
      </c>
      <c r="F2426" s="85">
        <f>VLOOKUP(C2424,Tbl_Button_Display_ASSTS,13,FALSE)</f>
        <v>2</v>
      </c>
    </row>
    <row r="2427" spans="1:10" s="10" customFormat="1" ht="13.5" hidden="1" customHeight="1" outlineLevel="2">
      <c r="A2427" s="70">
        <v>1</v>
      </c>
      <c r="F2427" s="87"/>
      <c r="G2427" s="10" t="s">
        <v>1373</v>
      </c>
      <c r="I2427" s="85" t="e">
        <f>VLOOKUP(C2424,Tbl_Button_Display_ASSTS,26,FALSE)</f>
        <v>#NAME?</v>
      </c>
    </row>
    <row r="2428" spans="1:10" s="10" customFormat="1" ht="13.5" hidden="1" customHeight="1" outlineLevel="2">
      <c r="A2428" s="70">
        <v>1</v>
      </c>
      <c r="F2428" s="87"/>
      <c r="G2428" s="10" t="s">
        <v>1374</v>
      </c>
      <c r="I2428" s="85" t="e">
        <f>VLOOKUP(C2424,Tbl_Button_Display_ASSTS,27,FALSE)</f>
        <v>#NAME?</v>
      </c>
    </row>
    <row r="2429" spans="1:10" s="10" customFormat="1" ht="13.5" hidden="1" customHeight="1" outlineLevel="2">
      <c r="A2429" s="70">
        <v>1</v>
      </c>
      <c r="F2429" s="87"/>
      <c r="G2429" s="10" t="s">
        <v>94</v>
      </c>
      <c r="I2429" s="85">
        <f>VLOOKUP(C2424,Tbl_Button_Display_ASSTS,23,FALSE)</f>
        <v>8</v>
      </c>
    </row>
    <row r="2430" spans="1:10" s="127" customFormat="1" ht="15">
      <c r="A2430" s="66">
        <v>1</v>
      </c>
      <c r="B2430" s="40" t="s">
        <v>1449</v>
      </c>
      <c r="C2430" s="127" t="s">
        <v>881</v>
      </c>
      <c r="D2430" s="127" t="str">
        <f t="shared" ref="D2430" si="32">VLOOKUP(B2430,Tbl_Button_Display_ASSTS,2,FALSE)</f>
        <v>음성인식 공조연동</v>
      </c>
      <c r="F2430" s="82"/>
    </row>
    <row r="2431" spans="1:10" s="123" customFormat="1" collapsed="1">
      <c r="A2431" s="122">
        <v>1</v>
      </c>
      <c r="B2431" s="123" t="s">
        <v>156</v>
      </c>
      <c r="C2431" s="123" t="s">
        <v>1296</v>
      </c>
      <c r="D2431" s="123" t="str">
        <f>VLOOKUP(C2431,Tbl_Button_Display_ASSTS, 2,FALSE)</f>
        <v>음성인식 공조연동 동작 확인</v>
      </c>
      <c r="F2431" s="88"/>
    </row>
    <row r="2432" spans="1:10" s="125" customFormat="1" hidden="1" outlineLevel="1">
      <c r="A2432" s="124">
        <v>1</v>
      </c>
      <c r="B2432" s="125" t="s">
        <v>38</v>
      </c>
      <c r="C2432" s="125" t="s">
        <v>1297</v>
      </c>
      <c r="D2432" s="125" t="s">
        <v>39</v>
      </c>
      <c r="F2432" s="89"/>
    </row>
    <row r="2433" spans="1:10" s="10" customFormat="1" hidden="1" outlineLevel="2">
      <c r="A2433" s="70">
        <v>1</v>
      </c>
      <c r="E2433" s="114" t="e">
        <f>User_Profile</f>
        <v>#NAME?</v>
      </c>
      <c r="F2433" s="85">
        <v>1</v>
      </c>
      <c r="J2433" s="15"/>
    </row>
    <row r="2434" spans="1:10" s="10" customFormat="1" hidden="1" outlineLevel="2">
      <c r="A2434" s="70">
        <v>1</v>
      </c>
      <c r="E2434" s="114" t="str">
        <f>VLOOKUP(C2432,Tbl_Button_Display_ASSTS,11,FALSE)</f>
        <v>MsgBox</v>
      </c>
      <c r="F2434" s="85" t="str">
        <f>VLOOKUP(C2432,Tbl_Button_Display_ASSTS,12,FALSE)</f>
        <v>Blower=1단 수동 설정</v>
      </c>
    </row>
    <row r="2435" spans="1:10" s="10" customFormat="1" hidden="1" outlineLevel="2">
      <c r="A2435" s="70">
        <v>1</v>
      </c>
      <c r="E2435" s="114" t="s">
        <v>715</v>
      </c>
      <c r="F2435" s="85">
        <f>VLOOKUP(C2432,Tbl_Button_Display_ASSTS,13,FALSE)</f>
        <v>10</v>
      </c>
    </row>
    <row r="2436" spans="1:10" s="10" customFormat="1" ht="13.5" hidden="1" customHeight="1" outlineLevel="2">
      <c r="A2436" s="70">
        <v>1</v>
      </c>
      <c r="F2436" s="87"/>
      <c r="G2436" s="10" t="e">
        <f>FrChgReqDis</f>
        <v>#NAME?</v>
      </c>
      <c r="I2436" s="85">
        <v>0</v>
      </c>
    </row>
    <row r="2437" spans="1:10" s="10" customFormat="1" ht="13.5" hidden="1" customHeight="1" outlineLevel="2">
      <c r="A2437" s="70">
        <v>1</v>
      </c>
      <c r="F2437" s="87"/>
      <c r="G2437" s="10" t="e">
        <f>OperationStatus</f>
        <v>#NAME?</v>
      </c>
      <c r="I2437" s="13">
        <v>1</v>
      </c>
    </row>
    <row r="2438" spans="1:10" s="10" customFormat="1" ht="13.5" hidden="1" customHeight="1" outlineLevel="2">
      <c r="A2438" s="70">
        <v>1</v>
      </c>
      <c r="F2438" s="87"/>
      <c r="G2438" s="10" t="e">
        <f>FrontBlwDisp</f>
        <v>#NAME?</v>
      </c>
      <c r="I2438" s="13">
        <f>VLOOKUP(C2432,Tbl_Button_Display_ASSTS,23,FALSE)</f>
        <v>1</v>
      </c>
    </row>
    <row r="2439" spans="1:10" s="39" customFormat="1" hidden="1" outlineLevel="1">
      <c r="A2439" s="73">
        <v>1</v>
      </c>
      <c r="B2439" s="39" t="s">
        <v>155</v>
      </c>
      <c r="C2439" s="39" t="s">
        <v>1298</v>
      </c>
      <c r="D2439" s="39" t="e">
        <f>CONCATENATE(E2440," = ",F2440," 설정 시, 음성인식 공조연동 동작 확인" )</f>
        <v>#NAME?</v>
      </c>
      <c r="F2439" s="91"/>
    </row>
    <row r="2440" spans="1:10" s="10" customFormat="1" hidden="1" outlineLevel="2">
      <c r="A2440" s="70">
        <v>1</v>
      </c>
      <c r="E2440" s="114" t="e">
        <f>VLOOKUP(C2439,Tbl_Button_Display_ASSTS,11,FALSE)</f>
        <v>#NAME?</v>
      </c>
      <c r="F2440" s="85">
        <f>VLOOKUP(C2439,Tbl_Button_Display_ASSTS,12,FALSE)</f>
        <v>6</v>
      </c>
      <c r="J2440" s="15"/>
    </row>
    <row r="2441" spans="1:10" s="10" customFormat="1" hidden="1" outlineLevel="2">
      <c r="A2441" s="70">
        <v>1</v>
      </c>
      <c r="E2441" s="15" t="s">
        <v>5</v>
      </c>
      <c r="F2441" s="85">
        <f>VLOOKUP(C2439,Tbl_Button_Display_ASSTS,13,FALSE)</f>
        <v>2</v>
      </c>
    </row>
    <row r="2442" spans="1:10" s="10" customFormat="1" ht="13.5" hidden="1" customHeight="1" outlineLevel="2">
      <c r="A2442" s="70">
        <v>1</v>
      </c>
      <c r="F2442" s="87"/>
      <c r="G2442" s="10" t="e">
        <f>FrChgReqDis</f>
        <v>#NAME?</v>
      </c>
      <c r="I2442" s="85" t="s">
        <v>1777</v>
      </c>
    </row>
    <row r="2443" spans="1:10" s="10" customFormat="1" ht="13.5" hidden="1" customHeight="1" outlineLevel="2">
      <c r="A2443" s="70">
        <v>1</v>
      </c>
      <c r="F2443" s="87"/>
      <c r="G2443" s="10" t="s">
        <v>1424</v>
      </c>
      <c r="I2443" s="13">
        <v>1</v>
      </c>
    </row>
    <row r="2444" spans="1:10" s="10" customFormat="1" ht="13.5" hidden="1" customHeight="1" outlineLevel="2">
      <c r="A2444" s="70">
        <v>1</v>
      </c>
      <c r="F2444" s="87"/>
      <c r="G2444" s="10" t="e">
        <f>FrontBlwDisp</f>
        <v>#NAME?</v>
      </c>
      <c r="I2444" s="13">
        <f>VLOOKUP(C2439,Tbl_Button_Display_ASSTS,23,FALSE)</f>
        <v>5</v>
      </c>
    </row>
    <row r="2445" spans="1:10" s="39" customFormat="1" hidden="1" outlineLevel="1">
      <c r="A2445" s="73">
        <v>1</v>
      </c>
      <c r="B2445" s="39" t="s">
        <v>155</v>
      </c>
      <c r="C2445" s="39" t="s">
        <v>1479</v>
      </c>
      <c r="D2445" s="39" t="e">
        <f>CONCATENATE(E2446," = ",F2446," 설정 시, 음성인식 공조연동 동작 확인" )</f>
        <v>#NAME?</v>
      </c>
      <c r="F2445" s="91"/>
    </row>
    <row r="2446" spans="1:10" s="10" customFormat="1" hidden="1" outlineLevel="2">
      <c r="A2446" s="70">
        <v>1</v>
      </c>
      <c r="E2446" s="114" t="e">
        <f>VLOOKUP(C2445,Tbl_Button_Display_ASSTS,11,FALSE)</f>
        <v>#NAME?</v>
      </c>
      <c r="F2446" s="85">
        <f>VLOOKUP(C2445,Tbl_Button_Display_ASSTS,12,FALSE)</f>
        <v>0</v>
      </c>
      <c r="J2446" s="15"/>
    </row>
    <row r="2447" spans="1:10" s="10" customFormat="1" hidden="1" outlineLevel="2">
      <c r="A2447" s="70">
        <v>1</v>
      </c>
      <c r="E2447" s="15" t="s">
        <v>5</v>
      </c>
      <c r="F2447" s="85">
        <v>5</v>
      </c>
    </row>
    <row r="2448" spans="1:10" s="10" customFormat="1" ht="13.5" hidden="1" customHeight="1" outlineLevel="2">
      <c r="A2448" s="70">
        <v>1</v>
      </c>
      <c r="F2448" s="87"/>
      <c r="G2448" s="10" t="e">
        <f>FrChgReqDis</f>
        <v>#NAME?</v>
      </c>
      <c r="I2448" s="85" t="s">
        <v>1777</v>
      </c>
    </row>
    <row r="2449" spans="1:12" s="10" customFormat="1" ht="13.5" hidden="1" customHeight="1" outlineLevel="2">
      <c r="A2449" s="70">
        <v>1</v>
      </c>
      <c r="F2449" s="87"/>
      <c r="G2449" s="10" t="s">
        <v>1424</v>
      </c>
      <c r="I2449" s="13">
        <v>0</v>
      </c>
    </row>
    <row r="2450" spans="1:12" s="10" customFormat="1" ht="13.5" hidden="1" customHeight="1" outlineLevel="2">
      <c r="A2450" s="70">
        <v>1</v>
      </c>
      <c r="F2450" s="87"/>
      <c r="G2450" s="10" t="e">
        <f>FrontBlwDisp</f>
        <v>#NAME?</v>
      </c>
      <c r="I2450" s="13" t="str">
        <f>VLOOKUP(C2445,Tbl_Button_Display_ASSTS,23,FALSE)</f>
        <v>Off</v>
      </c>
    </row>
    <row r="2451" spans="1:12" s="40" customFormat="1" ht="15">
      <c r="A2451" s="66">
        <v>1</v>
      </c>
      <c r="B2451" s="40" t="s">
        <v>576</v>
      </c>
      <c r="C2451" s="40" t="s">
        <v>620</v>
      </c>
      <c r="D2451" s="40" t="str">
        <f t="shared" si="28"/>
        <v>터널연동제어</v>
      </c>
      <c r="F2451" s="82"/>
    </row>
    <row r="2452" spans="1:12" s="123" customFormat="1" collapsed="1">
      <c r="A2452" s="122">
        <v>1</v>
      </c>
      <c r="B2452" s="123" t="s">
        <v>7</v>
      </c>
      <c r="C2452" s="123" t="s">
        <v>946</v>
      </c>
      <c r="D2452" s="123" t="str">
        <f>VLOOKUP(C2452,Tbl_Button_Display_ASSTS, 2,FALSE)</f>
        <v>터널연동제어 동작 확인</v>
      </c>
      <c r="F2452" s="88"/>
    </row>
    <row r="2453" spans="1:12" s="125" customFormat="1" hidden="1" outlineLevel="1">
      <c r="A2453" s="124">
        <v>1</v>
      </c>
      <c r="B2453" s="125" t="s">
        <v>38</v>
      </c>
      <c r="C2453" s="125" t="s">
        <v>947</v>
      </c>
      <c r="D2453" s="125" t="s">
        <v>39</v>
      </c>
      <c r="F2453" s="89"/>
    </row>
    <row r="2454" spans="1:12" s="10" customFormat="1" hidden="1" outlineLevel="2">
      <c r="A2454" s="70">
        <v>1</v>
      </c>
      <c r="E2454" s="114" t="e">
        <f>Navi_AirConditionWarning</f>
        <v>#NAME?</v>
      </c>
      <c r="F2454" s="85">
        <f>VLOOKUP(C2453,Tbl_Button_Display_ASSTS,7,FALSE)</f>
        <v>0</v>
      </c>
      <c r="J2454" s="15"/>
      <c r="L2454" s="130"/>
    </row>
    <row r="2455" spans="1:12" s="10" customFormat="1" hidden="1" outlineLevel="2">
      <c r="A2455" s="70">
        <v>1</v>
      </c>
      <c r="E2455" s="114" t="str">
        <f>VLOOKUP(C2453,Tbl_Button_Display_ASSTS,11,FALSE)</f>
        <v>MsgBox</v>
      </c>
      <c r="F2455" s="85" t="e">
        <f>VLOOKUP(C2453,Tbl_Button_Display_ASSTS,12,FALSE)</f>
        <v>#NAME?</v>
      </c>
    </row>
    <row r="2456" spans="1:12" s="10" customFormat="1" hidden="1" outlineLevel="2">
      <c r="A2456" s="70">
        <v>1</v>
      </c>
      <c r="E2456" s="15" t="s">
        <v>5</v>
      </c>
      <c r="F2456" s="85">
        <f>VLOOKUP(C2453,Tbl_Button_Display_ASSTS,13,FALSE)</f>
        <v>10</v>
      </c>
    </row>
    <row r="2457" spans="1:12" s="10" customFormat="1" hidden="1" outlineLevel="2">
      <c r="A2457" s="70">
        <v>1</v>
      </c>
      <c r="F2457" s="87"/>
      <c r="G2457" s="10" t="e">
        <f>IntakeDisp</f>
        <v>#NAME?</v>
      </c>
      <c r="I2457" s="13" t="str">
        <f>VLOOKUP(C2453,Tbl_Button_Display_ASSTS,34,FALSE)</f>
        <v>FRE</v>
      </c>
    </row>
    <row r="2458" spans="1:12" s="10" customFormat="1" hidden="1" outlineLevel="2">
      <c r="A2458" s="70">
        <v>1</v>
      </c>
      <c r="F2458" s="87"/>
      <c r="G2458" s="10" t="e">
        <f>Act_Intake</f>
        <v>#NAME?</v>
      </c>
      <c r="H2458" s="49" t="str">
        <f>VLOOKUP(C2453,Tbl_Button_Display_ASSTS,35,FALSE)</f>
        <v>Intake_TD 연산에 따름</v>
      </c>
      <c r="I2458" s="48" t="e">
        <f>IF(H2458="","",VLOOKUP(H2458,Tbl_IntakeFB_Volt,2,FALSE))</f>
        <v>#NAME?</v>
      </c>
    </row>
    <row r="2459" spans="1:12" s="39" customFormat="1" hidden="1" outlineLevel="1">
      <c r="A2459" s="73">
        <v>1</v>
      </c>
      <c r="B2459" s="39" t="s">
        <v>155</v>
      </c>
      <c r="C2459" s="39" t="s">
        <v>948</v>
      </c>
      <c r="D2459" s="39" t="e">
        <f>CONCATENATE(E2460," = ",F2460," 설정 시, ",I2462," 제어 확인")</f>
        <v>#NAME?</v>
      </c>
      <c r="F2459" s="91"/>
    </row>
    <row r="2460" spans="1:12" s="10" customFormat="1" hidden="1" outlineLevel="2">
      <c r="A2460" s="70">
        <v>1</v>
      </c>
      <c r="E2460" s="114" t="e">
        <f>VLOOKUP(C2459,Tbl_Button_Display_ASSTS,11,FALSE)</f>
        <v>#NAME?</v>
      </c>
      <c r="F2460" s="85">
        <f>VLOOKUP(C2459,Tbl_Button_Display_ASSTS,12,FALSE)</f>
        <v>1</v>
      </c>
    </row>
    <row r="2461" spans="1:12" s="10" customFormat="1" hidden="1" outlineLevel="2">
      <c r="A2461" s="70">
        <v>1</v>
      </c>
      <c r="E2461" s="15" t="s">
        <v>5</v>
      </c>
      <c r="F2461" s="85">
        <f>VLOOKUP(C2459,Tbl_Button_Display_ASSTS,13,FALSE)</f>
        <v>0</v>
      </c>
    </row>
    <row r="2462" spans="1:12" s="10" customFormat="1" hidden="1" outlineLevel="2">
      <c r="A2462" s="70">
        <v>1</v>
      </c>
      <c r="F2462" s="87"/>
      <c r="G2462" s="10" t="e">
        <f>IntakeDisp</f>
        <v>#NAME?</v>
      </c>
      <c r="I2462" s="13" t="str">
        <f>VLOOKUP(C2459,Tbl_Button_Display_ASSTS,34,FALSE)</f>
        <v>REC</v>
      </c>
    </row>
    <row r="2463" spans="1:12" s="10" customFormat="1" hidden="1" outlineLevel="2">
      <c r="A2463" s="70">
        <v>1</v>
      </c>
      <c r="F2463" s="87"/>
      <c r="G2463" s="10" t="e">
        <f>Act_Intake</f>
        <v>#NAME?</v>
      </c>
      <c r="H2463" s="49" t="str">
        <f>VLOOKUP(C2459,Tbl_Button_Display_ASSTS,35,FALSE)</f>
        <v>REC</v>
      </c>
      <c r="I2463" s="48" t="e">
        <f>IF(H2463="","",VLOOKUP(H2463,Tbl_IntakeFB_Volt,2,FALSE))</f>
        <v>#NAME?</v>
      </c>
    </row>
    <row r="2464" spans="1:12" s="39" customFormat="1" hidden="1" outlineLevel="1">
      <c r="A2464" s="73">
        <v>1</v>
      </c>
      <c r="B2464" s="39" t="s">
        <v>155</v>
      </c>
      <c r="C2464" s="39" t="s">
        <v>949</v>
      </c>
      <c r="D2464" s="39" t="e">
        <f>CONCATENATE(E2465," = ",F2465," 설정 시, ",I2467," 제어 확인")</f>
        <v>#NAME?</v>
      </c>
      <c r="F2464" s="91"/>
    </row>
    <row r="2465" spans="1:9" s="10" customFormat="1" hidden="1" outlineLevel="2">
      <c r="A2465" s="70">
        <v>1</v>
      </c>
      <c r="E2465" s="114" t="e">
        <f>VLOOKUP(C2464,Tbl_Button_Display_ASSTS,11,FALSE)</f>
        <v>#NAME?</v>
      </c>
      <c r="F2465" s="85">
        <f>VLOOKUP(C2464,Tbl_Button_Display_ASSTS,12,FALSE)</f>
        <v>2</v>
      </c>
    </row>
    <row r="2466" spans="1:9" s="10" customFormat="1" hidden="1" outlineLevel="2">
      <c r="A2466" s="70">
        <v>1</v>
      </c>
      <c r="E2466" s="15" t="s">
        <v>5</v>
      </c>
      <c r="F2466" s="85">
        <f>VLOOKUP(C2464,Tbl_Button_Display_ASSTS,13,FALSE)</f>
        <v>0</v>
      </c>
    </row>
    <row r="2467" spans="1:9" s="10" customFormat="1" hidden="1" outlineLevel="2">
      <c r="A2467" s="70">
        <v>1</v>
      </c>
      <c r="F2467" s="87"/>
      <c r="G2467" s="10" t="e">
        <f>IntakeDisp</f>
        <v>#NAME?</v>
      </c>
      <c r="I2467" s="13" t="str">
        <f>VLOOKUP(C2464,Tbl_Button_Display_ASSTS,34,FALSE)</f>
        <v>FRE</v>
      </c>
    </row>
    <row r="2468" spans="1:9" s="10" customFormat="1" hidden="1" outlineLevel="2">
      <c r="A2468" s="70">
        <v>1</v>
      </c>
      <c r="F2468" s="87"/>
      <c r="G2468" s="10" t="e">
        <f>Act_Intake</f>
        <v>#NAME?</v>
      </c>
      <c r="H2468" s="49" t="str">
        <f>VLOOKUP(C2464,Tbl_Button_Display_ASSTS,35,FALSE)</f>
        <v>Intake_TD 연산에 따름</v>
      </c>
      <c r="I2468" s="48" t="e">
        <f>IF(H2468="","",VLOOKUP(H2468,Tbl_IntakeFB_Volt,2,FALSE))</f>
        <v>#NAME?</v>
      </c>
    </row>
    <row r="2469" spans="1:9" s="39" customFormat="1" hidden="1" outlineLevel="1">
      <c r="A2469" s="73">
        <v>1</v>
      </c>
      <c r="B2469" s="39" t="s">
        <v>155</v>
      </c>
      <c r="C2469" s="39" t="s">
        <v>1423</v>
      </c>
      <c r="D2469" s="39" t="str">
        <f>CONCATENATE(E2470," ",F2470,"회 선택 시, System Off 확인")</f>
        <v>Sw_OFF 1회 선택 시, System Off 확인</v>
      </c>
      <c r="F2469" s="91"/>
    </row>
    <row r="2470" spans="1:9" s="10" customFormat="1" hidden="1" outlineLevel="2">
      <c r="A2470" s="70">
        <v>1</v>
      </c>
      <c r="E2470" s="14" t="str">
        <f>VLOOKUP(C2469,Tbl_Button_Display_ASSTS,11,FALSE)</f>
        <v>Sw_OFF</v>
      </c>
      <c r="F2470" s="85">
        <f>VLOOKUP(C2469,Tbl_Button_Display_ASSTS,12,FALSE)</f>
        <v>1</v>
      </c>
    </row>
    <row r="2471" spans="1:9" s="10" customFormat="1" hidden="1" outlineLevel="2">
      <c r="A2471" s="70">
        <v>1</v>
      </c>
      <c r="E2471" s="15" t="s">
        <v>5</v>
      </c>
      <c r="F2471" s="85">
        <f>VLOOKUP(C2469,Tbl_Button_Display_ASSTS,13,FALSE)</f>
        <v>1</v>
      </c>
    </row>
    <row r="2472" spans="1:9" s="10" customFormat="1" hidden="1" outlineLevel="2">
      <c r="A2472" s="70">
        <v>1</v>
      </c>
      <c r="F2472" s="87"/>
      <c r="G2472" s="10" t="e">
        <f>IntakeDisp</f>
        <v>#NAME?</v>
      </c>
      <c r="I2472" s="13" t="str">
        <f>VLOOKUP(C2469,Tbl_Button_Display_ASSTS,34,FALSE)</f>
        <v>FRE</v>
      </c>
    </row>
    <row r="2473" spans="1:9" s="10" customFormat="1" hidden="1" outlineLevel="2">
      <c r="A2473" s="70">
        <v>1</v>
      </c>
      <c r="F2473" s="87"/>
      <c r="G2473" s="10" t="e">
        <f>Act_Intake</f>
        <v>#NAME?</v>
      </c>
      <c r="H2473" s="49" t="str">
        <f>VLOOKUP(C2469,Tbl_Button_Display_ASSTS,35,FALSE)</f>
        <v>Intake_TD 연산에 따름</v>
      </c>
      <c r="I2473" s="48" t="e">
        <f>IF(H2473="","",VLOOKUP(H2473,Tbl_IntakeFB_Volt,2,FALSE))</f>
        <v>#NAME?</v>
      </c>
    </row>
    <row r="2474" spans="1:9" s="39" customFormat="1" hidden="1" outlineLevel="1">
      <c r="A2474" s="73">
        <v>1</v>
      </c>
      <c r="B2474" s="39" t="s">
        <v>155</v>
      </c>
      <c r="C2474" s="39" t="s">
        <v>1733</v>
      </c>
      <c r="D2474" s="39" t="e">
        <f>CONCATENATE(E2475," = ",F2475," 설정 시, ",I2477," 제어 확인")</f>
        <v>#NAME?</v>
      </c>
      <c r="F2474" s="91"/>
    </row>
    <row r="2475" spans="1:9" s="10" customFormat="1" hidden="1" outlineLevel="2">
      <c r="A2475" s="70">
        <v>1</v>
      </c>
      <c r="E2475" s="14" t="e">
        <f>VLOOKUP(C2474,Tbl_Button_Display_ASSTS,11,FALSE)</f>
        <v>#NAME?</v>
      </c>
      <c r="F2475" s="85">
        <f>VLOOKUP(C2474,Tbl_Button_Display_ASSTS,12,FALSE)</f>
        <v>1</v>
      </c>
    </row>
    <row r="2476" spans="1:9" s="10" customFormat="1" hidden="1" outlineLevel="2">
      <c r="A2476" s="70">
        <v>1</v>
      </c>
      <c r="E2476" s="15" t="s">
        <v>5</v>
      </c>
      <c r="F2476" s="85">
        <f>VLOOKUP(C2474,Tbl_Button_Display_ASSTS,13,FALSE)</f>
        <v>0</v>
      </c>
    </row>
    <row r="2477" spans="1:9" s="10" customFormat="1" hidden="1" outlineLevel="2">
      <c r="A2477" s="70">
        <v>1</v>
      </c>
      <c r="F2477" s="87"/>
      <c r="G2477" s="10" t="e">
        <f>IntakeDisp</f>
        <v>#NAME?</v>
      </c>
      <c r="I2477" s="13" t="str">
        <f>VLOOKUP(C2474,Tbl_Button_Display_ASSTS,34,FALSE)</f>
        <v>REC</v>
      </c>
    </row>
    <row r="2478" spans="1:9" s="10" customFormat="1" hidden="1" outlineLevel="2">
      <c r="A2478" s="70">
        <v>1</v>
      </c>
      <c r="F2478" s="87"/>
      <c r="G2478" s="10" t="e">
        <f>Act_Intake</f>
        <v>#NAME?</v>
      </c>
      <c r="H2478" s="49" t="str">
        <f>VLOOKUP(C2474,Tbl_Button_Display_ASSTS,35,FALSE)</f>
        <v>REC</v>
      </c>
      <c r="I2478" s="48" t="e">
        <f>IF(H2478="","",VLOOKUP(H2478,Tbl_IntakeFB_Volt,2,FALSE))</f>
        <v>#NAME?</v>
      </c>
    </row>
    <row r="2479" spans="1:9" s="39" customFormat="1" hidden="1" outlineLevel="1">
      <c r="A2479" s="73">
        <v>1</v>
      </c>
      <c r="B2479" s="39" t="s">
        <v>155</v>
      </c>
      <c r="C2479" s="39" t="s">
        <v>1734</v>
      </c>
      <c r="D2479" s="39" t="e">
        <f>CONCATENATE(E2480," = ",F2480," 설정 시, ",I2482," 제어 확인")</f>
        <v>#NAME?</v>
      </c>
      <c r="F2479" s="91"/>
    </row>
    <row r="2480" spans="1:9" s="10" customFormat="1" hidden="1" outlineLevel="2">
      <c r="A2480" s="70">
        <v>1</v>
      </c>
      <c r="E2480" s="14" t="e">
        <f>VLOOKUP(C2479,Tbl_Button_Display_ASSTS,11,FALSE)</f>
        <v>#NAME?</v>
      </c>
      <c r="F2480" s="85">
        <f>VLOOKUP(C2479,Tbl_Button_Display_ASSTS,12,FALSE)</f>
        <v>2</v>
      </c>
    </row>
    <row r="2481" spans="1:12" s="10" customFormat="1" hidden="1" outlineLevel="2">
      <c r="A2481" s="70">
        <v>1</v>
      </c>
      <c r="E2481" s="15" t="s">
        <v>5</v>
      </c>
      <c r="F2481" s="85">
        <f>VLOOKUP(C2479,Tbl_Button_Display_ASSTS,13,FALSE)</f>
        <v>0</v>
      </c>
    </row>
    <row r="2482" spans="1:12" s="10" customFormat="1" hidden="1" outlineLevel="2">
      <c r="A2482" s="70">
        <v>1</v>
      </c>
      <c r="F2482" s="87"/>
      <c r="G2482" s="10" t="e">
        <f>IntakeDisp</f>
        <v>#NAME?</v>
      </c>
      <c r="I2482" s="13" t="str">
        <f>VLOOKUP(C2479,Tbl_Button_Display_ASSTS,34,FALSE)</f>
        <v>FRE</v>
      </c>
    </row>
    <row r="2483" spans="1:12" s="10" customFormat="1" hidden="1" outlineLevel="2">
      <c r="A2483" s="70">
        <v>1</v>
      </c>
      <c r="F2483" s="87"/>
      <c r="G2483" s="10" t="e">
        <f>Act_Intake</f>
        <v>#NAME?</v>
      </c>
      <c r="H2483" s="49" t="str">
        <f>VLOOKUP(C2479,Tbl_Button_Display_ASSTS,35,FALSE)</f>
        <v>Intake_TD 연산에 따름</v>
      </c>
      <c r="I2483" s="48" t="e">
        <f>IF(H2483="","",VLOOKUP(H2483,Tbl_IntakeFB_Volt,2,FALSE))</f>
        <v>#NAME?</v>
      </c>
    </row>
    <row r="2484" spans="1:12" s="39" customFormat="1" hidden="1" outlineLevel="1">
      <c r="A2484" s="73">
        <v>1</v>
      </c>
      <c r="B2484" s="39" t="s">
        <v>155</v>
      </c>
      <c r="C2484" s="39" t="s">
        <v>1735</v>
      </c>
      <c r="D2484" s="39" t="str">
        <f>CONCATENATE(F2485," 시, FRE 유지 확인")</f>
        <v>터널연동 Signal Defualt 값 설정 시, FRE 유지 확인</v>
      </c>
      <c r="F2484" s="91"/>
    </row>
    <row r="2485" spans="1:12" s="10" customFormat="1" hidden="1" outlineLevel="2">
      <c r="A2485" s="70">
        <v>1</v>
      </c>
      <c r="E2485" s="14" t="str">
        <f>VLOOKUP(C2484,Tbl_Button_Display_ASSTS,11,FALSE)</f>
        <v>MsgBox</v>
      </c>
      <c r="F2485" s="85" t="str">
        <f>VLOOKUP(C2484,Tbl_Button_Display_ASSTS,12,FALSE)</f>
        <v>터널연동 Signal Defualt 값 설정</v>
      </c>
    </row>
    <row r="2486" spans="1:12" s="10" customFormat="1" hidden="1" outlineLevel="2">
      <c r="A2486" s="70">
        <v>1</v>
      </c>
      <c r="E2486" s="114" t="e">
        <f>Navi_AirConditionWarning</f>
        <v>#NAME?</v>
      </c>
      <c r="F2486" s="85">
        <v>0</v>
      </c>
      <c r="J2486" s="15"/>
      <c r="L2486" s="130"/>
    </row>
    <row r="2487" spans="1:12" s="10" customFormat="1" hidden="1" outlineLevel="2">
      <c r="A2487" s="70">
        <v>1</v>
      </c>
      <c r="E2487" s="15" t="s">
        <v>5</v>
      </c>
      <c r="F2487" s="85">
        <f>VLOOKUP(C2484,Tbl_Button_Display_ASSTS,13,FALSE)</f>
        <v>1</v>
      </c>
    </row>
    <row r="2488" spans="1:12" s="10" customFormat="1" hidden="1" outlineLevel="2">
      <c r="A2488" s="70">
        <v>1</v>
      </c>
      <c r="F2488" s="87"/>
      <c r="G2488" s="10" t="e">
        <f>IntakeDisp</f>
        <v>#NAME?</v>
      </c>
      <c r="I2488" s="13" t="str">
        <f>VLOOKUP(C2484,Tbl_Button_Display_ASSTS,34,FALSE)</f>
        <v>FRE</v>
      </c>
    </row>
    <row r="2489" spans="1:12" s="10" customFormat="1" hidden="1" outlineLevel="2">
      <c r="A2489" s="70">
        <v>1</v>
      </c>
      <c r="F2489" s="87"/>
      <c r="G2489" s="10" t="e">
        <f>Act_Intake</f>
        <v>#NAME?</v>
      </c>
      <c r="H2489" s="49" t="str">
        <f>VLOOKUP(C2484,Tbl_Button_Display_ASSTS,35,FALSE)</f>
        <v>Intake_TD 연산에 따름</v>
      </c>
      <c r="I2489" s="48" t="e">
        <f>IF(H2489="","",VLOOKUP(H2489,Tbl_IntakeFB_Volt,2,FALSE))</f>
        <v>#NAME?</v>
      </c>
    </row>
    <row r="2490" spans="1:12" s="40" customFormat="1" ht="15">
      <c r="A2490" s="66">
        <v>1</v>
      </c>
      <c r="B2490" s="40" t="s">
        <v>955</v>
      </c>
      <c r="C2490" s="40" t="s">
        <v>957</v>
      </c>
      <c r="D2490" s="40" t="str">
        <f t="shared" ref="D2490:D2649" si="33">VLOOKUP(B2490,Tbl_Button_Display_ASSTS,2,FALSE)</f>
        <v>미세먼지 제거로직(미세먼지 제거버튼 미적용 사양)</v>
      </c>
      <c r="F2490" s="82"/>
    </row>
    <row r="2491" spans="1:12" s="38" customFormat="1" collapsed="1">
      <c r="A2491" s="71">
        <v>1</v>
      </c>
      <c r="B2491" s="38" t="s">
        <v>7</v>
      </c>
      <c r="C2491" s="38" t="s">
        <v>884</v>
      </c>
      <c r="D2491" s="38" t="str">
        <f>VLOOKUP(C2491,Tbl_Button_Display_ASSTS, 2,FALSE)</f>
        <v>미세먼지 제거로직 동작 확인</v>
      </c>
    </row>
    <row r="2492" spans="1:12" s="11" customFormat="1" hidden="1" outlineLevel="1">
      <c r="A2492" s="72">
        <v>1</v>
      </c>
      <c r="B2492" s="11" t="s">
        <v>38</v>
      </c>
      <c r="C2492" s="11" t="s">
        <v>885</v>
      </c>
      <c r="D2492" s="11" t="s">
        <v>39</v>
      </c>
    </row>
    <row r="2493" spans="1:12" s="10" customFormat="1" hidden="1" outlineLevel="2">
      <c r="A2493" s="70">
        <v>1</v>
      </c>
      <c r="E2493" s="14" t="e">
        <f>PM_MassConcentration_2p5</f>
        <v>#NAME?</v>
      </c>
      <c r="F2493" s="12">
        <f>VLOOKUP(C2492,Tbl_Button_Display_ASSTS,7,FALSE)</f>
        <v>0</v>
      </c>
      <c r="J2493" s="15"/>
    </row>
    <row r="2494" spans="1:12" s="10" customFormat="1" hidden="1" outlineLevel="2">
      <c r="A2494" s="70">
        <v>1</v>
      </c>
      <c r="E2494" s="14" t="e">
        <f>PM_PMSnsrSts</f>
        <v>#NAME?</v>
      </c>
      <c r="F2494" s="12">
        <v>1</v>
      </c>
      <c r="J2494" s="15"/>
    </row>
    <row r="2495" spans="1:12" s="10" customFormat="1" hidden="1" outlineLevel="2">
      <c r="A2495" s="70">
        <v>1</v>
      </c>
      <c r="E2495" s="14" t="e">
        <f>PM_PMSnsrRespErr</f>
        <v>#NAME?</v>
      </c>
      <c r="F2495" s="12">
        <v>0</v>
      </c>
      <c r="J2495" s="15"/>
    </row>
    <row r="2496" spans="1:12" s="10" customFormat="1" hidden="1" outlineLevel="2">
      <c r="A2496" s="70">
        <v>1</v>
      </c>
      <c r="E2496" s="14" t="str">
        <f>VLOOKUP(C2492,Tbl_Button_Display_ASSTS,11,FALSE)</f>
        <v>MsgBox</v>
      </c>
      <c r="F2496" s="12" t="e">
        <f>VLOOKUP(C2492,Tbl_Button_Display_ASSTS,12,FALSE)</f>
        <v>#NAME?</v>
      </c>
    </row>
    <row r="2497" spans="1:9" s="10" customFormat="1" hidden="1" outlineLevel="2">
      <c r="A2497" s="70">
        <v>1</v>
      </c>
      <c r="E2497" s="14" t="s">
        <v>207</v>
      </c>
      <c r="F2497" s="12" t="s">
        <v>1189</v>
      </c>
    </row>
    <row r="2498" spans="1:9" s="10" customFormat="1" hidden="1" outlineLevel="2">
      <c r="A2498" s="70">
        <v>1</v>
      </c>
      <c r="E2498" s="15" t="s">
        <v>5</v>
      </c>
      <c r="F2498" s="12">
        <f>VLOOKUP(C2492,Tbl_Button_Display_ASSTS,13,FALSE)</f>
        <v>10</v>
      </c>
    </row>
    <row r="2499" spans="1:9" s="10" customFormat="1" hidden="1" outlineLevel="2">
      <c r="A2499" s="70">
        <v>1</v>
      </c>
      <c r="G2499" s="10" t="e">
        <f>IntakeDisp</f>
        <v>#NAME?</v>
      </c>
      <c r="I2499" s="13" t="str">
        <f>VLOOKUP(C2492,Tbl_Button_Display_ASSTS,34,FALSE)</f>
        <v>FRE</v>
      </c>
    </row>
    <row r="2500" spans="1:9" s="10" customFormat="1" hidden="1" outlineLevel="2">
      <c r="A2500" s="70">
        <v>1</v>
      </c>
      <c r="G2500" s="10" t="e">
        <f>FrontBlwDisp</f>
        <v>#NAME?</v>
      </c>
      <c r="I2500" s="13">
        <f>VLOOKUP(C2492,Tbl_Button_Display_ASSTS,23,FALSE)</f>
        <v>1</v>
      </c>
    </row>
    <row r="2501" spans="1:9" s="10" customFormat="1" hidden="1" outlineLevel="2">
      <c r="A2501" s="70">
        <v>1</v>
      </c>
      <c r="G2501" s="10" t="e">
        <f>AcDisp</f>
        <v>#NAME?</v>
      </c>
      <c r="I2501" s="13" t="str">
        <f>VLOOKUP(C2492,Tbl_Button_Display_ASSTS,31,FALSE)</f>
        <v>Off</v>
      </c>
    </row>
    <row r="2502" spans="1:9" s="10" customFormat="1" hidden="1" outlineLevel="2">
      <c r="A2502" s="70">
        <v>1</v>
      </c>
      <c r="G2502" s="10" t="e" cm="1">
        <f t="array" ref="G2502">CompSpd_rpm</f>
        <v>#NAME?</v>
      </c>
      <c r="I2502" s="13" t="str">
        <f>VLOOKUP(C2492,Tbl_Button_Display_ASSTS,33,FALSE)</f>
        <v>Off</v>
      </c>
    </row>
    <row r="2503" spans="1:9" s="10" customFormat="1" hidden="1" outlineLevel="2">
      <c r="A2503" s="70">
        <v>1</v>
      </c>
      <c r="G2503" s="10" t="e">
        <f>Act_Intake</f>
        <v>#NAME?</v>
      </c>
      <c r="H2503" s="49" t="str">
        <f>VLOOKUP(C2492,Tbl_Button_Display_ASSTS,35,FALSE)</f>
        <v>Intake_TD 연산에 따름</v>
      </c>
      <c r="I2503" s="48" t="e">
        <f>IF(H2503="","",VLOOKUP(H2503,Tbl_IntakeFB_Volt,2,FALSE))</f>
        <v>#NAME?</v>
      </c>
    </row>
    <row r="2504" spans="1:9" s="10" customFormat="1" hidden="1" outlineLevel="2">
      <c r="A2504" s="70">
        <v>1</v>
      </c>
      <c r="G2504" s="10" t="e">
        <f>BLW_Front</f>
        <v>#NAME?</v>
      </c>
      <c r="I2504" s="47" t="e">
        <f>VLOOKUP(C2492,Tbl_Button_Display_ASSTS,24,FALSE)</f>
        <v>#NAME?</v>
      </c>
    </row>
    <row r="2505" spans="1:9" s="39" customFormat="1" hidden="1" outlineLevel="1">
      <c r="A2505" s="73">
        <v>1</v>
      </c>
      <c r="B2505" s="39" t="s">
        <v>155</v>
      </c>
      <c r="C2505" s="39" t="s">
        <v>1779</v>
      </c>
      <c r="D2505" s="39" t="e">
        <f>CONCATENATE(E2506," = ",F2506," 설정, 미세먼지 진입 동작 확인")</f>
        <v>#NAME?</v>
      </c>
    </row>
    <row r="2506" spans="1:9" s="10" customFormat="1" hidden="1" outlineLevel="2">
      <c r="A2506" s="70">
        <v>1</v>
      </c>
      <c r="E2506" s="14" t="e">
        <f>VLOOKUP(C2505,Tbl_Button_Display_ASSTS,11,FALSE)</f>
        <v>#NAME?</v>
      </c>
      <c r="F2506" s="12">
        <f>VLOOKUP(C2505,Tbl_Button_Display_ASSTS,12,FALSE)</f>
        <v>80</v>
      </c>
    </row>
    <row r="2507" spans="1:9" s="10" customFormat="1" hidden="1" outlineLevel="2">
      <c r="A2507" s="70">
        <v>1</v>
      </c>
      <c r="E2507" s="15" t="s">
        <v>5</v>
      </c>
      <c r="F2507" s="12">
        <f>VLOOKUP(C2505,Tbl_Button_Display_ASSTS,13,FALSE)</f>
        <v>10</v>
      </c>
    </row>
    <row r="2508" spans="1:9" s="10" customFormat="1" hidden="1" outlineLevel="2">
      <c r="A2508" s="70">
        <v>1</v>
      </c>
      <c r="G2508" s="10" t="e">
        <f>IntakeDisp</f>
        <v>#NAME?</v>
      </c>
      <c r="I2508" s="13" t="str">
        <f>VLOOKUP(C2505,Tbl_Button_Display_ASSTS,34,FALSE)</f>
        <v>REC</v>
      </c>
    </row>
    <row r="2509" spans="1:9" s="10" customFormat="1" hidden="1" outlineLevel="2">
      <c r="A2509" s="70">
        <v>1</v>
      </c>
      <c r="G2509" s="10" t="e">
        <f>FrontBlwDisp</f>
        <v>#NAME?</v>
      </c>
      <c r="I2509" s="13" t="e">
        <f>VLOOKUP(C2505,Tbl_Button_Display_ASSTS,23,FALSE)</f>
        <v>#VALUE!</v>
      </c>
    </row>
    <row r="2510" spans="1:9" s="10" customFormat="1" hidden="1" outlineLevel="2">
      <c r="A2510" s="70">
        <v>1</v>
      </c>
      <c r="G2510" s="10" t="e">
        <f>AcDisp</f>
        <v>#NAME?</v>
      </c>
      <c r="I2510" s="13" t="str">
        <f>VLOOKUP(C2505,Tbl_Button_Display_ASSTS,31,FALSE)</f>
        <v>On</v>
      </c>
    </row>
    <row r="2511" spans="1:9" s="10" customFormat="1" hidden="1" outlineLevel="2">
      <c r="A2511" s="70">
        <v>1</v>
      </c>
      <c r="G2511" s="10" t="e" cm="1">
        <f t="array" ref="G2511">CompSpd_rpm</f>
        <v>#NAME?</v>
      </c>
      <c r="I2511" s="13" t="str">
        <f>VLOOKUP(C2505,Tbl_Button_Display_ASSTS,33,FALSE)</f>
        <v>On</v>
      </c>
    </row>
    <row r="2512" spans="1:9" s="10" customFormat="1" hidden="1" outlineLevel="2">
      <c r="A2512" s="70">
        <v>1</v>
      </c>
      <c r="G2512" s="10" t="e">
        <f>Act_Intake</f>
        <v>#NAME?</v>
      </c>
      <c r="H2512" s="49" t="str">
        <f>VLOOKUP(C2505,Tbl_Button_Display_ASSTS,35,FALSE)</f>
        <v>REC</v>
      </c>
      <c r="I2512" s="48" t="e">
        <f>IF(H2512="","",VLOOKUP(H2512,Tbl_IntakeFB_Volt,2,FALSE))</f>
        <v>#NAME?</v>
      </c>
    </row>
    <row r="2513" spans="1:9" s="10" customFormat="1" hidden="1" outlineLevel="2">
      <c r="A2513" s="70">
        <v>1</v>
      </c>
      <c r="G2513" s="10" t="e">
        <f>BLW_Front</f>
        <v>#NAME?</v>
      </c>
      <c r="I2513" s="47" t="e">
        <f>VLOOKUP(C2505,Tbl_Button_Display_ASSTS,24,FALSE)</f>
        <v>#VALUE!</v>
      </c>
    </row>
    <row r="2514" spans="1:9" s="39" customFormat="1" hidden="1" outlineLevel="1">
      <c r="A2514" s="73">
        <v>1</v>
      </c>
      <c r="B2514" s="39" t="s">
        <v>155</v>
      </c>
      <c r="C2514" s="39" t="s">
        <v>1778</v>
      </c>
      <c r="D2514" s="39" t="e">
        <f>CONCATENATE(E2515," = ",F2515," 설정, 미세먼지 제어 동작 확인")</f>
        <v>#NAME?</v>
      </c>
    </row>
    <row r="2515" spans="1:9" s="10" customFormat="1" hidden="1" outlineLevel="2">
      <c r="A2515" s="70">
        <v>1</v>
      </c>
      <c r="E2515" s="14" t="e">
        <f>VLOOKUP(C2514,Tbl_Button_Display_ASSTS,11,FALSE)</f>
        <v>#NAME?</v>
      </c>
      <c r="F2515" s="12">
        <f>VLOOKUP(C2514,Tbl_Button_Display_ASSTS,12,FALSE)</f>
        <v>0</v>
      </c>
    </row>
    <row r="2516" spans="1:9" s="10" customFormat="1" hidden="1" outlineLevel="2">
      <c r="A2516" s="70">
        <v>1</v>
      </c>
      <c r="E2516" s="15" t="s">
        <v>5</v>
      </c>
      <c r="F2516" s="12">
        <f>VLOOKUP(C2514,Tbl_Button_Display_ASSTS,13,FALSE)</f>
        <v>60</v>
      </c>
    </row>
    <row r="2517" spans="1:9" s="10" customFormat="1" hidden="1" outlineLevel="2">
      <c r="A2517" s="70">
        <v>1</v>
      </c>
      <c r="G2517" s="10" t="e">
        <f>IntakeDisp</f>
        <v>#NAME?</v>
      </c>
      <c r="I2517" s="13" t="str">
        <f>VLOOKUP(C2514,Tbl_Button_Display_ASSTS,34,FALSE)</f>
        <v>FRE</v>
      </c>
    </row>
    <row r="2518" spans="1:9" s="10" customFormat="1" hidden="1" outlineLevel="2">
      <c r="A2518" s="70">
        <v>1</v>
      </c>
      <c r="G2518" s="10" t="e">
        <f>FrontBlwDisp</f>
        <v>#NAME?</v>
      </c>
      <c r="I2518" s="13" t="e">
        <f>VLOOKUP(C2514,Tbl_Button_Display_ASSTS,23,FALSE)</f>
        <v>#VALUE!</v>
      </c>
    </row>
    <row r="2519" spans="1:9" s="10" customFormat="1" hidden="1" outlineLevel="2">
      <c r="A2519" s="70">
        <v>1</v>
      </c>
      <c r="G2519" s="10" t="e">
        <f>AcDisp</f>
        <v>#NAME?</v>
      </c>
      <c r="I2519" s="13" t="str">
        <f>VLOOKUP(C2514,Tbl_Button_Display_ASSTS,31,FALSE)</f>
        <v>Off</v>
      </c>
    </row>
    <row r="2520" spans="1:9" s="10" customFormat="1" hidden="1" outlineLevel="2">
      <c r="A2520" s="70">
        <v>1</v>
      </c>
      <c r="G2520" s="10" t="e" cm="1">
        <f t="array" ref="G2520">CompSpd_rpm</f>
        <v>#NAME?</v>
      </c>
      <c r="I2520" s="13" t="str">
        <f>VLOOKUP(C2514,Tbl_Button_Display_ASSTS,33,FALSE)</f>
        <v>Off</v>
      </c>
    </row>
    <row r="2521" spans="1:9" s="10" customFormat="1" hidden="1" outlineLevel="2">
      <c r="A2521" s="70">
        <v>1</v>
      </c>
      <c r="G2521" s="10" t="e">
        <f>Act_Intake</f>
        <v>#NAME?</v>
      </c>
      <c r="H2521" s="49" t="str">
        <f>VLOOKUP(C2514,Tbl_Button_Display_ASSTS,35,FALSE)</f>
        <v>Intake_TD 연산에 따름</v>
      </c>
      <c r="I2521" s="48" t="e">
        <f>IF(H2521="","",VLOOKUP(H2521,Tbl_IntakeFB_Volt,2,FALSE))</f>
        <v>#NAME?</v>
      </c>
    </row>
    <row r="2522" spans="1:9" s="10" customFormat="1" hidden="1" outlineLevel="2">
      <c r="A2522" s="70">
        <v>1</v>
      </c>
      <c r="G2522" s="10" t="e">
        <f>BLW_Front</f>
        <v>#NAME?</v>
      </c>
      <c r="I2522" s="47" t="e">
        <f>VLOOKUP(C2514,Tbl_Button_Display_ASSTS,24,FALSE)</f>
        <v>#VALUE!</v>
      </c>
    </row>
    <row r="2523" spans="1:9" s="127" customFormat="1" ht="15">
      <c r="A2523" s="66">
        <v>1</v>
      </c>
      <c r="B2523" s="40" t="s">
        <v>1445</v>
      </c>
      <c r="C2523" s="40" t="s">
        <v>1435</v>
      </c>
      <c r="D2523" s="127" t="str">
        <f t="shared" ref="D2523" si="34">VLOOKUP(B2523,Tbl_Button_Display_ASSTS,2,FALSE)</f>
        <v>에프터블로워 (PDC 적용 차종 사양)</v>
      </c>
      <c r="F2523" s="82"/>
    </row>
    <row r="2524" spans="1:9" s="123" customFormat="1" collapsed="1">
      <c r="A2524" s="122">
        <v>1</v>
      </c>
      <c r="B2524" s="123" t="s">
        <v>156</v>
      </c>
      <c r="C2524" s="123" t="s">
        <v>1299</v>
      </c>
      <c r="D2524" s="123" t="str">
        <f>VLOOKUP(C2524,Tbl_Button_Display_ASSTS, 2,FALSE)</f>
        <v>에프터블로워 로직 동작 확인</v>
      </c>
      <c r="F2524" s="88"/>
    </row>
    <row r="2525" spans="1:9" s="125" customFormat="1" hidden="1" outlineLevel="1">
      <c r="A2525" s="124">
        <v>1</v>
      </c>
      <c r="B2525" s="125" t="s">
        <v>38</v>
      </c>
      <c r="C2525" s="125" t="s">
        <v>1300</v>
      </c>
      <c r="D2525" s="125" t="s">
        <v>39</v>
      </c>
      <c r="F2525" s="89"/>
    </row>
    <row r="2526" spans="1:9" s="10" customFormat="1" hidden="1" outlineLevel="2">
      <c r="A2526" s="70">
        <v>1</v>
      </c>
      <c r="E2526" s="114" t="e">
        <f>Amb_IN</f>
        <v>#NAME?</v>
      </c>
      <c r="F2526" s="93" cm="1">
        <f t="array" ref="F2526">VINTERPOLATION(VLOOKUP(C2525,Tbl_Button_Display_ASSTS,3,FALSE),Tbl_Amb_Sensor,3)</f>
        <v>3.0441755548022011</v>
      </c>
    </row>
    <row r="2527" spans="1:9" s="10" customFormat="1" ht="16.5" hidden="1" outlineLevel="2">
      <c r="A2527" s="70">
        <v>1</v>
      </c>
      <c r="D2527" s="230"/>
      <c r="E2527" s="114" t="str">
        <f>VLOOKUP(C2525,Tbl_Button_Display_ASSTS,11,FALSE)</f>
        <v>MsgBox</v>
      </c>
      <c r="F2527" s="85" t="e">
        <f>VLOOKUP(C2525,Tbl_Button_Display_ASSTS,12,FALSE)</f>
        <v>#NAME?</v>
      </c>
    </row>
    <row r="2528" spans="1:9" s="10" customFormat="1" hidden="1" outlineLevel="2">
      <c r="A2528" s="70">
        <v>1</v>
      </c>
      <c r="E2528" s="114" t="s">
        <v>95</v>
      </c>
      <c r="F2528" s="85" t="s">
        <v>1189</v>
      </c>
    </row>
    <row r="2529" spans="1:13" s="10" customFormat="1" hidden="1" outlineLevel="2">
      <c r="A2529" s="70">
        <v>1</v>
      </c>
      <c r="E2529" s="15" t="e">
        <f>AfterBlower_USMSet</f>
        <v>#NAME?</v>
      </c>
      <c r="F2529" s="85">
        <v>2</v>
      </c>
    </row>
    <row r="2530" spans="1:13" s="10" customFormat="1" hidden="1" outlineLevel="2">
      <c r="A2530" s="70">
        <v>1</v>
      </c>
      <c r="E2530" s="15" t="e">
        <f>AfterBlower_OTA_mode</f>
        <v>#NAME?</v>
      </c>
      <c r="F2530" s="85">
        <v>0</v>
      </c>
    </row>
    <row r="2531" spans="1:13" s="10" customFormat="1" hidden="1" outlineLevel="2">
      <c r="A2531" s="70">
        <v>1</v>
      </c>
      <c r="E2531" s="15" t="e">
        <f>AfterBlower_PDC</f>
        <v>#NAME?</v>
      </c>
      <c r="F2531" s="85">
        <v>1</v>
      </c>
    </row>
    <row r="2532" spans="1:13" s="10" customFormat="1" hidden="1" outlineLevel="2">
      <c r="A2532" s="70">
        <v>1</v>
      </c>
      <c r="E2532" s="114" t="s">
        <v>715</v>
      </c>
      <c r="F2532" s="85">
        <f>VLOOKUP(C2525,Tbl_Button_Display_ASSTS,13,FALSE)</f>
        <v>10</v>
      </c>
      <c r="L2532" s="130"/>
      <c r="M2532" s="130"/>
    </row>
    <row r="2533" spans="1:13" s="10" customFormat="1" hidden="1" outlineLevel="2">
      <c r="A2533" s="70">
        <v>1</v>
      </c>
      <c r="G2533" s="10" t="e">
        <f>Amb_OUT</f>
        <v>#NAME?</v>
      </c>
      <c r="I2533" s="13">
        <f>VLOOKUP(C2525,Tbl_Button_Display_ASSTS,3,FALSE)</f>
        <v>15</v>
      </c>
    </row>
    <row r="2534" spans="1:13" s="10" customFormat="1" hidden="1" outlineLevel="2">
      <c r="A2534" s="70">
        <v>1</v>
      </c>
      <c r="F2534" s="87"/>
      <c r="G2534" s="10" t="e">
        <f>AfterBlower_USMSta</f>
        <v>#NAME?</v>
      </c>
      <c r="I2534" s="13">
        <v>2</v>
      </c>
    </row>
    <row r="2535" spans="1:13" s="10" customFormat="1" hidden="1" outlineLevel="2">
      <c r="A2535" s="70">
        <v>1</v>
      </c>
      <c r="F2535" s="87"/>
      <c r="G2535" s="10" t="e">
        <f>AfterBlower_OS</f>
        <v>#NAME?</v>
      </c>
      <c r="I2535" s="13">
        <v>1</v>
      </c>
    </row>
    <row r="2536" spans="1:13" s="10" customFormat="1" hidden="1" outlineLevel="2">
      <c r="A2536" s="70">
        <v>1</v>
      </c>
      <c r="F2536" s="87"/>
      <c r="G2536" s="10" t="e">
        <f>AfterBlower_OR</f>
        <v>#NAME?</v>
      </c>
      <c r="I2536" s="13">
        <v>0</v>
      </c>
    </row>
    <row r="2537" spans="1:13" s="10" customFormat="1" hidden="1" outlineLevel="2">
      <c r="A2537" s="70">
        <v>1</v>
      </c>
      <c r="F2537" s="87"/>
      <c r="G2537" s="10" t="e">
        <f>DrTempDispC</f>
        <v>#NAME?</v>
      </c>
      <c r="I2537" s="13" t="e">
        <f>VLOOKUP(C2525,Tbl_Button_Display_ASSTS,26,FALSE)</f>
        <v>#NAME?</v>
      </c>
    </row>
    <row r="2538" spans="1:13" s="10" customFormat="1" hidden="1" outlineLevel="2">
      <c r="A2538" s="70">
        <v>1</v>
      </c>
      <c r="F2538" s="87"/>
      <c r="G2538" s="10" t="e">
        <f>ModDisp</f>
        <v>#NAME?</v>
      </c>
      <c r="I2538" s="13" t="str">
        <f>VLOOKUP(C2525,Tbl_Button_Display_ASSTS,16,FALSE)</f>
        <v>Floor</v>
      </c>
    </row>
    <row r="2539" spans="1:13" s="10" customFormat="1" hidden="1" outlineLevel="2">
      <c r="A2539" s="70">
        <v>1</v>
      </c>
      <c r="F2539" s="87"/>
      <c r="G2539" s="10" t="e">
        <f>IntakeDisp</f>
        <v>#NAME?</v>
      </c>
      <c r="I2539" s="13" t="str">
        <f>VLOOKUP(C2525,Tbl_Button_Display_ASSTS,34,FALSE)</f>
        <v>REC</v>
      </c>
    </row>
    <row r="2540" spans="1:13" s="10" customFormat="1" hidden="1" outlineLevel="2">
      <c r="A2540" s="70">
        <v>1</v>
      </c>
      <c r="F2540" s="87"/>
      <c r="G2540" s="10" t="e">
        <f>FrontBlwDisp</f>
        <v>#NAME?</v>
      </c>
      <c r="I2540" s="13">
        <f>VLOOKUP(C2525,Tbl_Button_Display_ASSTS,23,FALSE)</f>
        <v>4</v>
      </c>
    </row>
    <row r="2541" spans="1:13" s="10" customFormat="1" hidden="1" outlineLevel="2">
      <c r="A2541" s="70">
        <v>1</v>
      </c>
      <c r="F2541" s="87"/>
      <c r="G2541" s="10" t="e">
        <f>AcDisp</f>
        <v>#NAME?</v>
      </c>
      <c r="I2541" s="13" t="str">
        <f>VLOOKUP(C2525,Tbl_Button_Display_ASSTS,31,FALSE)</f>
        <v>Off</v>
      </c>
    </row>
    <row r="2542" spans="1:13" s="10" customFormat="1" hidden="1" outlineLevel="2">
      <c r="A2542" s="70">
        <v>1</v>
      </c>
      <c r="F2542" s="87"/>
      <c r="G2542" s="10" t="e" cm="1">
        <f t="array" ref="G2542">CompSpd_rpm</f>
        <v>#NAME?</v>
      </c>
      <c r="I2542" s="13" t="str">
        <f>VLOOKUP(C2525,Tbl_Button_Display_ASSTS,33,FALSE)</f>
        <v>Off</v>
      </c>
    </row>
    <row r="2543" spans="1:13" s="10" customFormat="1" ht="13.5" hidden="1" customHeight="1" outlineLevel="2">
      <c r="A2543" s="70">
        <v>1</v>
      </c>
      <c r="F2543" s="87"/>
      <c r="G2543" s="10" t="e">
        <f>Act_DrTemp</f>
        <v>#NAME?</v>
      </c>
      <c r="H2543" s="49" t="str">
        <f>VLOOKUP(C2525,Tbl_Button_Display_ASSTS,39,FALSE)</f>
        <v>Temp_TD 연산에 따름</v>
      </c>
      <c r="I2543" s="48" t="e">
        <f>IF(H2543="","",VLOOKUP(H2543,Tbl_TempFB_Volt,2,FALSE))</f>
        <v>#NAME?</v>
      </c>
    </row>
    <row r="2544" spans="1:13" s="10" customFormat="1" ht="13.5" hidden="1" customHeight="1" outlineLevel="2">
      <c r="A2544" s="70">
        <v>1</v>
      </c>
      <c r="F2544" s="87"/>
      <c r="G2544" s="10" t="e">
        <f>Act_DrMode</f>
        <v>#NAME?</v>
      </c>
      <c r="H2544" s="49" t="str">
        <f>VLOOKUP(C2525,Tbl_Button_Display_ASSTS,19,FALSE)</f>
        <v>Floor</v>
      </c>
      <c r="I2544" s="48" t="e">
        <f>IF(H2544="","",VLOOKUP(H2544,Tbl_ModeFB_Volt,2,FALSE))</f>
        <v>#NAME?</v>
      </c>
    </row>
    <row r="2545" spans="1:13" s="10" customFormat="1" ht="13.5" hidden="1" customHeight="1" outlineLevel="2">
      <c r="A2545" s="70">
        <v>1</v>
      </c>
      <c r="F2545" s="87"/>
      <c r="G2545" s="10" t="e">
        <f>Act_Def</f>
        <v>#NAME?</v>
      </c>
      <c r="H2545" s="49" t="str">
        <f>VLOOKUP(C2525,Tbl_Button_Display_ASSTS,22,FALSE)</f>
        <v>Floor</v>
      </c>
      <c r="I2545" s="48" t="e">
        <f>IF(H2545="","",VLOOKUP(H2545,Tbl_DefFB_Volt,2,FALSE))</f>
        <v>#NAME?</v>
      </c>
    </row>
    <row r="2546" spans="1:13" s="10" customFormat="1" hidden="1" outlineLevel="2">
      <c r="A2546" s="70">
        <v>1</v>
      </c>
      <c r="F2546" s="87"/>
      <c r="G2546" s="10" t="e">
        <f>Act_Intake</f>
        <v>#NAME?</v>
      </c>
      <c r="H2546" s="49" t="str">
        <f>VLOOKUP(C2525,Tbl_Button_Display_ASSTS,35,FALSE)</f>
        <v>REC</v>
      </c>
      <c r="I2546" s="48" t="e">
        <f>IF(H2546="","",VLOOKUP(H2546,Tbl_IntakeFB_Volt,2,FALSE))</f>
        <v>#NAME?</v>
      </c>
    </row>
    <row r="2547" spans="1:13" s="10" customFormat="1" hidden="1" outlineLevel="2">
      <c r="A2547" s="70">
        <v>1</v>
      </c>
      <c r="F2547" s="87"/>
      <c r="G2547" s="10" t="e">
        <f>BLW_Front</f>
        <v>#NAME?</v>
      </c>
      <c r="H2547" s="49">
        <f>VLOOKUP(C2525,Tbl_Button_Display_ASSTS,24,FALSE)</f>
        <v>4</v>
      </c>
      <c r="I2547" s="48" t="e">
        <f>IF(H2547="","",VLOOKUP(H2547,Tbl_Blower_Volt,2,FALSE))</f>
        <v>#NAME?</v>
      </c>
    </row>
    <row r="2548" spans="1:13" s="39" customFormat="1" hidden="1" outlineLevel="1">
      <c r="A2548" s="73">
        <v>1</v>
      </c>
      <c r="B2548" s="39" t="s">
        <v>155</v>
      </c>
      <c r="C2548" s="39" t="s">
        <v>1301</v>
      </c>
      <c r="D2548" s="39" t="str">
        <f>CONCATENATE(E2549," ",F2549," 회 선택, Key(IGN) On 후 ECV 출력 ON 누적시간 5분 이상 동작 확인" )</f>
        <v>Sw_AC 1 회 선택, Key(IGN) On 후 ECV 출력 ON 누적시간 5분 이상 동작 확인</v>
      </c>
      <c r="F2548" s="91"/>
    </row>
    <row r="2549" spans="1:13" s="10" customFormat="1" hidden="1" outlineLevel="2">
      <c r="A2549" s="70">
        <v>1</v>
      </c>
      <c r="E2549" s="114" t="str">
        <f>VLOOKUP(C2548,Tbl_Button_Display_ASSTS,11,FALSE)</f>
        <v>Sw_AC</v>
      </c>
      <c r="F2549" s="85">
        <f>VLOOKUP(C2548,Tbl_Button_Display_ASSTS,12,FALSE)</f>
        <v>1</v>
      </c>
    </row>
    <row r="2550" spans="1:13" s="10" customFormat="1" ht="16.5" hidden="1" outlineLevel="2">
      <c r="A2550" s="70">
        <v>1</v>
      </c>
      <c r="D2550" s="230"/>
      <c r="E2550" s="15" t="s">
        <v>772</v>
      </c>
      <c r="F2550" s="90" t="s">
        <v>1881</v>
      </c>
      <c r="G2550" s="43"/>
      <c r="H2550" s="43"/>
      <c r="I2550" s="43"/>
    </row>
    <row r="2551" spans="1:13" s="10" customFormat="1" hidden="1" outlineLevel="2">
      <c r="A2551" s="70">
        <v>1</v>
      </c>
      <c r="F2551" s="87"/>
      <c r="G2551" s="10" t="e">
        <f>AcDisp</f>
        <v>#NAME?</v>
      </c>
      <c r="I2551" s="13" t="str">
        <f>VLOOKUP(C2548,Tbl_Button_Display_ASSTS,31,FALSE)</f>
        <v>On</v>
      </c>
    </row>
    <row r="2552" spans="1:13" s="10" customFormat="1" hidden="1" outlineLevel="2">
      <c r="A2552" s="70">
        <v>1</v>
      </c>
      <c r="F2552" s="87"/>
      <c r="G2552" s="10" t="e" cm="1">
        <f t="array" ref="G2552">CompSpd_rpm</f>
        <v>#NAME?</v>
      </c>
      <c r="I2552" s="13" t="str">
        <f>VLOOKUP(C2548,Tbl_Button_Display_ASSTS,33,FALSE)</f>
        <v>On</v>
      </c>
    </row>
    <row r="2553" spans="1:13" s="10" customFormat="1" hidden="1" outlineLevel="2">
      <c r="A2553" s="70">
        <v>1</v>
      </c>
      <c r="E2553" s="114" t="s">
        <v>715</v>
      </c>
      <c r="F2553" s="85">
        <f>VLOOKUP(C2548,Tbl_Button_Display_ASSTS,13,FALSE)</f>
        <v>300</v>
      </c>
      <c r="L2553" s="130"/>
      <c r="M2553" s="130"/>
    </row>
    <row r="2554" spans="1:13" s="10" customFormat="1" ht="16.5" hidden="1" outlineLevel="2">
      <c r="A2554" s="70">
        <v>1</v>
      </c>
      <c r="D2554" s="235" t="s">
        <v>1782</v>
      </c>
      <c r="F2554" s="87"/>
      <c r="G2554" s="10" t="e">
        <f>AfterBlower_OS</f>
        <v>#NAME?</v>
      </c>
      <c r="I2554" s="13">
        <v>2</v>
      </c>
    </row>
    <row r="2555" spans="1:13" s="39" customFormat="1" hidden="1" outlineLevel="1">
      <c r="A2555" s="73">
        <v>1</v>
      </c>
      <c r="B2555" s="39" t="s">
        <v>155</v>
      </c>
      <c r="C2555" s="39" t="s">
        <v>1375</v>
      </c>
      <c r="D2555" s="39" t="e">
        <f>CONCATENATE("Key(IGN) Off  2초 이내 ",E2557, " = ",F2557, " 값 1회 이상 수신 시, 10초 간 블로워 심볼 점등 확인")</f>
        <v>#NAME?</v>
      </c>
      <c r="F2555" s="91"/>
    </row>
    <row r="2556" spans="1:13" s="10" customFormat="1" hidden="1" outlineLevel="2">
      <c r="A2556" s="70">
        <v>1</v>
      </c>
      <c r="E2556" s="114" t="s">
        <v>418</v>
      </c>
      <c r="F2556" s="85">
        <v>1</v>
      </c>
      <c r="J2556" s="15"/>
    </row>
    <row r="2557" spans="1:13" s="10" customFormat="1" hidden="1" outlineLevel="2">
      <c r="A2557" s="70">
        <v>1</v>
      </c>
      <c r="E2557" s="114" t="e">
        <f>VLOOKUP(C2555,Tbl_Button_Display_ASSTS,11,FALSE)</f>
        <v>#NAME?</v>
      </c>
      <c r="F2557" s="85">
        <f>VLOOKUP(C2555,Tbl_Button_Display_ASSTS,12,FALSE)</f>
        <v>2</v>
      </c>
      <c r="J2557" s="15"/>
    </row>
    <row r="2558" spans="1:13" s="10" customFormat="1" hidden="1" outlineLevel="2">
      <c r="A2558" s="70">
        <v>1</v>
      </c>
      <c r="E2558" s="15" t="s">
        <v>772</v>
      </c>
      <c r="F2558" s="90" t="s">
        <v>1434</v>
      </c>
      <c r="G2558" s="43"/>
      <c r="H2558" s="43"/>
      <c r="I2558" s="43"/>
      <c r="L2558" s="130"/>
    </row>
    <row r="2559" spans="1:13" s="10" customFormat="1" ht="13.5" hidden="1" customHeight="1" outlineLevel="2">
      <c r="A2559" s="70">
        <v>1</v>
      </c>
      <c r="F2559" s="87"/>
      <c r="G2559" s="10" t="e">
        <f>AfterBlower_Symbol</f>
        <v>#NAME?</v>
      </c>
      <c r="I2559" s="13" t="s">
        <v>1376</v>
      </c>
    </row>
    <row r="2560" spans="1:13" s="10" customFormat="1" hidden="1" outlineLevel="2">
      <c r="A2560" s="70">
        <v>1</v>
      </c>
      <c r="E2560" s="15" t="s">
        <v>5</v>
      </c>
      <c r="F2560" s="85">
        <v>10</v>
      </c>
    </row>
    <row r="2561" spans="1:10" s="10" customFormat="1" ht="13.5" hidden="1" customHeight="1" outlineLevel="2">
      <c r="A2561" s="70">
        <v>1</v>
      </c>
      <c r="F2561" s="87"/>
      <c r="G2561" s="10" t="e">
        <f>AfterBlower_Symbol</f>
        <v>#NAME?</v>
      </c>
      <c r="I2561" s="13" t="s">
        <v>744</v>
      </c>
    </row>
    <row r="2562" spans="1:10" s="10" customFormat="1" ht="13.5" hidden="1" customHeight="1" outlineLevel="2">
      <c r="A2562" s="70">
        <v>1</v>
      </c>
      <c r="F2562" s="87"/>
      <c r="G2562" s="10" t="e">
        <f>Act_DrTemp</f>
        <v>#NAME?</v>
      </c>
      <c r="H2562" s="49" t="e">
        <f>VLOOKUP(C2555,Tbl_Button_Display_ASSTS,39,FALSE)</f>
        <v>#NAME?</v>
      </c>
      <c r="I2562" s="48" t="e">
        <f>IF(H2562="","",VLOOKUP(H2562,Tbl_TempFB_Volt,2,FALSE))</f>
        <v>#NAME?</v>
      </c>
    </row>
    <row r="2563" spans="1:10" s="10" customFormat="1" ht="13.5" hidden="1" customHeight="1" outlineLevel="2">
      <c r="A2563" s="70">
        <v>1</v>
      </c>
      <c r="F2563" s="87"/>
      <c r="G2563" s="10" t="e">
        <f>Act_DrMode</f>
        <v>#NAME?</v>
      </c>
      <c r="H2563" s="49" t="str">
        <f>VLOOKUP(C2555,Tbl_Button_Display_ASSTS,19,FALSE)</f>
        <v>100%Floor</v>
      </c>
      <c r="I2563" s="48" t="e">
        <f>IF(H2563="","",VLOOKUP(H2563,Tbl_ModeFB_Volt,2,FALSE))</f>
        <v>#NAME?</v>
      </c>
    </row>
    <row r="2564" spans="1:10" s="10" customFormat="1" ht="13.5" hidden="1" customHeight="1" outlineLevel="2">
      <c r="A2564" s="70">
        <v>1</v>
      </c>
      <c r="F2564" s="87"/>
      <c r="G2564" s="10" t="e">
        <f>Act_Def</f>
        <v>#NAME?</v>
      </c>
      <c r="H2564" s="49" t="str">
        <f>VLOOKUP(C2555,Tbl_Button_Display_ASSTS,22,FALSE)</f>
        <v>100%Floor</v>
      </c>
      <c r="I2564" s="48" t="e">
        <f>IF(H2564="","",VLOOKUP(H2564,Tbl_DefFB_Volt,2,FALSE))</f>
        <v>#NAME?</v>
      </c>
    </row>
    <row r="2565" spans="1:10" s="10" customFormat="1" ht="13.5" hidden="1" customHeight="1" outlineLevel="2">
      <c r="A2565" s="70">
        <v>1</v>
      </c>
      <c r="F2565" s="87"/>
      <c r="G2565" s="10" t="e">
        <f>Act_Intake</f>
        <v>#NAME?</v>
      </c>
      <c r="H2565" s="49" t="str">
        <f>VLOOKUP(C2555,Tbl_Button_Display_ASSTS,35,FALSE)</f>
        <v>REC</v>
      </c>
      <c r="I2565" s="48" t="e">
        <f>IF(H2565="","",VLOOKUP(H2565,Tbl_IntakeFB_Volt,2,FALSE))</f>
        <v>#NAME?</v>
      </c>
    </row>
    <row r="2566" spans="1:10" s="10" customFormat="1" ht="13.5" hidden="1" customHeight="1" outlineLevel="2">
      <c r="A2566" s="70">
        <v>1</v>
      </c>
      <c r="F2566" s="87"/>
      <c r="G2566" s="10" t="e">
        <f>BLW_Front</f>
        <v>#NAME?</v>
      </c>
      <c r="H2566" s="49" t="str">
        <f>VLOOKUP(C2555,Tbl_Button_Display_ASSTS,23,FALSE)</f>
        <v>off</v>
      </c>
      <c r="I2566" s="48" t="e">
        <f>IF(H2566="","",VLOOKUP(H2566,Tbl_Blower_Volt,2,FALSE))</f>
        <v>#NAME?</v>
      </c>
    </row>
    <row r="2567" spans="1:10" s="39" customFormat="1" hidden="1" outlineLevel="1">
      <c r="A2567" s="73">
        <v>1</v>
      </c>
      <c r="B2567" s="39" t="s">
        <v>155</v>
      </c>
      <c r="C2567" s="39" t="s">
        <v>1377</v>
      </c>
      <c r="D2567" s="39" t="str">
        <f>CONCATENATE("Key(IGN) Off 30분 시점에 0.75초 간격으로 On/Off를 반복하여 점/소등하는 블로워 심볼 확인")</f>
        <v>Key(IGN) Off 30분 시점에 0.75초 간격으로 On/Off를 반복하여 점/소등하는 블로워 심볼 확인</v>
      </c>
      <c r="F2567" s="91"/>
    </row>
    <row r="2568" spans="1:10" s="10" customFormat="1" hidden="1" outlineLevel="2">
      <c r="A2568" s="70">
        <v>1</v>
      </c>
      <c r="E2568" s="114" t="str">
        <f>VLOOKUP(C2567,Tbl_Button_Display_ASSTS,11,FALSE)</f>
        <v>Delay(Sec)</v>
      </c>
      <c r="F2568" s="85">
        <f>VLOOKUP(C2567,Tbl_Button_Display_ASSTS,13,FALSE)</f>
        <v>1800</v>
      </c>
      <c r="J2568" s="15"/>
    </row>
    <row r="2569" spans="1:10" s="10" customFormat="1" ht="13.5" hidden="1" customHeight="1" outlineLevel="2">
      <c r="A2569" s="70">
        <v>1</v>
      </c>
      <c r="F2569" s="87"/>
      <c r="G2569" s="10" t="e">
        <f>AfterBlower_Symbol</f>
        <v>#NAME?</v>
      </c>
      <c r="I2569" s="13" t="s">
        <v>1378</v>
      </c>
    </row>
    <row r="2570" spans="1:10" s="10" customFormat="1" hidden="1" outlineLevel="2">
      <c r="A2570" s="70">
        <v>1</v>
      </c>
      <c r="F2570" s="87"/>
      <c r="G2570" s="10" t="e">
        <f>AfterBlower_OR</f>
        <v>#NAME?</v>
      </c>
      <c r="I2570" s="13">
        <v>1</v>
      </c>
    </row>
    <row r="2571" spans="1:10" s="10" customFormat="1" ht="13.5" hidden="1" customHeight="1" outlineLevel="2">
      <c r="A2571" s="70">
        <v>1</v>
      </c>
      <c r="F2571" s="87"/>
      <c r="G2571" s="10" t="e">
        <f>Act_DrTemp</f>
        <v>#NAME?</v>
      </c>
      <c r="H2571" s="49" t="str">
        <f>VLOOKUP(C2567,Tbl_Button_Display_ASSTS,39,FALSE)</f>
        <v>Temp_TD 연산에 따름</v>
      </c>
      <c r="I2571" s="48" t="e">
        <f>IF(H2571="","",VLOOKUP(H2571,Tbl_TempFB_Volt,2,FALSE))</f>
        <v>#NAME?</v>
      </c>
    </row>
    <row r="2572" spans="1:10" s="10" customFormat="1" ht="13.5" hidden="1" customHeight="1" outlineLevel="2">
      <c r="A2572" s="70">
        <v>1</v>
      </c>
      <c r="F2572" s="87"/>
      <c r="G2572" s="10" t="e">
        <f>Act_DrMode</f>
        <v>#NAME?</v>
      </c>
      <c r="H2572" s="49" t="str">
        <f>VLOOKUP(C2567,Tbl_Button_Display_ASSTS,19,FALSE)</f>
        <v>100%Floor</v>
      </c>
      <c r="I2572" s="48" t="e">
        <f>IF(H2572="","",VLOOKUP(H2572,Tbl_ModeFB_Volt,2,FALSE))</f>
        <v>#NAME?</v>
      </c>
    </row>
    <row r="2573" spans="1:10" s="10" customFormat="1" ht="13.5" hidden="1" customHeight="1" outlineLevel="2">
      <c r="A2573" s="70">
        <v>1</v>
      </c>
      <c r="F2573" s="87"/>
      <c r="G2573" s="10" t="e">
        <f>Act_Def</f>
        <v>#NAME?</v>
      </c>
      <c r="H2573" s="49" t="str">
        <f>VLOOKUP(C2567,Tbl_Button_Display_ASSTS,22,FALSE)</f>
        <v>100%Floor</v>
      </c>
      <c r="I2573" s="48" t="e">
        <f>IF(H2573="","",VLOOKUP(H2573,Tbl_DefFB_Volt,2,FALSE))</f>
        <v>#NAME?</v>
      </c>
    </row>
    <row r="2574" spans="1:10" s="10" customFormat="1" ht="13.5" hidden="1" customHeight="1" outlineLevel="2">
      <c r="A2574" s="70">
        <v>1</v>
      </c>
      <c r="F2574" s="87"/>
      <c r="G2574" s="10" t="e">
        <f>Act_Intake</f>
        <v>#NAME?</v>
      </c>
      <c r="H2574" s="49" t="str">
        <f>VLOOKUP(C2567,Tbl_Button_Display_ASSTS,35,FALSE)</f>
        <v>FRE</v>
      </c>
      <c r="I2574" s="48" t="e">
        <f>IF(H2574="","",VLOOKUP(H2574,Tbl_IntakeFB_Volt,2,FALSE))</f>
        <v>#NAME?</v>
      </c>
    </row>
    <row r="2575" spans="1:10" s="10" customFormat="1" ht="13.5" hidden="1" customHeight="1" outlineLevel="2">
      <c r="A2575" s="70">
        <v>1</v>
      </c>
      <c r="F2575" s="87"/>
      <c r="G2575" s="10" t="e">
        <f>BLW_Front</f>
        <v>#NAME?</v>
      </c>
      <c r="H2575" s="49">
        <f>VLOOKUP(C2567,Tbl_Button_Display_ASSTS,23,FALSE)</f>
        <v>3</v>
      </c>
      <c r="I2575" s="48" t="e">
        <f>IF(H2575="","",VLOOKUP(H2575,Tbl_Blower_Volt,2,FALSE))</f>
        <v>#NAME?</v>
      </c>
    </row>
    <row r="2576" spans="1:10" s="39" customFormat="1" hidden="1" outlineLevel="1">
      <c r="A2576" s="73">
        <v>1</v>
      </c>
      <c r="B2576" s="39" t="s">
        <v>155</v>
      </c>
      <c r="C2576" s="39" t="s">
        <v>1379</v>
      </c>
      <c r="D2576" s="39" t="str">
        <f>CONCATENATE("에프터블로워 작동 10분 경과 후, 에프트블로우 로직 해제 확인")</f>
        <v>에프터블로워 작동 10분 경과 후, 에프트블로우 로직 해제 확인</v>
      </c>
      <c r="F2576" s="91"/>
    </row>
    <row r="2577" spans="1:10" s="10" customFormat="1" hidden="1" outlineLevel="2">
      <c r="A2577" s="70">
        <v>1</v>
      </c>
      <c r="E2577" s="114" t="str">
        <f>VLOOKUP(C2576,Tbl_Button_Display_ASSTS,11,FALSE)</f>
        <v>Delay(Sec)</v>
      </c>
      <c r="F2577" s="85">
        <f>VLOOKUP(C2576,Tbl_Button_Display_ASSTS,13,FALSE)</f>
        <v>600</v>
      </c>
      <c r="J2577" s="15"/>
    </row>
    <row r="2578" spans="1:10" s="10" customFormat="1" ht="13.5" hidden="1" customHeight="1" outlineLevel="2">
      <c r="A2578" s="70">
        <v>1</v>
      </c>
      <c r="F2578" s="87"/>
      <c r="G2578" s="10" t="e">
        <f>AfterBlower_Symbol</f>
        <v>#NAME?</v>
      </c>
      <c r="I2578" s="13" t="s">
        <v>744</v>
      </c>
    </row>
    <row r="2579" spans="1:10" s="10" customFormat="1" hidden="1" outlineLevel="2">
      <c r="A2579" s="70">
        <v>1</v>
      </c>
      <c r="F2579" s="87"/>
      <c r="G2579" s="10" t="e">
        <f>AfterBlower_OR</f>
        <v>#NAME?</v>
      </c>
      <c r="I2579" s="13">
        <v>0</v>
      </c>
    </row>
    <row r="2580" spans="1:10" s="10" customFormat="1" ht="13.5" hidden="1" customHeight="1" outlineLevel="2">
      <c r="A2580" s="70">
        <v>1</v>
      </c>
      <c r="F2580" s="87"/>
      <c r="G2580" s="10" t="e">
        <f>Act_DrTemp</f>
        <v>#NAME?</v>
      </c>
      <c r="H2580" s="49" t="e">
        <f>VLOOKUP(C2576,Tbl_Button_Display_ASSTS,39,FALSE)</f>
        <v>#NAME?</v>
      </c>
      <c r="I2580" s="48" t="e">
        <f>IF(H2580="","",VLOOKUP(H2580,Tbl_TempFB_Volt,2,FALSE))</f>
        <v>#NAME?</v>
      </c>
    </row>
    <row r="2581" spans="1:10" s="10" customFormat="1" ht="13.5" hidden="1" customHeight="1" outlineLevel="2">
      <c r="A2581" s="70">
        <v>1</v>
      </c>
      <c r="F2581" s="87"/>
      <c r="G2581" s="10" t="e">
        <f>Act_DrMode</f>
        <v>#NAME?</v>
      </c>
      <c r="H2581" s="49" t="str">
        <f>VLOOKUP(C2576,Tbl_Button_Display_ASSTS,19,FALSE)</f>
        <v>100%Floor</v>
      </c>
      <c r="I2581" s="48" t="e">
        <f>IF(H2581="","",VLOOKUP(H2581,Tbl_ModeFB_Volt,2,FALSE))</f>
        <v>#NAME?</v>
      </c>
    </row>
    <row r="2582" spans="1:10" s="10" customFormat="1" ht="13.5" hidden="1" customHeight="1" outlineLevel="2">
      <c r="A2582" s="70">
        <v>1</v>
      </c>
      <c r="F2582" s="87"/>
      <c r="G2582" s="10" t="e">
        <f>Act_Def</f>
        <v>#NAME?</v>
      </c>
      <c r="H2582" s="49" t="str">
        <f>VLOOKUP(C2576,Tbl_Button_Display_ASSTS,22,FALSE)</f>
        <v>100%Floor</v>
      </c>
      <c r="I2582" s="48" t="e">
        <f>IF(H2582="","",VLOOKUP(H2582,Tbl_DefFB_Volt,2,FALSE))</f>
        <v>#NAME?</v>
      </c>
    </row>
    <row r="2583" spans="1:10" s="10" customFormat="1" ht="13.5" hidden="1" customHeight="1" outlineLevel="2">
      <c r="A2583" s="70">
        <v>1</v>
      </c>
      <c r="F2583" s="87"/>
      <c r="G2583" s="10" t="e">
        <f>Act_Intake</f>
        <v>#NAME?</v>
      </c>
      <c r="H2583" s="49" t="str">
        <f>VLOOKUP(C2576,Tbl_Button_Display_ASSTS,35,FALSE)</f>
        <v>REC</v>
      </c>
      <c r="I2583" s="48" t="e">
        <f>IF(H2583="","",VLOOKUP(H2583,Tbl_IntakeFB_Volt,2,FALSE))</f>
        <v>#NAME?</v>
      </c>
    </row>
    <row r="2584" spans="1:10" s="10" customFormat="1" ht="13.5" hidden="1" customHeight="1" outlineLevel="2">
      <c r="A2584" s="70">
        <v>1</v>
      </c>
      <c r="F2584" s="87"/>
      <c r="G2584" s="10" t="e">
        <f>BLW_Front</f>
        <v>#NAME?</v>
      </c>
      <c r="H2584" s="49" t="str">
        <f>VLOOKUP(C2576,Tbl_Button_Display_ASSTS,23,FALSE)</f>
        <v>off</v>
      </c>
      <c r="I2584" s="48" t="e">
        <f>IF(H2584="","",VLOOKUP(H2584,Tbl_Blower_Volt,2,FALSE))</f>
        <v>#NAME?</v>
      </c>
    </row>
    <row r="2585" spans="1:10" s="127" customFormat="1" ht="15">
      <c r="A2585" s="66">
        <v>1</v>
      </c>
      <c r="B2585" s="40" t="s">
        <v>1446</v>
      </c>
      <c r="C2585" s="40" t="s">
        <v>1436</v>
      </c>
      <c r="D2585" s="127" t="str">
        <f t="shared" ref="D2585" si="35">VLOOKUP(B2585,Tbl_Button_Display_ASSTS,2,FALSE)</f>
        <v>AC 프리런 로직</v>
      </c>
      <c r="F2585" s="82"/>
    </row>
    <row r="2586" spans="1:10" s="123" customFormat="1" collapsed="1">
      <c r="A2586" s="122">
        <v>1</v>
      </c>
      <c r="B2586" s="123" t="s">
        <v>156</v>
      </c>
      <c r="C2586" s="123" t="s">
        <v>1307</v>
      </c>
      <c r="D2586" s="123" t="str">
        <f>VLOOKUP(C2586,Tbl_Button_Display_ASSTS, 2,FALSE)</f>
        <v>AC 프리런 로직 동작 확인</v>
      </c>
      <c r="F2586" s="88"/>
    </row>
    <row r="2587" spans="1:10" s="125" customFormat="1" hidden="1" outlineLevel="1">
      <c r="A2587" s="124">
        <v>1</v>
      </c>
      <c r="B2587" s="125" t="s">
        <v>38</v>
      </c>
      <c r="C2587" s="125" t="s">
        <v>1308</v>
      </c>
      <c r="D2587" s="125" t="s">
        <v>39</v>
      </c>
      <c r="F2587" s="89"/>
    </row>
    <row r="2588" spans="1:10" s="10" customFormat="1" hidden="1" outlineLevel="2">
      <c r="A2588" s="70">
        <v>1</v>
      </c>
      <c r="E2588" s="114" t="e">
        <f>Eng_ACRS</f>
        <v>#NAME?</v>
      </c>
      <c r="F2588" s="85">
        <v>0</v>
      </c>
    </row>
    <row r="2589" spans="1:10" s="10" customFormat="1" hidden="1" outlineLevel="2">
      <c r="A2589" s="70">
        <v>1</v>
      </c>
      <c r="E2589" s="114" t="e">
        <f>ENGINE_rpm</f>
        <v>#NAME?</v>
      </c>
      <c r="F2589" s="85">
        <v>1300</v>
      </c>
    </row>
    <row r="2590" spans="1:10" s="10" customFormat="1" hidden="1" outlineLevel="2">
      <c r="A2590" s="70">
        <v>1</v>
      </c>
      <c r="E2590" s="114" t="str">
        <f>VLOOKUP(C2587,Tbl_Button_Display_ASSTS,11,FALSE)</f>
        <v>MsgBox</v>
      </c>
      <c r="F2590" s="85" t="e">
        <f>VLOOKUP(C2587,Tbl_Button_Display_ASSTS,12,FALSE)</f>
        <v>#NAME?</v>
      </c>
    </row>
    <row r="2591" spans="1:10" s="10" customFormat="1" hidden="1" outlineLevel="2">
      <c r="A2591" s="70">
        <v>1</v>
      </c>
      <c r="E2591" s="114" t="s">
        <v>95</v>
      </c>
      <c r="F2591" s="85" t="s">
        <v>1189</v>
      </c>
    </row>
    <row r="2592" spans="1:10" s="10" customFormat="1" hidden="1" outlineLevel="2">
      <c r="A2592" s="70">
        <v>1</v>
      </c>
      <c r="E2592" s="114" t="s">
        <v>715</v>
      </c>
      <c r="F2592" s="85">
        <f>VLOOKUP(C2587,Tbl_Button_Display_ASSTS,13,FALSE)</f>
        <v>10</v>
      </c>
    </row>
    <row r="2593" spans="1:10" s="10" customFormat="1" ht="13.5" hidden="1" customHeight="1" outlineLevel="2">
      <c r="A2593" s="70">
        <v>1</v>
      </c>
      <c r="F2593" s="87"/>
      <c r="G2593" s="10" t="e">
        <f>AcDisp</f>
        <v>#NAME?</v>
      </c>
      <c r="I2593" s="13" t="str">
        <f>VLOOKUP(C2587,Tbl_Button_Display_ASSTS,31,FALSE)</f>
        <v>On</v>
      </c>
    </row>
    <row r="2594" spans="1:10" s="10" customFormat="1" ht="13.5" hidden="1" customHeight="1" outlineLevel="2">
      <c r="A2594" s="70">
        <v>1</v>
      </c>
      <c r="F2594" s="87"/>
      <c r="G2594" s="10" t="e" cm="1">
        <f t="array" ref="G2594">CompSpd_rpm</f>
        <v>#NAME?</v>
      </c>
      <c r="I2594" s="13" t="str">
        <f>VLOOKUP(C2587,Tbl_Button_Display_ASSTS,33,FALSE)</f>
        <v>On</v>
      </c>
    </row>
    <row r="2595" spans="1:10" s="39" customFormat="1" hidden="1" outlineLevel="1">
      <c r="A2595" s="73">
        <v>1</v>
      </c>
      <c r="B2595" s="39" t="s">
        <v>155</v>
      </c>
      <c r="C2595" s="39" t="s">
        <v>1309</v>
      </c>
      <c r="D2595" s="39" t="e">
        <f>CONCATENATE(E2596," = ",F2596," 설정 시, AC 프리런 로직 동작 확인" )</f>
        <v>#NAME?</v>
      </c>
      <c r="F2595" s="91"/>
    </row>
    <row r="2596" spans="1:10" s="10" customFormat="1" hidden="1" outlineLevel="2">
      <c r="A2596" s="70">
        <v>1</v>
      </c>
      <c r="E2596" s="114" t="e">
        <f>VLOOKUP(C2595,Tbl_Button_Display_ASSTS,11,FALSE)</f>
        <v>#NAME?</v>
      </c>
      <c r="F2596" s="85">
        <f>VLOOKUP(C2595,Tbl_Button_Display_ASSTS,12,FALSE)</f>
        <v>1</v>
      </c>
      <c r="J2596" s="15"/>
    </row>
    <row r="2597" spans="1:10" s="10" customFormat="1" hidden="1" outlineLevel="2">
      <c r="A2597" s="70">
        <v>1</v>
      </c>
      <c r="E2597" s="15" t="s">
        <v>5</v>
      </c>
      <c r="F2597" s="85">
        <f>VLOOKUP(C2595,Tbl_Button_Display_ASSTS,13,FALSE)</f>
        <v>2</v>
      </c>
    </row>
    <row r="2598" spans="1:10" s="10" customFormat="1" ht="13.5" hidden="1" customHeight="1" outlineLevel="2">
      <c r="A2598" s="70">
        <v>1</v>
      </c>
      <c r="F2598" s="87"/>
      <c r="G2598" s="10" t="e">
        <f>AcDisp</f>
        <v>#NAME?</v>
      </c>
      <c r="I2598" s="13" t="str">
        <f>VLOOKUP(C2595,Tbl_Button_Display_ASSTS,31,FALSE)</f>
        <v>On</v>
      </c>
    </row>
    <row r="2599" spans="1:10" s="10" customFormat="1" ht="13.5" hidden="1" customHeight="1" outlineLevel="2">
      <c r="A2599" s="70">
        <v>1</v>
      </c>
      <c r="F2599" s="87"/>
      <c r="G2599" s="10" t="e" cm="1">
        <f t="array" ref="G2599">CompSpd_rpm</f>
        <v>#NAME?</v>
      </c>
      <c r="I2599" s="13" t="str">
        <f>VLOOKUP(C2595,Tbl_Button_Display_ASSTS,33,FALSE)</f>
        <v>On</v>
      </c>
    </row>
    <row r="2600" spans="1:10" s="39" customFormat="1" hidden="1" outlineLevel="1">
      <c r="A2600" s="73">
        <v>1</v>
      </c>
      <c r="B2600" s="39" t="s">
        <v>155</v>
      </c>
      <c r="C2600" s="39" t="s">
        <v>1310</v>
      </c>
      <c r="D2600" s="39" t="e">
        <f>CONCATENATE(E2601," = ",F2601," 설정 후 시간 경과에 따른 AC 프리런 로직 동작 해제 확인" )</f>
        <v>#NAME?</v>
      </c>
      <c r="F2600" s="91"/>
    </row>
    <row r="2601" spans="1:10" s="10" customFormat="1" hidden="1" outlineLevel="2">
      <c r="A2601" s="70">
        <v>1</v>
      </c>
      <c r="E2601" s="114" t="e">
        <f>VLOOKUP(C2600,Tbl_Button_Display_ASSTS,11,FALSE)</f>
        <v>#NAME?</v>
      </c>
      <c r="F2601" s="85">
        <f>VLOOKUP(C2600,Tbl_Button_Display_ASSTS,12,FALSE)</f>
        <v>2000</v>
      </c>
      <c r="J2601" s="15"/>
    </row>
    <row r="2602" spans="1:10" s="10" customFormat="1" hidden="1" outlineLevel="2">
      <c r="A2602" s="70">
        <v>1</v>
      </c>
      <c r="E2602" s="15" t="s">
        <v>5</v>
      </c>
      <c r="F2602" s="85">
        <f>VLOOKUP(C2600,Tbl_Button_Display_ASSTS,13,FALSE)</f>
        <v>2</v>
      </c>
    </row>
    <row r="2603" spans="1:10" s="10" customFormat="1" ht="13.5" hidden="1" customHeight="1" outlineLevel="2">
      <c r="A2603" s="70">
        <v>1</v>
      </c>
      <c r="F2603" s="87"/>
      <c r="G2603" s="10" t="e">
        <f>AcDisp</f>
        <v>#NAME?</v>
      </c>
      <c r="I2603" s="13" t="str">
        <f>VLOOKUP(C2600,Tbl_Button_Display_ASSTS,31,FALSE)</f>
        <v>On</v>
      </c>
    </row>
    <row r="2604" spans="1:10" s="10" customFormat="1" ht="13.5" hidden="1" customHeight="1" outlineLevel="2">
      <c r="A2604" s="70">
        <v>1</v>
      </c>
      <c r="F2604" s="87"/>
      <c r="G2604" s="10" t="e" cm="1">
        <f t="array" ref="G2604">CompSpd_rpm</f>
        <v>#NAME?</v>
      </c>
      <c r="I2604" s="13" t="str">
        <f>VLOOKUP(C2600,Tbl_Button_Display_ASSTS,33,FALSE)</f>
        <v>Off</v>
      </c>
    </row>
    <row r="2605" spans="1:10" s="10" customFormat="1" ht="16.5" hidden="1" outlineLevel="2">
      <c r="A2605" s="70">
        <v>1</v>
      </c>
      <c r="E2605" s="15" t="s">
        <v>772</v>
      </c>
      <c r="F2605" s="90" t="s">
        <v>1737</v>
      </c>
      <c r="G2605" s="43"/>
      <c r="H2605" s="43"/>
      <c r="I2605" s="43"/>
    </row>
    <row r="2606" spans="1:10" s="10" customFormat="1" ht="13.5" hidden="1" customHeight="1" outlineLevel="2">
      <c r="A2606" s="70">
        <v>1</v>
      </c>
      <c r="F2606" s="87"/>
      <c r="G2606" s="10" t="e" cm="1">
        <f t="array" ref="G2606">CompSpd_rpm</f>
        <v>#NAME?</v>
      </c>
      <c r="I2606" s="13" t="s">
        <v>1376</v>
      </c>
    </row>
    <row r="2607" spans="1:10" s="127" customFormat="1" ht="15">
      <c r="A2607" s="66">
        <v>1</v>
      </c>
      <c r="B2607" s="40" t="s">
        <v>1447</v>
      </c>
      <c r="C2607" s="127" t="s">
        <v>882</v>
      </c>
      <c r="D2607" s="127" t="str">
        <f t="shared" ref="D2607" si="36">VLOOKUP(B2607,Tbl_Button_Display_ASSTS,2,FALSE)</f>
        <v>냉매부족 검출 로직</v>
      </c>
      <c r="F2607" s="82"/>
    </row>
    <row r="2608" spans="1:10" s="123" customFormat="1" collapsed="1">
      <c r="A2608" s="122">
        <v>1</v>
      </c>
      <c r="B2608" s="123" t="s">
        <v>156</v>
      </c>
      <c r="C2608" s="123" t="s">
        <v>1311</v>
      </c>
      <c r="D2608" s="123" t="str">
        <f>VLOOKUP(C2608,Tbl_Button_Display_ASSTS, 2,FALSE)</f>
        <v>냉매부족 검출 동작 확인</v>
      </c>
      <c r="F2608" s="88"/>
    </row>
    <row r="2609" spans="1:12" s="125" customFormat="1" hidden="1" outlineLevel="1">
      <c r="A2609" s="124">
        <v>1</v>
      </c>
      <c r="B2609" s="125" t="s">
        <v>38</v>
      </c>
      <c r="C2609" s="125" t="s">
        <v>1312</v>
      </c>
      <c r="D2609" s="125" t="s">
        <v>39</v>
      </c>
      <c r="F2609" s="89"/>
    </row>
    <row r="2610" spans="1:12" s="10" customFormat="1" hidden="1" outlineLevel="2">
      <c r="A2610" s="70">
        <v>1</v>
      </c>
      <c r="E2610" s="114" t="e">
        <f>Amb_IN</f>
        <v>#NAME?</v>
      </c>
      <c r="F2610" s="93" cm="1">
        <f t="array" ref="F2610">VINTERPOLATION(VLOOKUP(C2609,Tbl_Button_Display_ASSTS,3,FALSE),Tbl_Amb_Sensor,3)</f>
        <v>3.0441755548022011</v>
      </c>
    </row>
    <row r="2611" spans="1:12" s="10" customFormat="1" hidden="1" outlineLevel="2">
      <c r="A2611" s="70">
        <v>1</v>
      </c>
      <c r="E2611" s="114" t="s">
        <v>95</v>
      </c>
      <c r="F2611" s="85" t="s">
        <v>1189</v>
      </c>
    </row>
    <row r="2612" spans="1:12" s="10" customFormat="1" hidden="1" outlineLevel="2">
      <c r="A2612" s="70">
        <v>1</v>
      </c>
      <c r="E2612" s="10" t="e">
        <f>AirconPressureSensorValue</f>
        <v>#NAME?</v>
      </c>
      <c r="F2612" s="85">
        <v>32</v>
      </c>
      <c r="J2612" s="15"/>
    </row>
    <row r="2613" spans="1:12" s="10" customFormat="1" hidden="1" outlineLevel="2">
      <c r="A2613" s="70">
        <v>1</v>
      </c>
      <c r="D2613" s="46" t="s">
        <v>218</v>
      </c>
      <c r="E2613" s="114" t="str">
        <f>VLOOKUP(C2609,Tbl_Button_Display_ASSTS,11,FALSE)</f>
        <v>MsgBox</v>
      </c>
      <c r="F2613" s="85" t="e">
        <f>VLOOKUP(C2609,Tbl_Button_Display_ASSTS,12,FALSE)</f>
        <v>#NAME?</v>
      </c>
    </row>
    <row r="2614" spans="1:12" s="10" customFormat="1" hidden="1" outlineLevel="2">
      <c r="A2614" s="70">
        <v>1</v>
      </c>
      <c r="E2614" s="15" t="s">
        <v>5</v>
      </c>
      <c r="F2614" s="85">
        <f>VLOOKUP(C2609,Tbl_Button_Display_ASSTS,13,FALSE)</f>
        <v>10</v>
      </c>
    </row>
    <row r="2615" spans="1:12" s="10" customFormat="1" ht="13.5" hidden="1" customHeight="1" outlineLevel="2">
      <c r="A2615" s="70">
        <v>1</v>
      </c>
      <c r="F2615" s="87"/>
      <c r="G2615" s="10" t="e">
        <f>Amb_OUT</f>
        <v>#NAME?</v>
      </c>
      <c r="I2615" s="13">
        <f>VLOOKUP(C2609,Tbl_Button_Display_ASSTS,3,FALSE)</f>
        <v>15</v>
      </c>
    </row>
    <row r="2616" spans="1:12" s="10" customFormat="1" hidden="1" outlineLevel="2">
      <c r="A2616" s="70">
        <v>1</v>
      </c>
      <c r="F2616" s="87"/>
      <c r="G2616" s="114" t="s">
        <v>1380</v>
      </c>
      <c r="I2616" s="13" t="s">
        <v>1382</v>
      </c>
      <c r="L2616" s="130"/>
    </row>
    <row r="2617" spans="1:12" s="10" customFormat="1" hidden="1" outlineLevel="2">
      <c r="A2617" s="70">
        <v>1</v>
      </c>
      <c r="F2617" s="87"/>
      <c r="G2617" s="10" t="s">
        <v>141</v>
      </c>
      <c r="I2617" s="13" t="s">
        <v>140</v>
      </c>
      <c r="J2617" s="31"/>
    </row>
    <row r="2618" spans="1:12" s="39" customFormat="1" hidden="1" outlineLevel="1">
      <c r="A2618" s="73">
        <v>1</v>
      </c>
      <c r="B2618" s="39" t="s">
        <v>155</v>
      </c>
      <c r="C2618" s="39" t="s">
        <v>1313</v>
      </c>
      <c r="D2618" s="39" t="e">
        <f>CONCATENATE(E2619," = ",F2619," 설정 시, 냉매부족 고장코드 검출 확인" )</f>
        <v>#NAME?</v>
      </c>
      <c r="F2618" s="91"/>
    </row>
    <row r="2619" spans="1:12" s="10" customFormat="1" hidden="1" outlineLevel="2">
      <c r="A2619" s="70">
        <v>1</v>
      </c>
      <c r="E2619" s="114" t="e">
        <f>VLOOKUP(C2618,Tbl_Button_Display_ASSTS,11,FALSE)</f>
        <v>#NAME?</v>
      </c>
      <c r="F2619" s="85">
        <f>VLOOKUP(C2618,Tbl_Button_Display_ASSTS,12,FALSE)</f>
        <v>0</v>
      </c>
      <c r="J2619" s="15"/>
    </row>
    <row r="2620" spans="1:12" s="10" customFormat="1" hidden="1" outlineLevel="2">
      <c r="A2620" s="70">
        <v>1</v>
      </c>
      <c r="E2620" s="15" t="s">
        <v>5</v>
      </c>
      <c r="F2620" s="85">
        <f>VLOOKUP(C2618,Tbl_Button_Display_ASSTS,13,FALSE)</f>
        <v>2</v>
      </c>
    </row>
    <row r="2621" spans="1:12" s="10" customFormat="1" hidden="1" outlineLevel="2">
      <c r="A2621" s="70">
        <v>1</v>
      </c>
      <c r="F2621" s="87"/>
      <c r="G2621" s="114" t="s">
        <v>1380</v>
      </c>
      <c r="I2621" s="13" t="s">
        <v>1381</v>
      </c>
    </row>
    <row r="2622" spans="1:12" s="10" customFormat="1" hidden="1" outlineLevel="2">
      <c r="A2622" s="70">
        <v>1</v>
      </c>
      <c r="F2622" s="87"/>
      <c r="G2622" s="10" t="s">
        <v>141</v>
      </c>
      <c r="I2622" s="13">
        <v>72</v>
      </c>
    </row>
    <row r="2623" spans="1:12" s="39" customFormat="1" hidden="1" outlineLevel="1">
      <c r="A2623" s="73">
        <v>1</v>
      </c>
      <c r="B2623" s="39" t="s">
        <v>155</v>
      </c>
      <c r="C2623" s="39" t="s">
        <v>1314</v>
      </c>
      <c r="D2623" s="39" t="e">
        <f>CONCATENATE(E2624," = ",F2624," 설정 시, 냉매부족 검출 동작 Clear 확인" )</f>
        <v>#NAME?</v>
      </c>
      <c r="F2623" s="91"/>
    </row>
    <row r="2624" spans="1:12" s="10" customFormat="1" hidden="1" outlineLevel="2">
      <c r="A2624" s="70">
        <v>1</v>
      </c>
      <c r="E2624" s="114" t="e">
        <f>VLOOKUP(C2623,Tbl_Button_Display_ASSTS,11,FALSE)</f>
        <v>#NAME?</v>
      </c>
      <c r="F2624" s="85">
        <f>VLOOKUP(C2623,Tbl_Button_Display_ASSTS,12,FALSE)</f>
        <v>2</v>
      </c>
      <c r="J2624" s="15"/>
    </row>
    <row r="2625" spans="1:10" s="10" customFormat="1" hidden="1" outlineLevel="2">
      <c r="A2625" s="70">
        <v>1</v>
      </c>
      <c r="E2625" s="15" t="s">
        <v>5</v>
      </c>
      <c r="F2625" s="85">
        <f>VLOOKUP(C2623,Tbl_Button_Display_ASSTS,13,FALSE)</f>
        <v>2</v>
      </c>
    </row>
    <row r="2626" spans="1:10" s="10" customFormat="1" hidden="1" outlineLevel="2">
      <c r="A2626" s="70">
        <v>1</v>
      </c>
      <c r="F2626" s="87"/>
      <c r="G2626" s="114" t="s">
        <v>1380</v>
      </c>
      <c r="I2626" s="13" t="s">
        <v>1382</v>
      </c>
    </row>
    <row r="2627" spans="1:10" s="10" customFormat="1" hidden="1" outlineLevel="2">
      <c r="A2627" s="70">
        <v>1</v>
      </c>
      <c r="F2627" s="87"/>
      <c r="G2627" s="10" t="s">
        <v>141</v>
      </c>
      <c r="I2627" s="13" t="s">
        <v>140</v>
      </c>
    </row>
    <row r="2628" spans="1:10" s="127" customFormat="1" ht="15">
      <c r="A2628" s="66">
        <v>1</v>
      </c>
      <c r="B2628" s="40" t="s">
        <v>1448</v>
      </c>
      <c r="C2628" s="127" t="s">
        <v>883</v>
      </c>
      <c r="D2628" s="127" t="str">
        <f t="shared" ref="D2628" si="37">VLOOKUP(B2628,Tbl_Button_Display_ASSTS,2,FALSE)</f>
        <v>세차모드 연동제어</v>
      </c>
      <c r="F2628" s="82"/>
    </row>
    <row r="2629" spans="1:10" s="123" customFormat="1" collapsed="1">
      <c r="A2629" s="122">
        <v>1</v>
      </c>
      <c r="B2629" s="123" t="s">
        <v>156</v>
      </c>
      <c r="C2629" s="123" t="s">
        <v>1315</v>
      </c>
      <c r="D2629" s="123" t="str">
        <f>VLOOKUP(C2629,Tbl_Button_Display_ASSTS, 2,FALSE)</f>
        <v>세차모드 연동제어 동작 확인</v>
      </c>
      <c r="F2629" s="88"/>
    </row>
    <row r="2630" spans="1:10" s="125" customFormat="1" hidden="1" outlineLevel="1">
      <c r="A2630" s="124">
        <v>1</v>
      </c>
      <c r="B2630" s="125" t="s">
        <v>38</v>
      </c>
      <c r="C2630" s="125" t="s">
        <v>1316</v>
      </c>
      <c r="D2630" s="125" t="s">
        <v>39</v>
      </c>
      <c r="F2630" s="89"/>
    </row>
    <row r="2631" spans="1:10" s="10" customFormat="1" hidden="1" outlineLevel="2">
      <c r="A2631" s="70">
        <v>1</v>
      </c>
      <c r="E2631" s="114" t="e">
        <f>AutoWashMode</f>
        <v>#NAME?</v>
      </c>
      <c r="F2631" s="85">
        <v>0</v>
      </c>
      <c r="J2631" s="15"/>
    </row>
    <row r="2632" spans="1:10" s="10" customFormat="1" hidden="1" outlineLevel="2">
      <c r="A2632" s="70">
        <v>1</v>
      </c>
      <c r="E2632" s="114" t="str">
        <f>VLOOKUP(C2630,Tbl_Button_Display_ASSTS,11,FALSE)</f>
        <v>MsgBox</v>
      </c>
      <c r="F2632" s="85" t="e">
        <f>VLOOKUP(C2630,Tbl_Button_Display_ASSTS,12,FALSE)</f>
        <v>#NAME?</v>
      </c>
    </row>
    <row r="2633" spans="1:10" s="10" customFormat="1" hidden="1" outlineLevel="2">
      <c r="A2633" s="70">
        <v>1</v>
      </c>
      <c r="E2633" s="15" t="s">
        <v>5</v>
      </c>
      <c r="F2633" s="85">
        <f>VLOOKUP(C2630,Tbl_Button_Display_ASSTS,13,FALSE)</f>
        <v>10</v>
      </c>
    </row>
    <row r="2634" spans="1:10" s="10" customFormat="1" hidden="1" outlineLevel="2">
      <c r="A2634" s="70">
        <v>1</v>
      </c>
      <c r="F2634" s="87"/>
      <c r="G2634" s="114" t="e">
        <f>IntakeSta</f>
        <v>#NAME?</v>
      </c>
      <c r="I2634" s="13">
        <v>1</v>
      </c>
    </row>
    <row r="2635" spans="1:10" s="10" customFormat="1" hidden="1" outlineLevel="2">
      <c r="A2635" s="70">
        <v>1</v>
      </c>
      <c r="F2635" s="87"/>
      <c r="G2635" s="114" t="e">
        <f>IntakeDisp</f>
        <v>#NAME?</v>
      </c>
      <c r="I2635" s="13" t="str">
        <f>VLOOKUP(C2630,Tbl_Button_Display_ASSTS,34,FALSE)</f>
        <v>FRE</v>
      </c>
    </row>
    <row r="2636" spans="1:10" s="10" customFormat="1" ht="13.5" hidden="1" customHeight="1" outlineLevel="2">
      <c r="A2636" s="70">
        <v>1</v>
      </c>
      <c r="F2636" s="87"/>
      <c r="G2636" s="10" t="e">
        <f>Act_Intake</f>
        <v>#NAME?</v>
      </c>
      <c r="H2636" s="49" t="str">
        <f>VLOOKUP(C2630,Tbl_Button_Display_ASSTS,35,FALSE)</f>
        <v>Intake_TD 연산에 따름</v>
      </c>
      <c r="I2636" s="48" t="e">
        <f>IF(H2636="","",VLOOKUP(H2636,Tbl_IntakeFB_Volt,2,FALSE))</f>
        <v>#NAME?</v>
      </c>
    </row>
    <row r="2637" spans="1:10" s="39" customFormat="1" hidden="1" outlineLevel="1">
      <c r="A2637" s="73">
        <v>1</v>
      </c>
      <c r="B2637" s="39" t="s">
        <v>155</v>
      </c>
      <c r="C2637" s="39" t="s">
        <v>1317</v>
      </c>
      <c r="D2637" s="39" t="e">
        <f>CONCATENATE(E2638," = ",F2638," 설정 시, 세차모드 연동제어 동작 확인" )</f>
        <v>#NAME?</v>
      </c>
      <c r="F2637" s="91"/>
    </row>
    <row r="2638" spans="1:10" s="10" customFormat="1" hidden="1" outlineLevel="2">
      <c r="A2638" s="70">
        <v>1</v>
      </c>
      <c r="E2638" s="114" t="e">
        <f>VLOOKUP(C2637,Tbl_Button_Display_ASSTS,11,FALSE)</f>
        <v>#NAME?</v>
      </c>
      <c r="F2638" s="85">
        <f>VLOOKUP(C2637,Tbl_Button_Display_ASSTS,12,FALSE)</f>
        <v>2</v>
      </c>
      <c r="J2638" s="15"/>
    </row>
    <row r="2639" spans="1:10" s="10" customFormat="1" hidden="1" outlineLevel="2">
      <c r="A2639" s="70">
        <v>1</v>
      </c>
      <c r="E2639" s="15" t="s">
        <v>5</v>
      </c>
      <c r="F2639" s="85">
        <f>VLOOKUP(C2637,Tbl_Button_Display_ASSTS,13,FALSE)</f>
        <v>2</v>
      </c>
    </row>
    <row r="2640" spans="1:10" s="10" customFormat="1" hidden="1" outlineLevel="2">
      <c r="A2640" s="70">
        <v>1</v>
      </c>
      <c r="F2640" s="87"/>
      <c r="G2640" s="114" t="e">
        <f>IntakeSta</f>
        <v>#NAME?</v>
      </c>
      <c r="I2640" s="13">
        <v>2</v>
      </c>
    </row>
    <row r="2641" spans="1:10" s="10" customFormat="1" hidden="1" outlineLevel="2">
      <c r="A2641" s="70">
        <v>1</v>
      </c>
      <c r="F2641" s="87"/>
      <c r="G2641" s="114" t="e">
        <f>IntakeDisp</f>
        <v>#NAME?</v>
      </c>
      <c r="I2641" s="13" t="str">
        <f>VLOOKUP(C2637,Tbl_Button_Display_ASSTS,34,FALSE)</f>
        <v>REC</v>
      </c>
    </row>
    <row r="2642" spans="1:10" s="10" customFormat="1" ht="13.5" hidden="1" customHeight="1" outlineLevel="2">
      <c r="A2642" s="70">
        <v>1</v>
      </c>
      <c r="F2642" s="87"/>
      <c r="G2642" s="10" t="e">
        <f>Act_Intake</f>
        <v>#NAME?</v>
      </c>
      <c r="H2642" s="49" t="str">
        <f>VLOOKUP(C2637,Tbl_Button_Display_ASSTS,35,FALSE)</f>
        <v>REC</v>
      </c>
      <c r="I2642" s="48" t="e">
        <f>IF(H2642="","",VLOOKUP(H2642,Tbl_IntakeFB_Volt,2,FALSE))</f>
        <v>#NAME?</v>
      </c>
    </row>
    <row r="2643" spans="1:10" s="39" customFormat="1" hidden="1" outlineLevel="1">
      <c r="A2643" s="73">
        <v>1</v>
      </c>
      <c r="B2643" s="39" t="s">
        <v>155</v>
      </c>
      <c r="C2643" s="39" t="s">
        <v>1318</v>
      </c>
      <c r="D2643" s="39" t="e">
        <f>CONCATENATE(E2644," = ",F2644," 설정 시, 세차모드 연동제어 동작 해제 확인" )</f>
        <v>#NAME?</v>
      </c>
      <c r="F2643" s="91"/>
    </row>
    <row r="2644" spans="1:10" s="10" customFormat="1" hidden="1" outlineLevel="2">
      <c r="A2644" s="70">
        <v>1</v>
      </c>
      <c r="E2644" s="114" t="e">
        <f>VLOOKUP(C2643,Tbl_Button_Display_ASSTS,11,FALSE)</f>
        <v>#NAME?</v>
      </c>
      <c r="F2644" s="85">
        <f>VLOOKUP(C2643,Tbl_Button_Display_ASSTS,12,FALSE)</f>
        <v>1</v>
      </c>
      <c r="J2644" s="15"/>
    </row>
    <row r="2645" spans="1:10" s="10" customFormat="1" hidden="1" outlineLevel="2">
      <c r="A2645" s="70">
        <v>1</v>
      </c>
      <c r="E2645" s="15" t="s">
        <v>5</v>
      </c>
      <c r="F2645" s="85">
        <f>VLOOKUP(C2643,Tbl_Button_Display_ASSTS,13,FALSE)</f>
        <v>2</v>
      </c>
    </row>
    <row r="2646" spans="1:10" s="10" customFormat="1" hidden="1" outlineLevel="2">
      <c r="A2646" s="70">
        <v>1</v>
      </c>
      <c r="F2646" s="87"/>
      <c r="G2646" s="114" t="e">
        <f>IntakeSta</f>
        <v>#NAME?</v>
      </c>
      <c r="I2646" s="13">
        <v>1</v>
      </c>
    </row>
    <row r="2647" spans="1:10" s="10" customFormat="1" hidden="1" outlineLevel="2">
      <c r="A2647" s="70">
        <v>1</v>
      </c>
      <c r="F2647" s="87"/>
      <c r="G2647" s="114" t="e">
        <f>IntakeDisp</f>
        <v>#NAME?</v>
      </c>
      <c r="I2647" s="13" t="str">
        <f>VLOOKUP(C2643,Tbl_Button_Display_ASSTS,34,FALSE)</f>
        <v>FRE</v>
      </c>
    </row>
    <row r="2648" spans="1:10" s="10" customFormat="1" ht="13.5" hidden="1" customHeight="1" outlineLevel="2">
      <c r="A2648" s="70">
        <v>1</v>
      </c>
      <c r="F2648" s="87"/>
      <c r="G2648" s="10" t="e">
        <f>Act_Intake</f>
        <v>#NAME?</v>
      </c>
      <c r="H2648" s="49" t="str">
        <f>VLOOKUP(C2643,Tbl_Button_Display_ASSTS,35,FALSE)</f>
        <v>Intake_TD 연산에 따름</v>
      </c>
      <c r="I2648" s="48" t="e">
        <f>IF(H2648="","",VLOOKUP(H2648,Tbl_IntakeFB_Volt,2,FALSE))</f>
        <v>#NAME?</v>
      </c>
    </row>
    <row r="2649" spans="1:10" s="40" customFormat="1" ht="15">
      <c r="A2649" s="66">
        <v>1</v>
      </c>
      <c r="B2649" s="40" t="s">
        <v>1070</v>
      </c>
      <c r="C2649" s="40" t="s">
        <v>621</v>
      </c>
      <c r="D2649" s="40" t="str">
        <f t="shared" si="33"/>
        <v>ADS 제어 (ADS 사양 참고)</v>
      </c>
      <c r="F2649" s="82"/>
    </row>
    <row r="2650" spans="1:10" s="38" customFormat="1" collapsed="1">
      <c r="A2650" s="71">
        <v>1</v>
      </c>
      <c r="B2650" s="38" t="s">
        <v>7</v>
      </c>
      <c r="C2650" s="38" t="s">
        <v>1066</v>
      </c>
      <c r="D2650" s="38" t="str">
        <f>VLOOKUP(C2650,Tbl_Button_Display_ASSTS, 2,FALSE)</f>
        <v>ADS 로직 동작 확인 (저온)</v>
      </c>
    </row>
    <row r="2651" spans="1:10" s="11" customFormat="1" hidden="1" outlineLevel="1">
      <c r="A2651" s="72">
        <v>1</v>
      </c>
      <c r="B2651" s="11" t="s">
        <v>38</v>
      </c>
      <c r="C2651" s="11" t="s">
        <v>1067</v>
      </c>
      <c r="D2651" s="11" t="s">
        <v>39</v>
      </c>
    </row>
    <row r="2652" spans="1:10" s="10" customFormat="1" hidden="1" outlineLevel="2">
      <c r="A2652" s="70">
        <v>1</v>
      </c>
      <c r="E2652" s="8" t="e">
        <f>Amb_IN</f>
        <v>#NAME?</v>
      </c>
      <c r="F2652" s="65" cm="1">
        <f t="array" ref="F2652">VINTERPOLATION(VLOOKUP(C2651,Tbl_Button_Display_ASSTS,3,FALSE),Tbl_Amb_Sensor,3)</f>
        <v>3.7090111025045185</v>
      </c>
    </row>
    <row r="2653" spans="1:10" s="10" customFormat="1" hidden="1" outlineLevel="2">
      <c r="A2653" s="70">
        <v>1</v>
      </c>
      <c r="E2653" s="14" t="e">
        <f>T_windshield</f>
        <v>#NAME?</v>
      </c>
      <c r="F2653" s="65" cm="1">
        <f t="array" ref="F2653">VINTERPOLATION(VLOOKUP(C2651,Tbl_Button_Display_ASSTS,7,FALSE),Tbl_GlassTemp_Sensor,3)</f>
        <v>1.4614241999700592</v>
      </c>
      <c r="J2653" s="15"/>
    </row>
    <row r="2654" spans="1:10" s="10" customFormat="1" hidden="1" outlineLevel="2">
      <c r="A2654" s="70">
        <v>1</v>
      </c>
      <c r="E2654" s="14" t="str">
        <f>VLOOKUP(C2651,Tbl_Button_Display_ASSTS,11,FALSE)</f>
        <v>MsgBox</v>
      </c>
      <c r="F2654" s="12" t="e">
        <f>VLOOKUP(C2651,Tbl_Button_Display_ASSTS,12,FALSE)</f>
        <v>#NAME?</v>
      </c>
    </row>
    <row r="2655" spans="1:10" s="10" customFormat="1" hidden="1" outlineLevel="2">
      <c r="A2655" s="70">
        <v>1</v>
      </c>
      <c r="E2655" s="114" t="s">
        <v>95</v>
      </c>
      <c r="F2655" s="85" t="s">
        <v>1189</v>
      </c>
    </row>
    <row r="2656" spans="1:10" s="10" customFormat="1" hidden="1" outlineLevel="2">
      <c r="A2656" s="70">
        <v>1</v>
      </c>
      <c r="E2656" s="15" t="s">
        <v>5</v>
      </c>
      <c r="F2656" s="12">
        <f>VLOOKUP(C2651,Tbl_Button_Display_ASSTS,13,FALSE)</f>
        <v>10</v>
      </c>
    </row>
    <row r="2657" spans="1:9" s="10" customFormat="1" hidden="1" outlineLevel="2">
      <c r="A2657" s="70">
        <v>1</v>
      </c>
      <c r="G2657" s="10" t="e">
        <f>Amb_OUT</f>
        <v>#NAME?</v>
      </c>
      <c r="I2657" s="13">
        <f>VLOOKUP(C2651,Tbl_Button_Display_ASSTS,3,FALSE)</f>
        <v>2</v>
      </c>
    </row>
    <row r="2658" spans="1:9" s="10" customFormat="1" hidden="1" outlineLevel="2">
      <c r="A2658" s="70">
        <v>1</v>
      </c>
      <c r="G2658" s="10" t="e">
        <f>AutoDefogBlink</f>
        <v>#NAME?</v>
      </c>
      <c r="I2658" s="13" t="str">
        <f>VLOOKUP(C2651,Tbl_Button_Display_ASSTS,43,FALSE)</f>
        <v>Off</v>
      </c>
    </row>
    <row r="2659" spans="1:9" s="10" customFormat="1" hidden="1" outlineLevel="2">
      <c r="A2659" s="70">
        <v>1</v>
      </c>
      <c r="G2659" s="10" t="e">
        <f>ModDisp</f>
        <v>#NAME?</v>
      </c>
      <c r="I2659" s="13" t="str">
        <f>VLOOKUP(C2651,Tbl_Button_Display_ASSTS,16,FALSE)</f>
        <v>Floor</v>
      </c>
    </row>
    <row r="2660" spans="1:9" s="10" customFormat="1" hidden="1" outlineLevel="2">
      <c r="A2660" s="70">
        <v>1</v>
      </c>
      <c r="G2660" s="10" t="e">
        <f>IntakeDisp</f>
        <v>#NAME?</v>
      </c>
      <c r="I2660" s="13" t="str">
        <f>VLOOKUP(C2651,Tbl_Button_Display_ASSTS,34,FALSE)</f>
        <v>REC</v>
      </c>
    </row>
    <row r="2661" spans="1:9" s="10" customFormat="1" hidden="1" outlineLevel="2">
      <c r="A2661" s="70">
        <v>1</v>
      </c>
      <c r="G2661" s="10" t="e">
        <f>FrontBlwDisp</f>
        <v>#NAME?</v>
      </c>
      <c r="I2661" s="13">
        <f>VLOOKUP(C2651,Tbl_Button_Display_ASSTS,23,FALSE)</f>
        <v>1</v>
      </c>
    </row>
    <row r="2662" spans="1:9" s="10" customFormat="1" hidden="1" outlineLevel="2">
      <c r="A2662" s="70">
        <v>1</v>
      </c>
      <c r="G2662" s="10" t="e">
        <f>AcDisp</f>
        <v>#NAME?</v>
      </c>
      <c r="I2662" s="13" t="str">
        <f>VLOOKUP(C2651,Tbl_Button_Display_ASSTS,31,FALSE)</f>
        <v>Off</v>
      </c>
    </row>
    <row r="2663" spans="1:9" s="10" customFormat="1" hidden="1" outlineLevel="2">
      <c r="A2663" s="70">
        <v>1</v>
      </c>
      <c r="G2663" s="10" t="e" cm="1">
        <f t="array" ref="G2663">CompSpd_rpm</f>
        <v>#NAME?</v>
      </c>
      <c r="I2663" s="13" t="str">
        <f>VLOOKUP(C2651,Tbl_Button_Display_ASSTS,33,FALSE)</f>
        <v>Off</v>
      </c>
    </row>
    <row r="2664" spans="1:9" s="10" customFormat="1" hidden="1" outlineLevel="2">
      <c r="A2664" s="70">
        <v>1</v>
      </c>
      <c r="G2664" s="10" t="e">
        <f>Act_DrMode</f>
        <v>#NAME?</v>
      </c>
      <c r="H2664" s="49" t="str">
        <f>VLOOKUP(C2651,Tbl_Button_Display_ASSTS,19,FALSE)</f>
        <v>Floor</v>
      </c>
      <c r="I2664" s="47" t="e">
        <f>IF(H2664="","",VLOOKUP(H2664,Tbl_ModeFB_Volt,2,FALSE))</f>
        <v>#NAME?</v>
      </c>
    </row>
    <row r="2665" spans="1:9" s="10" customFormat="1" hidden="1" outlineLevel="2">
      <c r="A2665" s="70">
        <v>1</v>
      </c>
      <c r="G2665" s="10" t="e">
        <f>Act_Def</f>
        <v>#NAME?</v>
      </c>
      <c r="H2665" s="49" t="str">
        <f>VLOOKUP(C2651,Tbl_Button_Display_ASSTS,22,FALSE)</f>
        <v>Floor</v>
      </c>
      <c r="I2665" s="47" t="e">
        <f>IF(H2665="","",VLOOKUP(H2665,Tbl_DefFB_Volt,2,FALSE))</f>
        <v>#NAME?</v>
      </c>
    </row>
    <row r="2666" spans="1:9" s="10" customFormat="1" hidden="1" outlineLevel="2">
      <c r="A2666" s="70">
        <v>1</v>
      </c>
      <c r="G2666" s="10" t="e">
        <f>Act_Intake</f>
        <v>#NAME?</v>
      </c>
      <c r="H2666" s="49" t="str">
        <f>VLOOKUP(C2651,Tbl_Button_Display_ASSTS,35,FALSE)</f>
        <v>REC</v>
      </c>
      <c r="I2666" s="48" t="e">
        <f>IF(H2666="","",VLOOKUP(H2666,Tbl_IntakeFB_Volt,2,FALSE))</f>
        <v>#NAME?</v>
      </c>
    </row>
    <row r="2667" spans="1:9" s="10" customFormat="1" hidden="1" outlineLevel="2">
      <c r="A2667" s="70">
        <v>1</v>
      </c>
      <c r="G2667" s="10" t="e">
        <f>BLW_Front</f>
        <v>#NAME?</v>
      </c>
      <c r="I2667" s="47" t="e">
        <f>VLOOKUP(C2651,Tbl_Button_Display_ASSTS,24,FALSE)</f>
        <v>#NAME?</v>
      </c>
    </row>
    <row r="2668" spans="1:9" s="39" customFormat="1" hidden="1" outlineLevel="1">
      <c r="A2668" s="73">
        <v>1</v>
      </c>
      <c r="B2668" s="39" t="s">
        <v>155</v>
      </c>
      <c r="C2668" s="39" t="s">
        <v>1068</v>
      </c>
      <c r="D2668" s="39" t="str">
        <f>CONCATENATE("ADS 진입 설정")</f>
        <v>ADS 진입 설정</v>
      </c>
    </row>
    <row r="2669" spans="1:9" s="10" customFormat="1" hidden="1" outlineLevel="2">
      <c r="A2669" s="70">
        <v>1</v>
      </c>
      <c r="E2669" s="14" t="e">
        <f>VLOOKUP(C2668,Tbl_Button_Display_ASSTS,11,FALSE)</f>
        <v>#NAME?</v>
      </c>
      <c r="F2669" s="65" cm="1">
        <f t="array" ref="F2669">VINTERPOLATION(VLOOKUP(C2668,Tbl_Button_Display_ASSTS,7,FALSE),Tbl_GlassTemp_Sensor,3)</f>
        <v>3.6758507312217219</v>
      </c>
    </row>
    <row r="2670" spans="1:9" s="10" customFormat="1" hidden="1" outlineLevel="2">
      <c r="A2670" s="70">
        <v>1</v>
      </c>
      <c r="E2670" s="15" t="s">
        <v>5</v>
      </c>
      <c r="F2670" s="12">
        <f>VLOOKUP(C2668,Tbl_Button_Display_ASSTS,13,FALSE)</f>
        <v>13</v>
      </c>
    </row>
    <row r="2671" spans="1:9" s="10" customFormat="1" hidden="1" outlineLevel="2">
      <c r="A2671" s="70">
        <v>1</v>
      </c>
      <c r="G2671" s="10" t="e">
        <f>AutoDefogBlink</f>
        <v>#NAME?</v>
      </c>
      <c r="I2671" s="13" t="str">
        <f>VLOOKUP(C2668,Tbl_Button_Display_ASSTS,43,FALSE)</f>
        <v>3초간 점/소등 후 On</v>
      </c>
    </row>
    <row r="2672" spans="1:9" s="10" customFormat="1" hidden="1" outlineLevel="2">
      <c r="A2672" s="70">
        <v>1</v>
      </c>
      <c r="G2672" s="10" t="e">
        <f>ModDisp</f>
        <v>#NAME?</v>
      </c>
      <c r="I2672" s="13" t="str">
        <f>VLOOKUP(C2668,Tbl_Button_Display_ASSTS,16,FALSE)</f>
        <v>3초간 점멸 후 AUTO_Defog</v>
      </c>
    </row>
    <row r="2673" spans="1:9" s="10" customFormat="1" hidden="1" outlineLevel="2">
      <c r="A2673" s="70">
        <v>1</v>
      </c>
      <c r="G2673" s="10" t="e">
        <f>IntakeDisp</f>
        <v>#NAME?</v>
      </c>
      <c r="I2673" s="13" t="str">
        <f>VLOOKUP(C2668,Tbl_Button_Display_ASSTS,34,FALSE)</f>
        <v>FRE</v>
      </c>
    </row>
    <row r="2674" spans="1:9" s="10" customFormat="1" hidden="1" outlineLevel="2">
      <c r="A2674" s="70">
        <v>1</v>
      </c>
      <c r="G2674" s="10" t="e">
        <f>FrontBlwDisp</f>
        <v>#NAME?</v>
      </c>
      <c r="I2674" s="13" t="e">
        <f>VLOOKUP(C2668,Tbl_Button_Display_ASSTS,23,FALSE)</f>
        <v>#VALUE!</v>
      </c>
    </row>
    <row r="2675" spans="1:9" s="10" customFormat="1" hidden="1" outlineLevel="2">
      <c r="A2675" s="70">
        <v>1</v>
      </c>
      <c r="G2675" s="10" t="e">
        <f>AcDisp</f>
        <v>#NAME?</v>
      </c>
      <c r="I2675" s="13" t="str">
        <f>VLOOKUP(C2668,Tbl_Button_Display_ASSTS,31,FALSE)</f>
        <v>Off</v>
      </c>
    </row>
    <row r="2676" spans="1:9" s="10" customFormat="1" hidden="1" outlineLevel="2">
      <c r="A2676" s="70">
        <v>1</v>
      </c>
      <c r="G2676" s="10" t="e" cm="1">
        <f t="array" ref="G2676">CompSpd_rpm</f>
        <v>#NAME?</v>
      </c>
      <c r="I2676" s="13" t="str">
        <f>VLOOKUP(C2668,Tbl_Button_Display_ASSTS,33,FALSE)</f>
        <v>On</v>
      </c>
    </row>
    <row r="2677" spans="1:9" s="10" customFormat="1" hidden="1" outlineLevel="2">
      <c r="A2677" s="70">
        <v>1</v>
      </c>
      <c r="G2677" s="10" t="e">
        <f>Act_DrMode</f>
        <v>#NAME?</v>
      </c>
      <c r="H2677" s="49" t="str">
        <f>VLOOKUP(C2668,Tbl_Button_Display_ASSTS,19,FALSE)</f>
        <v>ADS_Def</v>
      </c>
      <c r="I2677" s="47" t="e">
        <f>IF(H2677="","",VLOOKUP(H2677,Tbl_ModeFB_Volt,2,FALSE))</f>
        <v>#NAME?</v>
      </c>
    </row>
    <row r="2678" spans="1:9" s="10" customFormat="1" hidden="1" outlineLevel="2">
      <c r="A2678" s="70">
        <v>1</v>
      </c>
      <c r="G2678" s="10" t="e">
        <f>Act_Def</f>
        <v>#NAME?</v>
      </c>
      <c r="H2678" s="49" t="str">
        <f>VLOOKUP(C2668,Tbl_Button_Display_ASSTS,22,FALSE)</f>
        <v>ADS_Def</v>
      </c>
      <c r="I2678" s="47" t="e">
        <f>IF(H2678="","",VLOOKUP(H2678,Tbl_DefFB_Volt,2,FALSE))</f>
        <v>#NAME?</v>
      </c>
    </row>
    <row r="2679" spans="1:9" s="10" customFormat="1" hidden="1" outlineLevel="2">
      <c r="A2679" s="70">
        <v>1</v>
      </c>
      <c r="G2679" s="10" t="e">
        <f>Act_Intake</f>
        <v>#NAME?</v>
      </c>
      <c r="H2679" s="49" t="str">
        <f>VLOOKUP(C2668,Tbl_Button_Display_ASSTS,35,FALSE)</f>
        <v>FRE</v>
      </c>
      <c r="I2679" s="48" t="e">
        <f>IF(H2679="","",VLOOKUP(H2679,Tbl_IntakeFB_Volt,2,FALSE))</f>
        <v>#NAME?</v>
      </c>
    </row>
    <row r="2680" spans="1:9" s="10" customFormat="1" hidden="1" outlineLevel="2">
      <c r="A2680" s="70">
        <v>1</v>
      </c>
      <c r="G2680" s="10" t="e">
        <f>BLW_Front</f>
        <v>#NAME?</v>
      </c>
      <c r="I2680" s="47" t="e">
        <f>VLOOKUP(C2668,Tbl_Button_Display_ASSTS,24,FALSE)</f>
        <v>#VALUE!</v>
      </c>
    </row>
    <row r="2681" spans="1:9" s="39" customFormat="1" hidden="1" outlineLevel="1">
      <c r="A2681" s="73">
        <v>1</v>
      </c>
      <c r="B2681" s="39" t="s">
        <v>155</v>
      </c>
      <c r="C2681" s="39" t="s">
        <v>1069</v>
      </c>
      <c r="D2681" s="39" t="str">
        <f>CONCATENATE("ADS 해제 설정")</f>
        <v>ADS 해제 설정</v>
      </c>
    </row>
    <row r="2682" spans="1:9" s="10" customFormat="1" hidden="1" outlineLevel="2">
      <c r="A2682" s="70">
        <v>1</v>
      </c>
      <c r="E2682" s="14" t="e">
        <f>VLOOKUP(C2681,Tbl_Button_Display_ASSTS,11,FALSE)</f>
        <v>#NAME?</v>
      </c>
      <c r="F2682" s="65" cm="1">
        <f t="array" ref="F2682">VINTERPOLATION(VLOOKUP(C2681,Tbl_Button_Display_ASSTS,7,FALSE),Tbl_GlassTemp_Sensor,3)</f>
        <v>1.4614241999700592</v>
      </c>
    </row>
    <row r="2683" spans="1:9" s="10" customFormat="1" hidden="1" outlineLevel="2">
      <c r="A2683" s="70">
        <v>1</v>
      </c>
      <c r="E2683" s="15" t="s">
        <v>5</v>
      </c>
      <c r="F2683" s="12">
        <f>VLOOKUP(C2681,Tbl_Button_Display_ASSTS,13,FALSE)</f>
        <v>110</v>
      </c>
    </row>
    <row r="2684" spans="1:9" s="10" customFormat="1" ht="16.5" hidden="1" outlineLevel="2">
      <c r="A2684" s="70">
        <v>1</v>
      </c>
      <c r="E2684" s="15" t="s">
        <v>772</v>
      </c>
      <c r="F2684" s="90" t="s">
        <v>1784</v>
      </c>
      <c r="G2684" s="43"/>
      <c r="H2684" s="43"/>
      <c r="I2684" s="43"/>
    </row>
    <row r="2685" spans="1:9" s="10" customFormat="1" hidden="1" outlineLevel="2">
      <c r="A2685" s="70">
        <v>1</v>
      </c>
      <c r="G2685" s="10" t="e">
        <f>AutoDefogBlink</f>
        <v>#NAME?</v>
      </c>
      <c r="I2685" s="13" t="str">
        <f>VLOOKUP(C2681,Tbl_Button_Display_ASSTS,43,FALSE)</f>
        <v>Off</v>
      </c>
    </row>
    <row r="2686" spans="1:9" s="10" customFormat="1" hidden="1" outlineLevel="2">
      <c r="A2686" s="70">
        <v>1</v>
      </c>
      <c r="G2686" s="10" t="e">
        <f>ModDisp</f>
        <v>#NAME?</v>
      </c>
      <c r="I2686" s="13" t="str">
        <f>VLOOKUP(C2681,Tbl_Button_Display_ASSTS,16,FALSE)</f>
        <v>Floor</v>
      </c>
    </row>
    <row r="2687" spans="1:9" s="10" customFormat="1" hidden="1" outlineLevel="2">
      <c r="A2687" s="70">
        <v>1</v>
      </c>
      <c r="G2687" s="10" t="e">
        <f>IntakeDisp</f>
        <v>#NAME?</v>
      </c>
      <c r="I2687" s="13" t="str">
        <f>VLOOKUP(C2681,Tbl_Button_Display_ASSTS,34,FALSE)</f>
        <v>FRE</v>
      </c>
    </row>
    <row r="2688" spans="1:9" s="10" customFormat="1" hidden="1" outlineLevel="2">
      <c r="A2688" s="70">
        <v>1</v>
      </c>
      <c r="G2688" s="10" t="e">
        <f>FrontBlwDisp</f>
        <v>#NAME?</v>
      </c>
      <c r="I2688" s="13">
        <f>VLOOKUP(C2681,Tbl_Button_Display_ASSTS,23,FALSE)</f>
        <v>1</v>
      </c>
    </row>
    <row r="2689" spans="1:9" s="10" customFormat="1" hidden="1" outlineLevel="2">
      <c r="A2689" s="70">
        <v>1</v>
      </c>
      <c r="G2689" s="10" t="e">
        <f>AcDisp</f>
        <v>#NAME?</v>
      </c>
      <c r="I2689" s="13" t="str">
        <f>VLOOKUP(C2681,Tbl_Button_Display_ASSTS,31,FALSE)</f>
        <v>Off</v>
      </c>
    </row>
    <row r="2690" spans="1:9" s="10" customFormat="1" hidden="1" outlineLevel="2">
      <c r="A2690" s="70">
        <v>1</v>
      </c>
      <c r="G2690" s="10" t="e" cm="1">
        <f t="array" ref="G2690">CompSpd_rpm</f>
        <v>#NAME?</v>
      </c>
      <c r="I2690" s="13" t="str">
        <f>VLOOKUP(C2681,Tbl_Button_Display_ASSTS,33,FALSE)</f>
        <v>Off</v>
      </c>
    </row>
    <row r="2691" spans="1:9" s="10" customFormat="1" hidden="1" outlineLevel="2">
      <c r="A2691" s="70">
        <v>1</v>
      </c>
      <c r="G2691" s="10" t="e">
        <f>Act_DrMode</f>
        <v>#NAME?</v>
      </c>
      <c r="H2691" s="49" t="str">
        <f>VLOOKUP(C2681,Tbl_Button_Display_ASSTS,19,FALSE)</f>
        <v>Floor</v>
      </c>
      <c r="I2691" s="47" t="e">
        <f>IF(H2691="","",VLOOKUP(H2691,Tbl_ModeFB_Volt,2,FALSE))</f>
        <v>#NAME?</v>
      </c>
    </row>
    <row r="2692" spans="1:9" s="10" customFormat="1" hidden="1" outlineLevel="2">
      <c r="A2692" s="70">
        <v>1</v>
      </c>
      <c r="G2692" s="10" t="e">
        <f>Act_Def</f>
        <v>#NAME?</v>
      </c>
      <c r="H2692" s="49" t="str">
        <f>VLOOKUP(C2681,Tbl_Button_Display_ASSTS,22,FALSE)</f>
        <v>Floor</v>
      </c>
      <c r="I2692" s="47" t="e">
        <f>IF(H2692="","",VLOOKUP(H2692,Tbl_DefFB_Volt,2,FALSE))</f>
        <v>#NAME?</v>
      </c>
    </row>
    <row r="2693" spans="1:9" s="10" customFormat="1" hidden="1" outlineLevel="2">
      <c r="A2693" s="70">
        <v>1</v>
      </c>
      <c r="G2693" s="10" t="e">
        <f>Act_Intake</f>
        <v>#NAME?</v>
      </c>
      <c r="I2693" s="48" t="str">
        <f>VLOOKUP(C2681,Tbl_Button_Display_ASSTS,35,FALSE)</f>
        <v>수동 FRE 전압에 따름</v>
      </c>
    </row>
    <row r="2694" spans="1:9" s="10" customFormat="1" hidden="1" outlineLevel="2">
      <c r="A2694" s="70">
        <v>1</v>
      </c>
      <c r="G2694" s="10" t="e">
        <f>BLW_Front</f>
        <v>#NAME?</v>
      </c>
      <c r="I2694" s="97" t="e">
        <f>VLOOKUP(C2681,Tbl_Button_Display_ASSTS,24,FALSE)</f>
        <v>#NAME?</v>
      </c>
    </row>
    <row r="2695" spans="1:9" s="203" customFormat="1">
      <c r="A2695" s="202" t="s">
        <v>1515</v>
      </c>
      <c r="F2695" s="204"/>
    </row>
  </sheetData>
  <autoFilter ref="A1:A2695"/>
  <phoneticPr fontId="4" type="noConversion"/>
  <conditionalFormatting sqref="K2696:K1048576 K59:K120 K1:K57 K2370:K2458 K171:K200 K316 K1090:K1094 K1097:K1168 K1170:K1173 K338:K1087 K1175:K1799 K2490:K2694 K1801:K2342">
    <cfRule type="containsText" dxfId="98" priority="121" operator="containsText" text="fail">
      <formula>NOT(ISERROR(SEARCH("fail",K1)))</formula>
    </cfRule>
    <cfRule type="containsText" dxfId="97" priority="122" operator="containsText" text="Nok">
      <formula>NOT(ISERROR(SEARCH("Nok",K1)))</formula>
    </cfRule>
    <cfRule type="containsText" dxfId="96" priority="123" operator="containsText" text="pass">
      <formula>NOT(ISERROR(SEARCH("pass",K1)))</formula>
    </cfRule>
  </conditionalFormatting>
  <conditionalFormatting sqref="K2695 K166:K170 K201:K204 K207:K211 K214:K218 K221:K225 K228:K264 K267:K315 K322:K337">
    <cfRule type="containsText" dxfId="95" priority="118" operator="containsText" text="nok">
      <formula>NOT(ISERROR(SEARCH("nok",K166)))</formula>
    </cfRule>
    <cfRule type="containsText" dxfId="94" priority="119" operator="containsText" text="fail">
      <formula>NOT(ISERROR(SEARCH("fail",K166)))</formula>
    </cfRule>
    <cfRule type="containsText" dxfId="93" priority="120" operator="containsText" text="pass">
      <formula>NOT(ISERROR(SEARCH("pass",K166)))</formula>
    </cfRule>
  </conditionalFormatting>
  <conditionalFormatting sqref="K58">
    <cfRule type="containsText" dxfId="92" priority="115" operator="containsText" text="nok">
      <formula>NOT(ISERROR(SEARCH("nok",K58)))</formula>
    </cfRule>
    <cfRule type="containsText" dxfId="91" priority="116" operator="containsText" text="fail">
      <formula>NOT(ISERROR(SEARCH("fail",K58)))</formula>
    </cfRule>
    <cfRule type="containsText" dxfId="90" priority="117" operator="containsText" text="pass">
      <formula>NOT(ISERROR(SEARCH("pass",K58)))</formula>
    </cfRule>
  </conditionalFormatting>
  <conditionalFormatting sqref="K122:K123">
    <cfRule type="containsText" dxfId="89" priority="112" operator="containsText" text="nok">
      <formula>NOT(ISERROR(SEARCH("nok",K122)))</formula>
    </cfRule>
    <cfRule type="containsText" dxfId="88" priority="113" operator="containsText" text="fail">
      <formula>NOT(ISERROR(SEARCH("fail",K122)))</formula>
    </cfRule>
    <cfRule type="containsText" dxfId="87" priority="114" operator="containsText" text="pass">
      <formula>NOT(ISERROR(SEARCH("pass",K122)))</formula>
    </cfRule>
  </conditionalFormatting>
  <conditionalFormatting sqref="K143:K145">
    <cfRule type="containsText" dxfId="86" priority="109" operator="containsText" text="nok">
      <formula>NOT(ISERROR(SEARCH("nok",K143)))</formula>
    </cfRule>
    <cfRule type="containsText" dxfId="85" priority="110" operator="containsText" text="fail">
      <formula>NOT(ISERROR(SEARCH("fail",K143)))</formula>
    </cfRule>
    <cfRule type="containsText" dxfId="84" priority="111" operator="containsText" text="pass">
      <formula>NOT(ISERROR(SEARCH("pass",K143)))</formula>
    </cfRule>
  </conditionalFormatting>
  <conditionalFormatting sqref="K121">
    <cfRule type="containsText" dxfId="83" priority="106" operator="containsText" text="nok">
      <formula>NOT(ISERROR(SEARCH("nok",K121)))</formula>
    </cfRule>
    <cfRule type="containsText" dxfId="82" priority="107" operator="containsText" text="fail">
      <formula>NOT(ISERROR(SEARCH("fail",K121)))</formula>
    </cfRule>
    <cfRule type="containsText" dxfId="81" priority="108" operator="containsText" text="pass">
      <formula>NOT(ISERROR(SEARCH("pass",K121)))</formula>
    </cfRule>
  </conditionalFormatting>
  <conditionalFormatting sqref="K124:K131">
    <cfRule type="containsText" dxfId="80" priority="103" operator="containsText" text="nok">
      <formula>NOT(ISERROR(SEARCH("nok",K124)))</formula>
    </cfRule>
    <cfRule type="containsText" dxfId="79" priority="104" operator="containsText" text="fail">
      <formula>NOT(ISERROR(SEARCH("fail",K124)))</formula>
    </cfRule>
    <cfRule type="containsText" dxfId="78" priority="105" operator="containsText" text="pass">
      <formula>NOT(ISERROR(SEARCH("pass",K124)))</formula>
    </cfRule>
  </conditionalFormatting>
  <conditionalFormatting sqref="K146:K153 K158:K165">
    <cfRule type="containsText" dxfId="77" priority="100" operator="containsText" text="nok">
      <formula>NOT(ISERROR(SEARCH("nok",K146)))</formula>
    </cfRule>
    <cfRule type="containsText" dxfId="76" priority="101" operator="containsText" text="fail">
      <formula>NOT(ISERROR(SEARCH("fail",K146)))</formula>
    </cfRule>
    <cfRule type="containsText" dxfId="75" priority="102" operator="containsText" text="pass">
      <formula>NOT(ISERROR(SEARCH("pass",K146)))</formula>
    </cfRule>
  </conditionalFormatting>
  <conditionalFormatting sqref="K154:K155 K157">
    <cfRule type="containsText" dxfId="74" priority="97" operator="containsText" text="nok">
      <formula>NOT(ISERROR(SEARCH("nok",K154)))</formula>
    </cfRule>
    <cfRule type="containsText" dxfId="73" priority="98" operator="containsText" text="fail">
      <formula>NOT(ISERROR(SEARCH("fail",K154)))</formula>
    </cfRule>
    <cfRule type="containsText" dxfId="72" priority="99" operator="containsText" text="pass">
      <formula>NOT(ISERROR(SEARCH("pass",K154)))</formula>
    </cfRule>
  </conditionalFormatting>
  <conditionalFormatting sqref="K135:K142">
    <cfRule type="containsText" dxfId="71" priority="94" operator="containsText" text="nok">
      <formula>NOT(ISERROR(SEARCH("nok",K135)))</formula>
    </cfRule>
    <cfRule type="containsText" dxfId="70" priority="95" operator="containsText" text="fail">
      <formula>NOT(ISERROR(SEARCH("fail",K135)))</formula>
    </cfRule>
    <cfRule type="containsText" dxfId="69" priority="96" operator="containsText" text="pass">
      <formula>NOT(ISERROR(SEARCH("pass",K135)))</formula>
    </cfRule>
  </conditionalFormatting>
  <conditionalFormatting sqref="K132:K134">
    <cfRule type="containsText" dxfId="68" priority="91" operator="containsText" text="nok">
      <formula>NOT(ISERROR(SEARCH("nok",K132)))</formula>
    </cfRule>
    <cfRule type="containsText" dxfId="67" priority="92" operator="containsText" text="fail">
      <formula>NOT(ISERROR(SEARCH("fail",K132)))</formula>
    </cfRule>
    <cfRule type="containsText" dxfId="66" priority="93" operator="containsText" text="pass">
      <formula>NOT(ISERROR(SEARCH("pass",K132)))</formula>
    </cfRule>
  </conditionalFormatting>
  <conditionalFormatting sqref="K156">
    <cfRule type="containsText" dxfId="65" priority="88" operator="containsText" text="nok">
      <formula>NOT(ISERROR(SEARCH("nok",K156)))</formula>
    </cfRule>
    <cfRule type="containsText" dxfId="64" priority="89" operator="containsText" text="fail">
      <formula>NOT(ISERROR(SEARCH("fail",K156)))</formula>
    </cfRule>
    <cfRule type="containsText" dxfId="63" priority="90" operator="containsText" text="pass">
      <formula>NOT(ISERROR(SEARCH("pass",K156)))</formula>
    </cfRule>
  </conditionalFormatting>
  <conditionalFormatting sqref="K2343:K2369">
    <cfRule type="containsText" dxfId="62" priority="76" operator="containsText" text="nok">
      <formula>NOT(ISERROR(SEARCH("nok",K2343)))</formula>
    </cfRule>
    <cfRule type="containsText" dxfId="61" priority="77" operator="containsText" text="fail">
      <formula>NOT(ISERROR(SEARCH("fail",K2343)))</formula>
    </cfRule>
    <cfRule type="containsText" dxfId="60" priority="78" operator="containsText" text="pass">
      <formula>NOT(ISERROR(SEARCH("pass",K2343)))</formula>
    </cfRule>
  </conditionalFormatting>
  <conditionalFormatting sqref="K2459:K2489">
    <cfRule type="containsText" dxfId="59" priority="73" operator="containsText" text="nok">
      <formula>NOT(ISERROR(SEARCH("nok",K2459)))</formula>
    </cfRule>
    <cfRule type="containsText" dxfId="58" priority="74" operator="containsText" text="fail">
      <formula>NOT(ISERROR(SEARCH("fail",K2459)))</formula>
    </cfRule>
    <cfRule type="containsText" dxfId="57" priority="75" operator="containsText" text="pass">
      <formula>NOT(ISERROR(SEARCH("pass",K2459)))</formula>
    </cfRule>
  </conditionalFormatting>
  <conditionalFormatting sqref="K2459:K2468">
    <cfRule type="containsText" dxfId="56" priority="70" operator="containsText" text="nok">
      <formula>NOT(ISERROR(SEARCH("nok",K2459)))</formula>
    </cfRule>
    <cfRule type="containsText" dxfId="55" priority="71" operator="containsText" text="fail">
      <formula>NOT(ISERROR(SEARCH("fail",K2459)))</formula>
    </cfRule>
    <cfRule type="containsText" dxfId="54" priority="72" operator="containsText" text="pass">
      <formula>NOT(ISERROR(SEARCH("pass",K2459)))</formula>
    </cfRule>
  </conditionalFormatting>
  <conditionalFormatting sqref="K2469:K2485 K2487:K2489">
    <cfRule type="containsText" dxfId="53" priority="67" operator="containsText" text="nok">
      <formula>NOT(ISERROR(SEARCH("nok",K2469)))</formula>
    </cfRule>
    <cfRule type="containsText" dxfId="52" priority="68" operator="containsText" text="fail">
      <formula>NOT(ISERROR(SEARCH("fail",K2469)))</formula>
    </cfRule>
    <cfRule type="containsText" dxfId="51" priority="69" operator="containsText" text="pass">
      <formula>NOT(ISERROR(SEARCH("pass",K2469)))</formula>
    </cfRule>
  </conditionalFormatting>
  <conditionalFormatting sqref="K2486">
    <cfRule type="containsText" dxfId="50" priority="64" operator="containsText" text="nok">
      <formula>NOT(ISERROR(SEARCH("nok",K2486)))</formula>
    </cfRule>
    <cfRule type="containsText" dxfId="49" priority="65" operator="containsText" text="fail">
      <formula>NOT(ISERROR(SEARCH("fail",K2486)))</formula>
    </cfRule>
    <cfRule type="containsText" dxfId="48" priority="66" operator="containsText" text="pass">
      <formula>NOT(ISERROR(SEARCH("pass",K2486)))</formula>
    </cfRule>
  </conditionalFormatting>
  <conditionalFormatting sqref="K265:K266">
    <cfRule type="containsText" dxfId="47" priority="52" operator="containsText" text="nok">
      <formula>NOT(ISERROR(SEARCH("nok",K265)))</formula>
    </cfRule>
    <cfRule type="containsText" dxfId="46" priority="53" operator="containsText" text="fail">
      <formula>NOT(ISERROR(SEARCH("fail",K265)))</formula>
    </cfRule>
    <cfRule type="containsText" dxfId="45" priority="54" operator="containsText" text="pass">
      <formula>NOT(ISERROR(SEARCH("pass",K265)))</formula>
    </cfRule>
  </conditionalFormatting>
  <conditionalFormatting sqref="K205">
    <cfRule type="containsText" dxfId="44" priority="46" operator="containsText" text="fail">
      <formula>NOT(ISERROR(SEARCH("fail",K205)))</formula>
    </cfRule>
    <cfRule type="containsText" dxfId="43" priority="47" operator="containsText" text="Nok">
      <formula>NOT(ISERROR(SEARCH("Nok",K205)))</formula>
    </cfRule>
    <cfRule type="containsText" dxfId="42" priority="48" operator="containsText" text="pass">
      <formula>NOT(ISERROR(SEARCH("pass",K205)))</formula>
    </cfRule>
  </conditionalFormatting>
  <conditionalFormatting sqref="K206">
    <cfRule type="containsText" dxfId="41" priority="43" operator="containsText" text="fail">
      <formula>NOT(ISERROR(SEARCH("fail",K206)))</formula>
    </cfRule>
    <cfRule type="containsText" dxfId="40" priority="44" operator="containsText" text="Nok">
      <formula>NOT(ISERROR(SEARCH("Nok",K206)))</formula>
    </cfRule>
    <cfRule type="containsText" dxfId="39" priority="45" operator="containsText" text="pass">
      <formula>NOT(ISERROR(SEARCH("pass",K206)))</formula>
    </cfRule>
  </conditionalFormatting>
  <conditionalFormatting sqref="K212">
    <cfRule type="containsText" dxfId="38" priority="40" operator="containsText" text="fail">
      <formula>NOT(ISERROR(SEARCH("fail",K212)))</formula>
    </cfRule>
    <cfRule type="containsText" dxfId="37" priority="41" operator="containsText" text="Nok">
      <formula>NOT(ISERROR(SEARCH("Nok",K212)))</formula>
    </cfRule>
    <cfRule type="containsText" dxfId="36" priority="42" operator="containsText" text="pass">
      <formula>NOT(ISERROR(SEARCH("pass",K212)))</formula>
    </cfRule>
  </conditionalFormatting>
  <conditionalFormatting sqref="K213">
    <cfRule type="containsText" dxfId="35" priority="37" operator="containsText" text="fail">
      <formula>NOT(ISERROR(SEARCH("fail",K213)))</formula>
    </cfRule>
    <cfRule type="containsText" dxfId="34" priority="38" operator="containsText" text="Nok">
      <formula>NOT(ISERROR(SEARCH("Nok",K213)))</formula>
    </cfRule>
    <cfRule type="containsText" dxfId="33" priority="39" operator="containsText" text="pass">
      <formula>NOT(ISERROR(SEARCH("pass",K213)))</formula>
    </cfRule>
  </conditionalFormatting>
  <conditionalFormatting sqref="K219">
    <cfRule type="containsText" dxfId="32" priority="34" operator="containsText" text="fail">
      <formula>NOT(ISERROR(SEARCH("fail",K219)))</formula>
    </cfRule>
    <cfRule type="containsText" dxfId="31" priority="35" operator="containsText" text="Nok">
      <formula>NOT(ISERROR(SEARCH("Nok",K219)))</formula>
    </cfRule>
    <cfRule type="containsText" dxfId="30" priority="36" operator="containsText" text="pass">
      <formula>NOT(ISERROR(SEARCH("pass",K219)))</formula>
    </cfRule>
  </conditionalFormatting>
  <conditionalFormatting sqref="K220">
    <cfRule type="containsText" dxfId="29" priority="31" operator="containsText" text="fail">
      <formula>NOT(ISERROR(SEARCH("fail",K220)))</formula>
    </cfRule>
    <cfRule type="containsText" dxfId="28" priority="32" operator="containsText" text="Nok">
      <formula>NOT(ISERROR(SEARCH("Nok",K220)))</formula>
    </cfRule>
    <cfRule type="containsText" dxfId="27" priority="33" operator="containsText" text="pass">
      <formula>NOT(ISERROR(SEARCH("pass",K220)))</formula>
    </cfRule>
  </conditionalFormatting>
  <conditionalFormatting sqref="K226">
    <cfRule type="containsText" dxfId="26" priority="28" operator="containsText" text="fail">
      <formula>NOT(ISERROR(SEARCH("fail",K226)))</formula>
    </cfRule>
    <cfRule type="containsText" dxfId="25" priority="29" operator="containsText" text="Nok">
      <formula>NOT(ISERROR(SEARCH("Nok",K226)))</formula>
    </cfRule>
    <cfRule type="containsText" dxfId="24" priority="30" operator="containsText" text="pass">
      <formula>NOT(ISERROR(SEARCH("pass",K226)))</formula>
    </cfRule>
  </conditionalFormatting>
  <conditionalFormatting sqref="K227">
    <cfRule type="containsText" dxfId="23" priority="25" operator="containsText" text="fail">
      <formula>NOT(ISERROR(SEARCH("fail",K227)))</formula>
    </cfRule>
    <cfRule type="containsText" dxfId="22" priority="26" operator="containsText" text="Nok">
      <formula>NOT(ISERROR(SEARCH("Nok",K227)))</formula>
    </cfRule>
    <cfRule type="containsText" dxfId="21" priority="27" operator="containsText" text="pass">
      <formula>NOT(ISERROR(SEARCH("pass",K227)))</formula>
    </cfRule>
  </conditionalFormatting>
  <conditionalFormatting sqref="K317:K318">
    <cfRule type="containsText" dxfId="20" priority="19" operator="containsText" text="nok">
      <formula>NOT(ISERROR(SEARCH("nok",K317)))</formula>
    </cfRule>
    <cfRule type="containsText" dxfId="19" priority="20" operator="containsText" text="fail">
      <formula>NOT(ISERROR(SEARCH("fail",K317)))</formula>
    </cfRule>
    <cfRule type="containsText" dxfId="18" priority="21" operator="containsText" text="pass">
      <formula>NOT(ISERROR(SEARCH("pass",K317)))</formula>
    </cfRule>
  </conditionalFormatting>
  <conditionalFormatting sqref="K319:K321">
    <cfRule type="containsText" dxfId="17" priority="16" operator="containsText" text="nok">
      <formula>NOT(ISERROR(SEARCH("nok",K319)))</formula>
    </cfRule>
    <cfRule type="containsText" dxfId="16" priority="17" operator="containsText" text="fail">
      <formula>NOT(ISERROR(SEARCH("fail",K319)))</formula>
    </cfRule>
    <cfRule type="containsText" dxfId="15" priority="18" operator="containsText" text="pass">
      <formula>NOT(ISERROR(SEARCH("pass",K319)))</formula>
    </cfRule>
  </conditionalFormatting>
  <conditionalFormatting sqref="K1800">
    <cfRule type="containsText" dxfId="14" priority="13" operator="containsText" text="fail">
      <formula>NOT(ISERROR(SEARCH("fail",K1800)))</formula>
    </cfRule>
    <cfRule type="containsText" dxfId="13" priority="14" operator="containsText" text="Nok">
      <formula>NOT(ISERROR(SEARCH("Nok",K1800)))</formula>
    </cfRule>
    <cfRule type="containsText" dxfId="12" priority="15" operator="containsText" text="pass">
      <formula>NOT(ISERROR(SEARCH("pass",K1800)))</formula>
    </cfRule>
  </conditionalFormatting>
  <conditionalFormatting sqref="K1088:K1089">
    <cfRule type="containsText" dxfId="11" priority="10" operator="containsText" text="fail">
      <formula>NOT(ISERROR(SEARCH("fail",K1088)))</formula>
    </cfRule>
    <cfRule type="containsText" dxfId="10" priority="11" operator="containsText" text="Nok">
      <formula>NOT(ISERROR(SEARCH("Nok",K1088)))</formula>
    </cfRule>
    <cfRule type="containsText" dxfId="9" priority="12" operator="containsText" text="pass">
      <formula>NOT(ISERROR(SEARCH("pass",K1088)))</formula>
    </cfRule>
  </conditionalFormatting>
  <conditionalFormatting sqref="K1095:K1096">
    <cfRule type="containsText" dxfId="8" priority="7" operator="containsText" text="fail">
      <formula>NOT(ISERROR(SEARCH("fail",K1095)))</formula>
    </cfRule>
    <cfRule type="containsText" dxfId="7" priority="8" operator="containsText" text="Nok">
      <formula>NOT(ISERROR(SEARCH("Nok",K1095)))</formula>
    </cfRule>
    <cfRule type="containsText" dxfId="6" priority="9" operator="containsText" text="pass">
      <formula>NOT(ISERROR(SEARCH("pass",K1095)))</formula>
    </cfRule>
  </conditionalFormatting>
  <conditionalFormatting sqref="K1169">
    <cfRule type="containsText" dxfId="5" priority="4" operator="containsText" text="fail">
      <formula>NOT(ISERROR(SEARCH("fail",K1169)))</formula>
    </cfRule>
    <cfRule type="containsText" dxfId="4" priority="5" operator="containsText" text="Nok">
      <formula>NOT(ISERROR(SEARCH("Nok",K1169)))</formula>
    </cfRule>
    <cfRule type="containsText" dxfId="3" priority="6" operator="containsText" text="pass">
      <formula>NOT(ISERROR(SEARCH("pass",K1169)))</formula>
    </cfRule>
  </conditionalFormatting>
  <conditionalFormatting sqref="K1174">
    <cfRule type="containsText" dxfId="2" priority="1" operator="containsText" text="fail">
      <formula>NOT(ISERROR(SEARCH("fail",K1174)))</formula>
    </cfRule>
    <cfRule type="containsText" dxfId="1" priority="2" operator="containsText" text="Nok">
      <formula>NOT(ISERROR(SEARCH("Nok",K1174)))</formula>
    </cfRule>
    <cfRule type="containsText" dxfId="0" priority="3" operator="containsText" text="pass">
      <formula>NOT(ISERROR(SEARCH("pass",K1174)))</formula>
    </cfRule>
  </conditionalFormatting>
  <dataValidations count="1">
    <dataValidation type="list" allowBlank="1" showInputMessage="1" showErrorMessage="1" sqref="K2:K1048576">
      <formula1>"PASS,FAIL,NOK"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V457"/>
  <sheetViews>
    <sheetView showGridLines="0" tabSelected="1" zoomScale="85" zoomScaleNormal="85" workbookViewId="0">
      <selection activeCell="E12" sqref="E12"/>
    </sheetView>
  </sheetViews>
  <sheetFormatPr defaultColWidth="9.28515625" defaultRowHeight="12.75"/>
  <cols>
    <col min="1" max="1" width="2" style="171" customWidth="1"/>
    <col min="2" max="2" width="21.28515625" style="171" customWidth="1"/>
    <col min="3" max="3" width="19.7109375" style="171" customWidth="1"/>
    <col min="4" max="4" width="20.85546875" style="171" customWidth="1"/>
    <col min="5" max="12" width="19.7109375" style="171" customWidth="1"/>
    <col min="13" max="13" width="9.28515625" style="171"/>
    <col min="14" max="14" width="17.85546875" style="171" customWidth="1"/>
    <col min="15" max="15" width="17.5703125" style="171" customWidth="1"/>
    <col min="16" max="16" width="18.140625" style="171" customWidth="1"/>
    <col min="17" max="17" width="16.5703125" style="171" customWidth="1"/>
    <col min="18" max="18" width="18.28515625" style="171" customWidth="1"/>
    <col min="19" max="19" width="18.28515625" style="171" bestFit="1" customWidth="1"/>
    <col min="20" max="20" width="18.7109375" style="171" bestFit="1" customWidth="1"/>
    <col min="21" max="16384" width="9.28515625" style="171"/>
  </cols>
  <sheetData>
    <row r="1" spans="2:22" s="292" customFormat="1"/>
    <row r="2" spans="2:22" s="34" customFormat="1">
      <c r="B2" s="33" t="s">
        <v>70</v>
      </c>
      <c r="C2" s="33"/>
      <c r="F2" s="33" t="s">
        <v>52</v>
      </c>
      <c r="G2" s="33"/>
      <c r="I2" s="1"/>
      <c r="J2" s="33" t="s">
        <v>66</v>
      </c>
      <c r="K2" s="33"/>
      <c r="N2" s="33" t="s">
        <v>295</v>
      </c>
      <c r="P2" s="33" t="s">
        <v>296</v>
      </c>
      <c r="S2" s="33" t="s">
        <v>1882</v>
      </c>
      <c r="T2" s="33"/>
    </row>
    <row r="3" spans="2:22" ht="13.5">
      <c r="B3" s="35" t="s">
        <v>71</v>
      </c>
      <c r="C3" s="36" t="s">
        <v>72</v>
      </c>
      <c r="D3" s="35" t="s">
        <v>69</v>
      </c>
      <c r="F3" s="35" t="s">
        <v>53</v>
      </c>
      <c r="G3" s="36" t="s">
        <v>54</v>
      </c>
      <c r="H3" s="35" t="s">
        <v>55</v>
      </c>
      <c r="J3" s="35" t="s">
        <v>67</v>
      </c>
      <c r="K3" s="36" t="s">
        <v>68</v>
      </c>
      <c r="L3" s="35" t="s">
        <v>69</v>
      </c>
      <c r="N3" s="285" t="s">
        <v>351</v>
      </c>
      <c r="O3" s="285"/>
      <c r="P3" s="285"/>
      <c r="Q3" s="285"/>
      <c r="S3" s="36" t="s">
        <v>1883</v>
      </c>
      <c r="T3" s="36" t="s">
        <v>1884</v>
      </c>
      <c r="U3" s="36" t="s">
        <v>1885</v>
      </c>
      <c r="V3" s="35" t="s">
        <v>69</v>
      </c>
    </row>
    <row r="4" spans="2:22">
      <c r="B4" s="172" t="s">
        <v>2</v>
      </c>
      <c r="C4" s="256">
        <v>0</v>
      </c>
      <c r="D4" s="172"/>
      <c r="F4" s="172" t="s">
        <v>14</v>
      </c>
      <c r="G4" s="257">
        <v>0.3</v>
      </c>
      <c r="H4" s="172"/>
      <c r="J4" s="172" t="s">
        <v>14</v>
      </c>
      <c r="K4" s="257">
        <v>4.7</v>
      </c>
      <c r="L4" s="172"/>
      <c r="N4" s="286" t="s">
        <v>1035</v>
      </c>
      <c r="O4" s="288" t="s">
        <v>1036</v>
      </c>
      <c r="P4" s="286" t="s">
        <v>1035</v>
      </c>
      <c r="Q4" s="288" t="s">
        <v>1037</v>
      </c>
      <c r="R4" s="258" t="s">
        <v>1886</v>
      </c>
      <c r="S4" s="175">
        <v>3.4</v>
      </c>
      <c r="T4" s="256">
        <v>0.6</v>
      </c>
      <c r="U4" s="256">
        <v>1.3</v>
      </c>
      <c r="V4" s="172"/>
    </row>
    <row r="5" spans="2:22">
      <c r="B5" s="173">
        <v>1</v>
      </c>
      <c r="C5" s="256">
        <v>3.8</v>
      </c>
      <c r="D5" s="172"/>
      <c r="F5" s="172" t="s">
        <v>114</v>
      </c>
      <c r="G5" s="257">
        <v>1.4</v>
      </c>
      <c r="H5" s="172" t="s">
        <v>88</v>
      </c>
      <c r="J5" s="172" t="s">
        <v>114</v>
      </c>
      <c r="K5" s="257">
        <v>4.7</v>
      </c>
      <c r="L5" s="172" t="s">
        <v>115</v>
      </c>
      <c r="N5" s="287"/>
      <c r="O5" s="289"/>
      <c r="P5" s="287"/>
      <c r="Q5" s="289"/>
      <c r="R5" s="258"/>
      <c r="S5" s="175">
        <v>4.3</v>
      </c>
      <c r="T5" s="256">
        <v>0.6</v>
      </c>
      <c r="U5" s="256">
        <v>1.3</v>
      </c>
      <c r="V5" s="172"/>
    </row>
    <row r="6" spans="2:22">
      <c r="B6" s="173">
        <v>2</v>
      </c>
      <c r="C6" s="256">
        <v>5.0999999999999996</v>
      </c>
      <c r="D6" s="172"/>
      <c r="F6" s="172" t="s">
        <v>15</v>
      </c>
      <c r="G6" s="257"/>
      <c r="H6" s="172"/>
      <c r="J6" s="172" t="s">
        <v>15</v>
      </c>
      <c r="K6" s="257"/>
      <c r="L6" s="172"/>
      <c r="N6" s="74">
        <v>-40</v>
      </c>
      <c r="O6" s="75">
        <v>11.3</v>
      </c>
      <c r="P6" s="74">
        <v>-40</v>
      </c>
      <c r="Q6" s="75">
        <v>11.3</v>
      </c>
      <c r="R6" s="258"/>
      <c r="S6" s="175">
        <v>5.3</v>
      </c>
      <c r="T6" s="256">
        <v>1</v>
      </c>
      <c r="U6" s="256">
        <v>1.3</v>
      </c>
      <c r="V6" s="172"/>
    </row>
    <row r="7" spans="2:22">
      <c r="B7" s="173">
        <v>3</v>
      </c>
      <c r="C7" s="256">
        <v>6.3</v>
      </c>
      <c r="D7" s="172"/>
      <c r="F7" s="172" t="s">
        <v>16</v>
      </c>
      <c r="G7" s="257">
        <v>1.4</v>
      </c>
      <c r="H7" s="172" t="s">
        <v>268</v>
      </c>
      <c r="J7" s="172" t="s">
        <v>16</v>
      </c>
      <c r="K7" s="257">
        <v>3.23</v>
      </c>
      <c r="L7" s="172" t="s">
        <v>268</v>
      </c>
      <c r="N7" s="74">
        <v>-20</v>
      </c>
      <c r="O7" s="75">
        <v>11.3</v>
      </c>
      <c r="P7" s="74">
        <v>-20</v>
      </c>
      <c r="Q7" s="75">
        <v>11.3</v>
      </c>
      <c r="R7" s="258"/>
      <c r="S7" s="175">
        <v>6.3</v>
      </c>
      <c r="T7" s="256">
        <v>1.4</v>
      </c>
      <c r="U7" s="256">
        <v>1.4</v>
      </c>
      <c r="V7" s="172"/>
    </row>
    <row r="8" spans="2:22">
      <c r="B8" s="173">
        <v>4</v>
      </c>
      <c r="C8" s="256">
        <v>7.6</v>
      </c>
      <c r="D8" s="172"/>
      <c r="F8" s="172" t="s">
        <v>17</v>
      </c>
      <c r="G8" s="257">
        <v>2.5</v>
      </c>
      <c r="H8" s="172"/>
      <c r="J8" s="172" t="s">
        <v>17</v>
      </c>
      <c r="K8" s="257">
        <v>3.94</v>
      </c>
      <c r="L8" s="172"/>
      <c r="N8" s="74">
        <v>-10</v>
      </c>
      <c r="O8" s="75">
        <v>11.3</v>
      </c>
      <c r="P8" s="74">
        <v>-10</v>
      </c>
      <c r="Q8" s="75">
        <v>11.3</v>
      </c>
      <c r="R8" s="258"/>
      <c r="S8" s="175">
        <v>7.4</v>
      </c>
      <c r="T8" s="256">
        <v>1.8</v>
      </c>
      <c r="U8" s="256">
        <v>1.4</v>
      </c>
      <c r="V8" s="172"/>
    </row>
    <row r="9" spans="2:22">
      <c r="B9" s="173">
        <v>5</v>
      </c>
      <c r="C9" s="256">
        <v>8.8000000000000007</v>
      </c>
      <c r="D9" s="172"/>
      <c r="F9" s="172" t="s">
        <v>113</v>
      </c>
      <c r="G9" s="257">
        <v>3.6</v>
      </c>
      <c r="H9" s="172" t="s">
        <v>113</v>
      </c>
      <c r="J9" s="172" t="s">
        <v>113</v>
      </c>
      <c r="K9" s="257">
        <v>3.38</v>
      </c>
      <c r="L9" s="172" t="s">
        <v>116</v>
      </c>
      <c r="N9" s="74">
        <v>-5</v>
      </c>
      <c r="O9" s="75">
        <v>11.3</v>
      </c>
      <c r="P9" s="74">
        <v>-5</v>
      </c>
      <c r="Q9" s="75">
        <v>11.3</v>
      </c>
      <c r="R9" s="258"/>
      <c r="S9" s="175">
        <v>8.6</v>
      </c>
      <c r="T9" s="256">
        <v>2.1</v>
      </c>
      <c r="U9" s="256">
        <v>1.5</v>
      </c>
      <c r="V9" s="172"/>
    </row>
    <row r="10" spans="2:22">
      <c r="B10" s="173">
        <v>6</v>
      </c>
      <c r="C10" s="256">
        <v>10.1</v>
      </c>
      <c r="D10" s="172"/>
      <c r="F10" s="172" t="s">
        <v>18</v>
      </c>
      <c r="G10" s="257">
        <v>4.7</v>
      </c>
      <c r="H10" s="172"/>
      <c r="I10" s="174"/>
      <c r="J10" s="172" t="s">
        <v>18</v>
      </c>
      <c r="K10" s="257">
        <v>1.71</v>
      </c>
      <c r="L10" s="172"/>
      <c r="N10" s="74">
        <v>0</v>
      </c>
      <c r="O10" s="75">
        <v>11.3</v>
      </c>
      <c r="P10" s="74">
        <v>0</v>
      </c>
      <c r="Q10" s="75">
        <v>11.3</v>
      </c>
      <c r="R10" s="258"/>
      <c r="S10" s="175">
        <v>9.8000000000000007</v>
      </c>
      <c r="T10" s="256">
        <v>2.5</v>
      </c>
      <c r="U10" s="256">
        <v>1.5</v>
      </c>
      <c r="V10" s="172"/>
    </row>
    <row r="11" spans="2:22">
      <c r="B11" s="173">
        <v>7</v>
      </c>
      <c r="C11" s="256">
        <v>11.3</v>
      </c>
      <c r="D11" s="172"/>
      <c r="F11" s="172" t="s">
        <v>19</v>
      </c>
      <c r="G11" s="257"/>
      <c r="H11" s="172"/>
      <c r="I11" s="174"/>
      <c r="J11" s="172" t="s">
        <v>19</v>
      </c>
      <c r="K11" s="256">
        <v>3.39</v>
      </c>
      <c r="L11" s="172"/>
      <c r="N11" s="74">
        <v>8</v>
      </c>
      <c r="O11" s="75">
        <v>9</v>
      </c>
      <c r="P11" s="74">
        <v>8</v>
      </c>
      <c r="Q11" s="75">
        <v>9</v>
      </c>
      <c r="R11" s="258"/>
      <c r="S11" s="175">
        <v>11</v>
      </c>
      <c r="T11" s="256">
        <v>2.9</v>
      </c>
      <c r="U11" s="256">
        <v>1.5</v>
      </c>
      <c r="V11" s="172"/>
    </row>
    <row r="12" spans="2:22">
      <c r="B12" s="173">
        <v>8</v>
      </c>
      <c r="C12" s="256">
        <v>13.5</v>
      </c>
      <c r="D12" s="172"/>
      <c r="F12" s="172" t="s">
        <v>20</v>
      </c>
      <c r="G12" s="257"/>
      <c r="H12" s="172"/>
      <c r="I12" s="174"/>
      <c r="J12" s="172" t="s">
        <v>20</v>
      </c>
      <c r="K12" s="256">
        <v>2.13</v>
      </c>
      <c r="L12" s="172"/>
      <c r="N12" s="74">
        <v>17</v>
      </c>
      <c r="O12" s="75">
        <v>9</v>
      </c>
      <c r="P12" s="74">
        <v>17</v>
      </c>
      <c r="Q12" s="75">
        <v>9</v>
      </c>
      <c r="R12" s="258" t="s">
        <v>1887</v>
      </c>
      <c r="S12" s="175">
        <v>12.5</v>
      </c>
      <c r="T12" s="175">
        <v>3.4</v>
      </c>
      <c r="U12" s="175">
        <v>1.6</v>
      </c>
      <c r="V12" s="172"/>
    </row>
    <row r="13" spans="2:22">
      <c r="B13" s="172" t="s">
        <v>21</v>
      </c>
      <c r="C13" s="175">
        <v>3.8</v>
      </c>
      <c r="D13" s="172"/>
      <c r="F13" s="172" t="s">
        <v>323</v>
      </c>
      <c r="G13" s="256">
        <v>4.7</v>
      </c>
      <c r="H13" s="172"/>
      <c r="I13" s="174"/>
      <c r="J13" s="172" t="s">
        <v>323</v>
      </c>
      <c r="K13" s="256">
        <v>1.59</v>
      </c>
      <c r="L13" s="172"/>
      <c r="N13" s="74">
        <v>25</v>
      </c>
      <c r="O13" s="75">
        <v>12.5</v>
      </c>
      <c r="P13" s="74">
        <v>25</v>
      </c>
      <c r="Q13" s="75">
        <v>12.5</v>
      </c>
      <c r="S13" s="175">
        <v>16</v>
      </c>
      <c r="T13" s="175">
        <v>3.4</v>
      </c>
      <c r="U13" s="175">
        <v>1.6</v>
      </c>
      <c r="V13" s="172"/>
    </row>
    <row r="14" spans="2:22">
      <c r="B14" s="172" t="s">
        <v>4</v>
      </c>
      <c r="C14" s="175">
        <v>11.3</v>
      </c>
      <c r="D14" s="172"/>
      <c r="F14" s="172" t="s">
        <v>22</v>
      </c>
      <c r="G14" s="256">
        <v>2.5</v>
      </c>
      <c r="H14" s="172"/>
      <c r="I14" s="174"/>
      <c r="J14" s="172" t="s">
        <v>410</v>
      </c>
      <c r="K14" s="256">
        <v>4.7</v>
      </c>
      <c r="L14" s="172"/>
      <c r="N14" s="74">
        <v>28.9</v>
      </c>
      <c r="O14" s="75">
        <v>12.5</v>
      </c>
      <c r="P14" s="74">
        <v>25.1</v>
      </c>
      <c r="Q14" s="75">
        <v>13.5</v>
      </c>
    </row>
    <row r="15" spans="2:22">
      <c r="B15" s="172" t="s">
        <v>3</v>
      </c>
      <c r="C15" s="175">
        <v>3.8</v>
      </c>
      <c r="D15" s="172"/>
      <c r="F15" s="172" t="s">
        <v>1410</v>
      </c>
      <c r="G15" s="256">
        <v>0.9</v>
      </c>
      <c r="H15" s="172"/>
      <c r="I15" s="174"/>
      <c r="J15" s="172" t="s">
        <v>374</v>
      </c>
      <c r="K15" s="256">
        <v>2.52</v>
      </c>
      <c r="L15" s="172"/>
      <c r="N15" s="74">
        <v>29</v>
      </c>
      <c r="O15" s="75">
        <v>13.5</v>
      </c>
      <c r="P15" s="74">
        <v>29</v>
      </c>
      <c r="Q15" s="75">
        <v>13.5</v>
      </c>
    </row>
    <row r="16" spans="2:22">
      <c r="B16" s="172" t="s">
        <v>321</v>
      </c>
      <c r="C16" s="175">
        <v>6.5</v>
      </c>
      <c r="D16" s="172"/>
      <c r="F16" s="172" t="s">
        <v>1888</v>
      </c>
      <c r="G16" s="256">
        <v>4.7</v>
      </c>
      <c r="H16" s="172"/>
      <c r="I16" s="174"/>
      <c r="J16" s="172" t="s">
        <v>376</v>
      </c>
      <c r="K16" s="256">
        <v>3.46</v>
      </c>
      <c r="L16" s="172"/>
      <c r="N16" s="74">
        <v>40</v>
      </c>
      <c r="O16" s="75">
        <v>13.5</v>
      </c>
      <c r="P16" s="74">
        <v>40</v>
      </c>
      <c r="Q16" s="75">
        <v>13.5</v>
      </c>
    </row>
    <row r="17" spans="2:17">
      <c r="B17" s="172" t="s">
        <v>403</v>
      </c>
      <c r="C17" s="175">
        <v>4.5</v>
      </c>
      <c r="D17" s="172"/>
      <c r="F17" s="172" t="s">
        <v>1889</v>
      </c>
      <c r="G17" s="256">
        <v>1.2</v>
      </c>
      <c r="H17" s="172"/>
      <c r="I17" s="174"/>
      <c r="J17" s="172" t="s">
        <v>1410</v>
      </c>
      <c r="K17" s="256">
        <v>0.9</v>
      </c>
      <c r="L17" s="172"/>
      <c r="N17" s="74">
        <v>60</v>
      </c>
      <c r="O17" s="75">
        <v>13.5</v>
      </c>
      <c r="P17" s="74">
        <v>60</v>
      </c>
      <c r="Q17" s="75">
        <v>13.5</v>
      </c>
    </row>
    <row r="18" spans="2:17">
      <c r="B18" s="172"/>
      <c r="C18" s="175"/>
      <c r="D18" s="172"/>
      <c r="F18" s="172"/>
      <c r="G18" s="256"/>
      <c r="H18" s="172"/>
      <c r="I18" s="174"/>
      <c r="J18" s="172" t="s">
        <v>1442</v>
      </c>
      <c r="K18" s="256">
        <v>4.7</v>
      </c>
      <c r="L18" s="172" t="s">
        <v>1411</v>
      </c>
    </row>
    <row r="19" spans="2:17">
      <c r="B19" s="172"/>
      <c r="C19" s="175"/>
      <c r="D19" s="172"/>
      <c r="F19" s="172"/>
      <c r="G19" s="256"/>
      <c r="H19" s="172"/>
      <c r="I19" s="174"/>
      <c r="J19" s="172"/>
      <c r="K19" s="256"/>
      <c r="L19" s="172"/>
      <c r="N19" s="33" t="s">
        <v>399</v>
      </c>
    </row>
    <row r="20" spans="2:17" ht="13.5">
      <c r="B20" s="172"/>
      <c r="C20" s="175"/>
      <c r="D20" s="172" t="s">
        <v>1800</v>
      </c>
      <c r="F20" s="172"/>
      <c r="G20" s="256"/>
      <c r="H20" s="172"/>
      <c r="I20" s="174"/>
      <c r="J20" s="172"/>
      <c r="K20" s="256"/>
      <c r="L20" s="172"/>
      <c r="N20" s="76" t="s">
        <v>395</v>
      </c>
      <c r="O20" s="77"/>
      <c r="P20" s="77"/>
      <c r="Q20" s="78"/>
    </row>
    <row r="21" spans="2:17" ht="13.5">
      <c r="B21" s="172" t="s">
        <v>317</v>
      </c>
      <c r="C21" s="175" t="s">
        <v>318</v>
      </c>
      <c r="D21" s="172"/>
      <c r="F21" s="172"/>
      <c r="G21" s="256"/>
      <c r="H21" s="172"/>
      <c r="I21" s="174"/>
      <c r="J21" s="172"/>
      <c r="K21" s="256"/>
      <c r="L21" s="172"/>
      <c r="N21" s="76" t="s">
        <v>396</v>
      </c>
      <c r="O21" s="77"/>
      <c r="P21" s="77"/>
      <c r="Q21" s="78"/>
    </row>
    <row r="22" spans="2:17">
      <c r="F22" s="174"/>
      <c r="G22" s="176"/>
      <c r="H22" s="174"/>
      <c r="I22" s="174"/>
      <c r="J22" s="174"/>
      <c r="K22" s="174"/>
      <c r="L22" s="174"/>
      <c r="N22" s="76"/>
      <c r="O22" s="79" t="s">
        <v>391</v>
      </c>
      <c r="P22" s="79" t="s">
        <v>392</v>
      </c>
      <c r="Q22" s="79" t="s">
        <v>393</v>
      </c>
    </row>
    <row r="23" spans="2:17" s="34" customFormat="1" ht="13.5">
      <c r="B23" s="33" t="s">
        <v>73</v>
      </c>
      <c r="C23" s="33"/>
      <c r="F23" s="33" t="s">
        <v>77</v>
      </c>
      <c r="G23" s="33"/>
      <c r="I23" s="174"/>
      <c r="J23" s="58" t="s">
        <v>291</v>
      </c>
      <c r="K23" s="58"/>
      <c r="L23" s="59"/>
      <c r="N23" s="115" t="s">
        <v>394</v>
      </c>
      <c r="O23" s="115" t="s">
        <v>1038</v>
      </c>
      <c r="P23" s="115" t="s">
        <v>1038</v>
      </c>
      <c r="Q23" s="115" t="s">
        <v>1038</v>
      </c>
    </row>
    <row r="24" spans="2:17">
      <c r="B24" s="35" t="s">
        <v>74</v>
      </c>
      <c r="C24" s="36" t="s">
        <v>75</v>
      </c>
      <c r="D24" s="35" t="s">
        <v>55</v>
      </c>
      <c r="F24" s="35" t="s">
        <v>78</v>
      </c>
      <c r="G24" s="36" t="s">
        <v>75</v>
      </c>
      <c r="H24" s="35" t="s">
        <v>55</v>
      </c>
      <c r="I24" s="174"/>
      <c r="J24" s="60" t="s">
        <v>292</v>
      </c>
      <c r="K24" s="61" t="s">
        <v>293</v>
      </c>
      <c r="L24" s="60" t="s">
        <v>69</v>
      </c>
      <c r="N24" s="80">
        <v>0</v>
      </c>
      <c r="O24" s="81">
        <v>4.5</v>
      </c>
      <c r="P24" s="81">
        <v>4</v>
      </c>
      <c r="Q24" s="81">
        <v>3.4</v>
      </c>
    </row>
    <row r="25" spans="2:17">
      <c r="B25" s="172" t="s">
        <v>50</v>
      </c>
      <c r="C25" s="175">
        <v>0.3</v>
      </c>
      <c r="D25" s="172" t="s">
        <v>98</v>
      </c>
      <c r="F25" s="172" t="s">
        <v>79</v>
      </c>
      <c r="G25" s="175">
        <v>0.3</v>
      </c>
      <c r="H25" s="172"/>
      <c r="I25" s="174"/>
      <c r="J25" s="177">
        <v>0</v>
      </c>
      <c r="K25" s="62" t="s">
        <v>2</v>
      </c>
      <c r="L25" s="177"/>
      <c r="N25" s="80">
        <v>5</v>
      </c>
      <c r="O25" s="81">
        <v>4.5</v>
      </c>
      <c r="P25" s="81">
        <v>4</v>
      </c>
      <c r="Q25" s="81">
        <v>3.4</v>
      </c>
    </row>
    <row r="26" spans="2:17">
      <c r="B26" s="172" t="s">
        <v>51</v>
      </c>
      <c r="C26" s="175">
        <v>4.7</v>
      </c>
      <c r="D26" s="172" t="s">
        <v>98</v>
      </c>
      <c r="F26" s="172" t="s">
        <v>80</v>
      </c>
      <c r="G26" s="175">
        <v>4.7</v>
      </c>
      <c r="H26" s="172" t="s">
        <v>412</v>
      </c>
      <c r="I26" s="174"/>
      <c r="J26" s="178">
        <v>3</v>
      </c>
      <c r="K26" s="62">
        <v>1</v>
      </c>
      <c r="L26" s="177"/>
      <c r="N26" s="80">
        <v>10</v>
      </c>
      <c r="O26" s="81">
        <v>4.6500000000000004</v>
      </c>
      <c r="P26" s="81">
        <v>4.2</v>
      </c>
      <c r="Q26" s="81">
        <v>3.75</v>
      </c>
    </row>
    <row r="27" spans="2:17">
      <c r="B27" s="172" t="s">
        <v>76</v>
      </c>
      <c r="C27" s="175">
        <v>1.5</v>
      </c>
      <c r="D27" s="172" t="s">
        <v>98</v>
      </c>
      <c r="F27" s="172" t="s">
        <v>81</v>
      </c>
      <c r="G27" s="175"/>
      <c r="H27" s="172"/>
      <c r="I27" s="174"/>
      <c r="J27" s="178">
        <v>5.5</v>
      </c>
      <c r="K27" s="62">
        <v>2</v>
      </c>
      <c r="L27" s="177"/>
      <c r="N27" s="80">
        <v>15</v>
      </c>
      <c r="O27" s="81">
        <v>4.8</v>
      </c>
      <c r="P27" s="81">
        <v>4.4000000000000004</v>
      </c>
      <c r="Q27" s="81">
        <v>4</v>
      </c>
    </row>
    <row r="28" spans="2:17">
      <c r="B28" s="172" t="s">
        <v>1191</v>
      </c>
      <c r="C28" s="175">
        <v>2.5</v>
      </c>
      <c r="D28" s="172" t="s">
        <v>1192</v>
      </c>
      <c r="F28" s="172" t="s">
        <v>82</v>
      </c>
      <c r="G28" s="175"/>
      <c r="H28" s="172"/>
      <c r="I28" s="174"/>
      <c r="J28" s="178">
        <v>6.3</v>
      </c>
      <c r="K28" s="62">
        <v>3</v>
      </c>
      <c r="L28" s="177"/>
      <c r="N28" s="80">
        <v>20</v>
      </c>
      <c r="O28" s="81">
        <v>4.95</v>
      </c>
      <c r="P28" s="81">
        <v>4.5999999999999996</v>
      </c>
      <c r="Q28" s="81">
        <v>4.25</v>
      </c>
    </row>
    <row r="29" spans="2:17">
      <c r="B29" s="172" t="s">
        <v>1193</v>
      </c>
      <c r="C29" s="175">
        <v>2.94</v>
      </c>
      <c r="D29" s="172" t="s">
        <v>1194</v>
      </c>
      <c r="F29" s="172" t="s">
        <v>83</v>
      </c>
      <c r="G29" s="175"/>
      <c r="H29" s="172"/>
      <c r="I29" s="174"/>
      <c r="J29" s="178">
        <v>7.1</v>
      </c>
      <c r="K29" s="62">
        <v>4</v>
      </c>
      <c r="L29" s="177"/>
      <c r="N29" s="80">
        <v>25</v>
      </c>
      <c r="O29" s="81">
        <v>5.0999999999999996</v>
      </c>
      <c r="P29" s="81">
        <v>4.8</v>
      </c>
      <c r="Q29" s="81">
        <v>4.5</v>
      </c>
    </row>
    <row r="30" spans="2:17">
      <c r="B30" s="172" t="s">
        <v>1195</v>
      </c>
      <c r="C30" s="175">
        <v>3.38</v>
      </c>
      <c r="D30" s="172" t="s">
        <v>1196</v>
      </c>
      <c r="F30" s="172" t="s">
        <v>1408</v>
      </c>
      <c r="G30" s="175">
        <v>1.7</v>
      </c>
      <c r="H30" s="172" t="s">
        <v>1460</v>
      </c>
      <c r="I30" s="174"/>
      <c r="J30" s="178">
        <v>8</v>
      </c>
      <c r="K30" s="62">
        <v>5</v>
      </c>
      <c r="L30" s="177"/>
      <c r="N30" s="80">
        <v>30</v>
      </c>
      <c r="O30" s="81">
        <v>5.0999999999999996</v>
      </c>
      <c r="P30" s="81">
        <v>4.8</v>
      </c>
      <c r="Q30" s="81">
        <v>4.5</v>
      </c>
    </row>
    <row r="31" spans="2:17">
      <c r="B31" s="172" t="s">
        <v>1197</v>
      </c>
      <c r="C31" s="175">
        <v>3.82</v>
      </c>
      <c r="D31" s="172" t="s">
        <v>1198</v>
      </c>
      <c r="F31" s="172"/>
      <c r="G31" s="175"/>
      <c r="H31" s="172"/>
      <c r="I31" s="174"/>
      <c r="J31" s="178">
        <v>9.4</v>
      </c>
      <c r="K31" s="62">
        <v>6</v>
      </c>
      <c r="L31" s="177"/>
      <c r="N31" s="80">
        <v>30</v>
      </c>
      <c r="O31" s="81">
        <v>5.0999999999999996</v>
      </c>
      <c r="P31" s="81">
        <v>4.8</v>
      </c>
      <c r="Q31" s="81">
        <v>4.5</v>
      </c>
    </row>
    <row r="32" spans="2:17">
      <c r="B32" s="172" t="s">
        <v>355</v>
      </c>
      <c r="C32" s="175">
        <v>2.8</v>
      </c>
      <c r="D32" s="172" t="s">
        <v>97</v>
      </c>
      <c r="F32" s="172"/>
      <c r="G32" s="175"/>
      <c r="H32" s="172"/>
      <c r="I32" s="174"/>
      <c r="J32" s="178">
        <v>10.5</v>
      </c>
      <c r="K32" s="62">
        <v>7</v>
      </c>
      <c r="L32" s="177"/>
    </row>
    <row r="33" spans="2:16">
      <c r="B33" s="172" t="s">
        <v>1402</v>
      </c>
      <c r="C33" s="175">
        <v>4.3</v>
      </c>
      <c r="D33" s="172"/>
      <c r="F33" s="172"/>
      <c r="G33" s="175"/>
      <c r="H33" s="172"/>
      <c r="I33" s="174"/>
      <c r="J33" s="178">
        <v>12.5</v>
      </c>
      <c r="K33" s="62">
        <v>8</v>
      </c>
      <c r="L33" s="177"/>
    </row>
    <row r="34" spans="2:16">
      <c r="B34" s="172"/>
      <c r="C34" s="175"/>
      <c r="D34" s="172"/>
      <c r="F34" s="172"/>
      <c r="G34" s="175"/>
      <c r="H34" s="172"/>
      <c r="I34" s="174"/>
      <c r="J34" s="179"/>
      <c r="K34" s="179"/>
      <c r="L34" s="179"/>
    </row>
    <row r="35" spans="2:16">
      <c r="B35" s="172"/>
      <c r="C35" s="175"/>
      <c r="D35" s="172"/>
      <c r="F35" s="172"/>
      <c r="G35" s="175"/>
      <c r="H35" s="172"/>
      <c r="I35" s="174"/>
      <c r="J35" s="58" t="s">
        <v>294</v>
      </c>
      <c r="K35" s="58"/>
      <c r="L35" s="59"/>
    </row>
    <row r="36" spans="2:16">
      <c r="B36" s="172"/>
      <c r="C36" s="175"/>
      <c r="D36" s="172"/>
      <c r="F36" s="172"/>
      <c r="G36" s="175"/>
      <c r="H36" s="172"/>
      <c r="I36" s="174"/>
      <c r="J36" s="60" t="s">
        <v>292</v>
      </c>
      <c r="K36" s="61" t="s">
        <v>293</v>
      </c>
      <c r="L36" s="60" t="s">
        <v>69</v>
      </c>
    </row>
    <row r="37" spans="2:16" ht="13.5">
      <c r="B37" s="172" t="s">
        <v>415</v>
      </c>
      <c r="C37" s="175" t="s">
        <v>416</v>
      </c>
      <c r="D37" s="172"/>
      <c r="F37" s="172" t="s">
        <v>280</v>
      </c>
      <c r="G37" s="175" t="s">
        <v>484</v>
      </c>
      <c r="H37" s="172"/>
      <c r="I37" s="174"/>
      <c r="J37" s="177">
        <v>0</v>
      </c>
      <c r="K37" s="62" t="s">
        <v>2</v>
      </c>
      <c r="L37" s="177"/>
    </row>
    <row r="38" spans="2:16">
      <c r="F38" s="174"/>
      <c r="G38" s="176"/>
      <c r="H38" s="174"/>
      <c r="I38" s="174"/>
      <c r="J38" s="178">
        <v>3</v>
      </c>
      <c r="K38" s="62">
        <v>1</v>
      </c>
      <c r="L38" s="177"/>
    </row>
    <row r="39" spans="2:16">
      <c r="B39" s="96" t="s">
        <v>56</v>
      </c>
      <c r="C39" s="180" t="s">
        <v>8</v>
      </c>
      <c r="D39" s="174"/>
      <c r="E39" s="174"/>
      <c r="F39" s="174"/>
      <c r="G39" s="174"/>
      <c r="H39" s="174"/>
      <c r="I39" s="174"/>
      <c r="J39" s="178">
        <v>5.21</v>
      </c>
      <c r="K39" s="62">
        <v>2</v>
      </c>
      <c r="L39" s="177"/>
    </row>
    <row r="40" spans="2:16">
      <c r="B40" s="96" t="s">
        <v>57</v>
      </c>
      <c r="C40" s="181">
        <f>MATCH(FLAG_Country,list_Country,0)</f>
        <v>1</v>
      </c>
      <c r="D40" s="174"/>
      <c r="E40" s="182" t="s">
        <v>8</v>
      </c>
      <c r="F40" s="182" t="s">
        <v>9</v>
      </c>
      <c r="G40" s="182" t="s">
        <v>10</v>
      </c>
      <c r="H40" s="182" t="s">
        <v>11</v>
      </c>
      <c r="I40" s="174"/>
      <c r="J40" s="178">
        <v>6.11</v>
      </c>
      <c r="K40" s="62">
        <v>3</v>
      </c>
      <c r="L40" s="177"/>
    </row>
    <row r="41" spans="2:16">
      <c r="B41" s="96" t="s">
        <v>58</v>
      </c>
      <c r="C41" s="181">
        <f t="shared" ref="C41:C48" si="0">INDEX(E41:H41,1,col_country)</f>
        <v>0</v>
      </c>
      <c r="D41" s="174"/>
      <c r="E41" s="96">
        <v>0</v>
      </c>
      <c r="F41" s="96">
        <v>1</v>
      </c>
      <c r="G41" s="96">
        <v>0</v>
      </c>
      <c r="H41" s="96">
        <v>0</v>
      </c>
      <c r="I41" s="174"/>
      <c r="J41" s="178">
        <v>6.81</v>
      </c>
      <c r="K41" s="62">
        <v>4</v>
      </c>
      <c r="L41" s="177"/>
    </row>
    <row r="42" spans="2:16">
      <c r="B42" s="96" t="s">
        <v>59</v>
      </c>
      <c r="C42" s="181" t="str">
        <f t="shared" si="0"/>
        <v>degC</v>
      </c>
      <c r="D42" s="174"/>
      <c r="E42" s="96" t="s">
        <v>12</v>
      </c>
      <c r="F42" s="96" t="s">
        <v>13</v>
      </c>
      <c r="G42" s="96" t="s">
        <v>12</v>
      </c>
      <c r="H42" s="96" t="s">
        <v>12</v>
      </c>
      <c r="I42" s="174"/>
      <c r="J42" s="178">
        <v>7.71</v>
      </c>
      <c r="K42" s="62">
        <v>5</v>
      </c>
      <c r="L42" s="177"/>
    </row>
    <row r="43" spans="2:16">
      <c r="B43" s="96" t="s">
        <v>60</v>
      </c>
      <c r="C43" s="181">
        <f t="shared" si="0"/>
        <v>22</v>
      </c>
      <c r="D43" s="174"/>
      <c r="E43" s="96">
        <v>22</v>
      </c>
      <c r="F43" s="96">
        <v>72</v>
      </c>
      <c r="G43" s="96">
        <v>22</v>
      </c>
      <c r="H43" s="96">
        <v>22</v>
      </c>
      <c r="J43" s="178">
        <v>9.11</v>
      </c>
      <c r="K43" s="62">
        <v>6</v>
      </c>
      <c r="L43" s="177"/>
    </row>
    <row r="44" spans="2:16">
      <c r="B44" s="96" t="s">
        <v>61</v>
      </c>
      <c r="C44" s="181">
        <f t="shared" si="0"/>
        <v>14</v>
      </c>
      <c r="D44" s="174"/>
      <c r="E44" s="96">
        <v>14</v>
      </c>
      <c r="F44" s="96">
        <v>56</v>
      </c>
      <c r="G44" s="96">
        <v>14</v>
      </c>
      <c r="H44" s="96">
        <v>14</v>
      </c>
      <c r="J44" s="178">
        <v>10.210000000000001</v>
      </c>
      <c r="K44" s="62">
        <v>7</v>
      </c>
      <c r="L44" s="177"/>
    </row>
    <row r="45" spans="2:16">
      <c r="B45" s="96" t="s">
        <v>62</v>
      </c>
      <c r="C45" s="181">
        <f t="shared" si="0"/>
        <v>17</v>
      </c>
      <c r="D45" s="174"/>
      <c r="E45" s="96">
        <v>17</v>
      </c>
      <c r="F45" s="96">
        <v>62</v>
      </c>
      <c r="G45" s="96">
        <v>17</v>
      </c>
      <c r="H45" s="96">
        <v>17</v>
      </c>
      <c r="J45" s="178">
        <v>12.21</v>
      </c>
      <c r="K45" s="62">
        <v>8</v>
      </c>
      <c r="L45" s="177"/>
    </row>
    <row r="46" spans="2:16">
      <c r="B46" s="96" t="s">
        <v>63</v>
      </c>
      <c r="C46" s="181">
        <f t="shared" si="0"/>
        <v>27</v>
      </c>
      <c r="D46" s="174"/>
      <c r="E46" s="96">
        <v>27</v>
      </c>
      <c r="F46" s="96">
        <v>82</v>
      </c>
      <c r="G46" s="96">
        <v>27</v>
      </c>
      <c r="H46" s="96">
        <v>27</v>
      </c>
      <c r="I46" s="174"/>
      <c r="J46" s="174"/>
      <c r="K46" s="174"/>
      <c r="L46" s="174"/>
    </row>
    <row r="47" spans="2:16">
      <c r="B47" s="96" t="s">
        <v>64</v>
      </c>
      <c r="C47" s="181">
        <f t="shared" si="0"/>
        <v>141.5</v>
      </c>
      <c r="D47" s="174"/>
      <c r="E47" s="96">
        <v>141.5</v>
      </c>
      <c r="F47" s="96">
        <v>311</v>
      </c>
      <c r="G47" s="96">
        <v>141.5</v>
      </c>
      <c r="H47" s="96">
        <v>141.5</v>
      </c>
      <c r="I47" s="174"/>
      <c r="J47" s="58" t="s">
        <v>478</v>
      </c>
      <c r="K47" s="58"/>
      <c r="L47" s="59"/>
      <c r="N47" s="33" t="s">
        <v>998</v>
      </c>
      <c r="O47" s="33"/>
      <c r="P47" s="34"/>
    </row>
    <row r="48" spans="2:16" s="34" customFormat="1">
      <c r="B48" s="96" t="s">
        <v>65</v>
      </c>
      <c r="C48" s="181">
        <f t="shared" si="0"/>
        <v>0.5</v>
      </c>
      <c r="D48" s="174"/>
      <c r="E48" s="96">
        <v>0.5</v>
      </c>
      <c r="F48" s="96">
        <v>1</v>
      </c>
      <c r="G48" s="96">
        <v>0.5</v>
      </c>
      <c r="H48" s="96">
        <v>0.5</v>
      </c>
      <c r="I48" s="183"/>
      <c r="J48" s="60" t="s">
        <v>485</v>
      </c>
      <c r="K48" s="61" t="s">
        <v>427</v>
      </c>
      <c r="L48" s="60" t="s">
        <v>69</v>
      </c>
      <c r="N48" s="35" t="s">
        <v>53</v>
      </c>
      <c r="O48" s="36" t="s">
        <v>999</v>
      </c>
      <c r="P48" s="35" t="s">
        <v>55</v>
      </c>
    </row>
    <row r="49" spans="2:16" ht="13.5">
      <c r="F49" s="183"/>
      <c r="G49" s="174"/>
      <c r="I49" s="183"/>
      <c r="J49" s="177" t="s">
        <v>428</v>
      </c>
      <c r="K49" s="62">
        <v>30</v>
      </c>
      <c r="L49" s="177" t="s">
        <v>429</v>
      </c>
      <c r="N49" s="172" t="s">
        <v>1000</v>
      </c>
      <c r="O49" s="175">
        <v>1</v>
      </c>
      <c r="P49" s="172" t="s">
        <v>1000</v>
      </c>
    </row>
    <row r="50" spans="2:16" ht="13.5">
      <c r="B50" s="172" t="s">
        <v>158</v>
      </c>
      <c r="C50" s="175" t="str">
        <f>const_TempUnit</f>
        <v>degC</v>
      </c>
      <c r="E50" s="56" t="s">
        <v>287</v>
      </c>
      <c r="F50" s="184"/>
      <c r="I50" s="183"/>
      <c r="J50" s="177" t="s">
        <v>430</v>
      </c>
      <c r="K50" s="62">
        <v>35</v>
      </c>
      <c r="L50" s="177" t="s">
        <v>431</v>
      </c>
      <c r="N50" s="172" t="s">
        <v>1001</v>
      </c>
      <c r="O50" s="175">
        <v>4</v>
      </c>
      <c r="P50" s="172" t="s">
        <v>1002</v>
      </c>
    </row>
    <row r="51" spans="2:16" ht="13.5">
      <c r="B51" s="172" t="s">
        <v>159</v>
      </c>
      <c r="C51" s="175" t="str">
        <f>IF(FLAG_Country&lt;&gt;"USA",F42,E42)</f>
        <v>degF</v>
      </c>
      <c r="E51" s="57" t="s">
        <v>486</v>
      </c>
      <c r="F51" s="57" t="s">
        <v>288</v>
      </c>
      <c r="I51" s="183"/>
      <c r="J51" s="177" t="s">
        <v>432</v>
      </c>
      <c r="K51" s="62">
        <v>55</v>
      </c>
      <c r="L51" s="177" t="s">
        <v>433</v>
      </c>
      <c r="N51" s="172" t="s">
        <v>1003</v>
      </c>
      <c r="O51" s="175">
        <v>3</v>
      </c>
      <c r="P51" s="172" t="s">
        <v>1004</v>
      </c>
    </row>
    <row r="52" spans="2:16">
      <c r="B52" s="172" t="s">
        <v>160</v>
      </c>
      <c r="C52" s="175">
        <f>const_Tset_default</f>
        <v>22</v>
      </c>
      <c r="E52" s="175">
        <v>35</v>
      </c>
      <c r="F52" s="185">
        <f>Celo_Blower_Min</f>
        <v>4.5</v>
      </c>
      <c r="I52" s="183"/>
      <c r="N52" s="172" t="s">
        <v>1005</v>
      </c>
      <c r="O52" s="175">
        <v>2</v>
      </c>
      <c r="P52" s="172" t="s">
        <v>1006</v>
      </c>
    </row>
    <row r="53" spans="2:16">
      <c r="B53" s="172" t="s">
        <v>161</v>
      </c>
      <c r="C53" s="175">
        <f>IF(FLAG_Country&lt;&gt;"USA",F43,E43)</f>
        <v>72</v>
      </c>
      <c r="E53" s="175">
        <v>55</v>
      </c>
      <c r="F53" s="185">
        <f>Celo_Blower_Max</f>
        <v>11.3</v>
      </c>
      <c r="I53" s="183"/>
      <c r="N53" s="174"/>
      <c r="O53" s="174"/>
      <c r="P53" s="174"/>
    </row>
    <row r="54" spans="2:16">
      <c r="B54" s="172" t="s">
        <v>162</v>
      </c>
      <c r="C54" s="175">
        <f>const_Tset_off</f>
        <v>14</v>
      </c>
      <c r="F54" s="183"/>
      <c r="G54" s="174"/>
      <c r="I54" s="183"/>
      <c r="J54" s="33" t="s">
        <v>764</v>
      </c>
      <c r="N54" s="33" t="s">
        <v>1007</v>
      </c>
      <c r="O54" s="33"/>
      <c r="P54" s="34"/>
    </row>
    <row r="55" spans="2:16">
      <c r="B55" s="172" t="s">
        <v>163</v>
      </c>
      <c r="C55" s="175">
        <f>IF(FLAG_Country&lt;&gt;"USA",F44,E44)</f>
        <v>56</v>
      </c>
      <c r="E55" s="56" t="s">
        <v>380</v>
      </c>
      <c r="F55" s="184"/>
      <c r="G55" s="56" t="s">
        <v>390</v>
      </c>
      <c r="H55" s="184"/>
      <c r="I55" s="183"/>
      <c r="J55" s="35" t="s">
        <v>1025</v>
      </c>
      <c r="K55" s="36" t="s">
        <v>1026</v>
      </c>
      <c r="L55" s="35" t="s">
        <v>55</v>
      </c>
      <c r="N55" s="35" t="s">
        <v>53</v>
      </c>
      <c r="O55" s="36" t="s">
        <v>999</v>
      </c>
      <c r="P55" s="35" t="s">
        <v>55</v>
      </c>
    </row>
    <row r="56" spans="2:16">
      <c r="B56" s="172" t="s">
        <v>164</v>
      </c>
      <c r="C56" s="175">
        <f>const_Tset_min</f>
        <v>17</v>
      </c>
      <c r="E56" s="57" t="s">
        <v>379</v>
      </c>
      <c r="F56" s="57" t="s">
        <v>288</v>
      </c>
      <c r="G56" s="57" t="s">
        <v>397</v>
      </c>
      <c r="H56" s="57" t="s">
        <v>288</v>
      </c>
      <c r="I56" s="183"/>
      <c r="J56" s="172">
        <v>0</v>
      </c>
      <c r="K56" s="44">
        <v>0</v>
      </c>
      <c r="L56" s="172"/>
      <c r="N56" s="172" t="s">
        <v>1000</v>
      </c>
      <c r="O56" s="175">
        <v>1</v>
      </c>
      <c r="P56" s="172" t="s">
        <v>1000</v>
      </c>
    </row>
    <row r="57" spans="2:16">
      <c r="B57" s="172" t="s">
        <v>165</v>
      </c>
      <c r="C57" s="175">
        <f>IF(FLAG_Country&lt;&gt;"USA",F45,E45)</f>
        <v>62</v>
      </c>
      <c r="E57" s="175">
        <v>1.6</v>
      </c>
      <c r="F57" s="185">
        <f>ADS_Min</f>
        <v>4.2</v>
      </c>
      <c r="G57" s="175">
        <v>35</v>
      </c>
      <c r="H57" s="185">
        <f>PM_Blower_Min</f>
        <v>3.8</v>
      </c>
      <c r="I57" s="186"/>
      <c r="J57" s="172">
        <v>400</v>
      </c>
      <c r="K57" s="44">
        <v>0.34</v>
      </c>
      <c r="L57" s="172"/>
      <c r="N57" s="172" t="s">
        <v>1001</v>
      </c>
      <c r="O57" s="175">
        <v>2</v>
      </c>
      <c r="P57" s="172" t="s">
        <v>1002</v>
      </c>
    </row>
    <row r="58" spans="2:16">
      <c r="B58" s="172" t="s">
        <v>166</v>
      </c>
      <c r="C58" s="175">
        <f>const_Tset_max</f>
        <v>27</v>
      </c>
      <c r="E58" s="175">
        <v>4.2</v>
      </c>
      <c r="F58" s="185">
        <f>ADS_Max</f>
        <v>8</v>
      </c>
      <c r="G58" s="175">
        <v>75</v>
      </c>
      <c r="H58" s="185">
        <f>PM_Blower_Max</f>
        <v>8</v>
      </c>
      <c r="I58" s="183"/>
      <c r="J58" s="172">
        <v>1000</v>
      </c>
      <c r="K58" s="44">
        <v>0.85</v>
      </c>
      <c r="L58" s="172"/>
      <c r="N58" s="172" t="s">
        <v>1003</v>
      </c>
      <c r="O58" s="175">
        <v>3</v>
      </c>
      <c r="P58" s="172" t="s">
        <v>1004</v>
      </c>
    </row>
    <row r="59" spans="2:16">
      <c r="B59" s="172" t="s">
        <v>167</v>
      </c>
      <c r="C59" s="175">
        <f>IF(FLAG_Country&lt;&gt;"USA",F46,E46)</f>
        <v>82</v>
      </c>
      <c r="F59" s="183"/>
      <c r="H59" s="183"/>
      <c r="I59" s="183"/>
      <c r="J59" s="172">
        <v>2000</v>
      </c>
      <c r="K59" s="44">
        <v>1.7</v>
      </c>
      <c r="L59" s="172"/>
      <c r="N59" s="172" t="s">
        <v>1005</v>
      </c>
      <c r="O59" s="175">
        <v>4</v>
      </c>
      <c r="P59" s="172" t="s">
        <v>1006</v>
      </c>
    </row>
    <row r="60" spans="2:16">
      <c r="B60" s="172" t="s">
        <v>168</v>
      </c>
      <c r="C60" s="175">
        <f>const_Tset_invalid</f>
        <v>141.5</v>
      </c>
      <c r="E60" s="56" t="s">
        <v>381</v>
      </c>
      <c r="F60" s="184"/>
      <c r="G60" s="56" t="s">
        <v>389</v>
      </c>
      <c r="H60" s="184"/>
      <c r="I60" s="183"/>
      <c r="J60" s="172">
        <v>3000</v>
      </c>
      <c r="K60" s="44">
        <v>2.5499999999999998</v>
      </c>
      <c r="L60" s="172"/>
    </row>
    <row r="61" spans="2:16">
      <c r="B61" s="172" t="s">
        <v>169</v>
      </c>
      <c r="C61" s="175">
        <f>IF(FLAG_Country&lt;&gt;"USA",F47,E47)</f>
        <v>311</v>
      </c>
      <c r="E61" s="57" t="s">
        <v>379</v>
      </c>
      <c r="F61" s="57" t="s">
        <v>288</v>
      </c>
      <c r="G61" s="57" t="s">
        <v>397</v>
      </c>
      <c r="H61" s="57" t="s">
        <v>288</v>
      </c>
      <c r="I61" s="183"/>
      <c r="J61" s="172">
        <v>4000</v>
      </c>
      <c r="K61" s="44">
        <v>3.4</v>
      </c>
      <c r="L61" s="172"/>
    </row>
    <row r="62" spans="2:16">
      <c r="B62" s="172" t="s">
        <v>170</v>
      </c>
      <c r="C62" s="175">
        <f>const_Tset_resolution</f>
        <v>0.5</v>
      </c>
      <c r="E62" s="175">
        <v>1</v>
      </c>
      <c r="F62" s="185">
        <f>ADS_Min</f>
        <v>4.2</v>
      </c>
      <c r="G62" s="175">
        <v>25</v>
      </c>
      <c r="H62" s="185">
        <f>PM_Blower_Min</f>
        <v>3.8</v>
      </c>
      <c r="I62" s="186"/>
      <c r="J62" s="186"/>
    </row>
    <row r="63" spans="2:16">
      <c r="B63" s="172" t="s">
        <v>172</v>
      </c>
      <c r="C63" s="175">
        <f>IF(FLAG_Country&lt;&gt;"USA",F48,E48)</f>
        <v>1</v>
      </c>
      <c r="E63" s="175">
        <v>3.6</v>
      </c>
      <c r="F63" s="185">
        <f>ADS_Max</f>
        <v>8</v>
      </c>
      <c r="G63" s="175">
        <v>65</v>
      </c>
      <c r="H63" s="185">
        <f>PM_Blower_Max</f>
        <v>8</v>
      </c>
      <c r="I63" s="186"/>
      <c r="J63" s="186"/>
    </row>
    <row r="64" spans="2:16">
      <c r="F64" s="186"/>
      <c r="G64" s="174"/>
      <c r="I64" s="186"/>
      <c r="J64" s="186"/>
    </row>
    <row r="65" spans="2:20">
      <c r="F65" s="174"/>
      <c r="G65" s="174"/>
      <c r="I65" s="174"/>
      <c r="J65" s="174"/>
    </row>
    <row r="66" spans="2:20">
      <c r="B66" s="33" t="s">
        <v>176</v>
      </c>
      <c r="F66" s="33" t="s">
        <v>532</v>
      </c>
      <c r="I66" s="174"/>
      <c r="J66" s="33" t="s">
        <v>281</v>
      </c>
      <c r="N66" s="33" t="s">
        <v>759</v>
      </c>
      <c r="O66" s="33"/>
      <c r="P66" s="34"/>
      <c r="R66" s="33" t="s">
        <v>760</v>
      </c>
      <c r="S66" s="33"/>
      <c r="T66" s="34"/>
    </row>
    <row r="67" spans="2:20">
      <c r="B67" s="35" t="s">
        <v>175</v>
      </c>
      <c r="C67" s="36" t="s">
        <v>174</v>
      </c>
      <c r="D67" s="35" t="s">
        <v>55</v>
      </c>
      <c r="F67" s="35" t="s">
        <v>282</v>
      </c>
      <c r="G67" s="36" t="s">
        <v>208</v>
      </c>
      <c r="H67" s="35" t="s">
        <v>55</v>
      </c>
      <c r="J67" s="35" t="s">
        <v>282</v>
      </c>
      <c r="K67" s="36" t="s">
        <v>209</v>
      </c>
      <c r="L67" s="35" t="s">
        <v>55</v>
      </c>
      <c r="N67" s="35" t="s">
        <v>761</v>
      </c>
      <c r="O67" s="36" t="s">
        <v>762</v>
      </c>
      <c r="P67" s="35" t="s">
        <v>763</v>
      </c>
      <c r="R67" s="35" t="s">
        <v>761</v>
      </c>
      <c r="S67" s="36" t="s">
        <v>762</v>
      </c>
      <c r="T67" s="35" t="s">
        <v>763</v>
      </c>
    </row>
    <row r="68" spans="2:20">
      <c r="B68" s="282" t="s">
        <v>1024</v>
      </c>
      <c r="C68" s="283"/>
      <c r="D68" s="284"/>
      <c r="F68" s="172" t="s">
        <v>239</v>
      </c>
      <c r="G68" s="44" t="s">
        <v>360</v>
      </c>
      <c r="H68" s="172" t="s">
        <v>1890</v>
      </c>
      <c r="J68" s="172" t="s">
        <v>314</v>
      </c>
      <c r="K68" s="45" t="s">
        <v>311</v>
      </c>
      <c r="L68" s="172" t="s">
        <v>315</v>
      </c>
      <c r="N68" s="187">
        <v>0.3</v>
      </c>
      <c r="O68" s="188">
        <v>0.3</v>
      </c>
      <c r="P68" s="188">
        <v>2.15</v>
      </c>
      <c r="Q68" s="189"/>
      <c r="R68" s="187">
        <v>0.3</v>
      </c>
      <c r="S68" s="188">
        <v>0.3</v>
      </c>
      <c r="T68" s="188">
        <v>2.15</v>
      </c>
    </row>
    <row r="69" spans="2:20" ht="14.25">
      <c r="B69" s="172" t="s">
        <v>173</v>
      </c>
      <c r="C69" s="175" t="s">
        <v>471</v>
      </c>
      <c r="D69" s="172" t="s">
        <v>464</v>
      </c>
      <c r="E69" s="171" t="s">
        <v>1891</v>
      </c>
      <c r="F69" s="172" t="s">
        <v>238</v>
      </c>
      <c r="G69" s="44" t="s">
        <v>360</v>
      </c>
      <c r="H69" s="172" t="s">
        <v>1892</v>
      </c>
      <c r="J69" s="172" t="s">
        <v>325</v>
      </c>
      <c r="K69" s="45" t="s">
        <v>333</v>
      </c>
      <c r="L69" s="172" t="s">
        <v>324</v>
      </c>
      <c r="N69" s="187">
        <v>0.85</v>
      </c>
      <c r="O69" s="188">
        <v>0.3</v>
      </c>
      <c r="P69" s="188">
        <v>4.7</v>
      </c>
      <c r="Q69" s="189"/>
      <c r="R69" s="187">
        <v>0.85</v>
      </c>
      <c r="S69" s="188">
        <v>0.3</v>
      </c>
      <c r="T69" s="188">
        <v>4.7</v>
      </c>
    </row>
    <row r="70" spans="2:20" ht="13.5">
      <c r="B70" s="172" t="s">
        <v>186</v>
      </c>
      <c r="C70" s="175" t="s">
        <v>1507</v>
      </c>
      <c r="D70" s="172"/>
      <c r="F70" s="172" t="s">
        <v>334</v>
      </c>
      <c r="G70" s="44" t="s">
        <v>240</v>
      </c>
      <c r="H70" s="172" t="s">
        <v>1893</v>
      </c>
      <c r="J70" s="172" t="s">
        <v>327</v>
      </c>
      <c r="K70" s="45" t="s">
        <v>352</v>
      </c>
      <c r="L70" s="172" t="s">
        <v>326</v>
      </c>
      <c r="N70" s="187">
        <v>1.4</v>
      </c>
      <c r="O70" s="188">
        <v>2.6</v>
      </c>
      <c r="P70" s="188">
        <v>4.7</v>
      </c>
      <c r="Q70" s="189"/>
      <c r="R70" s="187">
        <v>1.4</v>
      </c>
      <c r="S70" s="188">
        <v>2.1</v>
      </c>
      <c r="T70" s="188">
        <v>4.7</v>
      </c>
    </row>
    <row r="71" spans="2:20">
      <c r="B71" s="172" t="s">
        <v>187</v>
      </c>
      <c r="C71" s="175" t="s">
        <v>1894</v>
      </c>
      <c r="D71" s="172"/>
      <c r="F71" s="172" t="s">
        <v>335</v>
      </c>
      <c r="G71" s="44" t="s">
        <v>240</v>
      </c>
      <c r="H71" s="172" t="s">
        <v>1895</v>
      </c>
      <c r="J71" s="172" t="s">
        <v>329</v>
      </c>
      <c r="K71" s="45" t="s">
        <v>332</v>
      </c>
      <c r="L71" s="172" t="s">
        <v>312</v>
      </c>
      <c r="N71" s="187">
        <v>1.95</v>
      </c>
      <c r="O71" s="188">
        <v>2.8</v>
      </c>
      <c r="P71" s="188">
        <v>4.7</v>
      </c>
      <c r="Q71" s="189"/>
      <c r="R71" s="187">
        <v>1.9</v>
      </c>
      <c r="S71" s="188">
        <v>2.8</v>
      </c>
      <c r="T71" s="188">
        <v>4.7</v>
      </c>
    </row>
    <row r="72" spans="2:20" ht="13.5">
      <c r="B72" s="172" t="s">
        <v>188</v>
      </c>
      <c r="C72" s="175" t="s">
        <v>1508</v>
      </c>
      <c r="D72" s="172"/>
      <c r="F72" s="172" t="s">
        <v>361</v>
      </c>
      <c r="G72" s="44" t="s">
        <v>360</v>
      </c>
      <c r="H72" s="172" t="s">
        <v>529</v>
      </c>
      <c r="J72" s="172" t="s">
        <v>330</v>
      </c>
      <c r="K72" s="45" t="s">
        <v>331</v>
      </c>
      <c r="L72" s="172" t="s">
        <v>313</v>
      </c>
      <c r="N72" s="187">
        <v>2.5</v>
      </c>
      <c r="O72" s="188">
        <v>3</v>
      </c>
      <c r="P72" s="188">
        <v>4.7</v>
      </c>
      <c r="Q72" s="189"/>
      <c r="R72" s="187">
        <v>2.5</v>
      </c>
      <c r="S72" s="188">
        <v>3</v>
      </c>
      <c r="T72" s="188">
        <v>4.7</v>
      </c>
    </row>
    <row r="73" spans="2:20">
      <c r="B73" s="172" t="s">
        <v>189</v>
      </c>
      <c r="C73" s="175" t="s">
        <v>1509</v>
      </c>
      <c r="D73" s="172"/>
      <c r="F73" s="172" t="s">
        <v>434</v>
      </c>
      <c r="G73" s="44" t="s">
        <v>360</v>
      </c>
      <c r="H73" s="172" t="s">
        <v>530</v>
      </c>
      <c r="J73" s="172" t="s">
        <v>328</v>
      </c>
      <c r="K73" s="45" t="s">
        <v>353</v>
      </c>
      <c r="L73" s="172" t="s">
        <v>316</v>
      </c>
      <c r="N73" s="187">
        <v>3.05</v>
      </c>
      <c r="O73" s="188">
        <v>3.1</v>
      </c>
      <c r="P73" s="188">
        <v>4.7</v>
      </c>
      <c r="Q73" s="189"/>
      <c r="R73" s="187">
        <v>2.8</v>
      </c>
      <c r="S73" s="188">
        <v>3.2</v>
      </c>
      <c r="T73" s="188">
        <v>4.7</v>
      </c>
    </row>
    <row r="74" spans="2:20">
      <c r="B74" s="172" t="s">
        <v>185</v>
      </c>
      <c r="C74" s="175" t="s">
        <v>1896</v>
      </c>
      <c r="D74" s="172"/>
      <c r="F74" s="172" t="s">
        <v>528</v>
      </c>
      <c r="G74" s="44" t="s">
        <v>240</v>
      </c>
      <c r="H74" s="172" t="s">
        <v>531</v>
      </c>
      <c r="J74" s="172" t="s">
        <v>435</v>
      </c>
      <c r="K74" s="45" t="s">
        <v>436</v>
      </c>
      <c r="L74" s="172" t="s">
        <v>449</v>
      </c>
      <c r="N74" s="187">
        <v>3.5</v>
      </c>
      <c r="O74" s="188">
        <v>3.3</v>
      </c>
      <c r="P74" s="188">
        <v>4.7</v>
      </c>
      <c r="Q74" s="189"/>
      <c r="R74" s="187">
        <v>3.25</v>
      </c>
      <c r="S74" s="188">
        <v>3.3</v>
      </c>
      <c r="T74" s="188">
        <v>4.7</v>
      </c>
    </row>
    <row r="75" spans="2:20" ht="13.5">
      <c r="B75" s="172" t="s">
        <v>190</v>
      </c>
      <c r="C75" s="175" t="s">
        <v>1897</v>
      </c>
      <c r="D75" s="172"/>
      <c r="F75" s="172" t="s">
        <v>643</v>
      </c>
      <c r="G75" s="44" t="s">
        <v>240</v>
      </c>
      <c r="H75" s="172" t="s">
        <v>642</v>
      </c>
      <c r="J75" s="172" t="s">
        <v>850</v>
      </c>
      <c r="K75" s="45" t="s">
        <v>1437</v>
      </c>
      <c r="L75" s="172" t="s">
        <v>1400</v>
      </c>
      <c r="N75" s="187">
        <v>4.1500000000000004</v>
      </c>
      <c r="O75" s="188">
        <v>3.5</v>
      </c>
      <c r="P75" s="188">
        <v>4.7</v>
      </c>
      <c r="Q75" s="189"/>
      <c r="R75" s="187">
        <v>4.1500000000000004</v>
      </c>
      <c r="S75" s="188">
        <v>3.5</v>
      </c>
      <c r="T75" s="188">
        <v>4.7</v>
      </c>
    </row>
    <row r="76" spans="2:20">
      <c r="B76" s="172" t="s">
        <v>191</v>
      </c>
      <c r="C76" s="175" t="s">
        <v>1898</v>
      </c>
      <c r="D76" s="172"/>
      <c r="F76" s="172" t="s">
        <v>713</v>
      </c>
      <c r="G76" s="44" t="s">
        <v>360</v>
      </c>
      <c r="H76" s="172" t="s">
        <v>714</v>
      </c>
      <c r="J76" s="172" t="s">
        <v>1439</v>
      </c>
      <c r="K76" s="45" t="s">
        <v>1440</v>
      </c>
      <c r="L76" s="172" t="s">
        <v>1441</v>
      </c>
      <c r="N76" s="187">
        <v>4.7</v>
      </c>
      <c r="O76" s="188">
        <v>3.5</v>
      </c>
      <c r="P76" s="188">
        <v>4.7</v>
      </c>
      <c r="Q76" s="189"/>
      <c r="R76" s="187">
        <v>4.7</v>
      </c>
      <c r="S76" s="188">
        <v>3.5</v>
      </c>
      <c r="T76" s="188">
        <v>4.7</v>
      </c>
    </row>
    <row r="77" spans="2:20">
      <c r="B77" s="172" t="s">
        <v>192</v>
      </c>
      <c r="C77" s="175" t="s">
        <v>1899</v>
      </c>
      <c r="D77" s="172"/>
      <c r="F77" s="172" t="s">
        <v>1900</v>
      </c>
      <c r="G77" s="44" t="s">
        <v>240</v>
      </c>
      <c r="H77" s="172" t="s">
        <v>1901</v>
      </c>
      <c r="J77" s="172"/>
      <c r="K77" s="45"/>
      <c r="L77" s="172"/>
    </row>
    <row r="78" spans="2:20" ht="13.5">
      <c r="B78" s="172" t="s">
        <v>193</v>
      </c>
      <c r="C78" s="175" t="s">
        <v>1902</v>
      </c>
      <c r="D78" s="172"/>
      <c r="F78" s="172" t="s">
        <v>1903</v>
      </c>
      <c r="G78" s="44" t="s">
        <v>360</v>
      </c>
      <c r="H78" s="172" t="s">
        <v>1904</v>
      </c>
      <c r="J78" s="172"/>
      <c r="K78" s="45"/>
      <c r="L78" s="172"/>
      <c r="N78" s="33" t="s">
        <v>1905</v>
      </c>
      <c r="O78" s="33"/>
    </row>
    <row r="79" spans="2:20" ht="13.5">
      <c r="B79" s="172" t="s">
        <v>194</v>
      </c>
      <c r="C79" s="175" t="s">
        <v>1906</v>
      </c>
      <c r="D79" s="172"/>
      <c r="F79" s="172" t="s">
        <v>1907</v>
      </c>
      <c r="G79" s="44" t="s">
        <v>240</v>
      </c>
      <c r="H79" s="172" t="s">
        <v>1908</v>
      </c>
      <c r="J79" s="172"/>
      <c r="K79" s="45"/>
      <c r="L79" s="172"/>
      <c r="N79" s="35"/>
      <c r="O79" s="35" t="s">
        <v>1909</v>
      </c>
      <c r="P79" s="35" t="s">
        <v>1910</v>
      </c>
      <c r="Q79" s="35" t="s">
        <v>1911</v>
      </c>
      <c r="R79" s="35" t="s">
        <v>1912</v>
      </c>
      <c r="S79" s="35" t="s">
        <v>1913</v>
      </c>
    </row>
    <row r="80" spans="2:20">
      <c r="B80" s="172" t="s">
        <v>195</v>
      </c>
      <c r="C80" s="175" t="s">
        <v>1506</v>
      </c>
      <c r="D80" s="172" t="s">
        <v>273</v>
      </c>
      <c r="E80" s="171" t="s">
        <v>1914</v>
      </c>
      <c r="F80" s="172"/>
      <c r="G80" s="44"/>
      <c r="H80" s="172"/>
      <c r="J80" s="172"/>
      <c r="K80" s="45"/>
      <c r="L80" s="172"/>
      <c r="N80" s="259">
        <v>1</v>
      </c>
      <c r="O80" s="45">
        <v>3.4</v>
      </c>
      <c r="P80" s="172">
        <v>45.6</v>
      </c>
      <c r="Q80" s="172">
        <v>33.299999999999997</v>
      </c>
      <c r="R80" s="172">
        <v>28</v>
      </c>
      <c r="S80" s="172">
        <v>24</v>
      </c>
    </row>
    <row r="81" spans="2:19">
      <c r="B81" s="172" t="s">
        <v>1489</v>
      </c>
      <c r="C81" s="175" t="s">
        <v>1915</v>
      </c>
      <c r="D81" s="172" t="s">
        <v>1916</v>
      </c>
      <c r="F81" s="172"/>
      <c r="G81" s="44"/>
      <c r="H81" s="172"/>
      <c r="J81" s="172"/>
      <c r="K81" s="45"/>
      <c r="L81" s="172"/>
      <c r="N81" s="259">
        <v>1</v>
      </c>
      <c r="O81" s="45">
        <v>4.8</v>
      </c>
      <c r="P81" s="172">
        <v>61.5</v>
      </c>
      <c r="Q81" s="172">
        <v>45.6</v>
      </c>
      <c r="R81" s="172">
        <v>38.5</v>
      </c>
      <c r="S81" s="172">
        <v>33.1</v>
      </c>
    </row>
    <row r="82" spans="2:19">
      <c r="B82" s="172" t="s">
        <v>215</v>
      </c>
      <c r="C82" s="175" t="s">
        <v>1917</v>
      </c>
      <c r="D82" s="172" t="s">
        <v>274</v>
      </c>
      <c r="F82" s="172"/>
      <c r="G82" s="44"/>
      <c r="H82" s="172"/>
      <c r="J82" s="172"/>
      <c r="K82" s="45"/>
      <c r="L82" s="172"/>
      <c r="N82" s="259">
        <v>2</v>
      </c>
      <c r="O82" s="45">
        <v>5.8</v>
      </c>
      <c r="P82" s="172">
        <v>72.400000000000006</v>
      </c>
      <c r="Q82" s="172">
        <v>54.4</v>
      </c>
      <c r="R82" s="172">
        <v>45.9</v>
      </c>
      <c r="S82" s="172">
        <v>39.799999999999997</v>
      </c>
    </row>
    <row r="83" spans="2:19">
      <c r="B83" s="172" t="s">
        <v>248</v>
      </c>
      <c r="C83" s="175" t="s">
        <v>1918</v>
      </c>
      <c r="D83" s="172" t="s">
        <v>279</v>
      </c>
      <c r="F83" s="172"/>
      <c r="G83" s="44"/>
      <c r="H83" s="172"/>
      <c r="J83" s="172"/>
      <c r="K83" s="45"/>
      <c r="L83" s="172"/>
      <c r="N83" s="259">
        <v>3</v>
      </c>
      <c r="O83" s="45">
        <v>6.8</v>
      </c>
      <c r="P83" s="172">
        <v>82.5</v>
      </c>
      <c r="Q83" s="172">
        <v>62.7</v>
      </c>
      <c r="R83" s="172">
        <v>53.5</v>
      </c>
      <c r="S83" s="172">
        <v>46.6</v>
      </c>
    </row>
    <row r="84" spans="2:19">
      <c r="B84" s="172" t="s">
        <v>1008</v>
      </c>
      <c r="C84" s="175" t="s">
        <v>1009</v>
      </c>
      <c r="D84" s="172" t="s">
        <v>1010</v>
      </c>
      <c r="F84" s="172"/>
      <c r="G84" s="44"/>
      <c r="H84" s="172"/>
      <c r="J84" s="172"/>
      <c r="K84" s="45"/>
      <c r="L84" s="172"/>
      <c r="N84" s="259">
        <v>4</v>
      </c>
      <c r="O84" s="45">
        <v>7.1</v>
      </c>
      <c r="P84" s="172">
        <v>85.1</v>
      </c>
      <c r="Q84" s="172">
        <v>65.400000000000006</v>
      </c>
      <c r="R84" s="172">
        <v>55.9</v>
      </c>
      <c r="S84" s="172">
        <v>48.6</v>
      </c>
    </row>
    <row r="85" spans="2:19">
      <c r="B85" s="172" t="s">
        <v>1011</v>
      </c>
      <c r="C85" s="175" t="s">
        <v>1012</v>
      </c>
      <c r="D85" s="172" t="s">
        <v>1013</v>
      </c>
      <c r="F85" s="172"/>
      <c r="G85" s="44"/>
      <c r="H85" s="172"/>
      <c r="J85" s="172"/>
      <c r="K85" s="45"/>
      <c r="L85" s="172"/>
      <c r="N85" s="259">
        <v>5</v>
      </c>
      <c r="O85" s="45">
        <v>8</v>
      </c>
      <c r="P85" s="172">
        <v>89.7</v>
      </c>
      <c r="Q85" s="172">
        <v>73.3</v>
      </c>
      <c r="R85" s="172">
        <v>62.8</v>
      </c>
      <c r="S85" s="172">
        <v>54.8</v>
      </c>
    </row>
    <row r="86" spans="2:19" ht="13.5">
      <c r="B86" s="172" t="s">
        <v>1919</v>
      </c>
      <c r="C86" s="175" t="s">
        <v>1920</v>
      </c>
      <c r="D86" s="172" t="s">
        <v>1921</v>
      </c>
      <c r="F86" s="172"/>
      <c r="G86" s="44"/>
      <c r="H86" s="172"/>
      <c r="J86" s="172"/>
      <c r="K86" s="45"/>
      <c r="L86" s="172"/>
      <c r="N86" s="259">
        <v>6</v>
      </c>
      <c r="O86" s="45">
        <v>9.1999999999999993</v>
      </c>
      <c r="P86" s="172">
        <v>100</v>
      </c>
      <c r="Q86" s="172">
        <v>81.599999999999994</v>
      </c>
      <c r="R86" s="172">
        <v>71.599999999999994</v>
      </c>
      <c r="S86" s="172">
        <v>62.9</v>
      </c>
    </row>
    <row r="87" spans="2:19">
      <c r="B87" s="172"/>
      <c r="C87" s="175"/>
      <c r="D87" s="172"/>
      <c r="F87" s="172"/>
      <c r="G87" s="44"/>
      <c r="H87" s="172"/>
      <c r="J87" s="172"/>
      <c r="K87" s="45"/>
      <c r="L87" s="172"/>
      <c r="N87" s="259">
        <v>7</v>
      </c>
      <c r="O87" s="45">
        <v>11</v>
      </c>
      <c r="P87" s="172">
        <v>100</v>
      </c>
      <c r="Q87" s="172">
        <v>90.9</v>
      </c>
      <c r="R87" s="172">
        <v>82.8</v>
      </c>
      <c r="S87" s="172">
        <v>74.5</v>
      </c>
    </row>
    <row r="88" spans="2:19">
      <c r="B88" s="282" t="s">
        <v>1027</v>
      </c>
      <c r="C88" s="283"/>
      <c r="D88" s="284"/>
      <c r="F88" s="172"/>
      <c r="G88" s="44"/>
      <c r="H88" s="172"/>
      <c r="J88" s="172"/>
      <c r="K88" s="45"/>
      <c r="L88" s="172"/>
      <c r="N88" s="259">
        <v>7</v>
      </c>
      <c r="O88" s="45">
        <v>12.5</v>
      </c>
      <c r="P88" s="172">
        <v>100</v>
      </c>
      <c r="Q88" s="172">
        <v>100</v>
      </c>
      <c r="R88" s="172">
        <v>89.1</v>
      </c>
      <c r="S88" s="172">
        <v>82.6</v>
      </c>
    </row>
    <row r="89" spans="2:19">
      <c r="B89" s="172" t="s">
        <v>219</v>
      </c>
      <c r="C89" s="175" t="s">
        <v>223</v>
      </c>
      <c r="D89" s="172" t="s">
        <v>458</v>
      </c>
      <c r="F89" s="172"/>
      <c r="G89" s="44"/>
      <c r="H89" s="172"/>
      <c r="J89" s="172"/>
      <c r="K89" s="45"/>
      <c r="L89" s="172"/>
      <c r="N89" s="259">
        <v>8</v>
      </c>
      <c r="O89" s="45">
        <v>13.5</v>
      </c>
      <c r="P89" s="172">
        <v>100</v>
      </c>
      <c r="Q89" s="172">
        <v>100</v>
      </c>
      <c r="R89" s="172">
        <v>100</v>
      </c>
      <c r="S89" s="172">
        <v>100</v>
      </c>
    </row>
    <row r="90" spans="2:19">
      <c r="B90" s="172" t="s">
        <v>220</v>
      </c>
      <c r="C90" s="175" t="s">
        <v>224</v>
      </c>
      <c r="D90" s="172" t="s">
        <v>457</v>
      </c>
      <c r="N90" s="260"/>
    </row>
    <row r="91" spans="2:19">
      <c r="B91" s="172" t="s">
        <v>221</v>
      </c>
      <c r="C91" s="175" t="s">
        <v>225</v>
      </c>
      <c r="D91" s="172" t="s">
        <v>456</v>
      </c>
      <c r="N91" s="191" t="s">
        <v>1922</v>
      </c>
    </row>
    <row r="92" spans="2:19">
      <c r="B92" s="172" t="s">
        <v>222</v>
      </c>
      <c r="C92" s="175" t="s">
        <v>226</v>
      </c>
      <c r="D92" s="172" t="s">
        <v>455</v>
      </c>
      <c r="N92" s="172"/>
      <c r="O92" s="172"/>
      <c r="P92" s="172"/>
    </row>
    <row r="93" spans="2:19">
      <c r="B93" s="172" t="s">
        <v>196</v>
      </c>
      <c r="C93" s="175" t="s">
        <v>197</v>
      </c>
      <c r="D93" s="172" t="s">
        <v>454</v>
      </c>
      <c r="N93" s="261">
        <v>0</v>
      </c>
      <c r="O93" s="261" t="s">
        <v>1923</v>
      </c>
      <c r="P93" s="172"/>
    </row>
    <row r="94" spans="2:19">
      <c r="B94" s="172" t="s">
        <v>229</v>
      </c>
      <c r="C94" s="175" t="s">
        <v>227</v>
      </c>
      <c r="D94" s="172" t="s">
        <v>476</v>
      </c>
      <c r="N94" s="261">
        <v>1</v>
      </c>
      <c r="O94" s="261" t="s">
        <v>1924</v>
      </c>
      <c r="P94" s="172"/>
    </row>
    <row r="95" spans="2:19">
      <c r="B95" s="172" t="s">
        <v>230</v>
      </c>
      <c r="C95" s="175" t="s">
        <v>228</v>
      </c>
      <c r="D95" s="172" t="s">
        <v>477</v>
      </c>
    </row>
    <row r="96" spans="2:19">
      <c r="B96" s="172" t="s">
        <v>765</v>
      </c>
      <c r="C96" s="175" t="s">
        <v>767</v>
      </c>
      <c r="D96" s="172" t="s">
        <v>770</v>
      </c>
      <c r="N96" s="33" t="s">
        <v>1925</v>
      </c>
      <c r="O96" s="171" t="s">
        <v>1926</v>
      </c>
    </row>
    <row r="97" spans="2:15">
      <c r="B97" s="172" t="s">
        <v>766</v>
      </c>
      <c r="C97" s="175" t="s">
        <v>768</v>
      </c>
      <c r="D97" s="172" t="s">
        <v>771</v>
      </c>
      <c r="N97" s="35"/>
      <c r="O97" s="36"/>
    </row>
    <row r="98" spans="2:15">
      <c r="B98" s="172"/>
      <c r="C98" s="175"/>
      <c r="D98" s="172"/>
      <c r="N98" s="261">
        <v>0</v>
      </c>
      <c r="O98" s="261" t="s">
        <v>1927</v>
      </c>
    </row>
    <row r="99" spans="2:15">
      <c r="B99" s="282" t="s">
        <v>1028</v>
      </c>
      <c r="C99" s="283"/>
      <c r="D99" s="284"/>
      <c r="N99" s="261">
        <v>1</v>
      </c>
      <c r="O99" s="261" t="s">
        <v>1928</v>
      </c>
    </row>
    <row r="100" spans="2:15">
      <c r="B100" s="172" t="s">
        <v>1929</v>
      </c>
      <c r="C100" s="175" t="s">
        <v>1930</v>
      </c>
      <c r="D100" s="172" t="s">
        <v>1931</v>
      </c>
      <c r="N100" s="261">
        <v>2</v>
      </c>
      <c r="O100" s="261" t="s">
        <v>1932</v>
      </c>
    </row>
    <row r="101" spans="2:15">
      <c r="B101" s="172" t="s">
        <v>644</v>
      </c>
      <c r="C101" s="175" t="s">
        <v>648</v>
      </c>
      <c r="D101" s="172" t="s">
        <v>1039</v>
      </c>
      <c r="N101" s="261">
        <v>3</v>
      </c>
      <c r="O101" s="261" t="s">
        <v>1933</v>
      </c>
    </row>
    <row r="102" spans="2:15">
      <c r="B102" s="172" t="s">
        <v>645</v>
      </c>
      <c r="C102" s="175" t="s">
        <v>649</v>
      </c>
      <c r="D102" s="172" t="s">
        <v>1040</v>
      </c>
      <c r="N102" s="261">
        <v>4</v>
      </c>
      <c r="O102" s="261" t="s">
        <v>1934</v>
      </c>
    </row>
    <row r="103" spans="2:15">
      <c r="B103" s="172" t="s">
        <v>646</v>
      </c>
      <c r="C103" s="175" t="s">
        <v>650</v>
      </c>
      <c r="D103" s="172" t="s">
        <v>1041</v>
      </c>
      <c r="N103" s="261">
        <v>5</v>
      </c>
      <c r="O103" s="261" t="s">
        <v>1935</v>
      </c>
    </row>
    <row r="104" spans="2:15">
      <c r="B104" s="172" t="s">
        <v>647</v>
      </c>
      <c r="C104" s="175" t="s">
        <v>651</v>
      </c>
      <c r="D104" s="172" t="s">
        <v>1042</v>
      </c>
      <c r="N104" s="261">
        <v>6</v>
      </c>
      <c r="O104" s="261" t="s">
        <v>1936</v>
      </c>
    </row>
    <row r="105" spans="2:15">
      <c r="B105" s="172" t="s">
        <v>959</v>
      </c>
      <c r="C105" s="175" t="s">
        <v>958</v>
      </c>
      <c r="D105" s="172" t="s">
        <v>960</v>
      </c>
      <c r="N105" s="261">
        <v>7</v>
      </c>
      <c r="O105" s="261" t="s">
        <v>1937</v>
      </c>
    </row>
    <row r="106" spans="2:15">
      <c r="B106" s="172" t="s">
        <v>1938</v>
      </c>
      <c r="C106" s="175" t="s">
        <v>1939</v>
      </c>
      <c r="D106" s="172" t="s">
        <v>1940</v>
      </c>
      <c r="N106" s="261">
        <v>8</v>
      </c>
      <c r="O106" s="261" t="s">
        <v>1941</v>
      </c>
    </row>
    <row r="107" spans="2:15">
      <c r="B107" s="172" t="s">
        <v>1942</v>
      </c>
      <c r="C107" s="175" t="s">
        <v>1943</v>
      </c>
      <c r="D107" s="172" t="s">
        <v>1944</v>
      </c>
      <c r="N107" s="261">
        <v>9</v>
      </c>
      <c r="O107" s="261" t="s">
        <v>1945</v>
      </c>
    </row>
    <row r="108" spans="2:15">
      <c r="B108" s="172" t="s">
        <v>1946</v>
      </c>
      <c r="C108" s="175" t="s">
        <v>1947</v>
      </c>
      <c r="D108" s="172" t="s">
        <v>1948</v>
      </c>
      <c r="N108" s="261">
        <v>10</v>
      </c>
      <c r="O108" s="261" t="s">
        <v>1949</v>
      </c>
    </row>
    <row r="109" spans="2:15">
      <c r="B109" s="172" t="s">
        <v>1950</v>
      </c>
      <c r="C109" s="175" t="s">
        <v>1951</v>
      </c>
      <c r="D109" s="172" t="s">
        <v>1952</v>
      </c>
    </row>
    <row r="110" spans="2:15">
      <c r="B110" s="172" t="s">
        <v>1953</v>
      </c>
      <c r="C110" s="175" t="s">
        <v>1954</v>
      </c>
      <c r="D110" s="172" t="s">
        <v>1955</v>
      </c>
    </row>
    <row r="111" spans="2:15">
      <c r="B111" s="172" t="s">
        <v>962</v>
      </c>
      <c r="C111" s="175" t="s">
        <v>961</v>
      </c>
      <c r="D111" s="172" t="s">
        <v>1033</v>
      </c>
    </row>
    <row r="112" spans="2:15">
      <c r="B112" s="172" t="s">
        <v>964</v>
      </c>
      <c r="C112" s="175" t="s">
        <v>963</v>
      </c>
      <c r="D112" s="172" t="s">
        <v>966</v>
      </c>
    </row>
    <row r="113" spans="2:5">
      <c r="B113" s="172" t="s">
        <v>965</v>
      </c>
      <c r="C113" s="175" t="s">
        <v>108</v>
      </c>
      <c r="D113" s="172" t="s">
        <v>967</v>
      </c>
    </row>
    <row r="114" spans="2:5">
      <c r="B114" s="172" t="s">
        <v>346</v>
      </c>
      <c r="C114" s="175" t="s">
        <v>425</v>
      </c>
      <c r="D114" s="172" t="s">
        <v>459</v>
      </c>
    </row>
    <row r="115" spans="2:5">
      <c r="B115" s="172" t="s">
        <v>348</v>
      </c>
      <c r="C115" s="175" t="s">
        <v>347</v>
      </c>
      <c r="D115" s="172" t="s">
        <v>488</v>
      </c>
    </row>
    <row r="116" spans="2:5">
      <c r="B116" s="172" t="s">
        <v>350</v>
      </c>
      <c r="C116" s="175" t="s">
        <v>349</v>
      </c>
      <c r="D116" s="172" t="s">
        <v>489</v>
      </c>
    </row>
    <row r="117" spans="2:5" ht="13.5">
      <c r="B117" s="172" t="s">
        <v>1956</v>
      </c>
      <c r="C117" s="175" t="s">
        <v>1957</v>
      </c>
      <c r="D117" s="172" t="s">
        <v>1958</v>
      </c>
    </row>
    <row r="118" spans="2:5" ht="13.5">
      <c r="B118" s="172" t="s">
        <v>1959</v>
      </c>
      <c r="C118" s="175" t="s">
        <v>1960</v>
      </c>
      <c r="D118" s="172" t="s">
        <v>1961</v>
      </c>
    </row>
    <row r="119" spans="2:5" ht="13.5">
      <c r="B119" s="172" t="s">
        <v>1962</v>
      </c>
      <c r="C119" s="175" t="s">
        <v>1963</v>
      </c>
      <c r="D119" s="172" t="s">
        <v>1964</v>
      </c>
    </row>
    <row r="120" spans="2:5" ht="14.25">
      <c r="B120" s="172" t="s">
        <v>1965</v>
      </c>
      <c r="C120" s="175" t="s">
        <v>1966</v>
      </c>
      <c r="D120" s="172" t="s">
        <v>1967</v>
      </c>
    </row>
    <row r="121" spans="2:5">
      <c r="B121" s="172"/>
      <c r="C121" s="175"/>
      <c r="D121" s="172"/>
    </row>
    <row r="122" spans="2:5">
      <c r="B122" s="172"/>
      <c r="C122" s="175"/>
      <c r="D122" s="172"/>
    </row>
    <row r="123" spans="2:5" ht="13.5">
      <c r="B123" s="172" t="s">
        <v>198</v>
      </c>
      <c r="C123" s="175" t="s">
        <v>1968</v>
      </c>
      <c r="D123" s="172" t="s">
        <v>652</v>
      </c>
      <c r="E123" s="171" t="s">
        <v>1969</v>
      </c>
    </row>
    <row r="124" spans="2:5">
      <c r="B124" s="172" t="s">
        <v>199</v>
      </c>
      <c r="C124" s="175" t="s">
        <v>1496</v>
      </c>
      <c r="D124" s="172" t="s">
        <v>653</v>
      </c>
    </row>
    <row r="125" spans="2:5">
      <c r="B125" s="172" t="s">
        <v>200</v>
      </c>
      <c r="C125" s="175" t="s">
        <v>1970</v>
      </c>
      <c r="D125" s="172" t="s">
        <v>654</v>
      </c>
    </row>
    <row r="126" spans="2:5">
      <c r="B126" s="172" t="s">
        <v>201</v>
      </c>
      <c r="C126" s="175"/>
      <c r="D126" s="172" t="s">
        <v>655</v>
      </c>
    </row>
    <row r="127" spans="2:5">
      <c r="B127" s="172" t="s">
        <v>1971</v>
      </c>
      <c r="C127" s="175" t="s">
        <v>1972</v>
      </c>
      <c r="D127" s="172" t="s">
        <v>1940</v>
      </c>
    </row>
    <row r="128" spans="2:5">
      <c r="B128" s="172" t="s">
        <v>1973</v>
      </c>
      <c r="C128" s="175" t="s">
        <v>1974</v>
      </c>
      <c r="D128" s="172" t="s">
        <v>1944</v>
      </c>
    </row>
    <row r="129" spans="2:7" ht="13.5">
      <c r="B129" s="172" t="s">
        <v>1975</v>
      </c>
      <c r="C129" s="175" t="s">
        <v>1976</v>
      </c>
      <c r="D129" s="172" t="s">
        <v>1948</v>
      </c>
      <c r="G129" s="262"/>
    </row>
    <row r="130" spans="2:7">
      <c r="B130" s="172" t="s">
        <v>1977</v>
      </c>
      <c r="C130" s="175" t="s">
        <v>1978</v>
      </c>
      <c r="D130" s="172" t="s">
        <v>1952</v>
      </c>
      <c r="E130" s="263"/>
    </row>
    <row r="131" spans="2:7">
      <c r="B131" s="172" t="s">
        <v>1979</v>
      </c>
      <c r="C131" s="175" t="s">
        <v>1980</v>
      </c>
      <c r="D131" s="172" t="s">
        <v>1955</v>
      </c>
    </row>
    <row r="132" spans="2:7">
      <c r="B132" s="172"/>
      <c r="C132" s="175"/>
      <c r="D132" s="172"/>
    </row>
    <row r="133" spans="2:7">
      <c r="B133" s="172"/>
      <c r="C133" s="175"/>
      <c r="D133" s="172"/>
    </row>
    <row r="134" spans="2:7">
      <c r="B134" s="282" t="s">
        <v>1043</v>
      </c>
      <c r="C134" s="283"/>
      <c r="D134" s="284"/>
    </row>
    <row r="135" spans="2:7">
      <c r="B135" s="172" t="s">
        <v>275</v>
      </c>
      <c r="C135" s="175" t="s">
        <v>1981</v>
      </c>
      <c r="D135" s="172" t="s">
        <v>289</v>
      </c>
      <c r="E135" s="171" t="s">
        <v>1982</v>
      </c>
    </row>
    <row r="136" spans="2:7">
      <c r="B136" s="172" t="s">
        <v>752</v>
      </c>
      <c r="C136" s="175" t="s">
        <v>1510</v>
      </c>
      <c r="D136" s="172" t="s">
        <v>1031</v>
      </c>
    </row>
    <row r="137" spans="2:7">
      <c r="B137" s="172" t="s">
        <v>1983</v>
      </c>
      <c r="C137" s="175" t="s">
        <v>1984</v>
      </c>
      <c r="D137" s="172"/>
      <c r="E137" s="171" t="s">
        <v>1985</v>
      </c>
    </row>
    <row r="138" spans="2:7">
      <c r="B138" s="172" t="s">
        <v>1986</v>
      </c>
      <c r="C138" s="175" t="s">
        <v>1987</v>
      </c>
      <c r="D138" s="172"/>
      <c r="E138" s="171" t="s">
        <v>1985</v>
      </c>
    </row>
    <row r="139" spans="2:7">
      <c r="B139" s="172" t="s">
        <v>1988</v>
      </c>
      <c r="C139" s="175" t="s">
        <v>1989</v>
      </c>
      <c r="D139" s="172"/>
      <c r="E139" s="171" t="s">
        <v>1985</v>
      </c>
    </row>
    <row r="140" spans="2:7">
      <c r="B140" s="172" t="s">
        <v>1990</v>
      </c>
      <c r="C140" s="175" t="s">
        <v>1991</v>
      </c>
      <c r="D140" s="172"/>
      <c r="E140" s="171" t="s">
        <v>1985</v>
      </c>
    </row>
    <row r="141" spans="2:7">
      <c r="B141" s="172"/>
      <c r="C141" s="175"/>
      <c r="D141" s="172"/>
    </row>
    <row r="142" spans="2:7" ht="13.5">
      <c r="B142" s="172" t="s">
        <v>278</v>
      </c>
      <c r="C142" s="175" t="s">
        <v>277</v>
      </c>
      <c r="D142" s="172" t="s">
        <v>450</v>
      </c>
      <c r="E142" s="171" t="s">
        <v>444</v>
      </c>
    </row>
    <row r="143" spans="2:7">
      <c r="B143" s="172" t="s">
        <v>286</v>
      </c>
      <c r="C143" s="175">
        <v>4.5</v>
      </c>
      <c r="D143" s="172" t="s">
        <v>487</v>
      </c>
    </row>
    <row r="144" spans="2:7">
      <c r="B144" s="172" t="s">
        <v>290</v>
      </c>
      <c r="C144" s="175">
        <v>11.3</v>
      </c>
      <c r="D144" s="172" t="s">
        <v>487</v>
      </c>
    </row>
    <row r="145" spans="2:5">
      <c r="B145" s="172"/>
      <c r="C145" s="175"/>
      <c r="D145" s="172"/>
    </row>
    <row r="146" spans="2:5">
      <c r="B146" s="172" t="s">
        <v>304</v>
      </c>
      <c r="C146" s="175" t="s">
        <v>303</v>
      </c>
      <c r="D146" s="172" t="s">
        <v>1029</v>
      </c>
      <c r="E146" s="171" t="s">
        <v>299</v>
      </c>
    </row>
    <row r="147" spans="2:5">
      <c r="B147" s="172" t="s">
        <v>306</v>
      </c>
      <c r="C147" s="175" t="s">
        <v>305</v>
      </c>
      <c r="D147" s="172" t="s">
        <v>1029</v>
      </c>
      <c r="E147" s="171" t="s">
        <v>300</v>
      </c>
    </row>
    <row r="148" spans="2:5">
      <c r="B148" s="172" t="s">
        <v>308</v>
      </c>
      <c r="C148" s="175" t="s">
        <v>307</v>
      </c>
      <c r="D148" s="190" t="s">
        <v>451</v>
      </c>
      <c r="E148" s="171" t="s">
        <v>301</v>
      </c>
    </row>
    <row r="149" spans="2:5">
      <c r="B149" s="172" t="s">
        <v>310</v>
      </c>
      <c r="C149" s="175" t="s">
        <v>309</v>
      </c>
      <c r="D149" s="190" t="s">
        <v>472</v>
      </c>
      <c r="E149" s="171" t="s">
        <v>302</v>
      </c>
    </row>
    <row r="150" spans="2:5">
      <c r="B150" s="172"/>
      <c r="C150" s="175"/>
      <c r="D150" s="172"/>
    </row>
    <row r="151" spans="2:5">
      <c r="B151" s="172" t="s">
        <v>320</v>
      </c>
      <c r="C151" s="175">
        <v>4.2</v>
      </c>
      <c r="D151" s="172" t="s">
        <v>1992</v>
      </c>
    </row>
    <row r="152" spans="2:5">
      <c r="B152" s="172" t="s">
        <v>319</v>
      </c>
      <c r="C152" s="175">
        <v>8</v>
      </c>
      <c r="D152" s="172" t="s">
        <v>1992</v>
      </c>
    </row>
    <row r="153" spans="2:5">
      <c r="B153" s="172"/>
      <c r="C153" s="175"/>
      <c r="D153" s="172"/>
    </row>
    <row r="154" spans="2:5">
      <c r="B154" s="172" t="s">
        <v>354</v>
      </c>
      <c r="C154" s="175" t="s">
        <v>1993</v>
      </c>
      <c r="D154" s="172" t="s">
        <v>452</v>
      </c>
      <c r="E154" s="171" t="s">
        <v>445</v>
      </c>
    </row>
    <row r="155" spans="2:5">
      <c r="B155" s="172" t="s">
        <v>359</v>
      </c>
      <c r="C155" s="175" t="s">
        <v>1994</v>
      </c>
      <c r="D155" s="172" t="s">
        <v>452</v>
      </c>
      <c r="E155" s="171" t="s">
        <v>358</v>
      </c>
    </row>
    <row r="156" spans="2:5">
      <c r="B156" s="172" t="s">
        <v>364</v>
      </c>
      <c r="C156" s="175" t="s">
        <v>363</v>
      </c>
      <c r="D156" s="172" t="s">
        <v>453</v>
      </c>
      <c r="E156" s="171" t="s">
        <v>362</v>
      </c>
    </row>
    <row r="157" spans="2:5">
      <c r="B157" s="172" t="s">
        <v>366</v>
      </c>
      <c r="C157" s="175" t="s">
        <v>365</v>
      </c>
      <c r="D157" s="172" t="s">
        <v>453</v>
      </c>
      <c r="E157" s="171" t="s">
        <v>300</v>
      </c>
    </row>
    <row r="158" spans="2:5">
      <c r="B158" s="172" t="s">
        <v>372</v>
      </c>
      <c r="C158" s="175" t="s">
        <v>448</v>
      </c>
      <c r="D158" s="172" t="s">
        <v>398</v>
      </c>
      <c r="E158" s="171" t="s">
        <v>377</v>
      </c>
    </row>
    <row r="159" spans="2:5">
      <c r="B159" s="172"/>
      <c r="C159" s="175"/>
      <c r="D159" s="172"/>
    </row>
    <row r="160" spans="2:5">
      <c r="B160" s="172" t="s">
        <v>382</v>
      </c>
      <c r="C160" s="175" t="s">
        <v>382</v>
      </c>
      <c r="D160" s="172" t="s">
        <v>460</v>
      </c>
      <c r="E160" s="171" t="s">
        <v>446</v>
      </c>
    </row>
    <row r="161" spans="2:5">
      <c r="B161" s="172" t="s">
        <v>383</v>
      </c>
      <c r="C161" s="175" t="s">
        <v>383</v>
      </c>
      <c r="D161" s="172" t="s">
        <v>460</v>
      </c>
      <c r="E161" s="171" t="s">
        <v>736</v>
      </c>
    </row>
    <row r="162" spans="2:5">
      <c r="B162" s="172" t="s">
        <v>384</v>
      </c>
      <c r="C162" s="175" t="s">
        <v>384</v>
      </c>
      <c r="D162" s="172" t="s">
        <v>460</v>
      </c>
      <c r="E162" s="171" t="s">
        <v>447</v>
      </c>
    </row>
    <row r="163" spans="2:5">
      <c r="B163" s="172" t="s">
        <v>387</v>
      </c>
      <c r="C163" s="175">
        <v>3.8</v>
      </c>
      <c r="D163" s="172" t="s">
        <v>460</v>
      </c>
    </row>
    <row r="164" spans="2:5">
      <c r="B164" s="172" t="s">
        <v>388</v>
      </c>
      <c r="C164" s="175">
        <v>8</v>
      </c>
      <c r="D164" s="172" t="s">
        <v>460</v>
      </c>
    </row>
    <row r="165" spans="2:5">
      <c r="B165" s="172"/>
      <c r="C165" s="175" t="s">
        <v>1995</v>
      </c>
      <c r="D165" s="172"/>
    </row>
    <row r="166" spans="2:5">
      <c r="B166" s="172"/>
      <c r="C166" s="175" t="s">
        <v>1996</v>
      </c>
      <c r="D166" s="172"/>
    </row>
    <row r="167" spans="2:5">
      <c r="B167" s="172"/>
      <c r="C167" s="175" t="s">
        <v>1997</v>
      </c>
      <c r="D167" s="172"/>
      <c r="E167" s="171" t="s">
        <v>1998</v>
      </c>
    </row>
    <row r="168" spans="2:5">
      <c r="B168" s="172"/>
      <c r="C168" s="175"/>
      <c r="D168" s="172"/>
    </row>
    <row r="169" spans="2:5">
      <c r="B169" s="172"/>
      <c r="C169" s="175"/>
      <c r="D169" s="172"/>
    </row>
    <row r="170" spans="2:5">
      <c r="B170" s="172" t="s">
        <v>400</v>
      </c>
      <c r="C170" s="175">
        <v>4.5</v>
      </c>
      <c r="D170" s="172" t="s">
        <v>995</v>
      </c>
    </row>
    <row r="171" spans="2:5">
      <c r="B171" s="172" t="s">
        <v>401</v>
      </c>
      <c r="C171" s="175">
        <v>4</v>
      </c>
      <c r="D171" s="172" t="s">
        <v>996</v>
      </c>
    </row>
    <row r="172" spans="2:5">
      <c r="B172" s="172" t="s">
        <v>402</v>
      </c>
      <c r="C172" s="175">
        <v>3.4</v>
      </c>
      <c r="D172" s="172" t="s">
        <v>997</v>
      </c>
    </row>
    <row r="173" spans="2:5">
      <c r="B173" s="172" t="s">
        <v>989</v>
      </c>
      <c r="C173" s="175">
        <v>13.5</v>
      </c>
      <c r="D173" s="172" t="s">
        <v>992</v>
      </c>
      <c r="E173" s="191" t="s">
        <v>1030</v>
      </c>
    </row>
    <row r="174" spans="2:5">
      <c r="B174" s="172" t="s">
        <v>990</v>
      </c>
      <c r="C174" s="175">
        <v>10</v>
      </c>
      <c r="D174" s="172" t="s">
        <v>993</v>
      </c>
    </row>
    <row r="175" spans="2:5">
      <c r="B175" s="172" t="s">
        <v>991</v>
      </c>
      <c r="C175" s="175">
        <v>8</v>
      </c>
      <c r="D175" s="172" t="s">
        <v>994</v>
      </c>
    </row>
    <row r="176" spans="2:5">
      <c r="B176" s="172"/>
      <c r="C176" s="175"/>
      <c r="D176" s="172"/>
    </row>
    <row r="177" spans="2:5">
      <c r="B177" s="172" t="s">
        <v>473</v>
      </c>
      <c r="C177" s="175" t="s">
        <v>468</v>
      </c>
      <c r="D177" s="172" t="s">
        <v>461</v>
      </c>
      <c r="E177" s="171" t="s">
        <v>465</v>
      </c>
    </row>
    <row r="178" spans="2:5">
      <c r="B178" s="172" t="s">
        <v>474</v>
      </c>
      <c r="C178" s="175" t="s">
        <v>469</v>
      </c>
      <c r="D178" s="172" t="s">
        <v>462</v>
      </c>
      <c r="E178" s="171" t="s">
        <v>466</v>
      </c>
    </row>
    <row r="179" spans="2:5">
      <c r="B179" s="172" t="s">
        <v>475</v>
      </c>
      <c r="C179" s="175" t="s">
        <v>470</v>
      </c>
      <c r="D179" s="172" t="s">
        <v>463</v>
      </c>
      <c r="E179" s="171" t="s">
        <v>467</v>
      </c>
    </row>
    <row r="180" spans="2:5">
      <c r="B180" s="172"/>
      <c r="C180" s="175"/>
      <c r="D180" s="172"/>
    </row>
    <row r="181" spans="2:5">
      <c r="B181" s="172" t="s">
        <v>483</v>
      </c>
      <c r="C181" s="175" t="s">
        <v>1999</v>
      </c>
      <c r="D181" s="264" t="s">
        <v>2000</v>
      </c>
      <c r="E181" s="171" t="s">
        <v>494</v>
      </c>
    </row>
    <row r="182" spans="2:5">
      <c r="B182" s="172" t="s">
        <v>482</v>
      </c>
      <c r="C182" s="175" t="s">
        <v>2001</v>
      </c>
      <c r="D182" s="264" t="s">
        <v>2002</v>
      </c>
      <c r="E182" s="171" t="s">
        <v>513</v>
      </c>
    </row>
    <row r="183" spans="2:5">
      <c r="B183" s="172" t="s">
        <v>480</v>
      </c>
      <c r="C183" s="175" t="s">
        <v>2003</v>
      </c>
      <c r="D183" s="264" t="s">
        <v>2004</v>
      </c>
      <c r="E183" s="171" t="s">
        <v>495</v>
      </c>
    </row>
    <row r="184" spans="2:5">
      <c r="B184" s="172" t="s">
        <v>481</v>
      </c>
      <c r="C184" s="175" t="s">
        <v>2005</v>
      </c>
      <c r="D184" s="264" t="s">
        <v>2006</v>
      </c>
      <c r="E184" s="171" t="s">
        <v>493</v>
      </c>
    </row>
    <row r="185" spans="2:5" ht="13.5">
      <c r="B185" s="172" t="s">
        <v>2007</v>
      </c>
      <c r="C185" s="175" t="s">
        <v>2008</v>
      </c>
      <c r="D185" s="264" t="s">
        <v>2009</v>
      </c>
      <c r="E185" s="171" t="s">
        <v>2010</v>
      </c>
    </row>
    <row r="186" spans="2:5" ht="13.5">
      <c r="B186" s="172" t="s">
        <v>1775</v>
      </c>
      <c r="C186" s="175" t="s">
        <v>1775</v>
      </c>
      <c r="D186" s="239" t="s">
        <v>2011</v>
      </c>
      <c r="E186" s="171" t="s">
        <v>1776</v>
      </c>
    </row>
    <row r="187" spans="2:5">
      <c r="B187" s="172" t="s">
        <v>2012</v>
      </c>
      <c r="C187" s="175" t="s">
        <v>2012</v>
      </c>
      <c r="D187" s="172"/>
      <c r="E187" s="171" t="s">
        <v>2013</v>
      </c>
    </row>
    <row r="188" spans="2:5">
      <c r="B188" s="172"/>
      <c r="C188" s="175"/>
      <c r="D188" s="172"/>
    </row>
    <row r="189" spans="2:5">
      <c r="B189" s="172" t="s">
        <v>500</v>
      </c>
      <c r="C189" s="175" t="s">
        <v>499</v>
      </c>
      <c r="D189" s="172" t="s">
        <v>501</v>
      </c>
      <c r="E189" s="171" t="s">
        <v>502</v>
      </c>
    </row>
    <row r="190" spans="2:5">
      <c r="B190" s="172" t="s">
        <v>503</v>
      </c>
      <c r="C190" s="175" t="s">
        <v>503</v>
      </c>
      <c r="D190" s="172" t="s">
        <v>514</v>
      </c>
      <c r="E190" s="171" t="s">
        <v>504</v>
      </c>
    </row>
    <row r="191" spans="2:5">
      <c r="B191" s="172" t="s">
        <v>2014</v>
      </c>
      <c r="C191" s="175" t="s">
        <v>2015</v>
      </c>
      <c r="D191" s="172"/>
    </row>
    <row r="192" spans="2:5">
      <c r="B192" s="172"/>
      <c r="C192" s="175"/>
      <c r="D192" s="172"/>
    </row>
    <row r="193" spans="2:5">
      <c r="B193" s="172" t="s">
        <v>524</v>
      </c>
      <c r="C193" s="175" t="s">
        <v>506</v>
      </c>
      <c r="D193" s="172" t="s">
        <v>519</v>
      </c>
    </row>
    <row r="194" spans="2:5">
      <c r="B194" s="172" t="s">
        <v>525</v>
      </c>
      <c r="C194" s="175" t="s">
        <v>507</v>
      </c>
      <c r="D194" s="172" t="s">
        <v>519</v>
      </c>
      <c r="E194" s="171" t="s">
        <v>512</v>
      </c>
    </row>
    <row r="195" spans="2:5">
      <c r="B195" s="172" t="s">
        <v>526</v>
      </c>
      <c r="C195" s="175" t="s">
        <v>508</v>
      </c>
      <c r="D195" s="172" t="s">
        <v>1199</v>
      </c>
    </row>
    <row r="196" spans="2:5">
      <c r="B196" s="172" t="s">
        <v>510</v>
      </c>
      <c r="C196" s="175" t="s">
        <v>509</v>
      </c>
      <c r="D196" s="172" t="s">
        <v>511</v>
      </c>
    </row>
    <row r="197" spans="2:5">
      <c r="B197" s="172" t="s">
        <v>521</v>
      </c>
      <c r="C197" s="175" t="s">
        <v>520</v>
      </c>
      <c r="D197" s="172" t="s">
        <v>518</v>
      </c>
      <c r="E197" s="171" t="s">
        <v>516</v>
      </c>
    </row>
    <row r="198" spans="2:5">
      <c r="B198" s="172" t="s">
        <v>523</v>
      </c>
      <c r="C198" s="175" t="s">
        <v>522</v>
      </c>
      <c r="D198" s="172" t="s">
        <v>515</v>
      </c>
      <c r="E198" s="171" t="s">
        <v>517</v>
      </c>
    </row>
    <row r="199" spans="2:5">
      <c r="B199" s="172"/>
      <c r="C199" s="175"/>
      <c r="D199" s="172"/>
    </row>
    <row r="200" spans="2:5">
      <c r="B200" s="172" t="s">
        <v>758</v>
      </c>
      <c r="C200" s="175" t="s">
        <v>755</v>
      </c>
      <c r="D200" s="172" t="s">
        <v>870</v>
      </c>
    </row>
    <row r="201" spans="2:5">
      <c r="B201" s="172" t="s">
        <v>756</v>
      </c>
      <c r="C201" s="175" t="s">
        <v>757</v>
      </c>
      <c r="D201" s="172" t="s">
        <v>869</v>
      </c>
    </row>
    <row r="202" spans="2:5">
      <c r="B202" s="172" t="s">
        <v>856</v>
      </c>
      <c r="C202" s="175" t="s">
        <v>851</v>
      </c>
      <c r="D202" s="172" t="s">
        <v>854</v>
      </c>
      <c r="E202" s="171" t="s">
        <v>1165</v>
      </c>
    </row>
    <row r="203" spans="2:5">
      <c r="B203" s="172" t="s">
        <v>855</v>
      </c>
      <c r="C203" s="175" t="s">
        <v>852</v>
      </c>
      <c r="D203" s="172" t="s">
        <v>853</v>
      </c>
      <c r="E203" s="171" t="s">
        <v>849</v>
      </c>
    </row>
    <row r="204" spans="2:5">
      <c r="B204" s="172" t="s">
        <v>753</v>
      </c>
      <c r="C204" s="175" t="s">
        <v>754</v>
      </c>
      <c r="D204" s="172" t="s">
        <v>1032</v>
      </c>
    </row>
    <row r="205" spans="2:5">
      <c r="B205" s="172"/>
      <c r="C205" s="175"/>
      <c r="D205" s="172"/>
    </row>
    <row r="206" spans="2:5">
      <c r="B206" s="172" t="s">
        <v>978</v>
      </c>
      <c r="C206" s="175" t="s">
        <v>1022</v>
      </c>
      <c r="D206" s="172" t="s">
        <v>980</v>
      </c>
    </row>
    <row r="207" spans="2:5">
      <c r="B207" s="172" t="s">
        <v>979</v>
      </c>
      <c r="C207" s="175" t="s">
        <v>1021</v>
      </c>
      <c r="D207" s="172" t="s">
        <v>1034</v>
      </c>
    </row>
    <row r="208" spans="2:5">
      <c r="B208" s="172" t="s">
        <v>981</v>
      </c>
      <c r="C208" s="175" t="s">
        <v>1201</v>
      </c>
      <c r="D208" s="172" t="s">
        <v>1200</v>
      </c>
    </row>
    <row r="209" spans="2:5">
      <c r="B209" s="172"/>
      <c r="C209" s="175"/>
      <c r="D209" s="172"/>
    </row>
    <row r="210" spans="2:5">
      <c r="B210" s="172" t="s">
        <v>1491</v>
      </c>
      <c r="C210" s="175" t="s">
        <v>2016</v>
      </c>
      <c r="D210" s="172" t="s">
        <v>1023</v>
      </c>
    </row>
    <row r="211" spans="2:5">
      <c r="B211" s="172" t="s">
        <v>1045</v>
      </c>
      <c r="C211" s="175" t="s">
        <v>1044</v>
      </c>
      <c r="D211" s="172" t="s">
        <v>1046</v>
      </c>
      <c r="E211" s="171" t="s">
        <v>1047</v>
      </c>
    </row>
    <row r="212" spans="2:5">
      <c r="B212" s="172"/>
      <c r="C212" s="175"/>
      <c r="D212" s="172"/>
    </row>
    <row r="213" spans="2:5">
      <c r="B213" s="172" t="s">
        <v>1058</v>
      </c>
      <c r="C213" s="175" t="s">
        <v>1057</v>
      </c>
      <c r="D213" s="172" t="s">
        <v>1059</v>
      </c>
    </row>
    <row r="214" spans="2:5">
      <c r="B214" s="172"/>
      <c r="C214" s="175"/>
      <c r="D214" s="172"/>
    </row>
    <row r="215" spans="2:5">
      <c r="B215" s="172" t="s">
        <v>1173</v>
      </c>
      <c r="C215" s="175" t="s">
        <v>1179</v>
      </c>
      <c r="D215" s="172" t="s">
        <v>1183</v>
      </c>
      <c r="E215" s="171" t="s">
        <v>1185</v>
      </c>
    </row>
    <row r="216" spans="2:5">
      <c r="B216" s="172" t="s">
        <v>1174</v>
      </c>
      <c r="C216" s="175" t="s">
        <v>1180</v>
      </c>
      <c r="D216" s="172" t="s">
        <v>1182</v>
      </c>
      <c r="E216" s="171" t="s">
        <v>1186</v>
      </c>
    </row>
    <row r="217" spans="2:5">
      <c r="B217" s="172" t="s">
        <v>1175</v>
      </c>
      <c r="C217" s="175" t="s">
        <v>1178</v>
      </c>
      <c r="D217" s="172" t="s">
        <v>1181</v>
      </c>
      <c r="E217" s="171" t="s">
        <v>1187</v>
      </c>
    </row>
    <row r="218" spans="2:5">
      <c r="B218" s="172" t="s">
        <v>1176</v>
      </c>
      <c r="C218" s="175" t="s">
        <v>1177</v>
      </c>
      <c r="D218" s="172" t="s">
        <v>1184</v>
      </c>
      <c r="E218" s="171" t="s">
        <v>1188</v>
      </c>
    </row>
    <row r="219" spans="2:5">
      <c r="B219" s="172"/>
      <c r="C219" s="175"/>
      <c r="D219" s="172"/>
    </row>
    <row r="220" spans="2:5">
      <c r="B220" s="172" t="s">
        <v>1422</v>
      </c>
      <c r="C220" s="175" t="s">
        <v>1421</v>
      </c>
      <c r="D220" s="172" t="s">
        <v>2017</v>
      </c>
    </row>
    <row r="221" spans="2:5" ht="13.15" customHeight="1">
      <c r="B221" s="172" t="s">
        <v>1077</v>
      </c>
      <c r="C221" s="175" t="s">
        <v>1078</v>
      </c>
      <c r="D221" s="172" t="s">
        <v>2018</v>
      </c>
    </row>
    <row r="222" spans="2:5">
      <c r="B222" s="172"/>
      <c r="C222" s="175"/>
      <c r="D222" s="172"/>
    </row>
    <row r="223" spans="2:5">
      <c r="B223" s="172" t="s">
        <v>1079</v>
      </c>
      <c r="C223" s="175" t="s">
        <v>1080</v>
      </c>
      <c r="D223" s="172" t="s">
        <v>1081</v>
      </c>
    </row>
    <row r="224" spans="2:5">
      <c r="B224" s="172" t="s">
        <v>1082</v>
      </c>
      <c r="C224" s="175" t="s">
        <v>1083</v>
      </c>
      <c r="D224" s="172" t="s">
        <v>1084</v>
      </c>
    </row>
    <row r="225" spans="2:5">
      <c r="B225" s="172" t="s">
        <v>2019</v>
      </c>
      <c r="C225" s="175" t="s">
        <v>1775</v>
      </c>
      <c r="D225" s="172"/>
    </row>
    <row r="226" spans="2:5">
      <c r="B226" s="172"/>
      <c r="C226" s="175"/>
      <c r="D226" s="172"/>
    </row>
    <row r="227" spans="2:5">
      <c r="B227" s="172" t="s">
        <v>1401</v>
      </c>
      <c r="C227" s="175" t="s">
        <v>2020</v>
      </c>
      <c r="D227" s="172" t="s">
        <v>1461</v>
      </c>
    </row>
    <row r="228" spans="2:5">
      <c r="B228" s="172" t="s">
        <v>1085</v>
      </c>
      <c r="C228" s="175" t="s">
        <v>1086</v>
      </c>
      <c r="D228" s="172" t="s">
        <v>1132</v>
      </c>
    </row>
    <row r="229" spans="2:5">
      <c r="B229" s="172" t="s">
        <v>1087</v>
      </c>
      <c r="C229" s="175" t="s">
        <v>1088</v>
      </c>
      <c r="D229" s="172" t="s">
        <v>1133</v>
      </c>
    </row>
    <row r="230" spans="2:5">
      <c r="B230" s="172"/>
      <c r="C230" s="175"/>
      <c r="D230" s="172"/>
    </row>
    <row r="231" spans="2:5">
      <c r="B231" s="172" t="s">
        <v>1089</v>
      </c>
      <c r="C231" s="175" t="s">
        <v>1090</v>
      </c>
      <c r="D231" s="172" t="s">
        <v>1134</v>
      </c>
    </row>
    <row r="232" spans="2:5">
      <c r="B232" s="172" t="s">
        <v>1091</v>
      </c>
      <c r="C232" s="175" t="s">
        <v>1092</v>
      </c>
      <c r="D232" s="172" t="s">
        <v>1093</v>
      </c>
    </row>
    <row r="233" spans="2:5">
      <c r="B233" s="172"/>
      <c r="C233" s="175"/>
      <c r="D233" s="172"/>
    </row>
    <row r="234" spans="2:5">
      <c r="B234" s="172" t="s">
        <v>2021</v>
      </c>
      <c r="C234" s="175" t="s">
        <v>2022</v>
      </c>
      <c r="D234" s="172" t="s">
        <v>2023</v>
      </c>
    </row>
    <row r="235" spans="2:5">
      <c r="B235" s="172"/>
      <c r="C235" s="175"/>
      <c r="D235" s="172"/>
    </row>
    <row r="236" spans="2:5">
      <c r="B236" s="172" t="s">
        <v>1094</v>
      </c>
      <c r="C236" s="175" t="s">
        <v>1095</v>
      </c>
      <c r="D236" s="172" t="s">
        <v>1135</v>
      </c>
    </row>
    <row r="237" spans="2:5">
      <c r="B237" s="172" t="s">
        <v>1096</v>
      </c>
      <c r="C237" s="175" t="s">
        <v>1097</v>
      </c>
      <c r="D237" s="172" t="s">
        <v>1136</v>
      </c>
    </row>
    <row r="238" spans="2:5">
      <c r="B238" s="172" t="s">
        <v>1098</v>
      </c>
      <c r="C238" s="175" t="s">
        <v>1099</v>
      </c>
      <c r="D238" s="172" t="s">
        <v>1137</v>
      </c>
    </row>
    <row r="239" spans="2:5">
      <c r="B239" s="172"/>
      <c r="C239" s="175"/>
      <c r="D239" s="172"/>
    </row>
    <row r="240" spans="2:5">
      <c r="B240" s="172" t="s">
        <v>2024</v>
      </c>
      <c r="C240" s="175" t="s">
        <v>2025</v>
      </c>
      <c r="D240" s="172" t="s">
        <v>2026</v>
      </c>
      <c r="E240" s="171" t="s">
        <v>2027</v>
      </c>
    </row>
    <row r="241" spans="2:5">
      <c r="B241" s="172" t="s">
        <v>2028</v>
      </c>
      <c r="C241" s="175" t="s">
        <v>2029</v>
      </c>
      <c r="D241" s="172"/>
      <c r="E241" s="171" t="s">
        <v>2030</v>
      </c>
    </row>
    <row r="242" spans="2:5">
      <c r="B242" s="172" t="s">
        <v>2031</v>
      </c>
      <c r="C242" s="175" t="s">
        <v>2032</v>
      </c>
      <c r="D242" s="172"/>
      <c r="E242" s="171" t="s">
        <v>2033</v>
      </c>
    </row>
    <row r="243" spans="2:5">
      <c r="B243" s="172" t="s">
        <v>2034</v>
      </c>
      <c r="C243" s="175" t="s">
        <v>2035</v>
      </c>
      <c r="D243" s="172"/>
      <c r="E243" s="171" t="s">
        <v>2036</v>
      </c>
    </row>
    <row r="244" spans="2:5">
      <c r="B244" s="172" t="s">
        <v>2037</v>
      </c>
      <c r="C244" s="175" t="s">
        <v>2038</v>
      </c>
      <c r="D244" s="172"/>
      <c r="E244" s="171" t="s">
        <v>2039</v>
      </c>
    </row>
    <row r="245" spans="2:5">
      <c r="B245" s="172" t="s">
        <v>2040</v>
      </c>
      <c r="C245" s="175" t="s">
        <v>2041</v>
      </c>
      <c r="D245" s="172"/>
      <c r="E245" s="171" t="s">
        <v>2042</v>
      </c>
    </row>
    <row r="246" spans="2:5">
      <c r="B246" s="172" t="s">
        <v>2043</v>
      </c>
      <c r="C246" s="175" t="s">
        <v>2044</v>
      </c>
      <c r="D246" s="172"/>
      <c r="E246" s="171" t="s">
        <v>2045</v>
      </c>
    </row>
    <row r="247" spans="2:5">
      <c r="B247" s="172" t="s">
        <v>2046</v>
      </c>
      <c r="C247" s="175" t="s">
        <v>2047</v>
      </c>
      <c r="D247" s="172"/>
      <c r="E247" s="171" t="s">
        <v>2048</v>
      </c>
    </row>
    <row r="248" spans="2:5">
      <c r="B248" s="172" t="s">
        <v>2049</v>
      </c>
      <c r="C248" s="175" t="s">
        <v>2050</v>
      </c>
      <c r="D248" s="172"/>
      <c r="E248" s="171" t="s">
        <v>2033</v>
      </c>
    </row>
    <row r="249" spans="2:5">
      <c r="B249" s="172" t="s">
        <v>2051</v>
      </c>
      <c r="C249" s="175" t="s">
        <v>2052</v>
      </c>
      <c r="D249" s="172"/>
      <c r="E249" s="171" t="s">
        <v>2053</v>
      </c>
    </row>
    <row r="250" spans="2:5">
      <c r="B250" s="172" t="s">
        <v>2054</v>
      </c>
      <c r="C250" s="175" t="s">
        <v>2055</v>
      </c>
      <c r="D250" s="172"/>
      <c r="E250" s="171" t="s">
        <v>2056</v>
      </c>
    </row>
    <row r="251" spans="2:5">
      <c r="B251" s="172" t="s">
        <v>2057</v>
      </c>
      <c r="C251" s="175" t="s">
        <v>2058</v>
      </c>
      <c r="D251" s="172"/>
      <c r="E251" s="171" t="s">
        <v>2059</v>
      </c>
    </row>
    <row r="252" spans="2:5">
      <c r="B252" s="172"/>
      <c r="C252" s="175"/>
      <c r="D252" s="172"/>
    </row>
    <row r="253" spans="2:5">
      <c r="B253" s="172" t="s">
        <v>2060</v>
      </c>
      <c r="C253" s="175" t="s">
        <v>2061</v>
      </c>
      <c r="D253" s="172" t="s">
        <v>2062</v>
      </c>
      <c r="E253" s="171" t="s">
        <v>2063</v>
      </c>
    </row>
    <row r="254" spans="2:5">
      <c r="B254" s="172"/>
      <c r="C254" s="175"/>
      <c r="D254" s="172"/>
    </row>
    <row r="255" spans="2:5">
      <c r="B255" s="172" t="s">
        <v>1100</v>
      </c>
      <c r="C255" s="175" t="s">
        <v>1101</v>
      </c>
      <c r="D255" s="172" t="s">
        <v>1102</v>
      </c>
    </row>
    <row r="256" spans="2:5">
      <c r="B256" s="172" t="s">
        <v>1103</v>
      </c>
      <c r="C256" s="175" t="s">
        <v>1104</v>
      </c>
      <c r="D256" s="172" t="s">
        <v>1105</v>
      </c>
    </row>
    <row r="257" spans="2:4">
      <c r="B257" s="172"/>
      <c r="C257" s="175"/>
      <c r="D257" s="172"/>
    </row>
    <row r="258" spans="2:4">
      <c r="B258" s="172" t="s">
        <v>1106</v>
      </c>
      <c r="C258" s="175" t="s">
        <v>1107</v>
      </c>
      <c r="D258" s="172" t="s">
        <v>1108</v>
      </c>
    </row>
    <row r="259" spans="2:4">
      <c r="B259" s="172"/>
      <c r="C259" s="175"/>
      <c r="D259" s="172"/>
    </row>
    <row r="260" spans="2:4">
      <c r="B260" s="172" t="s">
        <v>1109</v>
      </c>
      <c r="C260" s="175" t="s">
        <v>1110</v>
      </c>
      <c r="D260" s="172" t="s">
        <v>1138</v>
      </c>
    </row>
    <row r="261" spans="2:4">
      <c r="B261" s="172"/>
      <c r="C261" s="175"/>
      <c r="D261" s="172"/>
    </row>
    <row r="262" spans="2:4">
      <c r="B262" s="172" t="s">
        <v>1111</v>
      </c>
      <c r="C262" s="175" t="s">
        <v>1112</v>
      </c>
      <c r="D262" s="172" t="s">
        <v>1139</v>
      </c>
    </row>
    <row r="263" spans="2:4">
      <c r="B263" s="172" t="s">
        <v>1113</v>
      </c>
      <c r="C263" s="175" t="s">
        <v>1114</v>
      </c>
      <c r="D263" s="172" t="s">
        <v>1140</v>
      </c>
    </row>
    <row r="264" spans="2:4">
      <c r="B264" s="172"/>
      <c r="C264" s="175"/>
      <c r="D264" s="172"/>
    </row>
    <row r="265" spans="2:4">
      <c r="B265" s="172" t="s">
        <v>2064</v>
      </c>
      <c r="C265" s="175" t="s">
        <v>2065</v>
      </c>
      <c r="D265" s="172"/>
    </row>
    <row r="266" spans="2:4">
      <c r="B266" s="172" t="s">
        <v>2066</v>
      </c>
      <c r="C266" s="175" t="s">
        <v>2067</v>
      </c>
      <c r="D266" s="172"/>
    </row>
    <row r="267" spans="2:4">
      <c r="B267" s="172"/>
      <c r="C267" s="175"/>
      <c r="D267" s="172"/>
    </row>
    <row r="268" spans="2:4">
      <c r="B268" s="172" t="s">
        <v>1115</v>
      </c>
      <c r="C268" s="175" t="s">
        <v>1392</v>
      </c>
      <c r="D268" s="172" t="s">
        <v>1202</v>
      </c>
    </row>
    <row r="269" spans="2:4">
      <c r="B269" s="172" t="s">
        <v>1116</v>
      </c>
      <c r="C269" s="175" t="s">
        <v>1393</v>
      </c>
      <c r="D269" s="172" t="s">
        <v>1202</v>
      </c>
    </row>
    <row r="270" spans="2:4">
      <c r="B270" s="172"/>
      <c r="C270" s="175"/>
      <c r="D270" s="172"/>
    </row>
    <row r="271" spans="2:4">
      <c r="B271" s="172" t="s">
        <v>1117</v>
      </c>
      <c r="C271" s="175" t="s">
        <v>1118</v>
      </c>
      <c r="D271" s="172" t="s">
        <v>1141</v>
      </c>
    </row>
    <row r="272" spans="2:4">
      <c r="B272" s="172" t="s">
        <v>1119</v>
      </c>
      <c r="C272" s="175" t="s">
        <v>1120</v>
      </c>
      <c r="D272" s="172" t="s">
        <v>1142</v>
      </c>
    </row>
    <row r="273" spans="2:5">
      <c r="B273" s="172" t="s">
        <v>1121</v>
      </c>
      <c r="C273" s="175" t="s">
        <v>1122</v>
      </c>
      <c r="D273" s="172" t="s">
        <v>1143</v>
      </c>
    </row>
    <row r="274" spans="2:5">
      <c r="B274" s="172"/>
      <c r="C274" s="175"/>
      <c r="D274" s="172"/>
    </row>
    <row r="275" spans="2:5">
      <c r="B275" s="172" t="s">
        <v>1426</v>
      </c>
      <c r="C275" s="175" t="s">
        <v>1427</v>
      </c>
      <c r="D275" s="172"/>
      <c r="E275" s="171" t="s">
        <v>517</v>
      </c>
    </row>
    <row r="276" spans="2:5">
      <c r="B276" s="172" t="s">
        <v>1428</v>
      </c>
      <c r="C276" s="175" t="s">
        <v>1429</v>
      </c>
      <c r="D276" s="172"/>
      <c r="E276" s="171" t="s">
        <v>1430</v>
      </c>
    </row>
    <row r="277" spans="2:5">
      <c r="B277" s="172" t="s">
        <v>1123</v>
      </c>
      <c r="C277" s="175" t="s">
        <v>1124</v>
      </c>
      <c r="D277" s="172" t="s">
        <v>1144</v>
      </c>
    </row>
    <row r="278" spans="2:5" ht="13.5">
      <c r="B278" s="172" t="s">
        <v>1125</v>
      </c>
      <c r="C278" s="175" t="s">
        <v>1126</v>
      </c>
      <c r="D278" s="172" t="s">
        <v>1145</v>
      </c>
    </row>
    <row r="279" spans="2:5">
      <c r="B279" s="172" t="s">
        <v>2068</v>
      </c>
      <c r="C279" s="175" t="s">
        <v>2069</v>
      </c>
      <c r="D279" s="172" t="s">
        <v>2070</v>
      </c>
    </row>
    <row r="280" spans="2:5">
      <c r="B280" s="172" t="s">
        <v>1127</v>
      </c>
      <c r="C280" s="175" t="s">
        <v>1128</v>
      </c>
      <c r="D280" s="172" t="s">
        <v>1146</v>
      </c>
    </row>
    <row r="281" spans="2:5">
      <c r="B281" s="172" t="s">
        <v>1129</v>
      </c>
      <c r="C281" s="175" t="s">
        <v>1130</v>
      </c>
      <c r="D281" s="172" t="s">
        <v>1131</v>
      </c>
    </row>
    <row r="282" spans="2:5">
      <c r="B282" s="172" t="s">
        <v>1431</v>
      </c>
      <c r="C282" s="175" t="s">
        <v>1432</v>
      </c>
      <c r="D282" s="172"/>
    </row>
    <row r="283" spans="2:5">
      <c r="B283" s="172"/>
      <c r="C283" s="175"/>
      <c r="D283" s="172"/>
    </row>
    <row r="284" spans="2:5">
      <c r="B284" s="192" t="s">
        <v>1147</v>
      </c>
      <c r="C284" s="193" t="s">
        <v>1166</v>
      </c>
      <c r="D284" s="192" t="s">
        <v>1462</v>
      </c>
      <c r="E284" s="171" t="s">
        <v>1167</v>
      </c>
    </row>
    <row r="285" spans="2:5">
      <c r="B285" s="192" t="s">
        <v>1148</v>
      </c>
      <c r="C285" s="193" t="s">
        <v>1149</v>
      </c>
      <c r="D285" s="192" t="s">
        <v>1463</v>
      </c>
      <c r="E285" s="171" t="s">
        <v>1167</v>
      </c>
    </row>
    <row r="286" spans="2:5">
      <c r="B286" s="192" t="s">
        <v>1150</v>
      </c>
      <c r="C286" s="193" t="s">
        <v>1203</v>
      </c>
      <c r="D286" s="192" t="s">
        <v>1464</v>
      </c>
      <c r="E286" s="171" t="s">
        <v>1433</v>
      </c>
    </row>
    <row r="287" spans="2:5">
      <c r="B287" s="192" t="s">
        <v>1151</v>
      </c>
      <c r="C287" s="193" t="s">
        <v>1152</v>
      </c>
      <c r="D287" s="192" t="s">
        <v>1465</v>
      </c>
      <c r="E287" s="171" t="s">
        <v>1204</v>
      </c>
    </row>
    <row r="288" spans="2:5">
      <c r="B288" s="192" t="s">
        <v>1164</v>
      </c>
      <c r="C288" s="193" t="s">
        <v>1153</v>
      </c>
      <c r="D288" s="265" t="s">
        <v>1492</v>
      </c>
      <c r="E288" s="171" t="s">
        <v>1205</v>
      </c>
    </row>
    <row r="289" spans="2:5">
      <c r="B289" s="192" t="s">
        <v>1154</v>
      </c>
      <c r="C289" s="193" t="s">
        <v>1155</v>
      </c>
      <c r="D289" s="192" t="s">
        <v>1466</v>
      </c>
      <c r="E289" s="171" t="s">
        <v>1206</v>
      </c>
    </row>
    <row r="290" spans="2:5">
      <c r="B290" s="192" t="s">
        <v>1156</v>
      </c>
      <c r="C290" s="193" t="s">
        <v>1157</v>
      </c>
      <c r="D290" s="192" t="s">
        <v>1467</v>
      </c>
      <c r="E290" s="171" t="s">
        <v>1207</v>
      </c>
    </row>
    <row r="291" spans="2:5">
      <c r="B291" s="192" t="s">
        <v>1158</v>
      </c>
      <c r="C291" s="193" t="s">
        <v>1159</v>
      </c>
      <c r="D291" s="192" t="s">
        <v>1468</v>
      </c>
      <c r="E291" s="171" t="s">
        <v>1208</v>
      </c>
    </row>
    <row r="292" spans="2:5">
      <c r="B292" s="192" t="s">
        <v>1160</v>
      </c>
      <c r="C292" s="193" t="s">
        <v>1161</v>
      </c>
      <c r="D292" s="192" t="s">
        <v>1468</v>
      </c>
      <c r="E292" s="171" t="s">
        <v>1208</v>
      </c>
    </row>
    <row r="293" spans="2:5">
      <c r="B293" s="192" t="s">
        <v>1162</v>
      </c>
      <c r="C293" s="193" t="s">
        <v>1163</v>
      </c>
      <c r="D293" s="192" t="s">
        <v>1468</v>
      </c>
      <c r="E293" s="171" t="s">
        <v>1209</v>
      </c>
    </row>
    <row r="294" spans="2:5">
      <c r="B294" s="172"/>
      <c r="C294" s="175"/>
      <c r="D294" s="172"/>
    </row>
    <row r="295" spans="2:5">
      <c r="B295" s="172" t="s">
        <v>2071</v>
      </c>
      <c r="C295" s="175" t="s">
        <v>2072</v>
      </c>
      <c r="D295" s="172"/>
      <c r="E295" s="171" t="s">
        <v>2072</v>
      </c>
    </row>
    <row r="296" spans="2:5">
      <c r="B296" s="172" t="s">
        <v>2073</v>
      </c>
      <c r="C296" s="175" t="s">
        <v>2074</v>
      </c>
      <c r="D296" s="172"/>
    </row>
    <row r="297" spans="2:5">
      <c r="B297" s="172"/>
      <c r="C297" s="175"/>
      <c r="D297" s="172"/>
    </row>
    <row r="298" spans="2:5">
      <c r="B298" s="172" t="s">
        <v>2075</v>
      </c>
      <c r="C298" s="175" t="s">
        <v>2076</v>
      </c>
      <c r="D298" s="172" t="s">
        <v>2077</v>
      </c>
    </row>
    <row r="299" spans="2:5">
      <c r="B299" s="172" t="s">
        <v>2024</v>
      </c>
      <c r="C299" s="175" t="s">
        <v>2025</v>
      </c>
      <c r="D299" s="190" t="s">
        <v>2026</v>
      </c>
      <c r="E299" s="171" t="s">
        <v>2078</v>
      </c>
    </row>
    <row r="300" spans="2:5">
      <c r="B300" s="172" t="s">
        <v>2079</v>
      </c>
      <c r="C300" s="175" t="s">
        <v>2080</v>
      </c>
      <c r="D300" s="172"/>
    </row>
    <row r="301" spans="2:5">
      <c r="B301" s="172" t="s">
        <v>2081</v>
      </c>
      <c r="C301" s="175" t="s">
        <v>2082</v>
      </c>
      <c r="D301" s="172"/>
    </row>
    <row r="302" spans="2:5">
      <c r="B302" s="172" t="s">
        <v>2028</v>
      </c>
      <c r="C302" s="175" t="s">
        <v>2029</v>
      </c>
      <c r="D302" s="190"/>
      <c r="E302" s="171" t="s">
        <v>2030</v>
      </c>
    </row>
    <row r="303" spans="2:5">
      <c r="B303" s="172" t="s">
        <v>2083</v>
      </c>
      <c r="C303" s="175" t="s">
        <v>2084</v>
      </c>
      <c r="D303" s="172" t="s">
        <v>2085</v>
      </c>
    </row>
    <row r="304" spans="2:5">
      <c r="B304" s="172" t="s">
        <v>2086</v>
      </c>
      <c r="C304" s="175" t="s">
        <v>2087</v>
      </c>
      <c r="D304" s="172" t="s">
        <v>2088</v>
      </c>
    </row>
    <row r="305" spans="2:5">
      <c r="B305" s="172" t="s">
        <v>2089</v>
      </c>
      <c r="C305" s="175" t="s">
        <v>2090</v>
      </c>
      <c r="D305" s="172" t="s">
        <v>2091</v>
      </c>
    </row>
    <row r="306" spans="2:5">
      <c r="B306" s="172" t="s">
        <v>2031</v>
      </c>
      <c r="C306" s="175" t="s">
        <v>2032</v>
      </c>
      <c r="D306" s="172"/>
      <c r="E306" s="171" t="s">
        <v>2033</v>
      </c>
    </row>
    <row r="307" spans="2:5">
      <c r="B307" s="172" t="s">
        <v>2092</v>
      </c>
      <c r="C307" s="175" t="s">
        <v>2035</v>
      </c>
      <c r="D307" s="172"/>
      <c r="E307" s="171" t="s">
        <v>2036</v>
      </c>
    </row>
    <row r="308" spans="2:5">
      <c r="B308" s="172" t="s">
        <v>2093</v>
      </c>
      <c r="C308" s="175" t="s">
        <v>2094</v>
      </c>
      <c r="D308" s="172"/>
      <c r="E308" s="171" t="s">
        <v>2039</v>
      </c>
    </row>
    <row r="309" spans="2:5">
      <c r="B309" s="172" t="s">
        <v>2037</v>
      </c>
      <c r="C309" s="175" t="s">
        <v>2038</v>
      </c>
      <c r="D309" s="172"/>
      <c r="E309" s="171" t="s">
        <v>2039</v>
      </c>
    </row>
    <row r="310" spans="2:5">
      <c r="B310" s="172" t="s">
        <v>2095</v>
      </c>
      <c r="C310" s="175" t="s">
        <v>2096</v>
      </c>
      <c r="D310" s="172"/>
      <c r="E310" s="171" t="s">
        <v>2048</v>
      </c>
    </row>
    <row r="311" spans="2:5">
      <c r="B311" s="172" t="s">
        <v>2040</v>
      </c>
      <c r="C311" s="175" t="s">
        <v>2041</v>
      </c>
      <c r="D311" s="172"/>
      <c r="E311" s="171" t="s">
        <v>2042</v>
      </c>
    </row>
    <row r="312" spans="2:5">
      <c r="B312" s="172" t="s">
        <v>2043</v>
      </c>
      <c r="C312" s="175" t="s">
        <v>2044</v>
      </c>
      <c r="D312" s="172"/>
      <c r="E312" s="171" t="s">
        <v>2045</v>
      </c>
    </row>
    <row r="313" spans="2:5">
      <c r="B313" s="172" t="s">
        <v>2046</v>
      </c>
      <c r="C313" s="175" t="s">
        <v>2047</v>
      </c>
      <c r="D313" s="172"/>
      <c r="E313" s="171" t="s">
        <v>2048</v>
      </c>
    </row>
    <row r="314" spans="2:5">
      <c r="B314" s="172" t="s">
        <v>2051</v>
      </c>
      <c r="C314" s="175" t="s">
        <v>2052</v>
      </c>
      <c r="D314" s="172"/>
      <c r="E314" s="171" t="s">
        <v>2053</v>
      </c>
    </row>
    <row r="315" spans="2:5">
      <c r="B315" s="172"/>
      <c r="C315" s="175"/>
      <c r="D315" s="172"/>
    </row>
    <row r="316" spans="2:5">
      <c r="B316" s="172" t="s">
        <v>2097</v>
      </c>
      <c r="C316" s="175" t="s">
        <v>2098</v>
      </c>
      <c r="D316" s="172"/>
      <c r="E316" s="171" t="s">
        <v>2099</v>
      </c>
    </row>
    <row r="317" spans="2:5">
      <c r="B317" s="172" t="s">
        <v>2100</v>
      </c>
      <c r="C317" s="175" t="s">
        <v>2101</v>
      </c>
      <c r="D317" s="172"/>
      <c r="E317" s="171" t="s">
        <v>2099</v>
      </c>
    </row>
    <row r="318" spans="2:5">
      <c r="B318" s="172" t="s">
        <v>2102</v>
      </c>
      <c r="C318" s="175" t="s">
        <v>2103</v>
      </c>
      <c r="D318" s="172"/>
      <c r="E318" s="171" t="s">
        <v>2104</v>
      </c>
    </row>
    <row r="319" spans="2:5">
      <c r="B319" s="172" t="s">
        <v>2105</v>
      </c>
      <c r="C319" s="175" t="s">
        <v>2106</v>
      </c>
      <c r="D319" s="172"/>
      <c r="E319" s="171" t="s">
        <v>2104</v>
      </c>
    </row>
    <row r="320" spans="2:5">
      <c r="B320" s="172"/>
      <c r="C320" s="175"/>
      <c r="D320" s="172"/>
    </row>
    <row r="321" spans="2:5">
      <c r="B321" s="172"/>
      <c r="C321" s="175"/>
      <c r="D321" s="172"/>
    </row>
    <row r="322" spans="2:5">
      <c r="B322" s="172"/>
      <c r="C322" s="175"/>
      <c r="D322" s="172"/>
    </row>
    <row r="323" spans="2:5">
      <c r="B323" s="172"/>
      <c r="C323" s="175"/>
      <c r="D323" s="172"/>
    </row>
    <row r="324" spans="2:5">
      <c r="B324" s="172"/>
      <c r="C324" s="175"/>
      <c r="D324" s="172"/>
    </row>
    <row r="325" spans="2:5">
      <c r="B325" s="172"/>
      <c r="C325" s="175"/>
      <c r="D325" s="172"/>
    </row>
    <row r="326" spans="2:5">
      <c r="B326" s="282" t="s">
        <v>2107</v>
      </c>
      <c r="C326" s="283"/>
      <c r="D326" s="284"/>
    </row>
    <row r="327" spans="2:5">
      <c r="B327" s="172" t="s">
        <v>2108</v>
      </c>
      <c r="C327" s="175" t="s">
        <v>2109</v>
      </c>
      <c r="D327" s="172"/>
      <c r="E327" s="171" t="s">
        <v>1926</v>
      </c>
    </row>
    <row r="328" spans="2:5">
      <c r="B328" s="172"/>
      <c r="C328" s="175"/>
      <c r="D328" s="172"/>
    </row>
    <row r="329" spans="2:5" ht="13.5">
      <c r="B329" s="172" t="s">
        <v>2110</v>
      </c>
      <c r="C329" s="175" t="s">
        <v>2111</v>
      </c>
      <c r="D329" s="172" t="s">
        <v>2112</v>
      </c>
      <c r="E329" s="266"/>
    </row>
    <row r="330" spans="2:5">
      <c r="B330" s="172" t="s">
        <v>2113</v>
      </c>
      <c r="C330" s="175" t="s">
        <v>2114</v>
      </c>
      <c r="D330" s="172"/>
      <c r="E330" s="266" t="s">
        <v>2115</v>
      </c>
    </row>
    <row r="331" spans="2:5">
      <c r="B331" s="172" t="s">
        <v>2116</v>
      </c>
      <c r="C331" s="175" t="s">
        <v>2117</v>
      </c>
      <c r="D331" s="172"/>
      <c r="E331" s="171" t="s">
        <v>2118</v>
      </c>
    </row>
    <row r="332" spans="2:5">
      <c r="B332" s="172"/>
      <c r="C332" s="175"/>
      <c r="D332" s="172"/>
    </row>
    <row r="333" spans="2:5" ht="13.5">
      <c r="B333" s="172" t="s">
        <v>2119</v>
      </c>
      <c r="C333" s="175" t="s">
        <v>2120</v>
      </c>
      <c r="D333" s="239" t="s">
        <v>2121</v>
      </c>
      <c r="E333" s="171" t="s">
        <v>2122</v>
      </c>
    </row>
    <row r="334" spans="2:5">
      <c r="B334" s="172"/>
      <c r="C334" s="175"/>
      <c r="D334" s="172"/>
    </row>
    <row r="335" spans="2:5" ht="13.5">
      <c r="B335" s="172" t="s">
        <v>2123</v>
      </c>
      <c r="C335" s="175" t="s">
        <v>2124</v>
      </c>
      <c r="D335" s="172" t="s">
        <v>2125</v>
      </c>
      <c r="E335" s="171" t="s">
        <v>2126</v>
      </c>
    </row>
    <row r="336" spans="2:5">
      <c r="B336" s="172" t="s">
        <v>2127</v>
      </c>
      <c r="C336" s="175" t="s">
        <v>2128</v>
      </c>
      <c r="D336" s="172" t="s">
        <v>2129</v>
      </c>
    </row>
    <row r="337" spans="2:6">
      <c r="B337" s="172"/>
      <c r="C337" s="175"/>
      <c r="D337" s="172"/>
    </row>
    <row r="338" spans="2:6" ht="13.5">
      <c r="B338" s="172" t="s">
        <v>2130</v>
      </c>
      <c r="C338" s="175" t="s">
        <v>2131</v>
      </c>
      <c r="D338" s="239" t="s">
        <v>2132</v>
      </c>
      <c r="E338" s="171" t="s">
        <v>2133</v>
      </c>
    </row>
    <row r="339" spans="2:6" ht="13.5">
      <c r="B339" s="172" t="s">
        <v>2134</v>
      </c>
      <c r="C339" s="175" t="s">
        <v>2135</v>
      </c>
      <c r="D339" s="172"/>
      <c r="E339" s="171" t="s">
        <v>2136</v>
      </c>
    </row>
    <row r="340" spans="2:6">
      <c r="B340" s="172"/>
      <c r="C340" s="175"/>
      <c r="D340" s="172"/>
    </row>
    <row r="341" spans="2:6">
      <c r="B341" s="172" t="s">
        <v>2137</v>
      </c>
      <c r="C341" s="175" t="s">
        <v>2138</v>
      </c>
      <c r="D341" s="172"/>
    </row>
    <row r="342" spans="2:6">
      <c r="B342" s="172" t="s">
        <v>2139</v>
      </c>
      <c r="C342" s="175" t="s">
        <v>2140</v>
      </c>
      <c r="D342" s="172"/>
    </row>
    <row r="343" spans="2:6">
      <c r="B343" s="172"/>
      <c r="C343" s="175"/>
      <c r="D343" s="172"/>
    </row>
    <row r="344" spans="2:6" ht="13.5">
      <c r="B344" s="172" t="s">
        <v>2141</v>
      </c>
      <c r="C344" s="175" t="s">
        <v>2142</v>
      </c>
      <c r="D344" s="239" t="s">
        <v>2143</v>
      </c>
      <c r="E344" s="171" t="s">
        <v>2144</v>
      </c>
    </row>
    <row r="345" spans="2:6">
      <c r="B345" s="172"/>
      <c r="C345" s="175"/>
      <c r="D345" s="172"/>
    </row>
    <row r="346" spans="2:6" ht="13.5">
      <c r="B346" s="172"/>
      <c r="C346" s="175"/>
      <c r="D346" s="172"/>
      <c r="E346" s="262" t="s">
        <v>2145</v>
      </c>
    </row>
    <row r="347" spans="2:6" ht="13.5">
      <c r="B347" s="172" t="s">
        <v>2146</v>
      </c>
      <c r="C347" s="175" t="s">
        <v>2147</v>
      </c>
      <c r="D347" s="172" t="s">
        <v>2148</v>
      </c>
      <c r="E347" s="267">
        <v>6027</v>
      </c>
      <c r="F347" s="262" t="s">
        <v>2149</v>
      </c>
    </row>
    <row r="348" spans="2:6">
      <c r="B348" s="172" t="s">
        <v>2150</v>
      </c>
      <c r="C348" s="175" t="s">
        <v>2151</v>
      </c>
      <c r="D348" s="172" t="s">
        <v>2152</v>
      </c>
      <c r="E348" s="191">
        <v>0</v>
      </c>
    </row>
    <row r="349" spans="2:6">
      <c r="B349" s="172" t="s">
        <v>2153</v>
      </c>
      <c r="C349" s="175" t="s">
        <v>2154</v>
      </c>
      <c r="D349" s="172" t="s">
        <v>2155</v>
      </c>
      <c r="E349" s="191">
        <v>0</v>
      </c>
    </row>
    <row r="350" spans="2:6">
      <c r="B350" s="172" t="s">
        <v>2156</v>
      </c>
      <c r="C350" s="175" t="s">
        <v>2157</v>
      </c>
      <c r="D350" s="172" t="s">
        <v>2158</v>
      </c>
      <c r="E350" s="191">
        <v>0</v>
      </c>
    </row>
    <row r="351" spans="2:6" ht="13.5">
      <c r="B351" s="172" t="s">
        <v>2159</v>
      </c>
      <c r="C351" s="175" t="s">
        <v>2160</v>
      </c>
      <c r="D351" s="172" t="s">
        <v>2148</v>
      </c>
      <c r="E351" s="171" t="s">
        <v>2161</v>
      </c>
    </row>
    <row r="352" spans="2:6">
      <c r="B352" s="172" t="s">
        <v>2162</v>
      </c>
      <c r="C352" s="175" t="s">
        <v>2163</v>
      </c>
      <c r="D352" s="172" t="s">
        <v>2148</v>
      </c>
    </row>
    <row r="353" spans="2:5">
      <c r="B353" s="172" t="s">
        <v>2164</v>
      </c>
      <c r="C353" s="175" t="s">
        <v>2165</v>
      </c>
      <c r="D353" s="172" t="s">
        <v>2152</v>
      </c>
    </row>
    <row r="354" spans="2:5">
      <c r="B354" s="172" t="s">
        <v>2166</v>
      </c>
      <c r="C354" s="175" t="s">
        <v>2167</v>
      </c>
      <c r="D354" s="172" t="s">
        <v>2152</v>
      </c>
    </row>
    <row r="355" spans="2:5">
      <c r="B355" s="172" t="s">
        <v>2168</v>
      </c>
      <c r="C355" s="175" t="s">
        <v>2169</v>
      </c>
      <c r="D355" s="172" t="s">
        <v>2155</v>
      </c>
    </row>
    <row r="356" spans="2:5">
      <c r="B356" s="172" t="s">
        <v>2170</v>
      </c>
      <c r="C356" s="175" t="s">
        <v>2171</v>
      </c>
      <c r="D356" s="172" t="s">
        <v>2155</v>
      </c>
    </row>
    <row r="357" spans="2:5">
      <c r="B357" s="172" t="s">
        <v>2172</v>
      </c>
      <c r="C357" s="175" t="s">
        <v>2172</v>
      </c>
      <c r="D357" s="172" t="s">
        <v>2158</v>
      </c>
    </row>
    <row r="358" spans="2:5">
      <c r="B358" s="172" t="s">
        <v>2173</v>
      </c>
      <c r="C358" s="175" t="s">
        <v>2174</v>
      </c>
      <c r="D358" s="172" t="s">
        <v>2158</v>
      </c>
    </row>
    <row r="359" spans="2:5">
      <c r="B359" s="172"/>
      <c r="C359" s="175"/>
      <c r="D359" s="172"/>
    </row>
    <row r="360" spans="2:5" ht="13.5">
      <c r="B360" s="172" t="s">
        <v>2175</v>
      </c>
      <c r="C360" s="175" t="s">
        <v>2176</v>
      </c>
      <c r="D360" s="172" t="s">
        <v>2177</v>
      </c>
      <c r="E360" s="262" t="s">
        <v>2178</v>
      </c>
    </row>
    <row r="361" spans="2:5">
      <c r="B361" s="172"/>
      <c r="C361" s="175"/>
      <c r="D361" s="172"/>
    </row>
    <row r="362" spans="2:5" ht="13.5">
      <c r="B362" s="172" t="s">
        <v>2179</v>
      </c>
      <c r="C362" s="175" t="s">
        <v>2180</v>
      </c>
      <c r="D362" s="172"/>
      <c r="E362" s="171" t="s">
        <v>2181</v>
      </c>
    </row>
    <row r="363" spans="2:5">
      <c r="B363" s="172" t="s">
        <v>2182</v>
      </c>
      <c r="C363" s="175" t="s">
        <v>2183</v>
      </c>
      <c r="D363" s="172" t="s">
        <v>2184</v>
      </c>
    </row>
    <row r="364" spans="2:5">
      <c r="B364" s="172"/>
      <c r="C364" s="175"/>
      <c r="D364" s="172"/>
    </row>
    <row r="365" spans="2:5" ht="13.5">
      <c r="B365" s="172"/>
      <c r="C365" s="175"/>
      <c r="D365" s="172"/>
      <c r="E365" s="262"/>
    </row>
    <row r="366" spans="2:5">
      <c r="B366" s="172" t="s">
        <v>2185</v>
      </c>
      <c r="C366" s="175" t="s">
        <v>2186</v>
      </c>
      <c r="D366" s="190"/>
      <c r="E366" s="171" t="s">
        <v>2059</v>
      </c>
    </row>
    <row r="367" spans="2:5" ht="13.5">
      <c r="B367" s="172" t="s">
        <v>2187</v>
      </c>
      <c r="C367" s="175" t="s">
        <v>2188</v>
      </c>
      <c r="D367" s="239" t="s">
        <v>2189</v>
      </c>
    </row>
    <row r="368" spans="2:5">
      <c r="B368" s="172" t="s">
        <v>2190</v>
      </c>
      <c r="C368" s="175" t="s">
        <v>2191</v>
      </c>
      <c r="D368" s="172"/>
    </row>
    <row r="369" spans="2:5">
      <c r="B369" s="172" t="s">
        <v>2192</v>
      </c>
      <c r="C369" s="175" t="s">
        <v>2193</v>
      </c>
      <c r="D369" s="172"/>
    </row>
    <row r="370" spans="2:5">
      <c r="B370" s="172" t="s">
        <v>2194</v>
      </c>
      <c r="C370" s="175" t="s">
        <v>2195</v>
      </c>
      <c r="D370" s="172"/>
    </row>
    <row r="371" spans="2:5">
      <c r="B371" s="172" t="s">
        <v>2196</v>
      </c>
      <c r="C371" s="175" t="s">
        <v>2197</v>
      </c>
      <c r="D371" s="172"/>
    </row>
    <row r="372" spans="2:5">
      <c r="B372" s="172" t="s">
        <v>2198</v>
      </c>
      <c r="C372" s="175" t="s">
        <v>2199</v>
      </c>
      <c r="D372" s="172"/>
    </row>
    <row r="373" spans="2:5">
      <c r="B373" s="172" t="s">
        <v>2200</v>
      </c>
      <c r="C373" s="175" t="s">
        <v>2201</v>
      </c>
      <c r="D373" s="172"/>
    </row>
    <row r="374" spans="2:5">
      <c r="B374" s="172" t="s">
        <v>2202</v>
      </c>
      <c r="C374" s="175" t="s">
        <v>2203</v>
      </c>
      <c r="D374" s="172"/>
    </row>
    <row r="375" spans="2:5">
      <c r="B375" s="172" t="s">
        <v>2204</v>
      </c>
      <c r="C375" s="175" t="s">
        <v>2205</v>
      </c>
      <c r="D375" s="172"/>
    </row>
    <row r="376" spans="2:5">
      <c r="B376" s="172"/>
      <c r="C376" s="175"/>
      <c r="D376" s="172"/>
    </row>
    <row r="377" spans="2:5" ht="13.5">
      <c r="B377" s="172" t="s">
        <v>2206</v>
      </c>
      <c r="C377" s="175" t="s">
        <v>2207</v>
      </c>
      <c r="D377" s="172" t="s">
        <v>2208</v>
      </c>
      <c r="E377" s="171" t="s">
        <v>2209</v>
      </c>
    </row>
    <row r="378" spans="2:5">
      <c r="B378" s="172" t="s">
        <v>2210</v>
      </c>
      <c r="C378" s="175" t="s">
        <v>2211</v>
      </c>
      <c r="D378" s="172"/>
    </row>
    <row r="379" spans="2:5">
      <c r="B379" s="172"/>
      <c r="C379" s="175"/>
      <c r="D379" s="172"/>
    </row>
    <row r="380" spans="2:5" ht="13.5">
      <c r="B380" s="268" t="s">
        <v>2212</v>
      </c>
      <c r="C380" s="269" t="s">
        <v>2213</v>
      </c>
      <c r="D380" s="270" t="s">
        <v>2214</v>
      </c>
      <c r="E380" s="171" t="s">
        <v>2215</v>
      </c>
    </row>
    <row r="381" spans="2:5">
      <c r="B381" s="172"/>
      <c r="C381" s="175"/>
      <c r="D381" s="172"/>
    </row>
    <row r="382" spans="2:5">
      <c r="B382" s="172"/>
      <c r="C382" s="175"/>
      <c r="D382" s="172"/>
    </row>
    <row r="383" spans="2:5">
      <c r="B383" s="172"/>
      <c r="C383" s="175"/>
      <c r="D383" s="172"/>
    </row>
    <row r="384" spans="2:5">
      <c r="B384" s="172"/>
      <c r="C384" s="175"/>
      <c r="D384" s="172"/>
    </row>
    <row r="385" spans="2:5">
      <c r="B385" s="172"/>
      <c r="C385" s="175"/>
      <c r="D385" s="172"/>
    </row>
    <row r="386" spans="2:5">
      <c r="B386" s="172"/>
      <c r="C386" s="175"/>
      <c r="D386" s="172"/>
    </row>
    <row r="387" spans="2:5">
      <c r="B387" s="172"/>
      <c r="C387" s="175"/>
      <c r="D387" s="172"/>
    </row>
    <row r="388" spans="2:5" ht="13.5">
      <c r="B388" s="172" t="s">
        <v>2216</v>
      </c>
      <c r="C388" s="175" t="s">
        <v>2217</v>
      </c>
      <c r="D388" s="271" t="s">
        <v>2218</v>
      </c>
      <c r="E388" s="171" t="s">
        <v>2219</v>
      </c>
    </row>
    <row r="389" spans="2:5" ht="13.5">
      <c r="B389" s="172" t="s">
        <v>2220</v>
      </c>
      <c r="C389" s="175" t="s">
        <v>2221</v>
      </c>
      <c r="D389" s="271" t="s">
        <v>2218</v>
      </c>
    </row>
    <row r="390" spans="2:5" ht="13.5">
      <c r="B390" s="172" t="s">
        <v>2222</v>
      </c>
      <c r="C390" s="175" t="s">
        <v>2199</v>
      </c>
      <c r="D390" s="271" t="s">
        <v>2218</v>
      </c>
    </row>
    <row r="391" spans="2:5" ht="13.5">
      <c r="B391" s="172" t="s">
        <v>2223</v>
      </c>
      <c r="C391" s="175" t="s">
        <v>2201</v>
      </c>
      <c r="D391" s="271" t="s">
        <v>2218</v>
      </c>
    </row>
    <row r="392" spans="2:5">
      <c r="B392" s="172" t="s">
        <v>2224</v>
      </c>
      <c r="C392" s="175" t="s">
        <v>2225</v>
      </c>
      <c r="D392" s="172" t="s">
        <v>2226</v>
      </c>
    </row>
    <row r="393" spans="2:5">
      <c r="B393" s="172" t="s">
        <v>2227</v>
      </c>
      <c r="C393" s="175" t="s">
        <v>2228</v>
      </c>
      <c r="D393" s="172" t="s">
        <v>2226</v>
      </c>
    </row>
    <row r="394" spans="2:5" ht="13.5">
      <c r="B394" s="172" t="s">
        <v>2229</v>
      </c>
      <c r="C394" s="175" t="s">
        <v>2230</v>
      </c>
      <c r="D394" s="172" t="s">
        <v>2226</v>
      </c>
      <c r="E394" s="262" t="s">
        <v>2231</v>
      </c>
    </row>
    <row r="395" spans="2:5">
      <c r="B395" s="172" t="s">
        <v>2232</v>
      </c>
      <c r="C395" s="175" t="s">
        <v>2233</v>
      </c>
      <c r="D395" s="172"/>
    </row>
    <row r="396" spans="2:5">
      <c r="B396" s="172" t="s">
        <v>2234</v>
      </c>
      <c r="C396" s="175" t="s">
        <v>2235</v>
      </c>
      <c r="D396" s="172"/>
    </row>
    <row r="397" spans="2:5">
      <c r="B397" s="172" t="s">
        <v>2236</v>
      </c>
      <c r="C397" s="175" t="s">
        <v>2237</v>
      </c>
      <c r="D397" s="172"/>
    </row>
    <row r="398" spans="2:5">
      <c r="B398" s="172" t="s">
        <v>2238</v>
      </c>
      <c r="C398" s="175" t="s">
        <v>2239</v>
      </c>
      <c r="D398" s="172"/>
    </row>
    <row r="399" spans="2:5" ht="13.5">
      <c r="B399" s="172" t="s">
        <v>2240</v>
      </c>
      <c r="C399" s="175" t="s">
        <v>2241</v>
      </c>
      <c r="D399" s="271" t="s">
        <v>2242</v>
      </c>
    </row>
    <row r="400" spans="2:5" ht="13.5">
      <c r="B400" s="172" t="s">
        <v>2243</v>
      </c>
      <c r="C400" s="175" t="s">
        <v>2244</v>
      </c>
      <c r="D400" s="172" t="s">
        <v>2245</v>
      </c>
    </row>
    <row r="401" spans="2:4">
      <c r="B401" s="172"/>
      <c r="C401" s="175"/>
      <c r="D401" s="172"/>
    </row>
    <row r="402" spans="2:4">
      <c r="B402" s="172"/>
      <c r="C402" s="175"/>
      <c r="D402" s="172"/>
    </row>
    <row r="403" spans="2:4">
      <c r="B403" s="172"/>
      <c r="C403" s="175"/>
      <c r="D403" s="172"/>
    </row>
    <row r="404" spans="2:4">
      <c r="B404" s="172"/>
      <c r="C404" s="175"/>
      <c r="D404" s="172"/>
    </row>
    <row r="405" spans="2:4">
      <c r="B405" s="172"/>
      <c r="C405" s="175"/>
      <c r="D405" s="172"/>
    </row>
    <row r="406" spans="2:4">
      <c r="B406" s="172"/>
      <c r="C406" s="175"/>
      <c r="D406" s="172"/>
    </row>
    <row r="407" spans="2:4">
      <c r="B407" s="172"/>
      <c r="C407" s="175"/>
      <c r="D407" s="172"/>
    </row>
    <row r="408" spans="2:4">
      <c r="B408" s="172"/>
      <c r="C408" s="175"/>
      <c r="D408" s="172"/>
    </row>
    <row r="409" spans="2:4">
      <c r="B409" s="172"/>
      <c r="C409" s="175"/>
      <c r="D409" s="172"/>
    </row>
    <row r="410" spans="2:4">
      <c r="B410" s="172"/>
      <c r="C410" s="175"/>
      <c r="D410" s="172"/>
    </row>
    <row r="411" spans="2:4">
      <c r="B411" s="172"/>
      <c r="C411" s="175"/>
      <c r="D411" s="172"/>
    </row>
    <row r="412" spans="2:4">
      <c r="B412" s="172"/>
      <c r="C412" s="175"/>
      <c r="D412" s="172"/>
    </row>
    <row r="413" spans="2:4">
      <c r="B413" s="172"/>
      <c r="C413" s="175"/>
      <c r="D413" s="172"/>
    </row>
    <row r="414" spans="2:4">
      <c r="B414" s="172"/>
      <c r="C414" s="175"/>
      <c r="D414" s="172"/>
    </row>
    <row r="415" spans="2:4">
      <c r="B415" s="172"/>
      <c r="C415" s="175"/>
      <c r="D415" s="172"/>
    </row>
    <row r="416" spans="2:4">
      <c r="B416" s="172"/>
      <c r="C416" s="175"/>
      <c r="D416" s="172"/>
    </row>
    <row r="417" spans="2:4">
      <c r="B417" s="172"/>
      <c r="C417" s="175"/>
      <c r="D417" s="172"/>
    </row>
    <row r="418" spans="2:4">
      <c r="B418" s="172"/>
      <c r="C418" s="175"/>
      <c r="D418" s="172"/>
    </row>
    <row r="419" spans="2:4">
      <c r="B419" s="172"/>
      <c r="C419" s="175"/>
      <c r="D419" s="172"/>
    </row>
    <row r="420" spans="2:4">
      <c r="B420" s="172"/>
      <c r="C420" s="175"/>
      <c r="D420" s="172"/>
    </row>
    <row r="421" spans="2:4">
      <c r="B421" s="172"/>
      <c r="C421" s="175"/>
      <c r="D421" s="172"/>
    </row>
    <row r="422" spans="2:4">
      <c r="B422" s="172"/>
      <c r="C422" s="175"/>
      <c r="D422" s="172"/>
    </row>
    <row r="423" spans="2:4">
      <c r="B423" s="172"/>
      <c r="C423" s="175"/>
      <c r="D423" s="172"/>
    </row>
    <row r="424" spans="2:4">
      <c r="B424" s="172"/>
      <c r="C424" s="175"/>
      <c r="D424" s="172"/>
    </row>
    <row r="425" spans="2:4">
      <c r="B425" s="172"/>
      <c r="C425" s="175"/>
      <c r="D425" s="172"/>
    </row>
    <row r="426" spans="2:4">
      <c r="B426" s="172"/>
      <c r="C426" s="175"/>
      <c r="D426" s="172"/>
    </row>
    <row r="427" spans="2:4">
      <c r="B427" s="172"/>
      <c r="C427" s="175"/>
      <c r="D427" s="172"/>
    </row>
    <row r="428" spans="2:4">
      <c r="B428" s="172"/>
      <c r="C428" s="175"/>
      <c r="D428" s="172"/>
    </row>
    <row r="429" spans="2:4">
      <c r="B429" s="172"/>
      <c r="C429" s="175"/>
      <c r="D429" s="172"/>
    </row>
    <row r="430" spans="2:4">
      <c r="B430" s="172"/>
      <c r="C430" s="175"/>
      <c r="D430" s="172"/>
    </row>
    <row r="431" spans="2:4">
      <c r="B431" s="172"/>
      <c r="C431" s="175"/>
      <c r="D431" s="172"/>
    </row>
    <row r="432" spans="2:4">
      <c r="B432" s="172"/>
      <c r="C432" s="175"/>
      <c r="D432" s="172"/>
    </row>
    <row r="433" spans="2:4">
      <c r="B433" s="172"/>
      <c r="C433" s="175"/>
      <c r="D433" s="172"/>
    </row>
    <row r="434" spans="2:4">
      <c r="B434" s="172"/>
      <c r="C434" s="175"/>
      <c r="D434" s="172"/>
    </row>
    <row r="435" spans="2:4">
      <c r="B435" s="172"/>
      <c r="C435" s="175"/>
      <c r="D435" s="172"/>
    </row>
    <row r="436" spans="2:4">
      <c r="B436" s="172"/>
      <c r="C436" s="175"/>
      <c r="D436" s="172"/>
    </row>
    <row r="437" spans="2:4">
      <c r="B437" s="172"/>
      <c r="C437" s="175"/>
      <c r="D437" s="172"/>
    </row>
    <row r="438" spans="2:4">
      <c r="B438" s="172"/>
      <c r="C438" s="175"/>
      <c r="D438" s="172"/>
    </row>
    <row r="439" spans="2:4">
      <c r="B439" s="172"/>
      <c r="C439" s="175"/>
      <c r="D439" s="172"/>
    </row>
    <row r="440" spans="2:4">
      <c r="B440" s="172"/>
      <c r="C440" s="175"/>
      <c r="D440" s="172"/>
    </row>
    <row r="441" spans="2:4">
      <c r="B441" s="172"/>
      <c r="C441" s="175"/>
      <c r="D441" s="172"/>
    </row>
    <row r="442" spans="2:4">
      <c r="B442" s="172"/>
      <c r="C442" s="175"/>
      <c r="D442" s="172"/>
    </row>
    <row r="443" spans="2:4">
      <c r="B443" s="172"/>
      <c r="C443" s="175"/>
      <c r="D443" s="172"/>
    </row>
    <row r="444" spans="2:4">
      <c r="B444" s="172"/>
      <c r="C444" s="175"/>
      <c r="D444" s="172"/>
    </row>
    <row r="445" spans="2:4">
      <c r="B445" s="172"/>
      <c r="C445" s="175"/>
      <c r="D445" s="172"/>
    </row>
    <row r="446" spans="2:4">
      <c r="B446" s="172"/>
      <c r="C446" s="175"/>
      <c r="D446" s="172"/>
    </row>
    <row r="447" spans="2:4">
      <c r="B447" s="172"/>
      <c r="C447" s="175"/>
      <c r="D447" s="172"/>
    </row>
    <row r="448" spans="2:4">
      <c r="B448" s="172"/>
      <c r="C448" s="175"/>
      <c r="D448" s="172"/>
    </row>
    <row r="449" spans="2:4">
      <c r="B449" s="172"/>
      <c r="C449" s="175"/>
      <c r="D449" s="172"/>
    </row>
    <row r="450" spans="2:4">
      <c r="B450" s="172"/>
      <c r="C450" s="175"/>
      <c r="D450" s="172"/>
    </row>
    <row r="451" spans="2:4">
      <c r="B451" s="172"/>
      <c r="C451" s="175"/>
      <c r="D451" s="172"/>
    </row>
    <row r="452" spans="2:4">
      <c r="B452" s="172"/>
      <c r="C452" s="175"/>
      <c r="D452" s="172"/>
    </row>
    <row r="453" spans="2:4">
      <c r="B453" s="172"/>
      <c r="C453" s="175"/>
      <c r="D453" s="172"/>
    </row>
    <row r="454" spans="2:4">
      <c r="B454" s="172"/>
      <c r="C454" s="175"/>
      <c r="D454" s="172"/>
    </row>
    <row r="455" spans="2:4">
      <c r="B455" s="172"/>
      <c r="C455" s="175"/>
      <c r="D455" s="172"/>
    </row>
    <row r="456" spans="2:4">
      <c r="B456" s="172"/>
      <c r="C456" s="175"/>
      <c r="D456" s="172"/>
    </row>
    <row r="457" spans="2:4">
      <c r="B457" s="172"/>
      <c r="C457" s="175"/>
      <c r="D457" s="172"/>
    </row>
  </sheetData>
  <mergeCells count="10">
    <mergeCell ref="B88:D88"/>
    <mergeCell ref="B99:D99"/>
    <mergeCell ref="B134:D134"/>
    <mergeCell ref="B326:D326"/>
    <mergeCell ref="N3:Q3"/>
    <mergeCell ref="N4:N5"/>
    <mergeCell ref="O4:O5"/>
    <mergeCell ref="P4:P5"/>
    <mergeCell ref="Q4:Q5"/>
    <mergeCell ref="B68:D68"/>
  </mergeCells>
  <phoneticPr fontId="9" type="noConversion"/>
  <dataValidations count="3">
    <dataValidation showDropDown="1" showInputMessage="1" showErrorMessage="1" sqref="K57:K61"/>
    <dataValidation type="list" allowBlank="1" showInputMessage="1" showErrorMessage="1" sqref="G68:G89">
      <formula1>"O,X"</formula1>
    </dataValidation>
    <dataValidation type="list" allowBlank="1" showInputMessage="1" showErrorMessage="1" sqref="C39">
      <formula1>"DOM,USA,CHN,EUR"</formula1>
    </dataValidation>
  </dataValidations>
  <pageMargins left="0.7" right="0.7" top="0.75" bottom="0.75" header="0.3" footer="0.3"/>
  <pageSetup paperSize="0" orientation="portrait" horizontalDpi="0" verticalDpi="0" copies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255"/>
  <sheetViews>
    <sheetView topLeftCell="H1" workbookViewId="0">
      <pane ySplit="4" topLeftCell="A5" activePane="bottomLeft" state="frozen"/>
      <selection pane="bottomLeft" activeCell="H1" sqref="A1:XFD1"/>
    </sheetView>
  </sheetViews>
  <sheetFormatPr defaultColWidth="8.7109375" defaultRowHeight="12.75"/>
  <cols>
    <col min="1" max="3" width="8.7109375" style="50"/>
    <col min="4" max="5" width="0" style="50" hidden="1" customWidth="1"/>
    <col min="6" max="6" width="9.7109375" style="50" hidden="1" customWidth="1"/>
    <col min="7" max="7" width="0" style="50" hidden="1" customWidth="1"/>
    <col min="8" max="11" width="8.7109375" style="50"/>
    <col min="12" max="13" width="0" style="50" hidden="1" customWidth="1"/>
    <col min="14" max="14" width="9.7109375" style="50" hidden="1" customWidth="1"/>
    <col min="15" max="15" width="0" style="50" hidden="1" customWidth="1"/>
    <col min="16" max="19" width="8.7109375" style="50"/>
    <col min="20" max="21" width="0" style="50" hidden="1" customWidth="1"/>
    <col min="22" max="22" width="9.7109375" style="50" hidden="1" customWidth="1"/>
    <col min="23" max="23" width="0" style="50" hidden="1" customWidth="1"/>
    <col min="24" max="27" width="8.7109375" style="50"/>
    <col min="28" max="29" width="8.7109375" style="50" hidden="1" customWidth="1"/>
    <col min="30" max="30" width="9.7109375" style="50" hidden="1" customWidth="1"/>
    <col min="31" max="31" width="8.7109375" style="50" hidden="1" customWidth="1"/>
    <col min="32" max="35" width="8.7109375" style="50"/>
    <col min="36" max="37" width="8.7109375" style="50" hidden="1" customWidth="1"/>
    <col min="38" max="38" width="9.7109375" style="50" hidden="1" customWidth="1"/>
    <col min="39" max="39" width="8.7109375" style="50" hidden="1" customWidth="1"/>
    <col min="40" max="16384" width="8.7109375" style="50"/>
  </cols>
  <sheetData>
    <row r="1" spans="1:39" s="299" customFormat="1">
      <c r="A1" s="290" t="s">
        <v>339</v>
      </c>
      <c r="B1" s="290"/>
      <c r="C1" s="290"/>
      <c r="I1" s="290" t="s">
        <v>340</v>
      </c>
      <c r="J1" s="290"/>
      <c r="K1" s="290"/>
      <c r="Q1" s="290" t="s">
        <v>341</v>
      </c>
      <c r="R1" s="290"/>
      <c r="S1" s="290"/>
      <c r="Y1" s="290" t="s">
        <v>342</v>
      </c>
      <c r="Z1" s="290"/>
      <c r="AA1" s="290"/>
      <c r="AG1" s="290" t="s">
        <v>414</v>
      </c>
      <c r="AH1" s="290"/>
      <c r="AI1" s="290"/>
    </row>
    <row r="2" spans="1:39" ht="13.5" thickBot="1">
      <c r="A2" s="291"/>
      <c r="B2" s="291"/>
      <c r="C2" s="291"/>
      <c r="I2" s="291"/>
      <c r="J2" s="291"/>
      <c r="K2" s="291"/>
      <c r="Q2" s="291"/>
      <c r="R2" s="291"/>
      <c r="S2" s="291"/>
      <c r="Y2" s="291"/>
      <c r="Z2" s="291"/>
      <c r="AA2" s="291"/>
      <c r="AG2" s="291"/>
      <c r="AH2" s="291"/>
      <c r="AI2" s="291"/>
    </row>
    <row r="3" spans="1:39" ht="14.25" thickTop="1">
      <c r="A3" s="132" t="s">
        <v>1457</v>
      </c>
      <c r="B3" s="133" t="s">
        <v>1458</v>
      </c>
      <c r="C3" s="134" t="s">
        <v>336</v>
      </c>
      <c r="I3" s="132" t="s">
        <v>1457</v>
      </c>
      <c r="J3" s="133" t="s">
        <v>1458</v>
      </c>
      <c r="K3" s="134" t="s">
        <v>336</v>
      </c>
      <c r="Q3" s="132" t="s">
        <v>1457</v>
      </c>
      <c r="R3" s="133" t="s">
        <v>1458</v>
      </c>
      <c r="S3" s="134" t="s">
        <v>336</v>
      </c>
      <c r="Y3" s="132" t="s">
        <v>1457</v>
      </c>
      <c r="Z3" s="133" t="s">
        <v>1458</v>
      </c>
      <c r="AA3" s="134" t="s">
        <v>336</v>
      </c>
      <c r="AG3" s="132" t="s">
        <v>1457</v>
      </c>
      <c r="AH3" s="133" t="s">
        <v>1458</v>
      </c>
      <c r="AI3" s="134" t="s">
        <v>336</v>
      </c>
    </row>
    <row r="4" spans="1:39" ht="14.25" thickBot="1">
      <c r="A4" s="135" t="s">
        <v>1459</v>
      </c>
      <c r="B4" s="136" t="s">
        <v>337</v>
      </c>
      <c r="C4" s="137" t="s">
        <v>338</v>
      </c>
      <c r="I4" s="135" t="s">
        <v>1459</v>
      </c>
      <c r="J4" s="136" t="s">
        <v>337</v>
      </c>
      <c r="K4" s="137" t="s">
        <v>338</v>
      </c>
      <c r="Q4" s="135" t="s">
        <v>1459</v>
      </c>
      <c r="R4" s="136" t="s">
        <v>337</v>
      </c>
      <c r="S4" s="137" t="s">
        <v>338</v>
      </c>
      <c r="Y4" s="135" t="s">
        <v>1459</v>
      </c>
      <c r="Z4" s="136" t="s">
        <v>337</v>
      </c>
      <c r="AA4" s="137" t="s">
        <v>338</v>
      </c>
      <c r="AG4" s="135" t="s">
        <v>1459</v>
      </c>
      <c r="AH4" s="136" t="s">
        <v>337</v>
      </c>
      <c r="AI4" s="137" t="s">
        <v>338</v>
      </c>
    </row>
    <row r="5" spans="1:39" ht="13.5" thickTop="1">
      <c r="A5" s="138">
        <v>60</v>
      </c>
      <c r="B5" s="139">
        <v>7.4626425597732222</v>
      </c>
      <c r="C5" s="140">
        <v>0.99601123277225601</v>
      </c>
      <c r="E5" s="50">
        <f>A205</f>
        <v>-40</v>
      </c>
      <c r="F5" s="63">
        <f t="shared" ref="F5:G5" si="0">B205</f>
        <v>933.13728156145191</v>
      </c>
      <c r="G5" s="64">
        <f t="shared" si="0"/>
        <v>4.8442589619656111</v>
      </c>
      <c r="I5" s="138">
        <v>60</v>
      </c>
      <c r="J5" s="139">
        <v>7.5789999999999997</v>
      </c>
      <c r="K5" s="140">
        <v>1.0084089518081907</v>
      </c>
      <c r="M5" s="50">
        <f>I205</f>
        <v>-40</v>
      </c>
      <c r="N5" s="63">
        <f t="shared" ref="N5" si="1">J205</f>
        <v>881.03</v>
      </c>
      <c r="O5" s="64">
        <f t="shared" ref="O5" si="2">K205</f>
        <v>4.8353511958991469</v>
      </c>
      <c r="Q5" s="138">
        <v>50</v>
      </c>
      <c r="R5" s="139">
        <v>4.1459999999999999</v>
      </c>
      <c r="S5" s="140">
        <v>0.6070989281321385</v>
      </c>
      <c r="U5" s="50">
        <f>Q145</f>
        <v>-20</v>
      </c>
      <c r="V5" s="63">
        <f>R145</f>
        <v>70.040000000000006</v>
      </c>
      <c r="W5" s="64">
        <f>S145</f>
        <v>3.500599760095962</v>
      </c>
      <c r="Y5" s="141">
        <v>85</v>
      </c>
      <c r="Z5" s="142">
        <v>0.3209209991701934</v>
      </c>
      <c r="AA5" s="143">
        <v>0.29600228376259158</v>
      </c>
      <c r="AC5" s="50">
        <f>Y255</f>
        <v>-40</v>
      </c>
      <c r="AD5" s="63">
        <f t="shared" ref="AD5:AE5" si="3">Z255</f>
        <v>87.715389505627513</v>
      </c>
      <c r="AE5" s="64">
        <f t="shared" si="3"/>
        <v>4.7252610786225935</v>
      </c>
      <c r="AG5" s="141">
        <v>80</v>
      </c>
      <c r="AH5" s="142">
        <v>1.6574088400433546</v>
      </c>
      <c r="AI5" s="143">
        <v>0.71088217921556174</v>
      </c>
      <c r="AK5" s="50">
        <f>AG244</f>
        <v>-39.5</v>
      </c>
      <c r="AL5" s="63">
        <f>AH244</f>
        <v>197.74516034608368</v>
      </c>
      <c r="AM5" s="64">
        <f>AI244</f>
        <v>4.7593205063516058</v>
      </c>
    </row>
    <row r="6" spans="1:39">
      <c r="A6" s="144">
        <v>59.5</v>
      </c>
      <c r="B6" s="145">
        <v>7.5985654903640008</v>
      </c>
      <c r="C6" s="146">
        <v>1.0104860905280295</v>
      </c>
      <c r="E6" s="50">
        <f>A204</f>
        <v>-39.5</v>
      </c>
      <c r="F6" s="63">
        <f t="shared" ref="F6:G6" si="4">B204</f>
        <v>904.82002138938697</v>
      </c>
      <c r="G6" s="64">
        <f t="shared" si="4"/>
        <v>4.8395413057402639</v>
      </c>
      <c r="I6" s="144">
        <v>59.5</v>
      </c>
      <c r="J6" s="145">
        <v>7.7169999999999996</v>
      </c>
      <c r="K6" s="146">
        <v>1.0230134952408729</v>
      </c>
      <c r="M6" s="50">
        <f>I204</f>
        <v>-39.5</v>
      </c>
      <c r="N6" s="63">
        <f t="shared" ref="N6" si="5">J204</f>
        <v>853.98</v>
      </c>
      <c r="O6" s="64">
        <f t="shared" ref="O6" si="6">K204</f>
        <v>4.8303129030068552</v>
      </c>
      <c r="Q6" s="144">
        <v>49.5</v>
      </c>
      <c r="R6" s="145">
        <v>4.2149999999999999</v>
      </c>
      <c r="S6" s="146">
        <v>0.6159579131959666</v>
      </c>
      <c r="U6" s="50">
        <f>Q144</f>
        <v>-19.5</v>
      </c>
      <c r="V6" s="63">
        <f>R144</f>
        <v>68.33</v>
      </c>
      <c r="W6" s="64">
        <f>S144</f>
        <v>3.4745245601545816</v>
      </c>
      <c r="Y6" s="147">
        <v>84.5</v>
      </c>
      <c r="Z6" s="148">
        <v>0.32601078140660411</v>
      </c>
      <c r="AA6" s="149">
        <v>0.3004147932434546</v>
      </c>
      <c r="AC6" s="50">
        <f>Y254</f>
        <v>-39.5</v>
      </c>
      <c r="AD6" s="63">
        <f t="shared" ref="AD6:AE6" si="7">Z254</f>
        <v>85.192237955333596</v>
      </c>
      <c r="AE6" s="64">
        <f t="shared" si="7"/>
        <v>4.7175836973648337</v>
      </c>
      <c r="AG6" s="147">
        <v>79.5</v>
      </c>
      <c r="AH6" s="148">
        <v>1.6808741168561849</v>
      </c>
      <c r="AI6" s="149">
        <v>0.71949842967256417</v>
      </c>
      <c r="AK6" s="50">
        <f>AG243</f>
        <v>-39</v>
      </c>
      <c r="AL6" s="63">
        <f>AH243</f>
        <v>192.28526531169578</v>
      </c>
      <c r="AM6" s="64">
        <f>AI243</f>
        <v>4.7528243101495482</v>
      </c>
    </row>
    <row r="7" spans="1:39">
      <c r="A7" s="144">
        <v>59</v>
      </c>
      <c r="B7" s="145">
        <v>7.7373289242327132</v>
      </c>
      <c r="C7" s="146">
        <v>1.0251558794433184</v>
      </c>
      <c r="E7" s="50">
        <f>A203</f>
        <v>-39</v>
      </c>
      <c r="F7" s="63">
        <f t="shared" ref="F7:G7" si="8">B203</f>
        <v>877.4117107269177</v>
      </c>
      <c r="G7" s="64">
        <f t="shared" si="8"/>
        <v>4.8346946615006363</v>
      </c>
      <c r="I7" s="144">
        <v>59</v>
      </c>
      <c r="J7" s="145">
        <v>7.8570000000000002</v>
      </c>
      <c r="K7" s="146">
        <v>1.0377208970599889</v>
      </c>
      <c r="M7" s="50">
        <f>I203</f>
        <v>-39</v>
      </c>
      <c r="N7" s="63">
        <f t="shared" ref="N7" si="9">J203</f>
        <v>827.84</v>
      </c>
      <c r="O7" s="64">
        <f t="shared" ref="O7" si="10">K203</f>
        <v>4.8251422176629672</v>
      </c>
      <c r="Q7" s="144">
        <v>49</v>
      </c>
      <c r="R7" s="145">
        <v>4.2850000000000001</v>
      </c>
      <c r="S7" s="146">
        <v>0.62490885226775561</v>
      </c>
      <c r="U7" s="50">
        <f>Q143</f>
        <v>-19</v>
      </c>
      <c r="V7" s="63">
        <f>R143</f>
        <v>66.67</v>
      </c>
      <c r="W7" s="64">
        <f>S143</f>
        <v>3.4483293679528293</v>
      </c>
      <c r="Y7" s="147">
        <v>84</v>
      </c>
      <c r="Z7" s="148">
        <v>0.33119521834913379</v>
      </c>
      <c r="AA7" s="149">
        <v>0.30490085978699538</v>
      </c>
      <c r="AC7" s="50">
        <f>Y253</f>
        <v>-39</v>
      </c>
      <c r="AD7" s="63">
        <f t="shared" ref="AD7:AE7" si="11">Z253</f>
        <v>82.743099985907321</v>
      </c>
      <c r="AE7" s="64">
        <f t="shared" si="11"/>
        <v>4.7097096982678099</v>
      </c>
      <c r="AG7" s="147">
        <v>79</v>
      </c>
      <c r="AH7" s="148">
        <v>1.7047340020511903</v>
      </c>
      <c r="AI7" s="149">
        <v>0.72822415347176839</v>
      </c>
      <c r="AK7" s="50">
        <f>AG242</f>
        <v>-38.5</v>
      </c>
      <c r="AL7" s="63">
        <f>AH242</f>
        <v>186.99271251222339</v>
      </c>
      <c r="AM7" s="64">
        <f>AI242</f>
        <v>4.7461835041390303</v>
      </c>
    </row>
    <row r="8" spans="1:39">
      <c r="A8" s="144">
        <v>58.5</v>
      </c>
      <c r="B8" s="145">
        <v>7.8789999273785547</v>
      </c>
      <c r="C8" s="146">
        <v>1.0400221682837638</v>
      </c>
      <c r="E8" s="50">
        <f>A202</f>
        <v>-38.5</v>
      </c>
      <c r="F8" s="63">
        <f t="shared" ref="F8:G8" si="12">B202</f>
        <v>850.88225589209651</v>
      </c>
      <c r="G8" s="64">
        <f t="shared" si="12"/>
        <v>4.8297161748954851</v>
      </c>
      <c r="I8" s="144">
        <v>58.5</v>
      </c>
      <c r="J8" s="145">
        <v>8</v>
      </c>
      <c r="K8" s="146">
        <v>1.0526315789473684</v>
      </c>
      <c r="M8" s="50">
        <f>I202</f>
        <v>-38.5</v>
      </c>
      <c r="N8" s="63">
        <f t="shared" ref="N8" si="13">J202</f>
        <v>802.57</v>
      </c>
      <c r="O8" s="64">
        <f t="shared" ref="O8" si="14">K202</f>
        <v>4.8198349688314499</v>
      </c>
      <c r="Q8" s="144">
        <v>48.5</v>
      </c>
      <c r="R8" s="145">
        <v>4.3559999999999999</v>
      </c>
      <c r="S8" s="146">
        <v>0.63395040167656302</v>
      </c>
      <c r="U8" s="50">
        <f>Q142</f>
        <v>-18.5</v>
      </c>
      <c r="V8" s="63">
        <f>R142</f>
        <v>65.05</v>
      </c>
      <c r="W8" s="64">
        <f>S142</f>
        <v>3.4218832193582327</v>
      </c>
      <c r="Y8" s="147">
        <v>83.5</v>
      </c>
      <c r="Z8" s="148">
        <v>0.33647630703610693</v>
      </c>
      <c r="AA8" s="149">
        <v>0.30946176165674238</v>
      </c>
      <c r="AC8" s="50">
        <f>Y252</f>
        <v>-38.5</v>
      </c>
      <c r="AD8" s="63">
        <f t="shared" ref="AD8:AE8" si="15">Z252</f>
        <v>80.365891017465884</v>
      </c>
      <c r="AE8" s="64">
        <f t="shared" si="15"/>
        <v>4.7016353577266417</v>
      </c>
      <c r="AG8" s="147">
        <v>78.5</v>
      </c>
      <c r="AH8" s="148">
        <v>1.7289960807724467</v>
      </c>
      <c r="AI8" s="149">
        <v>0.73706055866401932</v>
      </c>
      <c r="AK8" s="50">
        <f>AG241</f>
        <v>-38</v>
      </c>
      <c r="AL8" s="63">
        <f>AH241</f>
        <v>181.86190895851212</v>
      </c>
      <c r="AM8" s="64">
        <f>AI241</f>
        <v>4.7393959005650679</v>
      </c>
    </row>
    <row r="9" spans="1:39">
      <c r="A9" s="144">
        <v>58</v>
      </c>
      <c r="B9" s="145">
        <v>8.02364732014669</v>
      </c>
      <c r="C9" s="146">
        <v>1.0550864903345805</v>
      </c>
      <c r="E9" s="50">
        <f>A201</f>
        <v>-38</v>
      </c>
      <c r="F9" s="63">
        <f t="shared" ref="F9:G9" si="16">B201</f>
        <v>825.20256497681555</v>
      </c>
      <c r="G9" s="64">
        <f t="shared" si="16"/>
        <v>4.8246029582429202</v>
      </c>
      <c r="I9" s="144">
        <v>58</v>
      </c>
      <c r="J9" s="145">
        <v>8.1460000000000008</v>
      </c>
      <c r="K9" s="146">
        <v>1.0677397368007131</v>
      </c>
      <c r="M9" s="50">
        <f>I201</f>
        <v>-38</v>
      </c>
      <c r="N9" s="63">
        <f t="shared" ref="N9" si="17">J201</f>
        <v>778.14</v>
      </c>
      <c r="O9" s="64">
        <f t="shared" ref="O9" si="18">K201</f>
        <v>4.8143885960353403</v>
      </c>
      <c r="Q9" s="144">
        <v>48</v>
      </c>
      <c r="R9" s="145">
        <v>4.4290000000000003</v>
      </c>
      <c r="S9" s="146">
        <v>0.64320776089924192</v>
      </c>
      <c r="U9" s="50">
        <f>Q141</f>
        <v>-18</v>
      </c>
      <c r="V9" s="63">
        <f>R141</f>
        <v>63.48</v>
      </c>
      <c r="W9" s="64">
        <f>S141</f>
        <v>3.3953786906290118</v>
      </c>
      <c r="Y9" s="147">
        <v>83</v>
      </c>
      <c r="Z9" s="148">
        <v>0.34185609126724681</v>
      </c>
      <c r="AA9" s="149">
        <v>0.31409879784935535</v>
      </c>
      <c r="AC9" s="50">
        <f>Y251</f>
        <v>-38</v>
      </c>
      <c r="AD9" s="63">
        <f t="shared" ref="AD9:AE9" si="19">Z251</f>
        <v>78.058575905485839</v>
      </c>
      <c r="AE9" s="64">
        <f t="shared" si="19"/>
        <v>4.6933569421753676</v>
      </c>
      <c r="AG9" s="147">
        <v>78</v>
      </c>
      <c r="AH9" s="148">
        <v>1.7536681010014268</v>
      </c>
      <c r="AI9" s="149">
        <v>0.74600885695079822</v>
      </c>
      <c r="AK9" s="50">
        <f>AG240</f>
        <v>-37.5</v>
      </c>
      <c r="AL9" s="63">
        <f>AH240</f>
        <v>176.88746299449971</v>
      </c>
      <c r="AM9" s="64">
        <f>AI240</f>
        <v>4.7324593142908062</v>
      </c>
    </row>
    <row r="10" spans="1:39">
      <c r="A10" s="144">
        <v>57.5</v>
      </c>
      <c r="B10" s="145">
        <v>8.1713417271322779</v>
      </c>
      <c r="C10" s="146">
        <v>1.0703503410418593</v>
      </c>
      <c r="E10" s="50">
        <f>A200</f>
        <v>-37.5</v>
      </c>
      <c r="F10" s="63">
        <f t="shared" ref="F10:G10" si="20">B200</f>
        <v>800.34451542486693</v>
      </c>
      <c r="G10" s="64">
        <f t="shared" si="20"/>
        <v>4.8193520915553361</v>
      </c>
      <c r="I10" s="144">
        <v>57.5</v>
      </c>
      <c r="J10" s="145">
        <v>8.2949999999999999</v>
      </c>
      <c r="K10" s="146">
        <v>1.0830395613004309</v>
      </c>
      <c r="M10" s="50">
        <f>I200</f>
        <v>-37.5</v>
      </c>
      <c r="N10" s="63">
        <f t="shared" ref="N10" si="21">J200</f>
        <v>754.53</v>
      </c>
      <c r="O10" s="64">
        <f t="shared" ref="O10" si="22">K200</f>
        <v>4.8088027226492294</v>
      </c>
      <c r="Q10" s="144">
        <v>47.5</v>
      </c>
      <c r="R10" s="145">
        <v>4.5030000000000001</v>
      </c>
      <c r="S10" s="146">
        <v>0.6525519520041736</v>
      </c>
      <c r="U10" s="50">
        <f>Q140</f>
        <v>-17.5</v>
      </c>
      <c r="V10" s="63">
        <f>R140</f>
        <v>61.95</v>
      </c>
      <c r="W10" s="64">
        <f>S140</f>
        <v>3.3686786296900491</v>
      </c>
      <c r="Y10" s="147">
        <v>82.5</v>
      </c>
      <c r="Z10" s="148">
        <v>0.34733666279943415</v>
      </c>
      <c r="AA10" s="149">
        <v>0.31881328830971756</v>
      </c>
      <c r="AC10" s="50">
        <f>Y250</f>
        <v>-37.5</v>
      </c>
      <c r="AD10" s="63">
        <f t="shared" ref="AD10:AE10" si="23">Z250</f>
        <v>75.819168465991453</v>
      </c>
      <c r="AE10" s="64">
        <f t="shared" si="23"/>
        <v>4.6848707113109169</v>
      </c>
      <c r="AG10" s="147">
        <v>77.5</v>
      </c>
      <c r="AH10" s="148">
        <v>1.7787579774003373</v>
      </c>
      <c r="AI10" s="149">
        <v>0.75507026327105287</v>
      </c>
      <c r="AK10" s="50">
        <f>AG239</f>
        <v>-37</v>
      </c>
      <c r="AL10" s="63">
        <f>AH239</f>
        <v>172.0641765636237</v>
      </c>
      <c r="AM10" s="64">
        <f>AI239</f>
        <v>4.7253715643366716</v>
      </c>
    </row>
    <row r="11" spans="1:39">
      <c r="A11" s="144">
        <v>57</v>
      </c>
      <c r="B11" s="145">
        <v>8.3221556286063354</v>
      </c>
      <c r="C11" s="146">
        <v>1.0858151755944148</v>
      </c>
      <c r="E11" s="50">
        <f>A199</f>
        <v>-37</v>
      </c>
      <c r="F11" s="63">
        <f t="shared" ref="F11:G11" si="24">B199</f>
        <v>776.28092257066669</v>
      </c>
      <c r="G11" s="64">
        <f t="shared" si="24"/>
        <v>4.813960623647457</v>
      </c>
      <c r="I11" s="144">
        <v>57</v>
      </c>
      <c r="J11" s="145">
        <v>8.4469999999999992</v>
      </c>
      <c r="K11" s="146">
        <v>1.0985252425416807</v>
      </c>
      <c r="M11" s="50">
        <f>I199</f>
        <v>-37</v>
      </c>
      <c r="N11" s="63">
        <f t="shared" ref="N11" si="25">J199</f>
        <v>731.7</v>
      </c>
      <c r="O11" s="64">
        <f t="shared" ref="O11" si="26">K199</f>
        <v>4.8030720756203227</v>
      </c>
      <c r="Q11" s="144">
        <v>47</v>
      </c>
      <c r="R11" s="145">
        <v>4.5789999999999997</v>
      </c>
      <c r="S11" s="146">
        <v>0.66210705919777901</v>
      </c>
      <c r="U11" s="50">
        <f>Q139</f>
        <v>-17</v>
      </c>
      <c r="V11" s="63">
        <f>R139</f>
        <v>60.46</v>
      </c>
      <c r="W11" s="64">
        <f>S139</f>
        <v>3.3418085341587442</v>
      </c>
      <c r="Y11" s="147">
        <v>82</v>
      </c>
      <c r="Z11" s="148">
        <v>0.35292016257544911</v>
      </c>
      <c r="AA11" s="149">
        <v>0.32360657414133376</v>
      </c>
      <c r="AC11" s="50">
        <f>Y249</f>
        <v>-37</v>
      </c>
      <c r="AD11" s="63">
        <f t="shared" ref="AD11:AE11" si="27">Z249</f>
        <v>73.645730949050986</v>
      </c>
      <c r="AE11" s="64">
        <f t="shared" si="27"/>
        <v>4.676172921469246</v>
      </c>
      <c r="AG11" s="147">
        <v>77</v>
      </c>
      <c r="AH11" s="148">
        <v>1.8042737952538148</v>
      </c>
      <c r="AI11" s="149">
        <v>0.76424599536960303</v>
      </c>
      <c r="AK11" s="50">
        <f>AG238</f>
        <v>-36.5</v>
      </c>
      <c r="AL11" s="63">
        <f>AH238</f>
        <v>167.38703778992914</v>
      </c>
      <c r="AM11" s="64">
        <f>AI238</f>
        <v>4.7181304754679276</v>
      </c>
    </row>
    <row r="12" spans="1:39">
      <c r="A12" s="144">
        <v>56.5</v>
      </c>
      <c r="B12" s="145">
        <v>8.4761634135126265</v>
      </c>
      <c r="C12" s="146">
        <v>1.1014824064469799</v>
      </c>
      <c r="E12" s="50">
        <f>A198</f>
        <v>-36.5</v>
      </c>
      <c r="F12" s="63">
        <f t="shared" ref="F12:G12" si="28">B198</f>
        <v>752.98550911660493</v>
      </c>
      <c r="G12" s="64">
        <f t="shared" si="28"/>
        <v>4.808425573329913</v>
      </c>
      <c r="I12" s="144">
        <v>56.5</v>
      </c>
      <c r="J12" s="145">
        <v>8.6029999999999998</v>
      </c>
      <c r="K12" s="146">
        <v>1.1142916353651271</v>
      </c>
      <c r="M12" s="50">
        <f>I198</f>
        <v>-36.5</v>
      </c>
      <c r="N12" s="63">
        <f t="shared" ref="N12" si="29">J198</f>
        <v>709.63</v>
      </c>
      <c r="O12" s="64">
        <f t="shared" ref="O12" si="30">K198</f>
        <v>4.7971958952449203</v>
      </c>
      <c r="Q12" s="144">
        <v>46.5</v>
      </c>
      <c r="R12" s="145">
        <v>4.6559999999999997</v>
      </c>
      <c r="S12" s="146">
        <v>0.67174515235457055</v>
      </c>
      <c r="U12" s="50">
        <f>Q138</f>
        <v>-16.5</v>
      </c>
      <c r="V12" s="63">
        <f>R138</f>
        <v>59.01</v>
      </c>
      <c r="W12" s="64">
        <f>S138</f>
        <v>3.3147960903269302</v>
      </c>
      <c r="Y12" s="147">
        <v>81.5</v>
      </c>
      <c r="Z12" s="148">
        <v>0.35860878198664442</v>
      </c>
      <c r="AA12" s="149">
        <v>0.32848001781154373</v>
      </c>
      <c r="AC12" s="50">
        <f>Y248</f>
        <v>-36.5</v>
      </c>
      <c r="AD12" s="63">
        <f t="shared" ref="AD12:AE12" si="31">Z248</f>
        <v>71.536373465888744</v>
      </c>
      <c r="AE12" s="64">
        <f t="shared" si="31"/>
        <v>4.6672598291547533</v>
      </c>
      <c r="AG12" s="147">
        <v>76.5</v>
      </c>
      <c r="AH12" s="148">
        <v>1.830223814512058</v>
      </c>
      <c r="AI12" s="149">
        <v>0.77353727334682143</v>
      </c>
      <c r="AK12" s="50">
        <f>AG237</f>
        <v>-36</v>
      </c>
      <c r="AL12" s="63">
        <f>AH237</f>
        <v>162.8512138603358</v>
      </c>
      <c r="AM12" s="64">
        <f>AI237</f>
        <v>4.7107338798303138</v>
      </c>
    </row>
    <row r="13" spans="1:39">
      <c r="A13" s="144">
        <v>56</v>
      </c>
      <c r="B13" s="145">
        <v>8.633441434086718</v>
      </c>
      <c r="C13" s="146">
        <v>1.117353400785742</v>
      </c>
      <c r="E13" s="50">
        <f>A197</f>
        <v>-36</v>
      </c>
      <c r="F13" s="63">
        <f t="shared" ref="F13:G13" si="32">B197</f>
        <v>730.43287552697643</v>
      </c>
      <c r="G13" s="64">
        <f t="shared" si="32"/>
        <v>4.8027439306907258</v>
      </c>
      <c r="I13" s="144">
        <v>56</v>
      </c>
      <c r="J13" s="145">
        <v>8.7609999999999992</v>
      </c>
      <c r="K13" s="146">
        <v>1.1301308015789067</v>
      </c>
      <c r="M13" s="50">
        <f>I197</f>
        <v>-36</v>
      </c>
      <c r="N13" s="63">
        <f t="shared" ref="N13" si="33">J197</f>
        <v>688.28</v>
      </c>
      <c r="O13" s="64">
        <f t="shared" ref="O13" si="34">K197</f>
        <v>4.7911677897198857</v>
      </c>
      <c r="Q13" s="144">
        <v>46</v>
      </c>
      <c r="R13" s="145">
        <v>4.7350000000000003</v>
      </c>
      <c r="S13" s="146">
        <v>0.68158917518353246</v>
      </c>
      <c r="U13" s="50">
        <f>Q137</f>
        <v>-16</v>
      </c>
      <c r="V13" s="63">
        <f>R137</f>
        <v>57.6</v>
      </c>
      <c r="W13" s="64">
        <f>S137</f>
        <v>3.2876712328767126</v>
      </c>
      <c r="Y13" s="147">
        <v>81</v>
      </c>
      <c r="Z13" s="148">
        <v>0.36440476417058099</v>
      </c>
      <c r="AA13" s="149">
        <v>0.33343500335108545</v>
      </c>
      <c r="AC13" s="50">
        <f>Y247</f>
        <v>-36</v>
      </c>
      <c r="AD13" s="63">
        <f t="shared" ref="AD13:AE13" si="35">Z247</f>
        <v>69.489253374587761</v>
      </c>
      <c r="AE13" s="64">
        <f t="shared" si="35"/>
        <v>4.6581276947238122</v>
      </c>
      <c r="AG13" s="147">
        <v>76</v>
      </c>
      <c r="AH13" s="148">
        <v>1.8566164739379136</v>
      </c>
      <c r="AI13" s="149">
        <v>0.78294531918905841</v>
      </c>
      <c r="AK13" s="50">
        <f>AG236</f>
        <v>-35.5</v>
      </c>
      <c r="AL13" s="63">
        <f>AH236</f>
        <v>158.45204419524401</v>
      </c>
      <c r="AM13" s="64">
        <f>AI236</f>
        <v>4.7031796186334933</v>
      </c>
    </row>
    <row r="14" spans="1:39">
      <c r="A14" s="144">
        <v>55.5</v>
      </c>
      <c r="B14" s="145">
        <v>8.794068062149373</v>
      </c>
      <c r="C14" s="146">
        <v>1.1334294779373211</v>
      </c>
      <c r="E14" s="50">
        <f>A196</f>
        <v>-35.5</v>
      </c>
      <c r="F14" s="63">
        <f t="shared" ref="F14:G14" si="36">B196</f>
        <v>708.59847131654442</v>
      </c>
      <c r="G14" s="64">
        <f t="shared" si="36"/>
        <v>4.7969126584670203</v>
      </c>
      <c r="I14" s="144">
        <v>55.5</v>
      </c>
      <c r="J14" s="145">
        <v>8.923</v>
      </c>
      <c r="K14" s="146">
        <v>1.1462374431570024</v>
      </c>
      <c r="M14" s="50">
        <f>I196</f>
        <v>-35.5</v>
      </c>
      <c r="N14" s="63">
        <f t="shared" ref="N14" si="37">J196</f>
        <v>667.64</v>
      </c>
      <c r="O14" s="64">
        <f t="shared" ref="O14" si="38">K196</f>
        <v>4.7849893928100453</v>
      </c>
      <c r="Q14" s="144">
        <v>45.5</v>
      </c>
      <c r="R14" s="145">
        <v>4.8150000000000004</v>
      </c>
      <c r="S14" s="146">
        <v>0.69151227919000446</v>
      </c>
      <c r="U14" s="50">
        <f>Q136</f>
        <v>-15.5</v>
      </c>
      <c r="V14" s="63">
        <f>R136</f>
        <v>56.23</v>
      </c>
      <c r="W14" s="64">
        <f>S136</f>
        <v>3.260466195059724</v>
      </c>
      <c r="Y14" s="147">
        <v>80.5</v>
      </c>
      <c r="Z14" s="148">
        <v>0.37031040534461324</v>
      </c>
      <c r="AA14" s="149">
        <v>0.3384729365474507</v>
      </c>
      <c r="AC14" s="50">
        <f>Y246</f>
        <v>-35.5</v>
      </c>
      <c r="AD14" s="63">
        <f t="shared" ref="AD14:AE14" si="39">Z246</f>
        <v>67.502574629044673</v>
      </c>
      <c r="AE14" s="64">
        <f t="shared" si="39"/>
        <v>4.6487727862229464</v>
      </c>
      <c r="AG14" s="147">
        <v>75.5</v>
      </c>
      <c r="AH14" s="148">
        <v>1.8834603953611426</v>
      </c>
      <c r="AI14" s="149">
        <v>0.79247135627951226</v>
      </c>
      <c r="AK14" s="50">
        <f>AG235</f>
        <v>-35</v>
      </c>
      <c r="AL14" s="63">
        <f>AH235</f>
        <v>154.18503389513509</v>
      </c>
      <c r="AM14" s="64">
        <f>AI235</f>
        <v>4.69546554388182</v>
      </c>
    </row>
    <row r="15" spans="1:39">
      <c r="A15" s="144">
        <v>55</v>
      </c>
      <c r="B15" s="145">
        <v>8.9581237471290613</v>
      </c>
      <c r="C15" s="146">
        <v>1.1497119067225627</v>
      </c>
      <c r="E15" s="50">
        <f>A195</f>
        <v>-35</v>
      </c>
      <c r="F15" s="63">
        <f t="shared" ref="F15:G15" si="40">B195</f>
        <v>687.45856721197117</v>
      </c>
      <c r="G15" s="64">
        <f t="shared" si="40"/>
        <v>4.7909286935092332</v>
      </c>
      <c r="I15" s="144">
        <v>55</v>
      </c>
      <c r="J15" s="145">
        <v>9.0890000000000004</v>
      </c>
      <c r="K15" s="146">
        <v>1.1626032899281129</v>
      </c>
      <c r="M15" s="50">
        <f>I195</f>
        <v>-35</v>
      </c>
      <c r="N15" s="63">
        <f t="shared" ref="N15" si="41">J195</f>
        <v>647.66999999999996</v>
      </c>
      <c r="O15" s="64">
        <f t="shared" ref="O15" si="42">K195</f>
        <v>4.778653326840498</v>
      </c>
      <c r="Q15" s="144">
        <v>45</v>
      </c>
      <c r="R15" s="145">
        <v>4.8970000000000002</v>
      </c>
      <c r="S15" s="146">
        <v>0.70163624380319223</v>
      </c>
      <c r="U15" s="50">
        <f>Q135</f>
        <v>-15</v>
      </c>
      <c r="V15" s="63">
        <f>R135</f>
        <v>54.9</v>
      </c>
      <c r="W15" s="64">
        <f>S135</f>
        <v>3.2332155477031801</v>
      </c>
      <c r="Y15" s="147">
        <v>80</v>
      </c>
      <c r="Z15" s="148">
        <v>0.37632805617654069</v>
      </c>
      <c r="AA15" s="149">
        <v>0.34359524513153911</v>
      </c>
      <c r="AC15" s="50">
        <f>Y245</f>
        <v>-35</v>
      </c>
      <c r="AD15" s="63">
        <f t="shared" ref="AD15:AE15" si="43">Z245</f>
        <v>65.574587095502324</v>
      </c>
      <c r="AE15" s="64">
        <f t="shared" si="43"/>
        <v>4.6391913833816689</v>
      </c>
      <c r="AG15" s="147">
        <v>75</v>
      </c>
      <c r="AH15" s="148">
        <v>1.9107643880425134</v>
      </c>
      <c r="AI15" s="149">
        <v>0.80211660888900338</v>
      </c>
      <c r="AK15" s="50">
        <f>AG234</f>
        <v>-34.5</v>
      </c>
      <c r="AL15" s="63">
        <f>AH234</f>
        <v>150.04584745144885</v>
      </c>
      <c r="AM15" s="64">
        <f>AI234</f>
        <v>4.687589520151918</v>
      </c>
    </row>
    <row r="16" spans="1:39">
      <c r="A16" s="144">
        <v>54.5</v>
      </c>
      <c r="B16" s="145">
        <v>9.1256910758697227</v>
      </c>
      <c r="C16" s="146">
        <v>1.1662019027566619</v>
      </c>
      <c r="E16" s="50">
        <f>A194</f>
        <v>-34.5</v>
      </c>
      <c r="F16" s="63">
        <f t="shared" ref="F16:G16" si="44">B194</f>
        <v>666.99022816442118</v>
      </c>
      <c r="G16" s="64">
        <f t="shared" si="44"/>
        <v>4.7847889483400126</v>
      </c>
      <c r="I16" s="144">
        <v>54.5</v>
      </c>
      <c r="J16" s="145">
        <v>9.2579999999999991</v>
      </c>
      <c r="K16" s="146">
        <v>1.1791227265780222</v>
      </c>
      <c r="M16" s="50">
        <f>I194</f>
        <v>-34.5</v>
      </c>
      <c r="N16" s="63">
        <f t="shared" ref="N16" si="45">J194</f>
        <v>628.36</v>
      </c>
      <c r="O16" s="64">
        <f t="shared" ref="O16" si="46">K194</f>
        <v>4.7721611276505254</v>
      </c>
      <c r="Q16" s="144">
        <v>44.5</v>
      </c>
      <c r="R16" s="145">
        <v>4.9809999999999999</v>
      </c>
      <c r="S16" s="146">
        <v>0.71195792001372171</v>
      </c>
      <c r="U16" s="50">
        <f>Q134</f>
        <v>-14.5</v>
      </c>
      <c r="V16" s="63">
        <f>R134</f>
        <v>53.6</v>
      </c>
      <c r="W16" s="64">
        <f>S134</f>
        <v>3.2057416267942584</v>
      </c>
      <c r="Y16" s="147">
        <v>79.5</v>
      </c>
      <c r="Z16" s="148">
        <v>0.38246012319337452</v>
      </c>
      <c r="AA16" s="149">
        <v>0.34880337895700242</v>
      </c>
      <c r="AC16" s="50">
        <f>Y244</f>
        <v>-34.5</v>
      </c>
      <c r="AD16" s="63">
        <f t="shared" ref="AD16:AE16" si="47">Z244</f>
        <v>63.703585840722702</v>
      </c>
      <c r="AE16" s="64">
        <f t="shared" si="47"/>
        <v>4.6293797817597557</v>
      </c>
      <c r="AG16" s="147">
        <v>74.5</v>
      </c>
      <c r="AH16" s="148">
        <v>1.9385374531509092</v>
      </c>
      <c r="AI16" s="149">
        <v>0.81188230164628583</v>
      </c>
      <c r="AK16" s="50">
        <f>AG233</f>
        <v>-34</v>
      </c>
      <c r="AL16" s="63">
        <f>AH233</f>
        <v>146.03030271049741</v>
      </c>
      <c r="AM16" s="64">
        <f>AI233</f>
        <v>4.6795494264164104</v>
      </c>
    </row>
    <row r="17" spans="1:39">
      <c r="A17" s="144">
        <v>54</v>
      </c>
      <c r="B17" s="145">
        <v>9.2968548342817812</v>
      </c>
      <c r="C17" s="146">
        <v>1.182900625697326</v>
      </c>
      <c r="E17" s="50">
        <f>A193</f>
        <v>-34</v>
      </c>
      <c r="F17" s="63">
        <f t="shared" ref="F17:G17" si="48">B193</f>
        <v>647.17128719193647</v>
      </c>
      <c r="G17" s="64">
        <f t="shared" si="48"/>
        <v>4.7784903128099048</v>
      </c>
      <c r="I17" s="144">
        <v>54</v>
      </c>
      <c r="J17" s="145">
        <v>9.43</v>
      </c>
      <c r="K17" s="146">
        <v>1.19579000760842</v>
      </c>
      <c r="M17" s="50">
        <f>I193</f>
        <v>-34</v>
      </c>
      <c r="N17" s="63">
        <f t="shared" ref="N17" si="49">J193</f>
        <v>609.66999999999996</v>
      </c>
      <c r="O17" s="64">
        <f t="shared" ref="O17" si="50">K193</f>
        <v>4.7655040880453985</v>
      </c>
      <c r="Q17" s="144">
        <v>44</v>
      </c>
      <c r="R17" s="145">
        <v>5.0659999999999998</v>
      </c>
      <c r="S17" s="146">
        <v>0.72235213597216663</v>
      </c>
      <c r="U17" s="50">
        <f>Q133</f>
        <v>-14</v>
      </c>
      <c r="V17" s="63">
        <f>R133</f>
        <v>52.33</v>
      </c>
      <c r="W17" s="64">
        <f>S133</f>
        <v>3.1780638892262845</v>
      </c>
      <c r="Y17" s="147">
        <v>79</v>
      </c>
      <c r="Z17" s="148">
        <v>0.3887090702293845</v>
      </c>
      <c r="AA17" s="149">
        <v>0.35409881017171452</v>
      </c>
      <c r="AC17" s="50">
        <f>Y243</f>
        <v>-34</v>
      </c>
      <c r="AD17" s="63">
        <f t="shared" ref="AD17:AE17" si="51">Z243</f>
        <v>61.887910395555537</v>
      </c>
      <c r="AE17" s="64">
        <f t="shared" si="51"/>
        <v>4.6193342970481455</v>
      </c>
      <c r="AG17" s="147">
        <v>74</v>
      </c>
      <c r="AH17" s="148">
        <v>1.9667887883567232</v>
      </c>
      <c r="AI17" s="149">
        <v>0.82176965898752286</v>
      </c>
      <c r="AK17" s="50">
        <f>AG232</f>
        <v>-33.5</v>
      </c>
      <c r="AL17" s="63">
        <f>AH232</f>
        <v>142.13436507968302</v>
      </c>
      <c r="AM17" s="64">
        <f>AI232</f>
        <v>4.6713431579129958</v>
      </c>
    </row>
    <row r="18" spans="1:39">
      <c r="A18" s="144">
        <v>53.5</v>
      </c>
      <c r="B18" s="145">
        <v>9.471702070896864</v>
      </c>
      <c r="C18" s="146">
        <v>1.1998091764429517</v>
      </c>
      <c r="E18" s="50">
        <f>A192</f>
        <v>-33.5</v>
      </c>
      <c r="F18" s="63">
        <f t="shared" ref="F18:G18" si="52">B192</f>
        <v>627.98032003032233</v>
      </c>
      <c r="G18" s="64">
        <f t="shared" si="52"/>
        <v>4.7720296558518838</v>
      </c>
      <c r="I18" s="144">
        <v>53.5</v>
      </c>
      <c r="J18" s="145">
        <v>9.6069999999999993</v>
      </c>
      <c r="K18" s="146">
        <v>1.2127906683162066</v>
      </c>
      <c r="M18" s="50">
        <f>I192</f>
        <v>-33.5</v>
      </c>
      <c r="N18" s="63">
        <f t="shared" ref="N18" si="53">J192</f>
        <v>591.6</v>
      </c>
      <c r="O18" s="64">
        <f t="shared" ref="O18" si="54">K192</f>
        <v>4.7586872586872584</v>
      </c>
      <c r="Q18" s="144">
        <v>43.5</v>
      </c>
      <c r="R18" s="145">
        <v>5.1529999999999996</v>
      </c>
      <c r="S18" s="146">
        <v>0.73293886723750457</v>
      </c>
      <c r="U18" s="50">
        <f>Q132</f>
        <v>-13.5</v>
      </c>
      <c r="V18" s="63">
        <f>R132</f>
        <v>51.1</v>
      </c>
      <c r="W18" s="64">
        <f>S132</f>
        <v>3.1504315659679412</v>
      </c>
      <c r="Y18" s="147">
        <v>78.5</v>
      </c>
      <c r="Z18" s="148">
        <v>0.39507741991456585</v>
      </c>
      <c r="AA18" s="149">
        <v>0.3594830333807274</v>
      </c>
      <c r="AC18" s="50">
        <f>Y242</f>
        <v>-33.5</v>
      </c>
      <c r="AD18" s="63">
        <f t="shared" ref="AD18:AE18" si="55">Z242</f>
        <v>60.125943997420222</v>
      </c>
      <c r="AE18" s="64">
        <f t="shared" si="55"/>
        <v>4.6090512695223156</v>
      </c>
      <c r="AG18" s="147">
        <v>73.5</v>
      </c>
      <c r="AH18" s="148">
        <v>1.9955277925445651</v>
      </c>
      <c r="AI18" s="149">
        <v>0.83177990458444906</v>
      </c>
      <c r="AK18" s="50">
        <f>AG231</f>
        <v>-33</v>
      </c>
      <c r="AL18" s="63">
        <f>AH231</f>
        <v>138.35414196578668</v>
      </c>
      <c r="AM18" s="64">
        <f>AI231</f>
        <v>4.6629686280580493</v>
      </c>
    </row>
    <row r="19" spans="1:39">
      <c r="A19" s="144">
        <v>53</v>
      </c>
      <c r="B19" s="145">
        <v>9.6503221623881696</v>
      </c>
      <c r="C19" s="146">
        <v>1.2169285942829429</v>
      </c>
      <c r="E19" s="50">
        <f>A191</f>
        <v>-33</v>
      </c>
      <c r="F19" s="63">
        <f t="shared" ref="F19:G19" si="56">B191</f>
        <v>609.39662057156147</v>
      </c>
      <c r="G19" s="64">
        <f t="shared" si="56"/>
        <v>4.7654038273366011</v>
      </c>
      <c r="I19" s="144">
        <v>53</v>
      </c>
      <c r="J19" s="145">
        <v>9.7870000000000008</v>
      </c>
      <c r="K19" s="146">
        <v>1.2299243471485661</v>
      </c>
      <c r="M19" s="50">
        <f>I191</f>
        <v>-33</v>
      </c>
      <c r="N19" s="63">
        <f t="shared" ref="N19" si="57">J191</f>
        <v>574.11</v>
      </c>
      <c r="O19" s="64">
        <f t="shared" ref="O19" si="58">K191</f>
        <v>4.7517008491830959</v>
      </c>
      <c r="Q19" s="144">
        <v>43</v>
      </c>
      <c r="R19" s="145">
        <v>5.2409999999999997</v>
      </c>
      <c r="S19" s="146">
        <v>0.74359410913424695</v>
      </c>
      <c r="U19" s="50">
        <f>Q131</f>
        <v>-13</v>
      </c>
      <c r="V19" s="63">
        <f>R131</f>
        <v>49.91</v>
      </c>
      <c r="W19" s="64">
        <f>S131</f>
        <v>3.1228882492804404</v>
      </c>
      <c r="Y19" s="147">
        <v>78</v>
      </c>
      <c r="Z19" s="148">
        <v>0.4015677552047644</v>
      </c>
      <c r="AA19" s="149">
        <v>0.3649575658000947</v>
      </c>
      <c r="AC19" s="50">
        <f>Y241</f>
        <v>-33</v>
      </c>
      <c r="AD19" s="63">
        <f t="shared" ref="AD19:AE19" si="59">Z241</f>
        <v>58.416112814948335</v>
      </c>
      <c r="AE19" s="64">
        <f t="shared" si="59"/>
        <v>4.5985270686464519</v>
      </c>
      <c r="AG19" s="147">
        <v>73</v>
      </c>
      <c r="AH19" s="148">
        <v>2.0247640706487497</v>
      </c>
      <c r="AI19" s="149">
        <v>0.8419142607508604</v>
      </c>
      <c r="AK19" s="50">
        <f>AG230</f>
        <v>-32.5</v>
      </c>
      <c r="AL19" s="63">
        <f>AH230</f>
        <v>134.68587743552899</v>
      </c>
      <c r="AM19" s="64">
        <f>AI230</f>
        <v>4.6544237704037172</v>
      </c>
    </row>
    <row r="20" spans="1:39">
      <c r="A20" s="144">
        <v>52.5</v>
      </c>
      <c r="B20" s="145">
        <v>9.8328068811210638</v>
      </c>
      <c r="C20" s="146">
        <v>1.2342598540025767</v>
      </c>
      <c r="E20" s="50">
        <f>A190</f>
        <v>-32.5</v>
      </c>
      <c r="F20" s="63">
        <f t="shared" ref="F20:G20" si="60">B190</f>
        <v>591.4001770690362</v>
      </c>
      <c r="G20" s="64">
        <f t="shared" si="60"/>
        <v>4.7586096600301815</v>
      </c>
      <c r="I20" s="144">
        <v>52.5</v>
      </c>
      <c r="J20" s="145">
        <v>9.9700000000000006</v>
      </c>
      <c r="K20" s="146">
        <v>1.2471853890417814</v>
      </c>
      <c r="M20" s="50">
        <f>I190</f>
        <v>-32.5</v>
      </c>
      <c r="N20" s="63">
        <f t="shared" ref="N20" si="61">J190</f>
        <v>557.19000000000005</v>
      </c>
      <c r="O20" s="64">
        <f t="shared" ref="O20" si="62">K190</f>
        <v>4.74454605834568</v>
      </c>
      <c r="Q20" s="144">
        <v>42.5</v>
      </c>
      <c r="R20" s="145">
        <v>5.3319999999999999</v>
      </c>
      <c r="S20" s="146">
        <v>0.75455677572738589</v>
      </c>
      <c r="U20" s="50">
        <f>Q130</f>
        <v>-12.5</v>
      </c>
      <c r="V20" s="63">
        <f>R130</f>
        <v>48.74</v>
      </c>
      <c r="W20" s="64">
        <f>S130</f>
        <v>3.0949961899923797</v>
      </c>
      <c r="Y20" s="147">
        <v>77.5</v>
      </c>
      <c r="Z20" s="148">
        <v>0.40818272095465846</v>
      </c>
      <c r="AA20" s="149">
        <v>0.37052394740085326</v>
      </c>
      <c r="AC20" s="50">
        <f>Y240</f>
        <v>-32.5</v>
      </c>
      <c r="AD20" s="63">
        <f t="shared" ref="AD20:AE20" si="63">Z240</f>
        <v>56.756885157809897</v>
      </c>
      <c r="AE20" s="64">
        <f t="shared" si="63"/>
        <v>4.5877580978262298</v>
      </c>
      <c r="AG20" s="147">
        <v>72.5</v>
      </c>
      <c r="AH20" s="148">
        <v>2.0545074386150559</v>
      </c>
      <c r="AI20" s="149">
        <v>0.85217394782706213</v>
      </c>
      <c r="AK20" s="50">
        <f>AG229</f>
        <v>-32</v>
      </c>
      <c r="AL20" s="63">
        <f>AH229</f>
        <v>131.12594708901892</v>
      </c>
      <c r="AM20" s="64">
        <f>AI229</f>
        <v>4.6457065406373417</v>
      </c>
    </row>
    <row r="21" spans="1:39">
      <c r="A21" s="144">
        <v>52</v>
      </c>
      <c r="B21" s="145">
        <v>10.019250464800328</v>
      </c>
      <c r="C21" s="146">
        <v>1.2518038629450274</v>
      </c>
      <c r="E21" s="50">
        <f>A189</f>
        <v>-32</v>
      </c>
      <c r="F21" s="63">
        <f t="shared" ref="F21:G21" si="64">B189</f>
        <v>573.97164908910383</v>
      </c>
      <c r="G21" s="64">
        <f t="shared" si="64"/>
        <v>4.7516439716562413</v>
      </c>
      <c r="I21" s="144">
        <v>52</v>
      </c>
      <c r="J21" s="145">
        <v>10.157999999999999</v>
      </c>
      <c r="K21" s="146">
        <v>1.2647542208277305</v>
      </c>
      <c r="M21" s="50">
        <f>I189</f>
        <v>-32</v>
      </c>
      <c r="N21" s="63">
        <f t="shared" ref="N21" si="65">J189</f>
        <v>540.80999999999995</v>
      </c>
      <c r="O21" s="64">
        <f t="shared" ref="O21" si="66">K189</f>
        <v>4.7372155358175227</v>
      </c>
      <c r="Q21" s="144">
        <v>42</v>
      </c>
      <c r="R21" s="145">
        <v>5.4240000000000004</v>
      </c>
      <c r="S21" s="146">
        <v>0.76558265582655827</v>
      </c>
      <c r="U21" s="50">
        <f>Q129</f>
        <v>-12</v>
      </c>
      <c r="V21" s="63">
        <f>R129</f>
        <v>47.6</v>
      </c>
      <c r="W21" s="64">
        <f>S129</f>
        <v>3.0670103092783507</v>
      </c>
      <c r="Y21" s="147">
        <v>77</v>
      </c>
      <c r="Z21" s="148">
        <v>0.41492502553491517</v>
      </c>
      <c r="AA21" s="149">
        <v>0.37618374104249042</v>
      </c>
      <c r="AC21" s="50">
        <f>Y239</f>
        <v>-32</v>
      </c>
      <c r="AD21" s="63">
        <f t="shared" ref="AD21:AE21" si="67">Z239</f>
        <v>55.146770674519459</v>
      </c>
      <c r="AE21" s="64">
        <f t="shared" si="67"/>
        <v>4.5767407993075242</v>
      </c>
      <c r="AG21" s="147">
        <v>72</v>
      </c>
      <c r="AH21" s="148">
        <v>2.0847679284921687</v>
      </c>
      <c r="AI21" s="149">
        <v>0.86256018354184805</v>
      </c>
      <c r="AK21" s="50">
        <f>AG228</f>
        <v>-31.5</v>
      </c>
      <c r="AL21" s="63">
        <f>AH228</f>
        <v>127.67085313718384</v>
      </c>
      <c r="AM21" s="64">
        <f>AI228</f>
        <v>4.6368149186220498</v>
      </c>
    </row>
    <row r="22" spans="1:39">
      <c r="A22" s="144">
        <v>51.5</v>
      </c>
      <c r="B22" s="145">
        <v>10.209749688282766</v>
      </c>
      <c r="C22" s="146">
        <v>1.2695614580333878</v>
      </c>
      <c r="E22" s="50">
        <f>A188</f>
        <v>-31.5</v>
      </c>
      <c r="F22" s="63">
        <f t="shared" ref="F22:G22" si="68">B188</f>
        <v>557.09234518889582</v>
      </c>
      <c r="G22" s="64">
        <f t="shared" si="68"/>
        <v>4.7445035670636484</v>
      </c>
      <c r="I22" s="144">
        <v>51.5</v>
      </c>
      <c r="J22" s="145">
        <v>10.35</v>
      </c>
      <c r="K22" s="146">
        <v>1.2825278810408922</v>
      </c>
      <c r="M22" s="50">
        <f>I188</f>
        <v>-31.5</v>
      </c>
      <c r="N22" s="63">
        <f t="shared" ref="N22" si="69">J188</f>
        <v>524.97</v>
      </c>
      <c r="O22" s="64">
        <f t="shared" ref="O22" si="70">K188</f>
        <v>4.729715119736202</v>
      </c>
      <c r="Q22" s="144">
        <v>41.5</v>
      </c>
      <c r="R22" s="145">
        <v>5.5179999999999998</v>
      </c>
      <c r="S22" s="146">
        <v>0.77678923362801955</v>
      </c>
      <c r="U22" s="50">
        <f>Q128</f>
        <v>-11.5</v>
      </c>
      <c r="V22" s="63">
        <f>R128</f>
        <v>46.5</v>
      </c>
      <c r="W22" s="64">
        <f>S128</f>
        <v>3.0392156862745097</v>
      </c>
      <c r="Y22" s="147">
        <v>76.5</v>
      </c>
      <c r="Z22" s="148">
        <v>0.42179744249480772</v>
      </c>
      <c r="AA22" s="149">
        <v>0.38193853259513549</v>
      </c>
      <c r="AC22" s="50">
        <f>Y238</f>
        <v>-31.5</v>
      </c>
      <c r="AD22" s="63">
        <f t="shared" ref="AD22:AE22" si="71">Z238</f>
        <v>53.584319540802973</v>
      </c>
      <c r="AE22" s="64">
        <f t="shared" si="71"/>
        <v>4.5654716592177582</v>
      </c>
      <c r="AG22" s="147">
        <v>71.5</v>
      </c>
      <c r="AH22" s="148">
        <v>2.1155557936565361</v>
      </c>
      <c r="AI22" s="149">
        <v>0.87307418235166689</v>
      </c>
      <c r="AK22" s="50">
        <f>AG227</f>
        <v>-31</v>
      </c>
      <c r="AL22" s="63">
        <f>AH227</f>
        <v>124.31721967459063</v>
      </c>
      <c r="AM22" s="64">
        <f>AI227</f>
        <v>4.6277469104770441</v>
      </c>
    </row>
    <row r="23" spans="1:39">
      <c r="A23" s="144">
        <v>51</v>
      </c>
      <c r="B23" s="145">
        <v>10.404403937626901</v>
      </c>
      <c r="C23" s="146">
        <v>1.2875334027558469</v>
      </c>
      <c r="E23" s="50">
        <f>A187</f>
        <v>-31</v>
      </c>
      <c r="F23" s="63">
        <f t="shared" ref="F23:G23" si="72">B187</f>
        <v>540.74420130048816</v>
      </c>
      <c r="G23" s="64">
        <f t="shared" si="72"/>
        <v>4.7371852405014154</v>
      </c>
      <c r="I23" s="144">
        <v>51</v>
      </c>
      <c r="J23" s="145">
        <v>10.545999999999999</v>
      </c>
      <c r="K23" s="146">
        <v>1.3004981995757905</v>
      </c>
      <c r="M23" s="50">
        <f>I187</f>
        <v>-31</v>
      </c>
      <c r="N23" s="63">
        <f t="shared" ref="N23" si="73">J187</f>
        <v>509.63</v>
      </c>
      <c r="O23" s="64">
        <f t="shared" ref="O23" si="74">K187</f>
        <v>4.7220317625039385</v>
      </c>
      <c r="Q23" s="144">
        <v>41</v>
      </c>
      <c r="R23" s="145">
        <v>5.6139999999999999</v>
      </c>
      <c r="S23" s="146">
        <v>0.78817319031841415</v>
      </c>
      <c r="U23" s="50">
        <f>Q127</f>
        <v>-11</v>
      </c>
      <c r="V23" s="63">
        <f>R127</f>
        <v>45.42</v>
      </c>
      <c r="W23" s="64">
        <f>S127</f>
        <v>3.0111376292760546</v>
      </c>
      <c r="Y23" s="147">
        <v>76</v>
      </c>
      <c r="Z23" s="148">
        <v>0.42880281227169859</v>
      </c>
      <c r="AA23" s="149">
        <v>0.38778993104974763</v>
      </c>
      <c r="AC23" s="50">
        <f>Y237</f>
        <v>-31</v>
      </c>
      <c r="AD23" s="63">
        <f t="shared" ref="AD23:AE23" si="75">Z237</f>
        <v>52.068121640916388</v>
      </c>
      <c r="AE23" s="64">
        <f t="shared" si="75"/>
        <v>4.5539472127461131</v>
      </c>
      <c r="AG23" s="147">
        <v>71</v>
      </c>
      <c r="AH23" s="148">
        <v>2.1468815141744479</v>
      </c>
      <c r="AI23" s="149">
        <v>0.88371715475663748</v>
      </c>
      <c r="AK23" s="50">
        <f>AG226</f>
        <v>-30.5</v>
      </c>
      <c r="AL23" s="63">
        <f>AH226</f>
        <v>121.06178813949494</v>
      </c>
      <c r="AM23" s="64">
        <f>AI226</f>
        <v>4.6185005506961136</v>
      </c>
    </row>
    <row r="24" spans="1:39">
      <c r="A24" s="144">
        <v>50.5</v>
      </c>
      <c r="B24" s="145">
        <v>10.603315286452615</v>
      </c>
      <c r="C24" s="146">
        <v>1.305720384117308</v>
      </c>
      <c r="E24" s="50">
        <f>A186</f>
        <v>-30.5</v>
      </c>
      <c r="F24" s="63">
        <f t="shared" ref="F24:G24" si="76">B186</f>
        <v>524.90975980196527</v>
      </c>
      <c r="G24" s="64">
        <f t="shared" si="76"/>
        <v>4.7296857780019375</v>
      </c>
      <c r="I24" s="144">
        <v>50.5</v>
      </c>
      <c r="J24" s="145">
        <v>10.746</v>
      </c>
      <c r="K24" s="146">
        <v>1.3186570460904139</v>
      </c>
      <c r="M24" s="50">
        <f>I186</f>
        <v>-30.5</v>
      </c>
      <c r="N24" s="63">
        <f t="shared" ref="N24" si="77">J186</f>
        <v>494.78</v>
      </c>
      <c r="O24" s="64">
        <f t="shared" ref="O24" si="78">K186</f>
        <v>4.7141659362018364</v>
      </c>
      <c r="Q24" s="144">
        <v>40.5</v>
      </c>
      <c r="R24" s="145">
        <v>5.7110000000000003</v>
      </c>
      <c r="S24" s="146">
        <v>0.79961356444792919</v>
      </c>
      <c r="U24" s="50">
        <f>Q126</f>
        <v>-10.5</v>
      </c>
      <c r="V24" s="63">
        <f>R126</f>
        <v>44.37</v>
      </c>
      <c r="W24" s="64">
        <f>S126</f>
        <v>2.9830576845502215</v>
      </c>
      <c r="Y24" s="147">
        <v>75.5</v>
      </c>
      <c r="Z24" s="148">
        <v>0.43594404394874975</v>
      </c>
      <c r="AA24" s="149">
        <v>0.39373956861546777</v>
      </c>
      <c r="AC24" s="50">
        <f>Y236</f>
        <v>-30.5</v>
      </c>
      <c r="AD24" s="63">
        <f t="shared" ref="AD24:AE24" si="79">Z236</f>
        <v>50.596805744111663</v>
      </c>
      <c r="AE24" s="64">
        <f t="shared" si="79"/>
        <v>4.5421640494581519</v>
      </c>
      <c r="AG24" s="147">
        <v>70.5</v>
      </c>
      <c r="AH24" s="148">
        <v>2.1787558023050799</v>
      </c>
      <c r="AI24" s="149">
        <v>0.89449030659302065</v>
      </c>
      <c r="AK24" s="50">
        <f>AG225</f>
        <v>-30</v>
      </c>
      <c r="AL24" s="63">
        <f>AH225</f>
        <v>117.90141295330618</v>
      </c>
      <c r="AM24" s="64">
        <f>AI225</f>
        <v>4.6090739043027318</v>
      </c>
    </row>
    <row r="25" spans="1:39">
      <c r="A25" s="144">
        <v>50</v>
      </c>
      <c r="B25" s="145">
        <v>10.806588574687787</v>
      </c>
      <c r="C25" s="146">
        <v>1.3241230095611427</v>
      </c>
      <c r="E25" s="50">
        <f>A185</f>
        <v>-30</v>
      </c>
      <c r="F25" s="63">
        <f t="shared" ref="F25:G25" si="80">B185</f>
        <v>509.57214925617967</v>
      </c>
      <c r="G25" s="64">
        <f t="shared" si="80"/>
        <v>4.7220019598736132</v>
      </c>
      <c r="I25" s="144">
        <v>50</v>
      </c>
      <c r="J25" s="145">
        <v>10.95</v>
      </c>
      <c r="K25" s="146">
        <v>1.3369963369963369</v>
      </c>
      <c r="M25" s="50">
        <f>I185</f>
        <v>-30</v>
      </c>
      <c r="N25" s="63">
        <f t="shared" ref="N25" si="81">J185</f>
        <v>480.41</v>
      </c>
      <c r="O25" s="64">
        <f t="shared" ref="O25" si="82">K185</f>
        <v>4.7061186105287911</v>
      </c>
      <c r="Q25" s="144">
        <v>40</v>
      </c>
      <c r="R25" s="145">
        <v>5.8109999999999999</v>
      </c>
      <c r="S25" s="146">
        <v>0.81134288347155903</v>
      </c>
      <c r="U25" s="50">
        <f>Q125</f>
        <v>-10</v>
      </c>
      <c r="V25" s="63">
        <f>R125</f>
        <v>43.35</v>
      </c>
      <c r="W25" s="64">
        <f>S125</f>
        <v>2.9550102249488757</v>
      </c>
      <c r="Y25" s="147">
        <v>75</v>
      </c>
      <c r="Z25" s="148">
        <v>0.44322411706232878</v>
      </c>
      <c r="AA25" s="149">
        <v>0.39978910080332325</v>
      </c>
      <c r="AC25" s="50">
        <f>Y235</f>
        <v>-30</v>
      </c>
      <c r="AD25" s="63">
        <f t="shared" ref="AD25:AE25" si="83">Z235</f>
        <v>49.169038678272742</v>
      </c>
      <c r="AE25" s="64">
        <f t="shared" si="83"/>
        <v>4.530118818739842</v>
      </c>
      <c r="AG25" s="147">
        <v>70</v>
      </c>
      <c r="AH25" s="148">
        <v>2.2111896081486195</v>
      </c>
      <c r="AI25" s="149">
        <v>0.90539483830186207</v>
      </c>
      <c r="AK25" s="50">
        <f>AG224</f>
        <v>-29.5</v>
      </c>
      <c r="AL25" s="63">
        <f>AH224</f>
        <v>114.83305733198102</v>
      </c>
      <c r="AM25" s="64">
        <f>AI224</f>
        <v>4.5994650690399261</v>
      </c>
    </row>
    <row r="26" spans="1:39">
      <c r="A26" s="144">
        <v>49.5</v>
      </c>
      <c r="B26" s="145">
        <v>11.014331489780144</v>
      </c>
      <c r="C26" s="146">
        <v>1.3427418038649086</v>
      </c>
      <c r="E26" s="50">
        <f>A184</f>
        <v>-29.5</v>
      </c>
      <c r="F26" s="63">
        <f t="shared" ref="F26:G26" si="84">B184</f>
        <v>494.7150647984185</v>
      </c>
      <c r="G26" s="64">
        <f t="shared" si="84"/>
        <v>4.714130563303673</v>
      </c>
      <c r="I26" s="144">
        <v>49.5</v>
      </c>
      <c r="J26" s="145">
        <v>11.159000000000001</v>
      </c>
      <c r="K26" s="146">
        <v>1.3555965888384072</v>
      </c>
      <c r="M26" s="50">
        <f>I184</f>
        <v>-29.5</v>
      </c>
      <c r="N26" s="63">
        <f t="shared" ref="N26" si="85">J184</f>
        <v>466.49</v>
      </c>
      <c r="O26" s="64">
        <f t="shared" ref="O26" si="86">K184</f>
        <v>4.6978791113617593</v>
      </c>
      <c r="Q26" s="144">
        <v>39.5</v>
      </c>
      <c r="R26" s="145">
        <v>5.9130000000000003</v>
      </c>
      <c r="S26" s="146">
        <v>0.82323949544733122</v>
      </c>
      <c r="U26" s="50">
        <f>Q124</f>
        <v>-9.5</v>
      </c>
      <c r="V26" s="63">
        <f>R124</f>
        <v>42.36</v>
      </c>
      <c r="W26" s="64">
        <f>S124</f>
        <v>2.9270315091210617</v>
      </c>
      <c r="Y26" s="147">
        <v>74.5</v>
      </c>
      <c r="Z26" s="148">
        <v>0.45064608346061852</v>
      </c>
      <c r="AA26" s="149">
        <v>0.40594020649543716</v>
      </c>
      <c r="AC26" s="50">
        <f>Y234</f>
        <v>-29.5</v>
      </c>
      <c r="AD26" s="63">
        <f t="shared" ref="AD26:AE26" si="87">Z234</f>
        <v>47.783524502576405</v>
      </c>
      <c r="AE26" s="64">
        <f t="shared" si="87"/>
        <v>4.517808235365294</v>
      </c>
      <c r="AG26" s="147">
        <v>69.5</v>
      </c>
      <c r="AH26" s="148">
        <v>2.2441941254435318</v>
      </c>
      <c r="AI26" s="149">
        <v>0.91643194417347518</v>
      </c>
      <c r="AK26" s="50">
        <f>AG223</f>
        <v>-29</v>
      </c>
      <c r="AL26" s="63">
        <f>AH223</f>
        <v>111.85378926219936</v>
      </c>
      <c r="AM26" s="64">
        <f>AI223</f>
        <v>4.5896721775929974</v>
      </c>
    </row>
    <row r="27" spans="1:39">
      <c r="A27" s="144">
        <v>49</v>
      </c>
      <c r="B27" s="145">
        <v>11.226654650456096</v>
      </c>
      <c r="C27" s="146">
        <v>1.3615772060142035</v>
      </c>
      <c r="E27" s="50">
        <f>A183</f>
        <v>-29</v>
      </c>
      <c r="F27" s="63">
        <f t="shared" ref="F27:G27" si="88">B183</f>
        <v>480.32274915448545</v>
      </c>
      <c r="G27" s="64">
        <f t="shared" si="88"/>
        <v>4.7060683650718618</v>
      </c>
      <c r="I27" s="144">
        <v>49</v>
      </c>
      <c r="J27" s="145">
        <v>11.372</v>
      </c>
      <c r="K27" s="146">
        <v>1.3743594701730639</v>
      </c>
      <c r="M27" s="50">
        <f>I183</f>
        <v>-29</v>
      </c>
      <c r="N27" s="63">
        <f t="shared" ref="N27" si="89">J183</f>
        <v>456.02</v>
      </c>
      <c r="O27" s="64">
        <f t="shared" ref="O27" si="90">K183</f>
        <v>4.691370725484548</v>
      </c>
      <c r="Q27" s="144">
        <v>39</v>
      </c>
      <c r="R27" s="145">
        <v>6.0170000000000003</v>
      </c>
      <c r="S27" s="146">
        <v>0.83529999722353332</v>
      </c>
      <c r="U27" s="50">
        <f>Q123</f>
        <v>-9</v>
      </c>
      <c r="V27" s="63">
        <f>R123</f>
        <v>41.39</v>
      </c>
      <c r="W27" s="64">
        <f>S123</f>
        <v>2.8988653873091468</v>
      </c>
      <c r="Y27" s="147">
        <v>74</v>
      </c>
      <c r="Z27" s="148">
        <v>0.45821306921495975</v>
      </c>
      <c r="AA27" s="149">
        <v>0.41219458799883468</v>
      </c>
      <c r="AC27" s="50">
        <f>Y233</f>
        <v>-29</v>
      </c>
      <c r="AD27" s="63">
        <f t="shared" ref="AD27:AE27" si="91">Z233</f>
        <v>46.439003680879523</v>
      </c>
      <c r="AE27" s="64">
        <f t="shared" si="91"/>
        <v>4.5052290851819423</v>
      </c>
      <c r="AG27" s="147">
        <v>69</v>
      </c>
      <c r="AH27" s="148">
        <v>2.2777807975172486</v>
      </c>
      <c r="AI27" s="149">
        <v>0.92760281156748214</v>
      </c>
      <c r="AK27" s="50">
        <f>AG222</f>
        <v>-28.5</v>
      </c>
      <c r="AL27" s="63">
        <f>AH222</f>
        <v>108.96077763548658</v>
      </c>
      <c r="AM27" s="64">
        <f>AI222</f>
        <v>4.5796933998430358</v>
      </c>
    </row>
    <row r="28" spans="1:39">
      <c r="A28" s="144">
        <v>48.5</v>
      </c>
      <c r="B28" s="145">
        <v>11.443671693111078</v>
      </c>
      <c r="C28" s="146">
        <v>1.3806295660590913</v>
      </c>
      <c r="E28" s="50">
        <f>A182</f>
        <v>-28.5</v>
      </c>
      <c r="F28" s="63">
        <f t="shared" ref="F28:G28" si="92">B182</f>
        <v>466.37997427110605</v>
      </c>
      <c r="G28" s="64">
        <f t="shared" si="92"/>
        <v>4.6978121443753587</v>
      </c>
      <c r="I28" s="144">
        <v>48.5</v>
      </c>
      <c r="J28" s="145">
        <v>11.590999999999999</v>
      </c>
      <c r="K28" s="146">
        <v>1.3934505061191123</v>
      </c>
      <c r="M28" s="50">
        <f>I182</f>
        <v>-28.5</v>
      </c>
      <c r="N28" s="63">
        <f t="shared" ref="N28" si="93">J182</f>
        <v>439.97</v>
      </c>
      <c r="O28" s="64">
        <f t="shared" ref="O28" si="94">K182</f>
        <v>4.6808306913207227</v>
      </c>
      <c r="Q28" s="144">
        <v>38.5</v>
      </c>
      <c r="R28" s="145">
        <v>6.1230000000000002</v>
      </c>
      <c r="S28" s="146">
        <v>0.84752097001910154</v>
      </c>
      <c r="U28" s="50">
        <f>Q122</f>
        <v>-8.5</v>
      </c>
      <c r="V28" s="63">
        <f>R122</f>
        <v>40.450000000000003</v>
      </c>
      <c r="W28" s="64">
        <f>S122</f>
        <v>2.8708303761533003</v>
      </c>
      <c r="Y28" s="147">
        <v>73.5</v>
      </c>
      <c r="Z28" s="148">
        <v>0.46592827658549452</v>
      </c>
      <c r="AA28" s="149">
        <v>0.41855397108290215</v>
      </c>
      <c r="AC28" s="50">
        <f>Y232</f>
        <v>-28.5</v>
      </c>
      <c r="AD28" s="63">
        <f t="shared" ref="AD28:AE28" si="95">Z232</f>
        <v>45.134252257385633</v>
      </c>
      <c r="AE28" s="64">
        <f t="shared" si="95"/>
        <v>4.4923782309061666</v>
      </c>
      <c r="AG28" s="147">
        <v>68.5</v>
      </c>
      <c r="AH28" s="148">
        <v>2.3119613233945526</v>
      </c>
      <c r="AI28" s="149">
        <v>0.93890862010810705</v>
      </c>
      <c r="AK28" s="50">
        <f>AG221</f>
        <v>-28</v>
      </c>
      <c r="AL28" s="63">
        <f>AH221</f>
        <v>106.15128853374992</v>
      </c>
      <c r="AM28" s="64">
        <f>AI221</f>
        <v>4.5695269451490281</v>
      </c>
    </row>
    <row r="29" spans="1:39">
      <c r="A29" s="144">
        <v>48</v>
      </c>
      <c r="B29" s="145">
        <v>11.665499360918469</v>
      </c>
      <c r="C29" s="146">
        <v>1.3998991419577835</v>
      </c>
      <c r="E29" s="50">
        <f>A181</f>
        <v>-28</v>
      </c>
      <c r="F29" s="63">
        <f t="shared" ref="F29:G29" si="96">B181</f>
        <v>452.87202354092375</v>
      </c>
      <c r="G29" s="64">
        <f t="shared" si="96"/>
        <v>4.6893586857651375</v>
      </c>
      <c r="I29" s="144">
        <v>48</v>
      </c>
      <c r="J29" s="145">
        <v>11.813000000000001</v>
      </c>
      <c r="K29" s="146">
        <v>1.4125989524788942</v>
      </c>
      <c r="M29" s="50">
        <f>I181</f>
        <v>-28</v>
      </c>
      <c r="N29" s="63">
        <f t="shared" ref="N29" si="97">J181</f>
        <v>427.33</v>
      </c>
      <c r="O29" s="64">
        <f t="shared" ref="O29" si="98">K181</f>
        <v>4.6720092712046011</v>
      </c>
      <c r="Q29" s="144">
        <v>38</v>
      </c>
      <c r="R29" s="145">
        <v>6.2309999999999999</v>
      </c>
      <c r="S29" s="146">
        <v>0.85989898153514943</v>
      </c>
      <c r="U29" s="50">
        <f>Q121</f>
        <v>-8</v>
      </c>
      <c r="V29" s="63">
        <f>R121</f>
        <v>39.53</v>
      </c>
      <c r="W29" s="64">
        <f>S121</f>
        <v>2.8426578455343017</v>
      </c>
      <c r="Y29" s="147">
        <v>73</v>
      </c>
      <c r="Z29" s="148">
        <v>0.47379498604282666</v>
      </c>
      <c r="AA29" s="149">
        <v>0.42502010499959414</v>
      </c>
      <c r="AC29" s="50">
        <f>Y231</f>
        <v>-28</v>
      </c>
      <c r="AD29" s="63">
        <f t="shared" ref="AD29:AE29" si="99">Z231</f>
        <v>43.868081036003822</v>
      </c>
      <c r="AE29" s="64">
        <f t="shared" si="99"/>
        <v>4.4792526180217047</v>
      </c>
      <c r="AG29" s="147">
        <v>68</v>
      </c>
      <c r="AH29" s="148">
        <v>2.346747664068221</v>
      </c>
      <c r="AI29" s="149">
        <v>0.95035054085448678</v>
      </c>
      <c r="AK29" s="50">
        <f>AG220</f>
        <v>-27.5</v>
      </c>
      <c r="AL29" s="63">
        <f>AH220</f>
        <v>103.42268165995598</v>
      </c>
      <c r="AM29" s="64">
        <f>AI220</f>
        <v>4.5591710646561756</v>
      </c>
    </row>
    <row r="30" spans="1:39">
      <c r="A30" s="144">
        <v>47.5</v>
      </c>
      <c r="B30" s="145">
        <v>11.892257595747539</v>
      </c>
      <c r="C30" s="146">
        <v>1.4193860964125644</v>
      </c>
      <c r="E30" s="50">
        <f>A180</f>
        <v>-27.5</v>
      </c>
      <c r="F30" s="63">
        <f t="shared" ref="F30:G30" si="100">B180</f>
        <v>439.78467460469824</v>
      </c>
      <c r="G30" s="64">
        <f t="shared" si="100"/>
        <v>4.680704782193633</v>
      </c>
      <c r="I30" s="144">
        <v>47.5</v>
      </c>
      <c r="J30" s="145">
        <v>12.041</v>
      </c>
      <c r="K30" s="146">
        <v>1.4320544230632002</v>
      </c>
      <c r="M30" s="50">
        <f>I180</f>
        <v>-27.5</v>
      </c>
      <c r="N30" s="63">
        <f t="shared" ref="N30" si="101">J180</f>
        <v>415.1</v>
      </c>
      <c r="O30" s="64">
        <f t="shared" ref="O30" si="102">K180</f>
        <v>4.6629970793080204</v>
      </c>
      <c r="Q30" s="144">
        <v>37.5</v>
      </c>
      <c r="R30" s="145">
        <v>6.3419999999999996</v>
      </c>
      <c r="S30" s="146">
        <v>0.87254416377744759</v>
      </c>
      <c r="U30" s="50">
        <f>Q120</f>
        <v>-7.5</v>
      </c>
      <c r="V30" s="63">
        <f>R120</f>
        <v>38.630000000000003</v>
      </c>
      <c r="W30" s="64">
        <f>S120</f>
        <v>2.8143668949439022</v>
      </c>
      <c r="Y30" s="147">
        <v>72.5</v>
      </c>
      <c r="Z30" s="148">
        <v>0.48181655834729586</v>
      </c>
      <c r="AA30" s="149">
        <v>0.43159476248531137</v>
      </c>
      <c r="AC30" s="50">
        <f>Y230</f>
        <v>-27.5</v>
      </c>
      <c r="AD30" s="63">
        <f t="shared" ref="AD30:AE30" si="103">Z230</f>
        <v>42.639334764692592</v>
      </c>
      <c r="AE30" s="64">
        <f t="shared" si="103"/>
        <v>4.4658492807725612</v>
      </c>
      <c r="AG30" s="147">
        <v>67.5</v>
      </c>
      <c r="AH30" s="148">
        <v>2.3821520489366592</v>
      </c>
      <c r="AI30" s="149">
        <v>0.96192973544579874</v>
      </c>
      <c r="AK30" s="50">
        <f>AG219</f>
        <v>-27</v>
      </c>
      <c r="AL30" s="63">
        <f>AH219</f>
        <v>100.77240690798193</v>
      </c>
      <c r="AM30" s="64">
        <f>AI219</f>
        <v>4.5486240536279512</v>
      </c>
    </row>
    <row r="31" spans="1:39">
      <c r="A31" s="144">
        <v>47</v>
      </c>
      <c r="B31" s="145">
        <v>12.124069632983852</v>
      </c>
      <c r="C31" s="146">
        <v>1.4390904937032132</v>
      </c>
      <c r="E31" s="50">
        <f>A179</f>
        <v>-27</v>
      </c>
      <c r="F31" s="63">
        <f t="shared" ref="F31:G31" si="104">B179</f>
        <v>427.10418271373203</v>
      </c>
      <c r="G31" s="64">
        <f t="shared" si="104"/>
        <v>4.6718472381734042</v>
      </c>
      <c r="I31" s="144">
        <v>47</v>
      </c>
      <c r="J31" s="145">
        <v>12.273999999999999</v>
      </c>
      <c r="K31" s="146">
        <v>1.4517197331693239</v>
      </c>
      <c r="M31" s="50">
        <f>I179</f>
        <v>-27</v>
      </c>
      <c r="N31" s="63">
        <f t="shared" ref="N31" si="105">J179</f>
        <v>403.24</v>
      </c>
      <c r="O31" s="64">
        <f t="shared" ref="O31" si="106">K179</f>
        <v>4.6537715815714158</v>
      </c>
      <c r="Q31" s="144">
        <v>37</v>
      </c>
      <c r="R31" s="145">
        <v>6.4539999999999997</v>
      </c>
      <c r="S31" s="146">
        <v>0.8852252153398803</v>
      </c>
      <c r="U31" s="50">
        <f>Q119</f>
        <v>-7</v>
      </c>
      <c r="V31" s="63">
        <f>R119</f>
        <v>37.76</v>
      </c>
      <c r="W31" s="64">
        <f>S119</f>
        <v>2.7863046044864226</v>
      </c>
      <c r="Y31" s="147">
        <v>72</v>
      </c>
      <c r="Z31" s="148">
        <v>0.48999643668770321</v>
      </c>
      <c r="AA31" s="149">
        <v>0.43827973974348877</v>
      </c>
      <c r="AC31" s="50">
        <f>Y229</f>
        <v>-27</v>
      </c>
      <c r="AD31" s="63">
        <f t="shared" ref="AD31:AE31" si="107">Z229</f>
        <v>41.446891325949423</v>
      </c>
      <c r="AE31" s="64">
        <f t="shared" si="107"/>
        <v>4.4521653482413335</v>
      </c>
      <c r="AG31" s="147">
        <v>67</v>
      </c>
      <c r="AH31" s="148">
        <v>2.4181869824130908</v>
      </c>
      <c r="AI31" s="149">
        <v>0.97364735522092727</v>
      </c>
      <c r="AK31" s="50">
        <f>AG218</f>
        <v>-26.5</v>
      </c>
      <c r="AL31" s="63">
        <f>AH218</f>
        <v>98.19800106590624</v>
      </c>
      <c r="AM31" s="64">
        <f>AI218</f>
        <v>4.5378842537992572</v>
      </c>
    </row>
    <row r="32" spans="1:39">
      <c r="A32" s="144">
        <v>46.5</v>
      </c>
      <c r="B32" s="145">
        <v>12.361062099348965</v>
      </c>
      <c r="C32" s="146">
        <v>1.4590122965234786</v>
      </c>
      <c r="E32" s="50">
        <f>A178</f>
        <v>-26.5</v>
      </c>
      <c r="F32" s="63">
        <f t="shared" ref="F32:G32" si="108">B178</f>
        <v>414.81726463589382</v>
      </c>
      <c r="G32" s="64">
        <f t="shared" si="108"/>
        <v>4.6627828730461198</v>
      </c>
      <c r="I32" s="144">
        <v>46.5</v>
      </c>
      <c r="J32" s="145">
        <v>12.510999999999999</v>
      </c>
      <c r="K32" s="146">
        <v>1.4715014937310342</v>
      </c>
      <c r="M32" s="50">
        <f>I178</f>
        <v>-26.5</v>
      </c>
      <c r="N32" s="63">
        <f t="shared" ref="N32" si="109">J178</f>
        <v>391.76</v>
      </c>
      <c r="O32" s="64">
        <f t="shared" ref="O32" si="110">K178</f>
        <v>4.6443474962063735</v>
      </c>
      <c r="Q32" s="144">
        <v>36.5</v>
      </c>
      <c r="R32" s="145">
        <v>6.569</v>
      </c>
      <c r="S32" s="146">
        <v>0.89816511252700371</v>
      </c>
      <c r="U32" s="50">
        <f>Q118</f>
        <v>-6.5</v>
      </c>
      <c r="V32" s="63">
        <f>R118</f>
        <v>36.909999999999997</v>
      </c>
      <c r="W32" s="64">
        <f>S118</f>
        <v>2.7581826333881332</v>
      </c>
      <c r="Y32" s="147">
        <v>71.5</v>
      </c>
      <c r="Z32" s="148">
        <v>0.49833814888122957</v>
      </c>
      <c r="AA32" s="149">
        <v>0.44507685640676903</v>
      </c>
      <c r="AC32" s="50">
        <f>Y228</f>
        <v>-26.5</v>
      </c>
      <c r="AD32" s="63">
        <f t="shared" ref="AD32:AE32" si="111">Z228</f>
        <v>40.289660934501242</v>
      </c>
      <c r="AE32" s="64">
        <f t="shared" si="111"/>
        <v>4.4381980505032335</v>
      </c>
      <c r="AG32" s="147">
        <v>66.5</v>
      </c>
      <c r="AH32" s="148">
        <v>2.4548652507114452</v>
      </c>
      <c r="AI32" s="149">
        <v>0.9855045403125573</v>
      </c>
      <c r="AK32" s="50">
        <f>AG217</f>
        <v>-26</v>
      </c>
      <c r="AL32" s="63">
        <f>AH217</f>
        <v>95.69708464726375</v>
      </c>
      <c r="AM32" s="64">
        <f>AI217</f>
        <v>4.5269500557478777</v>
      </c>
    </row>
    <row r="33" spans="1:39">
      <c r="A33" s="144">
        <v>46</v>
      </c>
      <c r="B33" s="145">
        <v>12.603365113819367</v>
      </c>
      <c r="C33" s="146">
        <v>1.479151362826405</v>
      </c>
      <c r="E33" s="50">
        <f>A177</f>
        <v>-26</v>
      </c>
      <c r="F33" s="63">
        <f t="shared" ref="F33:G33" si="112">B177</f>
        <v>402.91108308899283</v>
      </c>
      <c r="G33" s="64">
        <f t="shared" si="112"/>
        <v>4.6535085243609604</v>
      </c>
      <c r="I33" s="144">
        <v>46</v>
      </c>
      <c r="J33" s="145">
        <v>12.754</v>
      </c>
      <c r="K33" s="146">
        <v>1.4915563456050895</v>
      </c>
      <c r="M33" s="50">
        <f>I177</f>
        <v>-26</v>
      </c>
      <c r="N33" s="63">
        <f t="shared" ref="N33" si="113">J177</f>
        <v>380.64</v>
      </c>
      <c r="O33" s="64">
        <f t="shared" ref="O33" si="114">K177</f>
        <v>4.6347165400350665</v>
      </c>
      <c r="Q33" s="144">
        <v>36</v>
      </c>
      <c r="R33" s="145">
        <v>6.6870000000000003</v>
      </c>
      <c r="S33" s="146">
        <v>0.91135824679041633</v>
      </c>
      <c r="U33" s="50">
        <f>Q117</f>
        <v>-6</v>
      </c>
      <c r="V33" s="63">
        <f>R117</f>
        <v>36.08</v>
      </c>
      <c r="W33" s="64">
        <f>S117</f>
        <v>2.73002421307506</v>
      </c>
      <c r="Y33" s="147">
        <v>71</v>
      </c>
      <c r="Z33" s="148">
        <v>0.5068453096364478</v>
      </c>
      <c r="AA33" s="149">
        <v>0.45198795547768739</v>
      </c>
      <c r="AC33" s="50">
        <f>Y227</f>
        <v>-26</v>
      </c>
      <c r="AD33" s="63">
        <f t="shared" ref="AD33:AE33" si="115">Z227</f>
        <v>39.166585343148071</v>
      </c>
      <c r="AE33" s="64">
        <f t="shared" si="115"/>
        <v>4.4239447248454393</v>
      </c>
      <c r="AG33" s="147">
        <v>66</v>
      </c>
      <c r="AH33" s="148">
        <v>2.4921999288137582</v>
      </c>
      <c r="AI33" s="149">
        <v>0.99750241871545764</v>
      </c>
      <c r="AK33" s="50">
        <f>AG216</f>
        <v>-25.5</v>
      </c>
      <c r="AL33" s="63">
        <f>AH216</f>
        <v>93.26735884502294</v>
      </c>
      <c r="AM33" s="64">
        <f>AI216</f>
        <v>4.5158199012813256</v>
      </c>
    </row>
    <row r="34" spans="1:39">
      <c r="A34" s="144">
        <v>45.5</v>
      </c>
      <c r="B34" s="145">
        <v>12.851112391748249</v>
      </c>
      <c r="C34" s="146">
        <v>1.4995074426846107</v>
      </c>
      <c r="E34" s="50">
        <f>A176</f>
        <v>-25.5</v>
      </c>
      <c r="F34" s="63">
        <f t="shared" ref="F34:G34" si="116">B176</f>
        <v>391.37323168564649</v>
      </c>
      <c r="G34" s="64">
        <f t="shared" si="116"/>
        <v>4.6440210513611762</v>
      </c>
      <c r="I34" s="144">
        <v>45.5</v>
      </c>
      <c r="J34" s="145">
        <v>13.003</v>
      </c>
      <c r="K34" s="146">
        <v>1.5118712647954793</v>
      </c>
      <c r="M34" s="50">
        <f>I176</f>
        <v>-25.5</v>
      </c>
      <c r="N34" s="63">
        <f t="shared" ref="N34" si="117">J176</f>
        <v>369.87</v>
      </c>
      <c r="O34" s="64">
        <f t="shared" ref="O34" si="118">K176</f>
        <v>4.6248780853777474</v>
      </c>
      <c r="Q34" s="144">
        <v>35.5</v>
      </c>
      <c r="R34" s="145">
        <v>6.8070000000000004</v>
      </c>
      <c r="S34" s="146">
        <v>0.92468823865025684</v>
      </c>
      <c r="U34" s="50">
        <f>Q116</f>
        <v>-5.5</v>
      </c>
      <c r="V34" s="63">
        <f>R116</f>
        <v>35.270000000000003</v>
      </c>
      <c r="W34" s="64">
        <f>S116</f>
        <v>2.7018538379040908</v>
      </c>
      <c r="Y34" s="147">
        <v>70.5</v>
      </c>
      <c r="Z34" s="148">
        <v>0.51552162288134307</v>
      </c>
      <c r="AA34" s="149">
        <v>0.45901490324671501</v>
      </c>
      <c r="AC34" s="50">
        <f>Y226</f>
        <v>-25.5</v>
      </c>
      <c r="AD34" s="63">
        <f t="shared" ref="AD34:AE34" si="119">Z226</f>
        <v>38.076637057603293</v>
      </c>
      <c r="AE34" s="64">
        <f t="shared" si="119"/>
        <v>4.4094028220405486</v>
      </c>
      <c r="AG34" s="147">
        <v>65.5</v>
      </c>
      <c r="AH34" s="148">
        <v>2.5302043876246967</v>
      </c>
      <c r="AI34" s="149">
        <v>1.009642105328953</v>
      </c>
      <c r="AK34" s="50">
        <f>AG215</f>
        <v>-25</v>
      </c>
      <c r="AL34" s="63">
        <f>AH215</f>
        <v>90.906602603266563</v>
      </c>
      <c r="AM34" s="64">
        <f>AI215</f>
        <v>4.5044922858359975</v>
      </c>
    </row>
    <row r="35" spans="1:39">
      <c r="A35" s="144">
        <v>45</v>
      </c>
      <c r="B35" s="145">
        <v>13.1044413522974</v>
      </c>
      <c r="C35" s="146">
        <v>1.5200801751718971</v>
      </c>
      <c r="E35" s="50">
        <f>A175</f>
        <v>-25</v>
      </c>
      <c r="F35" s="63">
        <f t="shared" ref="F35:G35" si="120">B175</f>
        <v>380.19172037412289</v>
      </c>
      <c r="G35" s="64">
        <f t="shared" si="120"/>
        <v>4.6343173385772154</v>
      </c>
      <c r="I35" s="144">
        <v>45</v>
      </c>
      <c r="J35" s="145">
        <v>13.257</v>
      </c>
      <c r="K35" s="146">
        <v>1.5323531451556973</v>
      </c>
      <c r="M35" s="50">
        <f>I175</f>
        <v>-25</v>
      </c>
      <c r="N35" s="63">
        <f t="shared" ref="N35" si="121">J175</f>
        <v>359.43</v>
      </c>
      <c r="O35" s="64">
        <f t="shared" ref="O35" si="122">K175</f>
        <v>4.6148216624297049</v>
      </c>
      <c r="Q35" s="144">
        <v>35</v>
      </c>
      <c r="R35" s="145">
        <v>6.9290000000000003</v>
      </c>
      <c r="S35" s="146">
        <v>0.93815158818272903</v>
      </c>
      <c r="U35" s="50">
        <f>Q115</f>
        <v>-5</v>
      </c>
      <c r="V35" s="63">
        <f>R115</f>
        <v>34.479999999999997</v>
      </c>
      <c r="W35" s="64">
        <f>S115</f>
        <v>2.6736972704714641</v>
      </c>
      <c r="Y35" s="147">
        <v>70</v>
      </c>
      <c r="Z35" s="148">
        <v>0.52437088415829236</v>
      </c>
      <c r="AA35" s="149">
        <v>0.46615958918645034</v>
      </c>
      <c r="AC35" s="50">
        <f>Y225</f>
        <v>-25</v>
      </c>
      <c r="AD35" s="63">
        <f t="shared" ref="AD35:AE35" si="123">Z225</f>
        <v>37.018818561091258</v>
      </c>
      <c r="AE35" s="64">
        <f t="shared" si="123"/>
        <v>4.3945699126623525</v>
      </c>
      <c r="AG35" s="147">
        <v>65</v>
      </c>
      <c r="AH35" s="148">
        <v>2.5688923013183036</v>
      </c>
      <c r="AI35" s="149">
        <v>1.0219247009733954</v>
      </c>
      <c r="AK35" s="50">
        <f>AG214</f>
        <v>-24.5</v>
      </c>
      <c r="AL35" s="63">
        <f>AH214</f>
        <v>88.612669801779248</v>
      </c>
      <c r="AM35" s="64">
        <f>AI214</f>
        <v>4.4929657608854452</v>
      </c>
    </row>
    <row r="36" spans="1:39">
      <c r="A36" s="144">
        <v>44.5</v>
      </c>
      <c r="B36" s="145">
        <v>13.363493229290125</v>
      </c>
      <c r="C36" s="146">
        <v>1.5408690852728251</v>
      </c>
      <c r="E36" s="50">
        <f>A174</f>
        <v>-24.5</v>
      </c>
      <c r="F36" s="63">
        <f t="shared" ref="F36:G36" si="124">B174</f>
        <v>369.3549613600718</v>
      </c>
      <c r="G36" s="64">
        <f t="shared" si="124"/>
        <v>4.62439429952454</v>
      </c>
      <c r="I36" s="144">
        <v>44.5</v>
      </c>
      <c r="J36" s="145">
        <v>13.516</v>
      </c>
      <c r="K36" s="146">
        <v>1.5529920029414468</v>
      </c>
      <c r="M36" s="50">
        <f>I174</f>
        <v>-24.5</v>
      </c>
      <c r="N36" s="63">
        <f t="shared" ref="N36" si="125">J174</f>
        <v>349.32</v>
      </c>
      <c r="O36" s="64">
        <f t="shared" ref="O36" si="126">K174</f>
        <v>4.6045555204049347</v>
      </c>
      <c r="Q36" s="144">
        <v>34.5</v>
      </c>
      <c r="R36" s="145">
        <v>7.0540000000000003</v>
      </c>
      <c r="S36" s="146">
        <v>0.9518540508447132</v>
      </c>
      <c r="U36" s="50">
        <f>Q114</f>
        <v>-4.5</v>
      </c>
      <c r="V36" s="63">
        <f>R114</f>
        <v>33.72</v>
      </c>
      <c r="W36" s="64">
        <f>S114</f>
        <v>2.6459510357815441</v>
      </c>
      <c r="Y36" s="147">
        <v>69.5</v>
      </c>
      <c r="Z36" s="148">
        <v>0.53339698308811667</v>
      </c>
      <c r="AA36" s="149">
        <v>0.47342392582079224</v>
      </c>
      <c r="AC36" s="50">
        <f>Y224</f>
        <v>-24.5</v>
      </c>
      <c r="AD36" s="63">
        <f t="shared" ref="AD36:AE36" si="127">Z224</f>
        <v>35.992161549378146</v>
      </c>
      <c r="AE36" s="64">
        <f t="shared" si="127"/>
        <v>4.3794436934314573</v>
      </c>
      <c r="AG36" s="147">
        <v>64.5</v>
      </c>
      <c r="AH36" s="148">
        <v>2.6082776548824351</v>
      </c>
      <c r="AI36" s="149">
        <v>1.0343512913805497</v>
      </c>
      <c r="AK36" s="50">
        <f>AG213</f>
        <v>-24</v>
      </c>
      <c r="AL36" s="63">
        <f>AH213</f>
        <v>86.383486548941931</v>
      </c>
      <c r="AM36" s="64">
        <f>AI213</f>
        <v>4.4812389363544058</v>
      </c>
    </row>
    <row r="37" spans="1:39">
      <c r="A37" s="144">
        <v>44</v>
      </c>
      <c r="B37" s="145">
        <v>13.628413185599875</v>
      </c>
      <c r="C37" s="146">
        <v>1.5618735808271511</v>
      </c>
      <c r="E37" s="50">
        <f>A173</f>
        <v>-24</v>
      </c>
      <c r="F37" s="63">
        <f t="shared" ref="F37:G37" si="128">B173</f>
        <v>358.85175549436093</v>
      </c>
      <c r="G37" s="64">
        <f t="shared" si="128"/>
        <v>4.6142488805038315</v>
      </c>
      <c r="I37" s="144">
        <v>44</v>
      </c>
      <c r="J37" s="145">
        <v>13.731999999999999</v>
      </c>
      <c r="K37" s="146">
        <v>1.5700173785786151</v>
      </c>
      <c r="M37" s="50">
        <f>I173</f>
        <v>-24</v>
      </c>
      <c r="N37" s="63">
        <f t="shared" ref="N37" si="129">J173</f>
        <v>339.52</v>
      </c>
      <c r="O37" s="64">
        <f t="shared" ref="O37" si="130">K173</f>
        <v>4.5940679800822686</v>
      </c>
      <c r="Q37" s="144">
        <v>34</v>
      </c>
      <c r="R37" s="145">
        <v>7.181</v>
      </c>
      <c r="S37" s="146">
        <v>0.96568139641214612</v>
      </c>
      <c r="U37" s="50">
        <f>Q113</f>
        <v>-4</v>
      </c>
      <c r="V37" s="63">
        <f>R113</f>
        <v>32.97</v>
      </c>
      <c r="W37" s="64">
        <f>S113</f>
        <v>2.6179132920438302</v>
      </c>
      <c r="Y37" s="147">
        <v>69</v>
      </c>
      <c r="Z37" s="148">
        <v>0.54260390590525565</v>
      </c>
      <c r="AA37" s="149">
        <v>0.48080984856778147</v>
      </c>
      <c r="AC37" s="50">
        <f>Y223</f>
        <v>-24</v>
      </c>
      <c r="AD37" s="63">
        <f t="shared" ref="AD37:AE37" si="131">Z223</f>
        <v>34.995726176822409</v>
      </c>
      <c r="AE37" s="64">
        <f t="shared" si="131"/>
        <v>4.3640219935774489</v>
      </c>
      <c r="AG37" s="147">
        <v>64</v>
      </c>
      <c r="AH37" s="148">
        <v>2.6483747518670855</v>
      </c>
      <c r="AI37" s="149">
        <v>1.0469229461580218</v>
      </c>
      <c r="AK37" s="50">
        <f>AG212</f>
        <v>-23.5</v>
      </c>
      <c r="AL37" s="63">
        <f>AH212</f>
        <v>84.217048578535781</v>
      </c>
      <c r="AM37" s="64">
        <f>AI212</f>
        <v>4.4693104830351178</v>
      </c>
    </row>
    <row r="38" spans="1:39">
      <c r="A38" s="144">
        <v>43.5</v>
      </c>
      <c r="B38" s="145">
        <v>13.899350431193739</v>
      </c>
      <c r="C38" s="146">
        <v>1.5830929495163124</v>
      </c>
      <c r="E38" s="50">
        <f>A172</f>
        <v>-23.5</v>
      </c>
      <c r="F38" s="63">
        <f t="shared" ref="F38:G38" si="132">B172</f>
        <v>348.67127911265652</v>
      </c>
      <c r="G38" s="64">
        <f t="shared" si="132"/>
        <v>4.6038780645009671</v>
      </c>
      <c r="I38" s="144">
        <v>43.5</v>
      </c>
      <c r="J38" s="145">
        <v>14.053000000000001</v>
      </c>
      <c r="K38" s="146">
        <v>1.5950105554672782</v>
      </c>
      <c r="M38" s="50">
        <f>I172</f>
        <v>-23.5</v>
      </c>
      <c r="N38" s="63">
        <f t="shared" ref="N38" si="133">J172</f>
        <v>330.02</v>
      </c>
      <c r="O38" s="64">
        <f t="shared" ref="O38" si="134">K172</f>
        <v>4.5833564801955449</v>
      </c>
      <c r="Q38" s="144">
        <v>33.5</v>
      </c>
      <c r="R38" s="145">
        <v>7.3120000000000003</v>
      </c>
      <c r="S38" s="146">
        <v>0.97984562607204129</v>
      </c>
      <c r="U38" s="50">
        <f>Q112</f>
        <v>-3.5</v>
      </c>
      <c r="V38" s="63">
        <f>R112</f>
        <v>32.24</v>
      </c>
      <c r="W38" s="64">
        <f>S112</f>
        <v>2.5899742930591261</v>
      </c>
      <c r="Y38" s="147">
        <v>68.5</v>
      </c>
      <c r="Z38" s="148">
        <v>0.55199573806627567</v>
      </c>
      <c r="AA38" s="149">
        <v>0.48831931555483682</v>
      </c>
      <c r="AC38" s="50">
        <f>Y222</f>
        <v>-23.5</v>
      </c>
      <c r="AD38" s="63">
        <f t="shared" ref="AD38:AE38" si="135">Z222</f>
        <v>34.028600313969768</v>
      </c>
      <c r="AE38" s="64">
        <f t="shared" si="135"/>
        <v>4.3483027812038566</v>
      </c>
      <c r="AG38" s="147">
        <v>63.5</v>
      </c>
      <c r="AH38" s="148">
        <v>2.6891982223419402</v>
      </c>
      <c r="AI38" s="149">
        <v>1.0596407177275606</v>
      </c>
      <c r="AK38" s="50">
        <f>AG211</f>
        <v>-23</v>
      </c>
      <c r="AL38" s="63">
        <f>AH211</f>
        <v>82.111418746246883</v>
      </c>
      <c r="AM38" s="64">
        <f>AI211</f>
        <v>4.4571791350023338</v>
      </c>
    </row>
    <row r="39" spans="1:39">
      <c r="A39" s="144">
        <v>43</v>
      </c>
      <c r="B39" s="145">
        <v>14.176458344953367</v>
      </c>
      <c r="C39" s="146">
        <v>1.6045263558993361</v>
      </c>
      <c r="E39" s="50">
        <f>A171</f>
        <v>-23</v>
      </c>
      <c r="F39" s="63">
        <f t="shared" ref="F39:G39" si="136">B171</f>
        <v>338.80307131272843</v>
      </c>
      <c r="G39" s="64">
        <f t="shared" si="136"/>
        <v>4.5932788751837519</v>
      </c>
      <c r="I39" s="144">
        <v>43</v>
      </c>
      <c r="J39" s="145">
        <v>14.33</v>
      </c>
      <c r="K39" s="146">
        <v>1.6162869388675842</v>
      </c>
      <c r="M39" s="50">
        <f>I171</f>
        <v>-23</v>
      </c>
      <c r="N39" s="63">
        <f t="shared" ref="N39" si="137">J171</f>
        <v>320.82</v>
      </c>
      <c r="O39" s="64">
        <f t="shared" ref="O39" si="138">K171</f>
        <v>4.5724303061399008</v>
      </c>
      <c r="Q39" s="144">
        <v>33</v>
      </c>
      <c r="R39" s="145">
        <v>7.4450000000000003</v>
      </c>
      <c r="S39" s="146">
        <v>0.99412471625050081</v>
      </c>
      <c r="U39" s="50">
        <f>Q111</f>
        <v>-3</v>
      </c>
      <c r="V39" s="63">
        <f>R111</f>
        <v>31.53</v>
      </c>
      <c r="W39" s="64">
        <f>S111</f>
        <v>2.5621647976596784</v>
      </c>
      <c r="Y39" s="147">
        <v>68</v>
      </c>
      <c r="Z39" s="148">
        <v>0.56157666693396469</v>
      </c>
      <c r="AA39" s="149">
        <v>0.49595430740504959</v>
      </c>
      <c r="AC39" s="50">
        <f>Y221</f>
        <v>-23</v>
      </c>
      <c r="AD39" s="63">
        <f t="shared" ref="AD39:AE39" si="139">Z221</f>
        <v>33.089898817140934</v>
      </c>
      <c r="AE39" s="64">
        <f t="shared" si="139"/>
        <v>4.3322841696413521</v>
      </c>
      <c r="AG39" s="147">
        <v>63</v>
      </c>
      <c r="AH39" s="148">
        <v>2.7307630310697291</v>
      </c>
      <c r="AI39" s="149">
        <v>1.0725056402374458</v>
      </c>
      <c r="AK39" s="50">
        <f>AG210</f>
        <v>-22.5</v>
      </c>
      <c r="AL39" s="63">
        <f>AH210</f>
        <v>80.064724621830223</v>
      </c>
      <c r="AM39" s="64">
        <f>AI210</f>
        <v>4.4448436920232277</v>
      </c>
    </row>
    <row r="40" spans="1:39">
      <c r="A40" s="144">
        <v>42.5</v>
      </c>
      <c r="B40" s="145">
        <v>14.459894600401057</v>
      </c>
      <c r="C40" s="146">
        <v>1.6261728385058543</v>
      </c>
      <c r="E40" s="50">
        <f>A170</f>
        <v>-22.5</v>
      </c>
      <c r="F40" s="63">
        <f t="shared" ref="F40:G40" si="140">B170</f>
        <v>329.23702165581977</v>
      </c>
      <c r="G40" s="64">
        <f t="shared" si="140"/>
        <v>4.5824483809919982</v>
      </c>
      <c r="I40" s="144">
        <v>42.5</v>
      </c>
      <c r="J40" s="145">
        <v>14.614000000000001</v>
      </c>
      <c r="K40" s="146">
        <v>1.6378266911731743</v>
      </c>
      <c r="M40" s="50">
        <f>I170</f>
        <v>-22.5</v>
      </c>
      <c r="N40" s="63">
        <f t="shared" ref="N40" si="141">J170</f>
        <v>311.89</v>
      </c>
      <c r="O40" s="64">
        <f t="shared" ref="O40" si="142">K170</f>
        <v>4.5612623943373594</v>
      </c>
      <c r="Q40" s="144">
        <v>32.5</v>
      </c>
      <c r="R40" s="145">
        <v>7.58</v>
      </c>
      <c r="S40" s="146">
        <v>1.0085151676423629</v>
      </c>
      <c r="U40" s="50">
        <f>Q110</f>
        <v>-2.5</v>
      </c>
      <c r="V40" s="63">
        <f>R110</f>
        <v>30.84</v>
      </c>
      <c r="W40" s="64">
        <f>S110</f>
        <v>2.5345167652859959</v>
      </c>
      <c r="Y40" s="147">
        <v>67.5</v>
      </c>
      <c r="Z40" s="148">
        <v>0.57135098453933164</v>
      </c>
      <c r="AA40" s="149">
        <v>0.50371682699315512</v>
      </c>
      <c r="AC40" s="50">
        <f>Y220</f>
        <v>-22.5</v>
      </c>
      <c r="AD40" s="63">
        <f t="shared" ref="AD40:AE40" si="143">Z220</f>
        <v>32.178762810397288</v>
      </c>
      <c r="AE40" s="64">
        <f t="shared" si="143"/>
        <v>4.3159644237740666</v>
      </c>
      <c r="AG40" s="147">
        <v>62.5</v>
      </c>
      <c r="AH40" s="148">
        <v>2.7730844859012644</v>
      </c>
      <c r="AI40" s="149">
        <v>1.085518728448932</v>
      </c>
      <c r="AK40" s="50">
        <f>AG209</f>
        <v>-22</v>
      </c>
      <c r="AL40" s="63">
        <f>AH209</f>
        <v>78.075156173089269</v>
      </c>
      <c r="AM40" s="64">
        <f>AI209</f>
        <v>4.4323030219584538</v>
      </c>
    </row>
    <row r="41" spans="1:39">
      <c r="A41" s="144">
        <v>42</v>
      </c>
      <c r="B41" s="145">
        <v>14.749821295462505</v>
      </c>
      <c r="C41" s="146">
        <v>1.6480313069940786</v>
      </c>
      <c r="E41" s="50">
        <f>A169</f>
        <v>-22</v>
      </c>
      <c r="F41" s="63">
        <f t="shared" ref="F41:G41" si="144">B169</f>
        <v>319.96335827879693</v>
      </c>
      <c r="G41" s="64">
        <f t="shared" si="144"/>
        <v>4.5713836993171633</v>
      </c>
      <c r="I41" s="144">
        <v>42</v>
      </c>
      <c r="J41" s="145">
        <v>14.903</v>
      </c>
      <c r="K41" s="146">
        <v>1.6594659599581321</v>
      </c>
      <c r="M41" s="50">
        <f>I169</f>
        <v>-22</v>
      </c>
      <c r="N41" s="63">
        <f t="shared" ref="N41" si="145">J169</f>
        <v>303.25</v>
      </c>
      <c r="O41" s="64">
        <f t="shared" ref="O41" si="146">K169</f>
        <v>4.5498874718679669</v>
      </c>
      <c r="Q41" s="144">
        <v>32</v>
      </c>
      <c r="R41" s="145">
        <v>7.7190000000000003</v>
      </c>
      <c r="S41" s="146">
        <v>1.0232243696810626</v>
      </c>
      <c r="U41" s="50">
        <f>Q109</f>
        <v>-2</v>
      </c>
      <c r="V41" s="63">
        <f>R109</f>
        <v>30.16</v>
      </c>
      <c r="W41" s="64">
        <f>S109</f>
        <v>2.5066489361702131</v>
      </c>
      <c r="Y41" s="147">
        <v>67</v>
      </c>
      <c r="Z41" s="148">
        <v>0.58132309042390307</v>
      </c>
      <c r="AA41" s="149">
        <v>0.5116088991697606</v>
      </c>
      <c r="AC41" s="50">
        <f>Y219</f>
        <v>-22</v>
      </c>
      <c r="AD41" s="63">
        <f t="shared" ref="AD41:AE41" si="147">Z219</f>
        <v>31.294358980216025</v>
      </c>
      <c r="AE41" s="64">
        <f t="shared" si="147"/>
        <v>4.2993419663233583</v>
      </c>
      <c r="AG41" s="147">
        <v>62</v>
      </c>
      <c r="AH41" s="148">
        <v>2.8161782463990161</v>
      </c>
      <c r="AI41" s="149">
        <v>1.0986809765970142</v>
      </c>
      <c r="AK41" s="50">
        <f>AG208</f>
        <v>-21.5</v>
      </c>
      <c r="AL41" s="63">
        <f>AH208</f>
        <v>76.140963537953226</v>
      </c>
      <c r="AM41" s="64">
        <f>AI208</f>
        <v>4.419556063150254</v>
      </c>
    </row>
    <row r="42" spans="1:39">
      <c r="A42" s="144">
        <v>41.5</v>
      </c>
      <c r="B42" s="145">
        <v>15.046405086402913</v>
      </c>
      <c r="C42" s="146">
        <v>1.6701005393818444</v>
      </c>
      <c r="E42" s="50">
        <f>A168</f>
        <v>-21.5</v>
      </c>
      <c r="F42" s="63">
        <f t="shared" ref="F42:G42" si="148">B168</f>
        <v>310.97263640412581</v>
      </c>
      <c r="G42" s="64">
        <f t="shared" si="148"/>
        <v>4.5600820007673057</v>
      </c>
      <c r="I42" s="144">
        <v>41.5</v>
      </c>
      <c r="J42" s="145">
        <v>15.2</v>
      </c>
      <c r="K42" s="146">
        <v>1.6814159292035398</v>
      </c>
      <c r="M42" s="50">
        <f>I168</f>
        <v>-21.5</v>
      </c>
      <c r="N42" s="63">
        <f t="shared" ref="N42" si="149">J168</f>
        <v>294.86</v>
      </c>
      <c r="O42" s="64">
        <f t="shared" ref="O42" si="150">K168</f>
        <v>4.5382626362125231</v>
      </c>
      <c r="Q42" s="144">
        <v>31.5</v>
      </c>
      <c r="R42" s="145">
        <v>7.86</v>
      </c>
      <c r="S42" s="146">
        <v>1.0380348652931854</v>
      </c>
      <c r="U42" s="50">
        <f>Q108</f>
        <v>-1.5</v>
      </c>
      <c r="V42" s="63">
        <f>R108</f>
        <v>29.5</v>
      </c>
      <c r="W42" s="64">
        <f>S108</f>
        <v>2.4789915966386555</v>
      </c>
      <c r="Y42" s="147">
        <v>66.5</v>
      </c>
      <c r="Z42" s="148">
        <v>0.59149749456481371</v>
      </c>
      <c r="AA42" s="149">
        <v>0.51963257045239297</v>
      </c>
      <c r="AC42" s="50">
        <f>Y218</f>
        <v>-21.5</v>
      </c>
      <c r="AD42" s="63">
        <f t="shared" ref="AD42:AE42" si="151">Z218</f>
        <v>30.435878883146444</v>
      </c>
      <c r="AE42" s="64">
        <f t="shared" si="151"/>
        <v>4.2824153840727472</v>
      </c>
      <c r="AG42" s="147">
        <v>61.5</v>
      </c>
      <c r="AH42" s="148">
        <v>2.8600603326955416</v>
      </c>
      <c r="AI42" s="149">
        <v>1.1119933572255865</v>
      </c>
      <c r="AK42" s="50">
        <f>AG207</f>
        <v>-21</v>
      </c>
      <c r="AL42" s="63">
        <f>AH207</f>
        <v>74.260454881128183</v>
      </c>
      <c r="AM42" s="64">
        <f>AI207</f>
        <v>4.4066018267936204</v>
      </c>
    </row>
    <row r="43" spans="1:39">
      <c r="A43" s="144">
        <v>41</v>
      </c>
      <c r="B43" s="145">
        <v>15.34981732607738</v>
      </c>
      <c r="C43" s="146">
        <v>1.6923791793589891</v>
      </c>
      <c r="E43" s="50">
        <f>A167</f>
        <v>-21</v>
      </c>
      <c r="F43" s="63">
        <f t="shared" ref="F43:G43" si="152">B167</f>
        <v>302.25572723508014</v>
      </c>
      <c r="G43" s="64">
        <f t="shared" si="152"/>
        <v>4.5485405135127408</v>
      </c>
      <c r="I43" s="144">
        <v>41</v>
      </c>
      <c r="J43" s="145">
        <v>15.503</v>
      </c>
      <c r="K43" s="146">
        <v>1.7035140540184164</v>
      </c>
      <c r="M43" s="50">
        <f>I167</f>
        <v>-21</v>
      </c>
      <c r="N43" s="63">
        <f t="shared" ref="N43" si="153">J167</f>
        <v>286.73</v>
      </c>
      <c r="O43" s="64">
        <f t="shared" ref="O43" si="154">K167</f>
        <v>4.5264105073722094</v>
      </c>
      <c r="Q43" s="144">
        <v>31</v>
      </c>
      <c r="R43" s="145">
        <v>8.0050000000000008</v>
      </c>
      <c r="S43" s="146">
        <v>1.0531509011972109</v>
      </c>
      <c r="U43" s="50">
        <f>Q107</f>
        <v>-1</v>
      </c>
      <c r="V43" s="63">
        <f>R107</f>
        <v>28.86</v>
      </c>
      <c r="W43" s="64">
        <f>S107</f>
        <v>2.4515800203873601</v>
      </c>
      <c r="Y43" s="147">
        <v>66</v>
      </c>
      <c r="Z43" s="148">
        <v>0.60187882038523421</v>
      </c>
      <c r="AA43" s="149">
        <v>0.52778990868186293</v>
      </c>
      <c r="AC43" s="50">
        <f>Y217</f>
        <v>-21</v>
      </c>
      <c r="AD43" s="63">
        <f t="shared" ref="AD43:AE43" si="155">Z217</f>
        <v>29.602538266668958</v>
      </c>
      <c r="AE43" s="64">
        <f t="shared" si="155"/>
        <v>4.265183434017211</v>
      </c>
      <c r="AG43" s="147">
        <v>61</v>
      </c>
      <c r="AH43" s="148">
        <v>2.9047471345939386</v>
      </c>
      <c r="AI43" s="149">
        <v>1.1254568199973256</v>
      </c>
      <c r="AK43" s="50">
        <f>AG206</f>
        <v>-20.5</v>
      </c>
      <c r="AL43" s="63">
        <f>AH206</f>
        <v>72.431994331922766</v>
      </c>
      <c r="AM43" s="64">
        <f>AI206</f>
        <v>4.3934393992862919</v>
      </c>
    </row>
    <row r="44" spans="1:39" ht="13.5" thickBot="1">
      <c r="A44" s="144">
        <v>40.5</v>
      </c>
      <c r="B44" s="145">
        <v>15.660234206642031</v>
      </c>
      <c r="C44" s="146">
        <v>1.7148657336895561</v>
      </c>
      <c r="E44" s="50">
        <f>A166</f>
        <v>-20.5</v>
      </c>
      <c r="F44" s="63">
        <f t="shared" ref="F44:G44" si="156">B166</f>
        <v>293.80380722393937</v>
      </c>
      <c r="G44" s="64">
        <f t="shared" si="156"/>
        <v>4.5367565277073423</v>
      </c>
      <c r="I44" s="144">
        <v>40.5</v>
      </c>
      <c r="J44" s="145">
        <v>15.813000000000001</v>
      </c>
      <c r="K44" s="146">
        <v>1.7258201820443977</v>
      </c>
      <c r="M44" s="50">
        <f>I166</f>
        <v>-20.5</v>
      </c>
      <c r="N44" s="63">
        <f t="shared" ref="N44" si="157">J166</f>
        <v>278.85000000000002</v>
      </c>
      <c r="O44" s="64">
        <f t="shared" ref="O44" si="158">K166</f>
        <v>4.5143273433705682</v>
      </c>
      <c r="Q44" s="150">
        <v>30.5</v>
      </c>
      <c r="R44" s="151">
        <v>8.1519999999999992</v>
      </c>
      <c r="S44" s="152">
        <v>1.0683581463619207</v>
      </c>
      <c r="U44" s="50">
        <f>Q106</f>
        <v>-0.5</v>
      </c>
      <c r="V44" s="63">
        <f>R106</f>
        <v>28.23</v>
      </c>
      <c r="W44" s="64">
        <f>S106</f>
        <v>2.4240082431736218</v>
      </c>
      <c r="Y44" s="147">
        <v>65.5</v>
      </c>
      <c r="Z44" s="148">
        <v>0.61247180785277322</v>
      </c>
      <c r="AA44" s="149">
        <v>0.53608300264241626</v>
      </c>
      <c r="AC44" s="50">
        <f>Y216</f>
        <v>-20.5</v>
      </c>
      <c r="AD44" s="63">
        <f t="shared" ref="AD44:AE44" si="159">Z216</f>
        <v>28.793576403436553</v>
      </c>
      <c r="AE44" s="64">
        <f t="shared" si="159"/>
        <v>4.2476450494196154</v>
      </c>
      <c r="AG44" s="147">
        <v>60.5</v>
      </c>
      <c r="AH44" s="148">
        <v>2.9502554209172978</v>
      </c>
      <c r="AI44" s="149">
        <v>1.1390722904785473</v>
      </c>
      <c r="AK44" s="50">
        <f>AG205</f>
        <v>-20</v>
      </c>
      <c r="AL44" s="63">
        <f>AH205</f>
        <v>70.653999999999058</v>
      </c>
      <c r="AM44" s="64">
        <f>AI205</f>
        <v>4.3800679445532698</v>
      </c>
    </row>
    <row r="45" spans="1:39" ht="13.5" thickTop="1">
      <c r="A45" s="144">
        <v>40</v>
      </c>
      <c r="B45" s="145">
        <v>15.977836906877176</v>
      </c>
      <c r="C45" s="146">
        <v>1.7375585697124518</v>
      </c>
      <c r="E45" s="50">
        <f>A165</f>
        <v>-20</v>
      </c>
      <c r="F45" s="63">
        <f t="shared" ref="F45:G45" si="160">B165</f>
        <v>285.60834770125172</v>
      </c>
      <c r="G45" s="64">
        <f t="shared" si="160"/>
        <v>4.5247273999799686</v>
      </c>
      <c r="I45" s="144">
        <v>40</v>
      </c>
      <c r="J45" s="145">
        <v>16.13</v>
      </c>
      <c r="K45" s="146">
        <v>1.7483199653154129</v>
      </c>
      <c r="M45" s="50">
        <f>I165</f>
        <v>-20</v>
      </c>
      <c r="N45" s="63">
        <f t="shared" ref="N45" si="161">J165</f>
        <v>271.20999999999998</v>
      </c>
      <c r="O45" s="64">
        <f t="shared" ref="O45" si="162">K165</f>
        <v>4.502008565452674</v>
      </c>
      <c r="Q45" s="138">
        <v>30</v>
      </c>
      <c r="R45" s="139">
        <v>8.3030000000000008</v>
      </c>
      <c r="S45" s="140">
        <v>1.0838576612797954</v>
      </c>
      <c r="U45" s="50">
        <f>Q105</f>
        <v>0</v>
      </c>
      <c r="V45" s="63">
        <f>R105</f>
        <v>27.62</v>
      </c>
      <c r="W45" s="64">
        <f>S105</f>
        <v>2.3967372440124954</v>
      </c>
      <c r="Y45" s="147">
        <v>65</v>
      </c>
      <c r="Z45" s="148">
        <v>0.62328131666858311</v>
      </c>
      <c r="AA45" s="149">
        <v>0.54451396164410781</v>
      </c>
      <c r="AC45" s="50">
        <f>Y215</f>
        <v>-20</v>
      </c>
      <c r="AD45" s="63">
        <f t="shared" ref="AD45:AE45" si="163">Z215</f>
        <v>28.008255439031274</v>
      </c>
      <c r="AE45" s="64">
        <f t="shared" si="163"/>
        <v>4.2297993457565841</v>
      </c>
      <c r="AG45" s="147">
        <v>60</v>
      </c>
      <c r="AH45" s="148">
        <v>2.9966023491143678</v>
      </c>
      <c r="AI45" s="149">
        <v>1.1528406688993476</v>
      </c>
      <c r="AK45" s="50">
        <f>AG204</f>
        <v>-19.5</v>
      </c>
      <c r="AL45" s="63">
        <f>AH204</f>
        <v>68.92494206594705</v>
      </c>
      <c r="AM45" s="64">
        <f>AI204</f>
        <v>4.366486706341556</v>
      </c>
    </row>
    <row r="46" spans="1:39">
      <c r="A46" s="144">
        <v>39.5</v>
      </c>
      <c r="B46" s="145">
        <v>16.302811744279129</v>
      </c>
      <c r="C46" s="146">
        <v>1.7604559129493251</v>
      </c>
      <c r="E46" s="50">
        <f>A164</f>
        <v>-19.5</v>
      </c>
      <c r="F46" s="63">
        <f t="shared" ref="F46:G46" si="164">B164</f>
        <v>277.66110485459154</v>
      </c>
      <c r="G46" s="64">
        <f t="shared" si="164"/>
        <v>4.5124505579901175</v>
      </c>
      <c r="I46" s="144">
        <v>39.5</v>
      </c>
      <c r="J46" s="145">
        <v>16.454000000000001</v>
      </c>
      <c r="K46" s="146">
        <v>1.7709992680931677</v>
      </c>
      <c r="M46" s="50">
        <f>I164</f>
        <v>-19.5</v>
      </c>
      <c r="N46" s="63">
        <f t="shared" ref="N46" si="165">J164</f>
        <v>263.79000000000002</v>
      </c>
      <c r="O46" s="64">
        <f t="shared" ref="O46" si="166">K164</f>
        <v>4.489431226386194</v>
      </c>
      <c r="Q46" s="144">
        <v>29.5</v>
      </c>
      <c r="R46" s="145">
        <v>8.4570000000000007</v>
      </c>
      <c r="S46" s="146">
        <v>1.0995397456899916</v>
      </c>
      <c r="U46" s="50">
        <f>Q104</f>
        <v>0.5</v>
      </c>
      <c r="V46" s="63">
        <f>R104</f>
        <v>27.02</v>
      </c>
      <c r="W46" s="64">
        <f>S104</f>
        <v>2.3693440897930551</v>
      </c>
      <c r="Y46" s="147">
        <v>64.5</v>
      </c>
      <c r="Z46" s="148">
        <v>0.63431232955000794</v>
      </c>
      <c r="AA46" s="149">
        <v>0.55308491506581814</v>
      </c>
      <c r="AC46" s="50">
        <f>Y214</f>
        <v>-19.5</v>
      </c>
      <c r="AD46" s="63">
        <f t="shared" ref="AD46:AE46" si="167">Z214</f>
        <v>27.245859753331654</v>
      </c>
      <c r="AE46" s="64">
        <f t="shared" si="167"/>
        <v>4.2116456265357591</v>
      </c>
      <c r="AG46" s="147">
        <v>59.5</v>
      </c>
      <c r="AH46" s="148">
        <v>3.0438054751294197</v>
      </c>
      <c r="AI46" s="149">
        <v>1.1667628288895573</v>
      </c>
      <c r="AK46" s="50">
        <f>AG203</f>
        <v>-19</v>
      </c>
      <c r="AL46" s="63">
        <f>AH203</f>
        <v>67.243340943685581</v>
      </c>
      <c r="AM46" s="64">
        <f>AI203</f>
        <v>4.352695010480546</v>
      </c>
    </row>
    <row r="47" spans="1:39">
      <c r="A47" s="144">
        <v>39</v>
      </c>
      <c r="B47" s="145">
        <v>16.635350332083178</v>
      </c>
      <c r="C47" s="146">
        <v>1.7835558448285902</v>
      </c>
      <c r="E47" s="50">
        <f>A163</f>
        <v>-19</v>
      </c>
      <c r="F47" s="63">
        <f t="shared" ref="F47:G47" si="168">B163</f>
        <v>269.95411004553921</v>
      </c>
      <c r="G47" s="64">
        <f t="shared" si="168"/>
        <v>4.4999235050413979</v>
      </c>
      <c r="I47" s="144">
        <v>39</v>
      </c>
      <c r="J47" s="145">
        <v>16.786000000000001</v>
      </c>
      <c r="K47" s="146">
        <v>1.793912708930022</v>
      </c>
      <c r="M47" s="50">
        <f>I163</f>
        <v>-19</v>
      </c>
      <c r="N47" s="63">
        <f t="shared" ref="N47" si="169">J163</f>
        <v>256.60000000000002</v>
      </c>
      <c r="O47" s="64">
        <f t="shared" ref="O47" si="170">K163</f>
        <v>4.4766224703419395</v>
      </c>
      <c r="Q47" s="144">
        <v>29</v>
      </c>
      <c r="R47" s="145">
        <v>8.6140000000000008</v>
      </c>
      <c r="S47" s="146">
        <v>1.115398560107733</v>
      </c>
      <c r="U47" s="50">
        <f>Q103</f>
        <v>1</v>
      </c>
      <c r="V47" s="63">
        <f>R103</f>
        <v>26.44</v>
      </c>
      <c r="W47" s="64">
        <f>S103</f>
        <v>2.3423104181431613</v>
      </c>
      <c r="Y47" s="147">
        <v>64</v>
      </c>
      <c r="Z47" s="148">
        <v>0.64556995560963581</v>
      </c>
      <c r="AA47" s="149">
        <v>0.56179801185723921</v>
      </c>
      <c r="AC47" s="50">
        <f>Y213</f>
        <v>-19</v>
      </c>
      <c r="AD47" s="63">
        <f t="shared" ref="AD47:AE47" si="171">Z213</f>
        <v>26.505695335547038</v>
      </c>
      <c r="AE47" s="64">
        <f t="shared" si="171"/>
        <v>4.1931833889659735</v>
      </c>
      <c r="AG47" s="147">
        <v>59</v>
      </c>
      <c r="AH47" s="148">
        <v>3.0918827635433628</v>
      </c>
      <c r="AI47" s="149">
        <v>1.180839616190748</v>
      </c>
      <c r="AK47" s="50">
        <f>AG202</f>
        <v>-18.5</v>
      </c>
      <c r="AL47" s="63">
        <f>AH202</f>
        <v>65.607765511848228</v>
      </c>
      <c r="AM47" s="64">
        <f>AI202</f>
        <v>4.3386922671036396</v>
      </c>
    </row>
    <row r="48" spans="1:39">
      <c r="A48" s="144">
        <v>38.5</v>
      </c>
      <c r="B48" s="145">
        <v>16.975649741385325</v>
      </c>
      <c r="C48" s="146">
        <v>1.8068563005345575</v>
      </c>
      <c r="E48" s="50">
        <f>A162</f>
        <v>-18.5</v>
      </c>
      <c r="F48" s="63">
        <f t="shared" ref="F48:G48" si="172">B162</f>
        <v>262.47966045396834</v>
      </c>
      <c r="G48" s="64">
        <f t="shared" si="172"/>
        <v>4.4871438247460373</v>
      </c>
      <c r="I48" s="144">
        <v>38.5</v>
      </c>
      <c r="J48" s="145">
        <v>17.125</v>
      </c>
      <c r="K48" s="146">
        <v>1.8169761273209548</v>
      </c>
      <c r="M48" s="50">
        <f>I162</f>
        <v>-18.5</v>
      </c>
      <c r="N48" s="63">
        <f t="shared" ref="N48" si="173">J162</f>
        <v>249.63</v>
      </c>
      <c r="O48" s="64">
        <f t="shared" ref="O48" si="174">K162</f>
        <v>4.4635768694346103</v>
      </c>
      <c r="Q48" s="144">
        <v>28.5</v>
      </c>
      <c r="R48" s="145">
        <v>8.7750000000000004</v>
      </c>
      <c r="S48" s="146">
        <v>1.1315280464216635</v>
      </c>
      <c r="U48" s="50">
        <f>Q102</f>
        <v>1.5</v>
      </c>
      <c r="V48" s="63">
        <f>R102</f>
        <v>25.87</v>
      </c>
      <c r="W48" s="64">
        <f>S102</f>
        <v>2.3151959906926791</v>
      </c>
      <c r="Y48" s="147">
        <v>63.5</v>
      </c>
      <c r="Z48" s="148">
        <v>0.65705943383378795</v>
      </c>
      <c r="AA48" s="149">
        <v>0.57065541999818614</v>
      </c>
      <c r="AC48" s="50">
        <f>Y212</f>
        <v>-18.5</v>
      </c>
      <c r="AD48" s="63">
        <f t="shared" ref="AD48:AE48" si="175">Z212</f>
        <v>25.78708917294901</v>
      </c>
      <c r="AE48" s="64">
        <f t="shared" si="175"/>
        <v>4.1744123294618198</v>
      </c>
      <c r="AG48" s="147">
        <v>58.5</v>
      </c>
      <c r="AH48" s="148">
        <v>3.1408525979949733</v>
      </c>
      <c r="AI48" s="149">
        <v>1.195071847345051</v>
      </c>
      <c r="AK48" s="50">
        <f>AG201</f>
        <v>-18</v>
      </c>
      <c r="AL48" s="63">
        <f>AH201</f>
        <v>64.016831411410308</v>
      </c>
      <c r="AM48" s="64">
        <f>AI201</f>
        <v>4.3244779728264335</v>
      </c>
    </row>
    <row r="49" spans="1:39">
      <c r="A49" s="144">
        <v>38</v>
      </c>
      <c r="B49" s="145">
        <v>17.323912668537233</v>
      </c>
      <c r="C49" s="146">
        <v>1.8303550669907773</v>
      </c>
      <c r="E49" s="50">
        <f>A161</f>
        <v>-18</v>
      </c>
      <c r="F49" s="63">
        <f t="shared" ref="F49:G49" si="176">B161</f>
        <v>255.23031003900456</v>
      </c>
      <c r="G49" s="64">
        <f t="shared" si="176"/>
        <v>4.4741091857331439</v>
      </c>
      <c r="I49" s="144">
        <v>38</v>
      </c>
      <c r="J49" s="145">
        <v>17.472000000000001</v>
      </c>
      <c r="K49" s="146">
        <v>1.8402426693629932</v>
      </c>
      <c r="M49" s="50">
        <f>I161</f>
        <v>-18</v>
      </c>
      <c r="N49" s="63">
        <f t="shared" ref="N49" si="177">J161</f>
        <v>242.87</v>
      </c>
      <c r="O49" s="64">
        <f t="shared" ref="O49" si="178">K161</f>
        <v>4.4502876827793454</v>
      </c>
      <c r="Q49" s="144">
        <v>28</v>
      </c>
      <c r="R49" s="145">
        <v>8.9390000000000001</v>
      </c>
      <c r="S49" s="146">
        <v>1.1478209507177894</v>
      </c>
      <c r="U49" s="50">
        <f>Q101</f>
        <v>2</v>
      </c>
      <c r="V49" s="63">
        <f>R101</f>
        <v>25.32</v>
      </c>
      <c r="W49" s="64">
        <f>S101</f>
        <v>2.2885032537960952</v>
      </c>
      <c r="Y49" s="147">
        <v>63</v>
      </c>
      <c r="Z49" s="148">
        <v>0.66878613666353703</v>
      </c>
      <c r="AA49" s="149">
        <v>0.57965932591352698</v>
      </c>
      <c r="AC49" s="50">
        <f>Y211</f>
        <v>-18</v>
      </c>
      <c r="AD49" s="63">
        <f t="shared" ref="AD49:AE49" si="179">Z211</f>
        <v>25.089388653292517</v>
      </c>
      <c r="AE49" s="64">
        <f t="shared" si="179"/>
        <v>4.1553323489636504</v>
      </c>
      <c r="AG49" s="147">
        <v>58</v>
      </c>
      <c r="AH49" s="148">
        <v>3.1907337918899499</v>
      </c>
      <c r="AI49" s="149">
        <v>1.2094603083612023</v>
      </c>
      <c r="AK49" s="50">
        <f>AG200</f>
        <v>-17.5</v>
      </c>
      <c r="AL49" s="63">
        <f>AH200</f>
        <v>62.469199406933704</v>
      </c>
      <c r="AM49" s="64">
        <f>AI200</f>
        <v>4.3100517128768487</v>
      </c>
    </row>
    <row r="50" spans="1:39">
      <c r="A50" s="144">
        <v>37.5</v>
      </c>
      <c r="B50" s="145">
        <v>17.680347607993887</v>
      </c>
      <c r="C50" s="146">
        <v>1.8540497809866718</v>
      </c>
      <c r="E50" s="50">
        <f>A160</f>
        <v>-17.5</v>
      </c>
      <c r="F50" s="63">
        <f t="shared" ref="F50:G50" si="180">B160</f>
        <v>248.19886080634797</v>
      </c>
      <c r="G50" s="64">
        <f t="shared" si="180"/>
        <v>4.4608173463930401</v>
      </c>
      <c r="I50" s="144">
        <v>37.5</v>
      </c>
      <c r="J50" s="145">
        <v>17.827000000000002</v>
      </c>
      <c r="K50" s="146">
        <v>1.8636962385263556</v>
      </c>
      <c r="M50" s="50">
        <f>I160</f>
        <v>-17.5</v>
      </c>
      <c r="N50" s="63">
        <f t="shared" ref="N50" si="181">J160</f>
        <v>236.31</v>
      </c>
      <c r="O50" s="64">
        <f t="shared" ref="O50" si="182">K160</f>
        <v>4.4367466486425595</v>
      </c>
      <c r="Q50" s="144">
        <v>27.5</v>
      </c>
      <c r="R50" s="145">
        <v>9.1069999999999993</v>
      </c>
      <c r="S50" s="146">
        <v>1.1643695502084026</v>
      </c>
      <c r="U50" s="50">
        <f>Q100</f>
        <v>2.5</v>
      </c>
      <c r="V50" s="63">
        <f>R100</f>
        <v>24.78</v>
      </c>
      <c r="W50" s="64">
        <f>S100</f>
        <v>2.261774370208105</v>
      </c>
      <c r="Y50" s="147">
        <v>62.5</v>
      </c>
      <c r="Z50" s="148">
        <v>0.68075557368145334</v>
      </c>
      <c r="AA50" s="149">
        <v>0.58881193384199493</v>
      </c>
      <c r="AC50" s="50">
        <f>Y210</f>
        <v>-17.5</v>
      </c>
      <c r="AD50" s="63">
        <f t="shared" ref="AD50:AE50" si="183">Z210</f>
        <v>24.411960980896815</v>
      </c>
      <c r="AE50" s="64">
        <f t="shared" si="183"/>
        <v>4.1359435580540982</v>
      </c>
      <c r="AG50" s="147">
        <v>57.5</v>
      </c>
      <c r="AH50" s="148">
        <v>3.241545599406535</v>
      </c>
      <c r="AI50" s="149">
        <v>1.2240057533585111</v>
      </c>
      <c r="AK50" s="50">
        <f>AG199</f>
        <v>-17</v>
      </c>
      <c r="AL50" s="63">
        <f>AH199</f>
        <v>60.963573808921069</v>
      </c>
      <c r="AM50" s="64">
        <f>AI199</f>
        <v>4.2954131631725359</v>
      </c>
    </row>
    <row r="51" spans="1:39">
      <c r="A51" s="144">
        <v>37</v>
      </c>
      <c r="B51" s="145">
        <v>18.045169030801258</v>
      </c>
      <c r="C51" s="146">
        <v>1.8779379274566281</v>
      </c>
      <c r="E51" s="50">
        <f>A159</f>
        <v>-17</v>
      </c>
      <c r="F51" s="63">
        <f t="shared" ref="F51:G51" si="184">B159</f>
        <v>241.37835437195281</v>
      </c>
      <c r="G51" s="64">
        <f t="shared" si="184"/>
        <v>4.4472661596495309</v>
      </c>
      <c r="I51" s="144">
        <v>37</v>
      </c>
      <c r="J51" s="145">
        <v>18.190000000000001</v>
      </c>
      <c r="K51" s="146">
        <v>1.8873210209587052</v>
      </c>
      <c r="M51" s="50">
        <f>I159</f>
        <v>-17</v>
      </c>
      <c r="N51" s="63">
        <f t="shared" ref="N51" si="185">J159</f>
        <v>229.94</v>
      </c>
      <c r="O51" s="64">
        <f t="shared" ref="O51" si="186">K159</f>
        <v>4.4229437562514429</v>
      </c>
      <c r="Q51" s="144">
        <v>27</v>
      </c>
      <c r="R51" s="145">
        <v>9.2780000000000005</v>
      </c>
      <c r="S51" s="146">
        <v>1.181068282499109</v>
      </c>
      <c r="U51" s="50">
        <f>Q99</f>
        <v>3</v>
      </c>
      <c r="V51" s="63">
        <f>R99</f>
        <v>24.25</v>
      </c>
      <c r="W51" s="64">
        <f>S99</f>
        <v>2.2350230414746544</v>
      </c>
      <c r="Y51" s="147">
        <v>62</v>
      </c>
      <c r="Z51" s="148">
        <v>0.69297339540738667</v>
      </c>
      <c r="AA51" s="149">
        <v>0.59811546515712399</v>
      </c>
      <c r="AC51" s="50">
        <f>Y209</f>
        <v>-17</v>
      </c>
      <c r="AD51" s="63">
        <f t="shared" ref="AD51:AE51" si="187">Z209</f>
        <v>23.75419260632837</v>
      </c>
      <c r="AE51" s="64">
        <f t="shared" si="187"/>
        <v>4.1162462818520433</v>
      </c>
      <c r="AG51" s="147">
        <v>57</v>
      </c>
      <c r="AH51" s="148">
        <v>3.2933077268066335</v>
      </c>
      <c r="AI51" s="149">
        <v>1.2387089031895013</v>
      </c>
      <c r="AK51" s="50">
        <f>AG198</f>
        <v>-16.5</v>
      </c>
      <c r="AL51" s="63">
        <f>AH198</f>
        <v>59.498700954864212</v>
      </c>
      <c r="AM51" s="64">
        <f>AI198</f>
        <v>4.2805620923407997</v>
      </c>
    </row>
    <row r="52" spans="1:39">
      <c r="A52" s="144">
        <v>36.5</v>
      </c>
      <c r="B52" s="145">
        <v>18.41859756891624</v>
      </c>
      <c r="C52" s="146">
        <v>1.9020168379206224</v>
      </c>
      <c r="E52" s="50">
        <f>A158</f>
        <v>-16.5</v>
      </c>
      <c r="F52" s="63">
        <f t="shared" ref="F52:G52" si="188">B158</f>
        <v>234.76206381233948</v>
      </c>
      <c r="G52" s="64">
        <f t="shared" si="188"/>
        <v>4.4334535777515374</v>
      </c>
      <c r="I52" s="144">
        <v>36.5</v>
      </c>
      <c r="J52" s="145">
        <v>18.561</v>
      </c>
      <c r="K52" s="146">
        <v>1.9111015012046706</v>
      </c>
      <c r="M52" s="50">
        <f>I158</f>
        <v>-16.5</v>
      </c>
      <c r="N52" s="63">
        <f t="shared" ref="N52" si="189">J158</f>
        <v>223.76</v>
      </c>
      <c r="O52" s="64">
        <f t="shared" ref="O52" si="190">K158</f>
        <v>4.4088902900378306</v>
      </c>
      <c r="Q52" s="144">
        <v>26.5</v>
      </c>
      <c r="R52" s="145">
        <v>9.4529999999999994</v>
      </c>
      <c r="S52" s="146">
        <v>1.1980077560641775</v>
      </c>
      <c r="U52" s="50">
        <f>Q98</f>
        <v>3.5</v>
      </c>
      <c r="V52" s="63">
        <f>R98</f>
        <v>23.74</v>
      </c>
      <c r="W52" s="64">
        <f>S98</f>
        <v>2.2087830294008186</v>
      </c>
      <c r="Y52" s="147">
        <v>61.5</v>
      </c>
      <c r="Z52" s="148">
        <v>0.70544539720668098</v>
      </c>
      <c r="AA52" s="149">
        <v>0.60757215763850747</v>
      </c>
      <c r="AC52" s="50">
        <f>Y208</f>
        <v>-16.5</v>
      </c>
      <c r="AD52" s="63">
        <f t="shared" ref="AD52:AE52" si="191">Z208</f>
        <v>23.115488669607398</v>
      </c>
      <c r="AE52" s="64">
        <f t="shared" si="191"/>
        <v>4.0962410646650405</v>
      </c>
      <c r="AG52" s="147">
        <v>56.5</v>
      </c>
      <c r="AH52" s="148">
        <v>3.3460403440612989</v>
      </c>
      <c r="AI52" s="149">
        <v>1.2535704440419346</v>
      </c>
      <c r="AK52" s="50">
        <f>AG197</f>
        <v>-16</v>
      </c>
      <c r="AL52" s="63">
        <f>AH197</f>
        <v>58.073367746683218</v>
      </c>
      <c r="AM52" s="64">
        <f>AI197</f>
        <v>4.2654983636763557</v>
      </c>
    </row>
    <row r="53" spans="1:39">
      <c r="A53" s="144">
        <v>36</v>
      </c>
      <c r="B53" s="145">
        <v>18.800860205559601</v>
      </c>
      <c r="C53" s="146">
        <v>1.9262836890954771</v>
      </c>
      <c r="E53" s="50">
        <f>A157</f>
        <v>-16</v>
      </c>
      <c r="F53" s="63">
        <f t="shared" ref="F53:G53" si="192">B157</f>
        <v>228.34348579212153</v>
      </c>
      <c r="G53" s="64">
        <f t="shared" si="192"/>
        <v>4.4193776570751275</v>
      </c>
      <c r="I53" s="144">
        <v>36</v>
      </c>
      <c r="J53" s="145">
        <v>18.940999999999999</v>
      </c>
      <c r="K53" s="146">
        <v>1.9350851024703213</v>
      </c>
      <c r="M53" s="50">
        <f>I157</f>
        <v>-16</v>
      </c>
      <c r="N53" s="63">
        <f t="shared" ref="N53" si="193">J157</f>
        <v>217.77</v>
      </c>
      <c r="O53" s="64">
        <f t="shared" ref="O53" si="194">K157</f>
        <v>4.3945998304879526</v>
      </c>
      <c r="Q53" s="144">
        <v>26</v>
      </c>
      <c r="R53" s="145">
        <v>9.6319999999999997</v>
      </c>
      <c r="S53" s="146">
        <v>1.2151796528058134</v>
      </c>
      <c r="U53" s="50">
        <f>Q97</f>
        <v>4</v>
      </c>
      <c r="V53" s="63">
        <f>R97</f>
        <v>23.24</v>
      </c>
      <c r="W53" s="64">
        <f>S97</f>
        <v>2.1825694966190832</v>
      </c>
      <c r="Y53" s="147">
        <v>61</v>
      </c>
      <c r="Z53" s="148">
        <v>0.71817752331438789</v>
      </c>
      <c r="AA53" s="149">
        <v>0.61718426469159227</v>
      </c>
      <c r="AC53" s="50">
        <f>Y207</f>
        <v>-16</v>
      </c>
      <c r="AD53" s="63">
        <f t="shared" ref="AD53:AE53" si="195">Z207</f>
        <v>22.495272456838237</v>
      </c>
      <c r="AE53" s="64">
        <f t="shared" si="195"/>
        <v>4.0759286743812897</v>
      </c>
      <c r="AG53" s="147">
        <v>56</v>
      </c>
      <c r="AH53" s="148">
        <v>3.3997640968001992</v>
      </c>
      <c r="AI53" s="149">
        <v>1.2685910260211397</v>
      </c>
      <c r="AK53" s="50">
        <f>AG196</f>
        <v>-15.5</v>
      </c>
      <c r="AL53" s="63">
        <f>AH196</f>
        <v>56.68640024233742</v>
      </c>
      <c r="AM53" s="64">
        <f>AI196</f>
        <v>4.2502219370321281</v>
      </c>
    </row>
    <row r="54" spans="1:39">
      <c r="A54" s="144">
        <v>35.5</v>
      </c>
      <c r="B54" s="145">
        <v>19.192190471808594</v>
      </c>
      <c r="C54" s="146">
        <v>1.9507355016857189</v>
      </c>
      <c r="E54" s="50">
        <f>A156</f>
        <v>-15.5</v>
      </c>
      <c r="F54" s="63">
        <f t="shared" ref="F54:G54" si="196">B156</f>
        <v>222.11633295959609</v>
      </c>
      <c r="G54" s="64">
        <f t="shared" si="196"/>
        <v>4.4050365629265329</v>
      </c>
      <c r="I54" s="144">
        <v>35.5</v>
      </c>
      <c r="J54" s="145">
        <v>19.329999999999998</v>
      </c>
      <c r="K54" s="146">
        <v>1.959254003648895</v>
      </c>
      <c r="M54" s="50">
        <f>I156</f>
        <v>-15.5</v>
      </c>
      <c r="N54" s="63">
        <f t="shared" ref="N54" si="197">J156</f>
        <v>211.95</v>
      </c>
      <c r="O54" s="64">
        <f t="shared" ref="O54" si="198">K156</f>
        <v>4.380037197768134</v>
      </c>
      <c r="Q54" s="144">
        <v>25.5</v>
      </c>
      <c r="R54" s="145">
        <v>9.8149999999999995</v>
      </c>
      <c r="S54" s="146">
        <v>1.2325756624387794</v>
      </c>
      <c r="U54" s="50">
        <f>Q96</f>
        <v>4.5</v>
      </c>
      <c r="V54" s="63">
        <f>R96</f>
        <v>22.75</v>
      </c>
      <c r="W54" s="64">
        <f>S96</f>
        <v>2.1563981042654028</v>
      </c>
      <c r="Y54" s="147">
        <v>60.5</v>
      </c>
      <c r="Z54" s="148">
        <v>0.7311758709790519</v>
      </c>
      <c r="AA54" s="149">
        <v>0.62695405451412656</v>
      </c>
      <c r="AC54" s="50">
        <f>Y206</f>
        <v>-15.5</v>
      </c>
      <c r="AD54" s="63">
        <f t="shared" ref="AD54:AE54" si="199">Z206</f>
        <v>21.892984870145256</v>
      </c>
      <c r="AE54" s="64">
        <f t="shared" si="199"/>
        <v>4.0553101065824153</v>
      </c>
      <c r="AG54" s="147">
        <v>55.5</v>
      </c>
      <c r="AH54" s="148">
        <v>3.4545001185947721</v>
      </c>
      <c r="AI54" s="149">
        <v>1.2837712617135753</v>
      </c>
      <c r="AK54" s="50">
        <f>AG195</f>
        <v>-15</v>
      </c>
      <c r="AL54" s="63">
        <f>AH195</f>
        <v>55.336662299491152</v>
      </c>
      <c r="AM54" s="64">
        <f>AI195</f>
        <v>4.234732870638398</v>
      </c>
    </row>
    <row r="55" spans="1:39">
      <c r="A55" s="144">
        <v>35</v>
      </c>
      <c r="B55" s="145">
        <v>19.592828649644026</v>
      </c>
      <c r="C55" s="146">
        <v>1.9753691393629209</v>
      </c>
      <c r="E55" s="50">
        <f>A155</f>
        <v>-15</v>
      </c>
      <c r="F55" s="63">
        <f t="shared" ref="F55:G55" si="200">B155</f>
        <v>216.07452660153459</v>
      </c>
      <c r="G55" s="64">
        <f t="shared" si="200"/>
        <v>4.3904285743363713</v>
      </c>
      <c r="I55" s="144">
        <v>35</v>
      </c>
      <c r="J55" s="145">
        <v>19.728000000000002</v>
      </c>
      <c r="K55" s="146">
        <v>1.9835907335907339</v>
      </c>
      <c r="M55" s="50">
        <f>I155</f>
        <v>-15</v>
      </c>
      <c r="N55" s="63">
        <f t="shared" ref="N55" si="201">J155</f>
        <v>206.31</v>
      </c>
      <c r="O55" s="64">
        <f t="shared" ref="O55" si="202">K155</f>
        <v>4.3652405738225211</v>
      </c>
      <c r="Q55" s="144">
        <v>25</v>
      </c>
      <c r="R55" s="145">
        <v>10</v>
      </c>
      <c r="S55" s="146">
        <v>1.25</v>
      </c>
      <c r="U55" s="50">
        <f>Q95</f>
        <v>5</v>
      </c>
      <c r="V55" s="63">
        <f>R95</f>
        <v>22.27</v>
      </c>
      <c r="W55" s="64">
        <f>S95</f>
        <v>2.1302850583508706</v>
      </c>
      <c r="Y55" s="147">
        <v>60</v>
      </c>
      <c r="Z55" s="148">
        <v>0.74444669472990876</v>
      </c>
      <c r="AA55" s="149">
        <v>0.63688380920746179</v>
      </c>
      <c r="AC55" s="50">
        <f>Y205</f>
        <v>-15</v>
      </c>
      <c r="AD55" s="63">
        <f t="shared" ref="AD55:AE55" si="203">Z205</f>
        <v>21.308083910779253</v>
      </c>
      <c r="AE55" s="64">
        <f t="shared" si="203"/>
        <v>4.034386588358597</v>
      </c>
      <c r="AG55" s="147">
        <v>55</v>
      </c>
      <c r="AH55" s="148">
        <v>3.5102700435846632</v>
      </c>
      <c r="AI55" s="149">
        <v>1.2991117247325159</v>
      </c>
      <c r="AK55" s="50">
        <f>AG194</f>
        <v>-14.5</v>
      </c>
      <c r="AL55" s="63">
        <f>AH194</f>
        <v>54.023054269195875</v>
      </c>
      <c r="AM55" s="64">
        <f>AI194</f>
        <v>4.2190313228455718</v>
      </c>
    </row>
    <row r="56" spans="1:39">
      <c r="A56" s="144">
        <v>34.5</v>
      </c>
      <c r="B56" s="145">
        <v>20.003021981673712</v>
      </c>
      <c r="C56" s="146">
        <v>2.000181307942237</v>
      </c>
      <c r="E56" s="50">
        <f>A154</f>
        <v>-14.5</v>
      </c>
      <c r="F56" s="63">
        <f t="shared" ref="F56:G56" si="204">B154</f>
        <v>210.21218954857383</v>
      </c>
      <c r="G56" s="64">
        <f t="shared" si="204"/>
        <v>4.3755520888349082</v>
      </c>
      <c r="I56" s="144">
        <v>34.5</v>
      </c>
      <c r="J56" s="145">
        <v>20.135000000000002</v>
      </c>
      <c r="K56" s="146">
        <v>2.0080781888899972</v>
      </c>
      <c r="M56" s="50">
        <f>I154</f>
        <v>-14.5</v>
      </c>
      <c r="N56" s="63">
        <f t="shared" ref="N56" si="205">J154</f>
        <v>200.83</v>
      </c>
      <c r="O56" s="64">
        <f t="shared" ref="O56" si="206">K154</f>
        <v>4.3501711216046441</v>
      </c>
      <c r="Q56" s="144">
        <v>24.5</v>
      </c>
      <c r="R56" s="145">
        <v>10.19</v>
      </c>
      <c r="S56" s="146">
        <v>1.2677282906195571</v>
      </c>
      <c r="U56" s="50">
        <f>Q94</f>
        <v>5.5</v>
      </c>
      <c r="V56" s="63">
        <f>R94</f>
        <v>21.8</v>
      </c>
      <c r="W56" s="64">
        <f>S94</f>
        <v>2.1042471042471043</v>
      </c>
      <c r="Y56" s="147">
        <v>59.5</v>
      </c>
      <c r="Z56" s="148">
        <v>0.75799641077130453</v>
      </c>
      <c r="AA56" s="149">
        <v>0.646975823830781</v>
      </c>
      <c r="AC56" s="50">
        <f>Y204</f>
        <v>-14.5</v>
      </c>
      <c r="AD56" s="63">
        <f t="shared" ref="AD56:AE56" si="207">Z204</f>
        <v>20.740044175246581</v>
      </c>
      <c r="AE56" s="64">
        <f t="shared" si="207"/>
        <v>4.0131595818080035</v>
      </c>
      <c r="AG56" s="147">
        <v>54.5</v>
      </c>
      <c r="AH56" s="148">
        <v>3.5670960194584782</v>
      </c>
      <c r="AI56" s="149">
        <v>1.3146129482471431</v>
      </c>
      <c r="AK56" s="50">
        <f>AG193</f>
        <v>-14</v>
      </c>
      <c r="AL56" s="63">
        <f>AH193</f>
        <v>52.744511737638213</v>
      </c>
      <c r="AM56" s="64">
        <f>AI193</f>
        <v>4.2031175537858747</v>
      </c>
    </row>
    <row r="57" spans="1:39">
      <c r="A57" s="144">
        <v>34</v>
      </c>
      <c r="B57" s="145">
        <v>20.423024887762569</v>
      </c>
      <c r="C57" s="146">
        <v>2.0251685547646647</v>
      </c>
      <c r="E57" s="50">
        <f>A153</f>
        <v>-14</v>
      </c>
      <c r="F57" s="63">
        <f t="shared" ref="F57:G57" si="208">B153</f>
        <v>204.52363932286843</v>
      </c>
      <c r="G57" s="64">
        <f t="shared" si="208"/>
        <v>4.3604056271977978</v>
      </c>
      <c r="I57" s="144">
        <v>34</v>
      </c>
      <c r="J57" s="145">
        <v>20.552</v>
      </c>
      <c r="K57" s="146">
        <v>2.0327583478398479</v>
      </c>
      <c r="M57" s="50">
        <f>I153</f>
        <v>-14</v>
      </c>
      <c r="N57" s="63">
        <f t="shared" ref="N57" si="209">J153</f>
        <v>195.51</v>
      </c>
      <c r="O57" s="64">
        <f t="shared" ref="O57" si="210">K153</f>
        <v>4.3348410270054547</v>
      </c>
      <c r="Q57" s="144">
        <v>24</v>
      </c>
      <c r="R57" s="145">
        <v>10.39</v>
      </c>
      <c r="S57" s="146">
        <v>1.2862094577865808</v>
      </c>
      <c r="U57" s="50">
        <f>Q93</f>
        <v>6</v>
      </c>
      <c r="V57" s="63">
        <f>R93</f>
        <v>21.35</v>
      </c>
      <c r="W57" s="64">
        <f>S93</f>
        <v>2.0788704965920157</v>
      </c>
      <c r="Y57" s="147">
        <v>59</v>
      </c>
      <c r="Z57" s="148">
        <v>0.77183160150840635</v>
      </c>
      <c r="AA57" s="149">
        <v>0.65723240539641126</v>
      </c>
      <c r="AC57" s="50">
        <f>Y203</f>
        <v>-14</v>
      </c>
      <c r="AD57" s="63">
        <f t="shared" ref="AD57:AE57" si="211">Z203</f>
        <v>20.188356364295206</v>
      </c>
      <c r="AE57" s="64">
        <f t="shared" si="211"/>
        <v>3.9916307872027774</v>
      </c>
      <c r="AG57" s="147">
        <v>54</v>
      </c>
      <c r="AH57" s="148">
        <v>3.6250007207987767</v>
      </c>
      <c r="AI57" s="149">
        <v>1.3302754234959988</v>
      </c>
      <c r="AK57" s="50">
        <f>AG192</f>
        <v>-13.5</v>
      </c>
      <c r="AL57" s="63">
        <f>AH192</f>
        <v>51.50000431408445</v>
      </c>
      <c r="AM57" s="64">
        <f>AI192</f>
        <v>4.1869919269493572</v>
      </c>
    </row>
    <row r="58" spans="1:39">
      <c r="A58" s="144">
        <v>33.5</v>
      </c>
      <c r="B58" s="145">
        <v>20.85309918880764</v>
      </c>
      <c r="C58" s="146">
        <v>2.0503272682933393</v>
      </c>
      <c r="E58" s="50">
        <f>A152</f>
        <v>-13.5</v>
      </c>
      <c r="F58" s="63">
        <f t="shared" ref="F58:G58" si="212">B152</f>
        <v>199.00338151993205</v>
      </c>
      <c r="G58" s="64">
        <f t="shared" si="212"/>
        <v>4.3449878381514457</v>
      </c>
      <c r="I58" s="144">
        <v>33.5</v>
      </c>
      <c r="J58" s="145">
        <v>20.978999999999999</v>
      </c>
      <c r="K58" s="146">
        <v>2.0576119578650034</v>
      </c>
      <c r="M58" s="50">
        <f>I152</f>
        <v>-13.5</v>
      </c>
      <c r="N58" s="63">
        <f t="shared" ref="N58" si="213">J152</f>
        <v>190.35</v>
      </c>
      <c r="O58" s="64">
        <f t="shared" ref="O58" si="214">K152</f>
        <v>4.3192648059904695</v>
      </c>
      <c r="Q58" s="144">
        <v>23.5</v>
      </c>
      <c r="R58" s="145">
        <v>10.59</v>
      </c>
      <c r="S58" s="146">
        <v>1.3045084996304508</v>
      </c>
      <c r="U58" s="50">
        <f>Q92</f>
        <v>6.5</v>
      </c>
      <c r="V58" s="63">
        <f>R92</f>
        <v>20.9</v>
      </c>
      <c r="W58" s="64">
        <f>S92</f>
        <v>2.0530451866404715</v>
      </c>
      <c r="Y58" s="147">
        <v>58.5</v>
      </c>
      <c r="Z58" s="148">
        <v>0.78595902020832908</v>
      </c>
      <c r="AA58" s="149">
        <v>0.66765587180431196</v>
      </c>
      <c r="AC58" s="50">
        <f>Y202</f>
        <v>-13.5</v>
      </c>
      <c r="AD58" s="63">
        <f t="shared" ref="AD58:AE58" si="215">Z202</f>
        <v>19.652526804586852</v>
      </c>
      <c r="AE58" s="64">
        <f t="shared" si="215"/>
        <v>3.96980214580458</v>
      </c>
      <c r="AG58" s="147">
        <v>53.5</v>
      </c>
      <c r="AH58" s="148">
        <v>3.6840073628029266</v>
      </c>
      <c r="AI58" s="149">
        <v>1.3460995982862154</v>
      </c>
      <c r="AK58" s="50">
        <f>AG191</f>
        <v>-13</v>
      </c>
      <c r="AL58" s="63">
        <f>AH191</f>
        <v>50.288534463226327</v>
      </c>
      <c r="AM58" s="64">
        <f>AI191</f>
        <v>4.1706549106696551</v>
      </c>
    </row>
    <row r="59" spans="1:39">
      <c r="A59" s="144">
        <v>33</v>
      </c>
      <c r="B59" s="145">
        <v>21.293514337904604</v>
      </c>
      <c r="C59" s="146">
        <v>2.0756536779318746</v>
      </c>
      <c r="E59" s="50">
        <f>A151</f>
        <v>-13</v>
      </c>
      <c r="F59" s="63">
        <f t="shared" ref="F59:G59" si="216">B151</f>
        <v>193.64610341683309</v>
      </c>
      <c r="G59" s="64">
        <f t="shared" si="216"/>
        <v>4.3292975030267842</v>
      </c>
      <c r="I59" s="144">
        <v>33</v>
      </c>
      <c r="J59" s="145">
        <v>21.414999999999999</v>
      </c>
      <c r="K59" s="146">
        <v>2.0825634542448701</v>
      </c>
      <c r="M59" s="50">
        <f>I151</f>
        <v>-13</v>
      </c>
      <c r="N59" s="63">
        <f t="shared" ref="N59" si="217">J151</f>
        <v>185.34</v>
      </c>
      <c r="O59" s="64">
        <f t="shared" ref="O59" si="218">K151</f>
        <v>4.3034271384786846</v>
      </c>
      <c r="Q59" s="144">
        <v>23</v>
      </c>
      <c r="R59" s="145">
        <v>10.79</v>
      </c>
      <c r="S59" s="146">
        <v>1.3226280951213532</v>
      </c>
      <c r="U59" s="50">
        <f>Q91</f>
        <v>7</v>
      </c>
      <c r="V59" s="63">
        <f>R91</f>
        <v>20.47</v>
      </c>
      <c r="W59" s="64">
        <f>S91</f>
        <v>2.0279373885476519</v>
      </c>
      <c r="Y59" s="147">
        <v>58</v>
      </c>
      <c r="Z59" s="148">
        <v>0.80038559580092428</v>
      </c>
      <c r="AA59" s="149">
        <v>0.67824855071381074</v>
      </c>
      <c r="AC59" s="50">
        <f>Y201</f>
        <v>-13</v>
      </c>
      <c r="AD59" s="63">
        <f t="shared" ref="AD59:AE59" si="219">Z201</f>
        <v>19.132076982868764</v>
      </c>
      <c r="AE59" s="64">
        <f t="shared" si="219"/>
        <v>3.9476758423131622</v>
      </c>
      <c r="AG59" s="147">
        <v>53</v>
      </c>
      <c r="AH59" s="148">
        <v>3.7441397153906268</v>
      </c>
      <c r="AI59" s="149">
        <v>1.3620858754796983</v>
      </c>
      <c r="AK59" s="50">
        <f>AG190</f>
        <v>-12.5</v>
      </c>
      <c r="AL59" s="63">
        <f>AH190</f>
        <v>49.109136380206586</v>
      </c>
      <c r="AM59" s="64">
        <f>AI190</f>
        <v>4.1541070795149855</v>
      </c>
    </row>
    <row r="60" spans="1:39">
      <c r="A60" s="144">
        <v>32.5</v>
      </c>
      <c r="B60" s="145">
        <v>21.7445476591618</v>
      </c>
      <c r="C60" s="146">
        <v>2.1011438540724927</v>
      </c>
      <c r="E60" s="50">
        <f>A150</f>
        <v>-12.5</v>
      </c>
      <c r="F60" s="63">
        <f t="shared" ref="F60:G60" si="220">B150</f>
        <v>188.44666779916517</v>
      </c>
      <c r="G60" s="64">
        <f t="shared" si="220"/>
        <v>4.3133335403499657</v>
      </c>
      <c r="I60" s="144">
        <v>32.5</v>
      </c>
      <c r="J60" s="145">
        <v>21.861999999999998</v>
      </c>
      <c r="K60" s="146">
        <v>2.1077089198256913</v>
      </c>
      <c r="M60" s="50">
        <f>I150</f>
        <v>-12.5</v>
      </c>
      <c r="N60" s="63">
        <f t="shared" ref="N60" si="221">J150</f>
        <v>180.48</v>
      </c>
      <c r="O60" s="64">
        <f t="shared" ref="O60" si="222">K150</f>
        <v>4.2873432155074118</v>
      </c>
      <c r="Q60" s="144">
        <v>22.5</v>
      </c>
      <c r="R60" s="145">
        <v>11</v>
      </c>
      <c r="S60" s="146">
        <v>1.3414634146341464</v>
      </c>
      <c r="U60" s="50">
        <f>Q90</f>
        <v>7.5</v>
      </c>
      <c r="V60" s="63">
        <f>R90</f>
        <v>20.04</v>
      </c>
      <c r="W60" s="64">
        <f>S90</f>
        <v>2.0023980815347722</v>
      </c>
      <c r="Y60" s="147">
        <v>57.5</v>
      </c>
      <c r="Z60" s="148">
        <v>0.81511843782370907</v>
      </c>
      <c r="AA60" s="149">
        <v>0.68901277835073038</v>
      </c>
      <c r="AC60" s="50">
        <f>Y200</f>
        <v>-12.5</v>
      </c>
      <c r="AD60" s="63">
        <f t="shared" ref="AD60:AE60" si="223">Z200</f>
        <v>18.626543092451442</v>
      </c>
      <c r="AE60" s="64">
        <f t="shared" si="223"/>
        <v>3.9252543069321892</v>
      </c>
      <c r="AG60" s="147">
        <v>52.5</v>
      </c>
      <c r="AH60" s="148">
        <v>3.8054221177102594</v>
      </c>
      <c r="AI60" s="149">
        <v>1.3782346114677944</v>
      </c>
      <c r="AK60" s="50">
        <f>AG189</f>
        <v>-12</v>
      </c>
      <c r="AL60" s="63">
        <f>AH189</f>
        <v>47.960874906672984</v>
      </c>
      <c r="AM60" s="64">
        <f>AI189</f>
        <v>4.1373491155799726</v>
      </c>
    </row>
    <row r="61" spans="1:39">
      <c r="A61" s="144">
        <v>32</v>
      </c>
      <c r="B61" s="145">
        <v>22.20648459442641</v>
      </c>
      <c r="C61" s="146">
        <v>2.1267937083813133</v>
      </c>
      <c r="E61" s="50">
        <f>A149</f>
        <v>-12</v>
      </c>
      <c r="F61" s="63">
        <f t="shared" ref="F61:G61" si="224">B149</f>
        <v>183.40010699944045</v>
      </c>
      <c r="G61" s="64">
        <f t="shared" si="224"/>
        <v>4.2970950103582037</v>
      </c>
      <c r="I61" s="144">
        <v>32</v>
      </c>
      <c r="J61" s="145">
        <v>22.318999999999999</v>
      </c>
      <c r="K61" s="146">
        <v>2.132972725013857</v>
      </c>
      <c r="M61" s="50">
        <f>I149</f>
        <v>-12</v>
      </c>
      <c r="N61" s="63">
        <f t="shared" ref="N61" si="225">J149</f>
        <v>175.75</v>
      </c>
      <c r="O61" s="64">
        <f t="shared" ref="O61" si="226">K149</f>
        <v>4.2709599027946537</v>
      </c>
      <c r="Q61" s="144">
        <v>22</v>
      </c>
      <c r="R61" s="145">
        <v>11.21</v>
      </c>
      <c r="S61" s="146">
        <v>1.3601067702014076</v>
      </c>
      <c r="U61" s="50">
        <f>Q89</f>
        <v>8</v>
      </c>
      <c r="V61" s="63">
        <f>R89</f>
        <v>19.63</v>
      </c>
      <c r="W61" s="64">
        <f>S89</f>
        <v>1.9776344952649607</v>
      </c>
      <c r="Y61" s="147">
        <v>57</v>
      </c>
      <c r="Z61" s="148">
        <v>0.83016484151547609</v>
      </c>
      <c r="AA61" s="149">
        <v>0.69995089824798562</v>
      </c>
      <c r="AC61" s="50">
        <f>Y199</f>
        <v>-12</v>
      </c>
      <c r="AD61" s="63">
        <f t="shared" ref="AD61:AE61" si="227">Z199</f>
        <v>18.135475591792563</v>
      </c>
      <c r="AE61" s="64">
        <f t="shared" si="227"/>
        <v>3.9025402170374619</v>
      </c>
      <c r="AG61" s="147">
        <v>52</v>
      </c>
      <c r="AH61" s="148">
        <v>3.8678794930558618</v>
      </c>
      <c r="AI61" s="149">
        <v>1.3945461146358555</v>
      </c>
      <c r="AK61" s="50">
        <f>AG188</f>
        <v>-11.5</v>
      </c>
      <c r="AL61" s="63">
        <f>AH188</f>
        <v>46.842844486280391</v>
      </c>
      <c r="AM61" s="64">
        <f>AI188</f>
        <v>4.1203818096740745</v>
      </c>
    </row>
    <row r="62" spans="1:39">
      <c r="A62" s="144">
        <v>31.5</v>
      </c>
      <c r="B62" s="145">
        <v>22.679618958197103</v>
      </c>
      <c r="C62" s="146">
        <v>2.1525989943277755</v>
      </c>
      <c r="E62" s="50">
        <f>A148</f>
        <v>-11.5</v>
      </c>
      <c r="F62" s="63">
        <f t="shared" ref="F62:G62" si="228">B148</f>
        <v>178.50161713979412</v>
      </c>
      <c r="G62" s="64">
        <f t="shared" si="228"/>
        <v>4.2805811194287786</v>
      </c>
      <c r="I62" s="144">
        <v>31.5</v>
      </c>
      <c r="J62" s="145">
        <v>22.786999999999999</v>
      </c>
      <c r="K62" s="146">
        <v>2.1583912705779831</v>
      </c>
      <c r="M62" s="50">
        <f>I148</f>
        <v>-11.5</v>
      </c>
      <c r="N62" s="63">
        <f t="shared" ref="N62" si="229">J148</f>
        <v>171.16</v>
      </c>
      <c r="O62" s="64">
        <f t="shared" ref="O62" si="230">K148</f>
        <v>4.254324915490157</v>
      </c>
      <c r="Q62" s="144">
        <v>21.5</v>
      </c>
      <c r="R62" s="145">
        <v>11.43</v>
      </c>
      <c r="S62" s="146">
        <v>1.3794351918899348</v>
      </c>
      <c r="U62" s="50">
        <f>Q88</f>
        <v>8.5</v>
      </c>
      <c r="V62" s="63">
        <f>R88</f>
        <v>19.23</v>
      </c>
      <c r="W62" s="64">
        <f>S88</f>
        <v>1.9530773918342474</v>
      </c>
      <c r="Y62" s="147">
        <v>56.5</v>
      </c>
      <c r="Z62" s="148">
        <v>0.84553229306330135</v>
      </c>
      <c r="AA62" s="149">
        <v>0.71106525991776248</v>
      </c>
      <c r="AC62" s="50">
        <f>Y198</f>
        <v>-11.5</v>
      </c>
      <c r="AD62" s="63">
        <f t="shared" ref="AD62:AE62" si="231">Z198</f>
        <v>17.658438774977114</v>
      </c>
      <c r="AE62" s="64">
        <f t="shared" si="231"/>
        <v>3.8795364984333971</v>
      </c>
      <c r="AG62" s="147">
        <v>51.5</v>
      </c>
      <c r="AH62" s="148">
        <v>3.9315373642075593</v>
      </c>
      <c r="AI62" s="149">
        <v>1.4110206438193726</v>
      </c>
      <c r="AK62" s="50">
        <f>AG187</f>
        <v>-11</v>
      </c>
      <c r="AL62" s="63">
        <f>AH187</f>
        <v>45.754168158116777</v>
      </c>
      <c r="AM62" s="64">
        <f>AI187</f>
        <v>4.1032060624023332</v>
      </c>
    </row>
    <row r="63" spans="1:39">
      <c r="A63" s="144">
        <v>31</v>
      </c>
      <c r="B63" s="145">
        <v>23.164253201007043</v>
      </c>
      <c r="C63" s="146">
        <v>2.178555307964738</v>
      </c>
      <c r="E63" s="50">
        <f>A147</f>
        <v>-11</v>
      </c>
      <c r="F63" s="63">
        <f t="shared" ref="F63:G63" si="232">B147</f>
        <v>173.74655257210964</v>
      </c>
      <c r="G63" s="64">
        <f t="shared" si="232"/>
        <v>4.263791224409001</v>
      </c>
      <c r="I63" s="144">
        <v>31</v>
      </c>
      <c r="J63" s="145">
        <v>23.266999999999999</v>
      </c>
      <c r="K63" s="146">
        <v>2.1839975970112828</v>
      </c>
      <c r="M63" s="50">
        <f>I147</f>
        <v>-11</v>
      </c>
      <c r="N63" s="63">
        <f t="shared" ref="N63" si="233">J147</f>
        <v>166.71</v>
      </c>
      <c r="O63" s="64">
        <f t="shared" ref="O63" si="234">K147</f>
        <v>4.2374561537288393</v>
      </c>
      <c r="Q63" s="144">
        <v>21</v>
      </c>
      <c r="R63" s="145">
        <v>11.65</v>
      </c>
      <c r="S63" s="146">
        <v>1.3985594237695078</v>
      </c>
      <c r="U63" s="50">
        <f>Q87</f>
        <v>9</v>
      </c>
      <c r="V63" s="63">
        <f>R87</f>
        <v>18.829999999999998</v>
      </c>
      <c r="W63" s="64">
        <f>S87</f>
        <v>1.9281179602703256</v>
      </c>
      <c r="Y63" s="147">
        <v>56</v>
      </c>
      <c r="Z63" s="148">
        <v>0.86122847500781741</v>
      </c>
      <c r="AA63" s="149">
        <v>0.72235821745339834</v>
      </c>
      <c r="AC63" s="50">
        <f>Y197</f>
        <v>-11</v>
      </c>
      <c r="AD63" s="63">
        <f t="shared" ref="AD63:AE63" si="235">Z197</f>
        <v>17.195010353882978</v>
      </c>
      <c r="AE63" s="64">
        <f t="shared" si="235"/>
        <v>3.8562463261848707</v>
      </c>
      <c r="AG63" s="147">
        <v>51</v>
      </c>
      <c r="AH63" s="148">
        <v>3.9964218692076612</v>
      </c>
      <c r="AI63" s="149">
        <v>1.427658406753175</v>
      </c>
      <c r="AK63" s="50">
        <f>AG186</f>
        <v>-10.5</v>
      </c>
      <c r="AL63" s="63">
        <f>AH186</f>
        <v>44.693996586600136</v>
      </c>
      <c r="AM63" s="64">
        <f>AI186</f>
        <v>4.0858228851345295</v>
      </c>
    </row>
    <row r="64" spans="1:39" ht="13.5" thickBot="1">
      <c r="A64" s="150">
        <v>30.5</v>
      </c>
      <c r="B64" s="151">
        <v>23.660698681572121</v>
      </c>
      <c r="C64" s="152">
        <v>2.2046580889653562</v>
      </c>
      <c r="E64" s="50">
        <f>A146</f>
        <v>-10.5</v>
      </c>
      <c r="F64" s="63">
        <f t="shared" ref="F64:G64" si="236">B146</f>
        <v>169.1304205088922</v>
      </c>
      <c r="G64" s="64">
        <f t="shared" si="236"/>
        <v>4.246724836834753</v>
      </c>
      <c r="I64" s="150">
        <v>30.5</v>
      </c>
      <c r="J64" s="151">
        <v>23.757000000000001</v>
      </c>
      <c r="K64" s="152">
        <v>2.2096657179530106</v>
      </c>
      <c r="M64" s="50">
        <f>I146</f>
        <v>-10.5</v>
      </c>
      <c r="N64" s="63">
        <f t="shared" ref="N64" si="237">J146</f>
        <v>162.38</v>
      </c>
      <c r="O64" s="64">
        <f t="shared" ref="O64" si="238">K146</f>
        <v>4.2202931697681674</v>
      </c>
      <c r="Q64" s="144">
        <v>20.5</v>
      </c>
      <c r="R64" s="145">
        <v>11.88</v>
      </c>
      <c r="S64" s="146">
        <v>1.4183381088825215</v>
      </c>
      <c r="U64" s="50">
        <f>Q86</f>
        <v>9.5</v>
      </c>
      <c r="V64" s="63">
        <f>R86</f>
        <v>18.45</v>
      </c>
      <c r="W64" s="64">
        <f>S86</f>
        <v>1.9040247678018574</v>
      </c>
      <c r="Y64" s="147">
        <v>55.5</v>
      </c>
      <c r="Z64" s="148">
        <v>0.8772612718118411</v>
      </c>
      <c r="AA64" s="149">
        <v>0.73383212805914688</v>
      </c>
      <c r="AC64" s="50">
        <f>Y196</f>
        <v>-10.5</v>
      </c>
      <c r="AD64" s="63">
        <f t="shared" ref="AD64:AE64" si="239">Z196</f>
        <v>16.744781051811092</v>
      </c>
      <c r="AE64" s="64">
        <f t="shared" si="239"/>
        <v>3.8326731250123536</v>
      </c>
      <c r="AG64" s="147">
        <v>50.5</v>
      </c>
      <c r="AH64" s="148">
        <v>4.0625597775867881</v>
      </c>
      <c r="AI64" s="149">
        <v>1.4444595585157205</v>
      </c>
      <c r="AK64" s="50">
        <f>AG185</f>
        <v>-10</v>
      </c>
      <c r="AL64" s="63">
        <f>AH185</f>
        <v>43.661507126443723</v>
      </c>
      <c r="AM64" s="64">
        <f>AI185</f>
        <v>4.068233400858758</v>
      </c>
    </row>
    <row r="65" spans="1:39" ht="13.5" thickTop="1">
      <c r="A65" s="138">
        <v>30</v>
      </c>
      <c r="B65" s="139">
        <v>24.169275948008831</v>
      </c>
      <c r="C65" s="140">
        <v>2.2309026219222754</v>
      </c>
      <c r="E65" s="50">
        <f>A145</f>
        <v>-10</v>
      </c>
      <c r="F65" s="63">
        <f t="shared" ref="F65:G65" si="240">B145</f>
        <v>164.64887583843239</v>
      </c>
      <c r="G65" s="64">
        <f t="shared" si="240"/>
        <v>4.2293816270251314</v>
      </c>
      <c r="I65" s="138">
        <v>30</v>
      </c>
      <c r="J65" s="139">
        <v>24.26</v>
      </c>
      <c r="K65" s="140">
        <v>2.2355326207150754</v>
      </c>
      <c r="M65" s="50">
        <f>I145</f>
        <v>-10</v>
      </c>
      <c r="N65" s="63">
        <f t="shared" ref="N65" si="241">J145</f>
        <v>158.18</v>
      </c>
      <c r="O65" s="64">
        <f t="shared" ref="O65" si="242">K145</f>
        <v>4.2028908491869492</v>
      </c>
      <c r="Q65" s="144">
        <v>20</v>
      </c>
      <c r="R65" s="145">
        <v>12.11</v>
      </c>
      <c r="S65" s="146">
        <v>1.4379007361671812</v>
      </c>
      <c r="U65" s="50">
        <f>Q85</f>
        <v>10</v>
      </c>
      <c r="V65" s="63">
        <f>R85</f>
        <v>18.07</v>
      </c>
      <c r="W65" s="64">
        <f>S85</f>
        <v>1.8795506552943622</v>
      </c>
      <c r="Y65" s="147">
        <v>55</v>
      </c>
      <c r="Z65" s="148">
        <v>0.89363877559746929</v>
      </c>
      <c r="AA65" s="149">
        <v>0.74548935050593534</v>
      </c>
      <c r="AC65" s="50">
        <f>Y195</f>
        <v>-10</v>
      </c>
      <c r="AD65" s="63">
        <f t="shared" ref="AD65:AE65" si="243">Z195</f>
        <v>16.307354208359989</v>
      </c>
      <c r="AE65" s="64">
        <f t="shared" si="243"/>
        <v>3.8088205692396229</v>
      </c>
      <c r="AG65" s="147">
        <v>50</v>
      </c>
      <c r="AH65" s="148">
        <v>4.1299785070527353</v>
      </c>
      <c r="AI65" s="149">
        <v>1.4614241999700592</v>
      </c>
      <c r="AK65" s="50">
        <f>AG184</f>
        <v>-9.5</v>
      </c>
      <c r="AL65" s="63">
        <f>AH184</f>
        <v>42.655902921350801</v>
      </c>
      <c r="AM65" s="64">
        <f>AI184</f>
        <v>4.0504388449157878</v>
      </c>
    </row>
    <row r="66" spans="1:39">
      <c r="A66" s="144">
        <v>29.5</v>
      </c>
      <c r="B66" s="145">
        <v>24.690315028437993</v>
      </c>
      <c r="C66" s="146">
        <v>2.2572840379141597</v>
      </c>
      <c r="E66" s="50">
        <f>A144</f>
        <v>-9.5</v>
      </c>
      <c r="F66" s="63">
        <f t="shared" ref="F66:G66" si="244">B144</f>
        <v>160.29771611801385</v>
      </c>
      <c r="G66" s="64">
        <f t="shared" si="244"/>
        <v>4.2117614280405924</v>
      </c>
      <c r="I66" s="144">
        <v>29.5</v>
      </c>
      <c r="J66" s="145">
        <v>24.774000000000001</v>
      </c>
      <c r="K66" s="146">
        <v>2.2614744221711032</v>
      </c>
      <c r="M66" s="50">
        <f>I144</f>
        <v>-9.5</v>
      </c>
      <c r="N66" s="63">
        <f t="shared" ref="N66" si="245">J144</f>
        <v>154.1</v>
      </c>
      <c r="O66" s="64">
        <f t="shared" ref="O66" si="246">K144</f>
        <v>4.1852254209668658</v>
      </c>
      <c r="Q66" s="144">
        <v>19.5</v>
      </c>
      <c r="R66" s="145">
        <v>12.35</v>
      </c>
      <c r="S66" s="146">
        <v>1.4580873671782761</v>
      </c>
      <c r="U66" s="50">
        <f>Q84</f>
        <v>10.5</v>
      </c>
      <c r="V66" s="63">
        <f>R84</f>
        <v>17.7</v>
      </c>
      <c r="W66" s="64">
        <f>S84</f>
        <v>1.8553459119496853</v>
      </c>
      <c r="Y66" s="147">
        <v>54.5</v>
      </c>
      <c r="Z66" s="148">
        <v>0.91036929205713346</v>
      </c>
      <c r="AA66" s="149">
        <v>0.75733224351140238</v>
      </c>
      <c r="AC66" s="50">
        <f>Y194</f>
        <v>-9.5</v>
      </c>
      <c r="AD66" s="63">
        <f t="shared" ref="AD66:AE66" si="247">Z194</f>
        <v>15.882345395320179</v>
      </c>
      <c r="AE66" s="64">
        <f t="shared" si="247"/>
        <v>3.7846925822845612</v>
      </c>
      <c r="AG66" s="147">
        <v>49.5</v>
      </c>
      <c r="AH66" s="148">
        <v>4.1987061406568316</v>
      </c>
      <c r="AI66" s="149">
        <v>1.4785523762035544</v>
      </c>
      <c r="AK66" s="50">
        <f>AG183</f>
        <v>-9</v>
      </c>
      <c r="AL66" s="63">
        <f>AH183</f>
        <v>41.676412035148751</v>
      </c>
      <c r="AM66" s="64">
        <f>AI183</f>
        <v>4.0324405656106412</v>
      </c>
    </row>
    <row r="67" spans="1:39">
      <c r="A67" s="144">
        <v>29</v>
      </c>
      <c r="B67" s="145">
        <v>25.224155731301323</v>
      </c>
      <c r="C67" s="146">
        <v>2.2837973163439553</v>
      </c>
      <c r="E67" s="50">
        <f>A143</f>
        <v>-9</v>
      </c>
      <c r="F67" s="63">
        <f t="shared" ref="F67:G67" si="248">B143</f>
        <v>156.07287673911196</v>
      </c>
      <c r="G67" s="64">
        <f t="shared" si="248"/>
        <v>4.1938642394919752</v>
      </c>
      <c r="I67" s="144">
        <v>29</v>
      </c>
      <c r="J67" s="145">
        <v>25.300999999999998</v>
      </c>
      <c r="K67" s="146">
        <v>2.2875716533154913</v>
      </c>
      <c r="M67" s="50">
        <f>I143</f>
        <v>-9</v>
      </c>
      <c r="N67" s="63">
        <f t="shared" ref="N67" si="249">J143</f>
        <v>150.13</v>
      </c>
      <c r="O67" s="64">
        <f t="shared" ref="O67" si="250">K143</f>
        <v>4.1672680841614387</v>
      </c>
      <c r="Q67" s="144">
        <v>19</v>
      </c>
      <c r="R67" s="145">
        <v>12.59</v>
      </c>
      <c r="S67" s="146">
        <v>1.4780464897863348</v>
      </c>
      <c r="U67" s="50">
        <f>Q83</f>
        <v>11</v>
      </c>
      <c r="V67" s="63">
        <f>R83</f>
        <v>17.34</v>
      </c>
      <c r="W67" s="64">
        <f>S83</f>
        <v>1.8314321926489225</v>
      </c>
      <c r="Y67" s="147">
        <v>54</v>
      </c>
      <c r="Z67" s="148">
        <v>0.92746134654404477</v>
      </c>
      <c r="AA67" s="149">
        <v>0.76936316404237226</v>
      </c>
      <c r="AC67" s="50">
        <f>Y193</f>
        <v>-9</v>
      </c>
      <c r="AD67" s="63">
        <f t="shared" ref="AD67:AE67" si="251">Z193</f>
        <v>15.469382043359182</v>
      </c>
      <c r="AE67" s="64">
        <f t="shared" si="251"/>
        <v>3.7602933356846924</v>
      </c>
      <c r="AG67" s="147">
        <v>49</v>
      </c>
      <c r="AH67" s="148">
        <v>4.2687714444524785</v>
      </c>
      <c r="AI67" s="149">
        <v>1.4958440749683897</v>
      </c>
      <c r="AK67" s="50">
        <f>AG182</f>
        <v>-8.5</v>
      </c>
      <c r="AL67" s="63">
        <f>AH182</f>
        <v>40.722286614126496</v>
      </c>
      <c r="AM67" s="64">
        <f>AI182</f>
        <v>4.0142400246980454</v>
      </c>
    </row>
    <row r="68" spans="1:39">
      <c r="A68" s="144">
        <v>28.5</v>
      </c>
      <c r="B68" s="145">
        <v>25.771147955729983</v>
      </c>
      <c r="C68" s="146">
        <v>2.3104372870526708</v>
      </c>
      <c r="E68" s="50">
        <f>A142</f>
        <v>-8.5</v>
      </c>
      <c r="F68" s="63">
        <f t="shared" ref="F68:G68" si="252">B142</f>
        <v>151.97042625873289</v>
      </c>
      <c r="G68" s="64">
        <f t="shared" si="252"/>
        <v>4.1756902311877653</v>
      </c>
      <c r="I68" s="144">
        <v>28.5</v>
      </c>
      <c r="J68" s="145">
        <v>25.84</v>
      </c>
      <c r="K68" s="146">
        <v>2.3137535816618908</v>
      </c>
      <c r="M68" s="50">
        <f>I142</f>
        <v>-8.5</v>
      </c>
      <c r="N68" s="63">
        <f t="shared" ref="N68" si="253">J142</f>
        <v>146.28</v>
      </c>
      <c r="O68" s="64">
        <f t="shared" ref="O68" si="254">K142</f>
        <v>4.1490810074880873</v>
      </c>
      <c r="Q68" s="144">
        <v>18.5</v>
      </c>
      <c r="R68" s="145">
        <v>12.84</v>
      </c>
      <c r="S68" s="146">
        <v>1.4985994397759104</v>
      </c>
      <c r="U68" s="50">
        <f>Q82</f>
        <v>11.5</v>
      </c>
      <c r="V68" s="63">
        <f>R82</f>
        <v>16.989999999999998</v>
      </c>
      <c r="W68" s="64">
        <f>S82</f>
        <v>1.8078314535007447</v>
      </c>
      <c r="Y68" s="147">
        <v>53.5</v>
      </c>
      <c r="Z68" s="148">
        <v>0.94492369034789458</v>
      </c>
      <c r="AA68" s="149">
        <v>0.78158446553815208</v>
      </c>
      <c r="AC68" s="50">
        <f>Y192</f>
        <v>-8.5</v>
      </c>
      <c r="AD68" s="63">
        <f t="shared" ref="AD68:AE68" si="255">Z192</f>
        <v>15.068103079271372</v>
      </c>
      <c r="AE68" s="64">
        <f t="shared" si="255"/>
        <v>3.7356272476508359</v>
      </c>
      <c r="AG68" s="147">
        <v>48.5</v>
      </c>
      <c r="AH68" s="148">
        <v>4.3402038856606833</v>
      </c>
      <c r="AI68" s="149">
        <v>1.5132992251249018</v>
      </c>
      <c r="AK68" s="50">
        <f>AG181</f>
        <v>-8</v>
      </c>
      <c r="AL68" s="63">
        <f>AH181</f>
        <v>39.792802079388814</v>
      </c>
      <c r="AM68" s="64">
        <f>AI181</f>
        <v>3.9958387977386605</v>
      </c>
    </row>
    <row r="69" spans="1:39">
      <c r="A69" s="144">
        <v>28</v>
      </c>
      <c r="B69" s="145">
        <v>26.331652012316315</v>
      </c>
      <c r="C69" s="146">
        <v>2.337198632711782</v>
      </c>
      <c r="E69" s="50">
        <f>A141</f>
        <v>-8</v>
      </c>
      <c r="F69" s="63">
        <f t="shared" ref="F69:G69" si="256">B141</f>
        <v>147.98656189123034</v>
      </c>
      <c r="G69" s="64">
        <f t="shared" si="256"/>
        <v>4.1572397466070123</v>
      </c>
      <c r="I69" s="144">
        <v>28</v>
      </c>
      <c r="J69" s="145">
        <v>26.393000000000001</v>
      </c>
      <c r="K69" s="146">
        <v>2.3400954019115847</v>
      </c>
      <c r="M69" s="50">
        <f>I141</f>
        <v>-8</v>
      </c>
      <c r="N69" s="63">
        <f t="shared" ref="N69" si="257">J141</f>
        <v>142.54</v>
      </c>
      <c r="O69" s="64">
        <f t="shared" ref="O69" si="258">K141</f>
        <v>4.1306363741741041</v>
      </c>
      <c r="Q69" s="144">
        <v>18</v>
      </c>
      <c r="R69" s="145">
        <v>13.1</v>
      </c>
      <c r="S69" s="146">
        <v>1.5197215777262181</v>
      </c>
      <c r="U69" s="50">
        <f>Q81</f>
        <v>12</v>
      </c>
      <c r="V69" s="63">
        <f>R81</f>
        <v>16.649999999999999</v>
      </c>
      <c r="W69" s="64">
        <f>S81</f>
        <v>1.784565916398714</v>
      </c>
      <c r="Y69" s="147">
        <v>53</v>
      </c>
      <c r="Z69" s="148">
        <v>0.96276530716164088</v>
      </c>
      <c r="AA69" s="149">
        <v>0.79399849605292694</v>
      </c>
      <c r="AC69" s="50">
        <f>Y191</f>
        <v>-8</v>
      </c>
      <c r="AD69" s="63">
        <f t="shared" ref="AD69:AE69" si="259">Z191</f>
        <v>14.678158573560321</v>
      </c>
      <c r="AE69" s="64">
        <f t="shared" si="259"/>
        <v>3.7106989811433357</v>
      </c>
      <c r="AG69" s="147">
        <v>48</v>
      </c>
      <c r="AH69" s="148">
        <v>4.4130336513584458</v>
      </c>
      <c r="AI69" s="149">
        <v>1.5309176950899965</v>
      </c>
      <c r="AK69" s="50">
        <f>AG180</f>
        <v>-7.5</v>
      </c>
      <c r="AL69" s="63">
        <f>AH180</f>
        <v>38.887256348088094</v>
      </c>
      <c r="AM69" s="64">
        <f>AI180</f>
        <v>3.9772385743231546</v>
      </c>
    </row>
    <row r="70" spans="1:39">
      <c r="A70" s="144">
        <v>27.5</v>
      </c>
      <c r="B70" s="145">
        <v>26.906038954652725</v>
      </c>
      <c r="C70" s="146">
        <v>2.3640758914966478</v>
      </c>
      <c r="E70" s="50">
        <f>A140</f>
        <v>-7.5</v>
      </c>
      <c r="F70" s="63">
        <f t="shared" ref="F70:G70" si="260">B140</f>
        <v>144.11760515512387</v>
      </c>
      <c r="G70" s="64">
        <f t="shared" si="260"/>
        <v>4.1385133061854207</v>
      </c>
      <c r="I70" s="144">
        <v>27.5</v>
      </c>
      <c r="J70" s="145">
        <v>26.957999999999998</v>
      </c>
      <c r="K70" s="146">
        <v>2.366480564626567</v>
      </c>
      <c r="M70" s="50">
        <f>I140</f>
        <v>-7.5</v>
      </c>
      <c r="N70" s="63">
        <f t="shared" ref="N70" si="261">J140</f>
        <v>138.9</v>
      </c>
      <c r="O70" s="64">
        <f t="shared" ref="O70" si="262">K140</f>
        <v>4.1119005328596803</v>
      </c>
      <c r="Q70" s="144">
        <v>17.5</v>
      </c>
      <c r="R70" s="145">
        <v>13.36</v>
      </c>
      <c r="S70" s="146">
        <v>1.5405904059040589</v>
      </c>
      <c r="U70" s="50">
        <f>Q80</f>
        <v>12.5</v>
      </c>
      <c r="V70" s="63">
        <f>R80</f>
        <v>16.309999999999999</v>
      </c>
      <c r="W70" s="64">
        <f>S80</f>
        <v>1.7609587562081623</v>
      </c>
      <c r="Y70" s="147">
        <v>52.5</v>
      </c>
      <c r="Z70" s="148">
        <v>0.9809954197455838</v>
      </c>
      <c r="AA70" s="149">
        <v>0.80660759631572509</v>
      </c>
      <c r="AC70" s="50">
        <f>Y190</f>
        <v>-7.5</v>
      </c>
      <c r="AD70" s="63">
        <f t="shared" ref="AD70:AE70" si="263">Z190</f>
        <v>14.299209398126585</v>
      </c>
      <c r="AE70" s="64">
        <f t="shared" si="263"/>
        <v>3.6855134414672284</v>
      </c>
      <c r="AG70" s="147">
        <v>47.5</v>
      </c>
      <c r="AH70" s="148">
        <v>4.4872916677061374</v>
      </c>
      <c r="AI70" s="149">
        <v>1.5486992912929454</v>
      </c>
      <c r="AK70" s="50">
        <f>AG179</f>
        <v>-7</v>
      </c>
      <c r="AL70" s="63">
        <f>AH179</f>
        <v>38.004969082440866</v>
      </c>
      <c r="AM70" s="64">
        <f>AI179</f>
        <v>3.9584411581615027</v>
      </c>
    </row>
    <row r="71" spans="1:39">
      <c r="A71" s="144">
        <v>27</v>
      </c>
      <c r="B71" s="145">
        <v>27.49469092201468</v>
      </c>
      <c r="C71" s="146">
        <v>2.391063460042619</v>
      </c>
      <c r="E71" s="50">
        <f>A139</f>
        <v>-7</v>
      </c>
      <c r="F71" s="63">
        <f t="shared" ref="F71:G71" si="264">B139</f>
        <v>140.35999766961885</v>
      </c>
      <c r="G71" s="64">
        <f t="shared" si="264"/>
        <v>4.1195116104022453</v>
      </c>
      <c r="I71" s="144">
        <v>27</v>
      </c>
      <c r="J71" s="145">
        <v>27.538</v>
      </c>
      <c r="K71" s="146">
        <v>2.3930272167958568</v>
      </c>
      <c r="M71" s="50">
        <f>I139</f>
        <v>-7</v>
      </c>
      <c r="N71" s="63">
        <f t="shared" ref="N71" si="265">J139</f>
        <v>135.37</v>
      </c>
      <c r="O71" s="64">
        <f t="shared" ref="O71" si="266">K139</f>
        <v>4.0929430972969705</v>
      </c>
      <c r="Q71" s="144">
        <v>17</v>
      </c>
      <c r="R71" s="145">
        <v>13.62</v>
      </c>
      <c r="S71" s="146">
        <v>1.5612104539202201</v>
      </c>
      <c r="U71" s="50">
        <f>Q79</f>
        <v>13</v>
      </c>
      <c r="V71" s="63">
        <f>R79</f>
        <v>15.99</v>
      </c>
      <c r="W71" s="64">
        <f>S79</f>
        <v>1.7384213959556425</v>
      </c>
      <c r="Y71" s="147">
        <v>52</v>
      </c>
      <c r="Z71" s="148">
        <v>0.9996234967950246</v>
      </c>
      <c r="AA71" s="149">
        <v>0.81941409770641171</v>
      </c>
      <c r="AC71" s="50">
        <f>Y189</f>
        <v>-7</v>
      </c>
      <c r="AD71" s="63">
        <f t="shared" ref="AD71:AE71" si="267">Z189</f>
        <v>13.930926893827747</v>
      </c>
      <c r="AE71" s="64">
        <f t="shared" si="267"/>
        <v>3.6600757733838836</v>
      </c>
      <c r="AG71" s="147">
        <v>47</v>
      </c>
      <c r="AH71" s="148">
        <v>4.5630096197306571</v>
      </c>
      <c r="AI71" s="149">
        <v>1.5666437566409608</v>
      </c>
      <c r="AK71" s="50">
        <f>AG178</f>
        <v>-6.5</v>
      </c>
      <c r="AL71" s="63">
        <f>AH178</f>
        <v>37.145280965478698</v>
      </c>
      <c r="AM71" s="64">
        <f>AI178</f>
        <v>3.9394484670350862</v>
      </c>
    </row>
    <row r="72" spans="1:39">
      <c r="A72" s="144">
        <v>26.5</v>
      </c>
      <c r="B72" s="145">
        <v>28.098001493578334</v>
      </c>
      <c r="C72" s="146">
        <v>2.4181555966846853</v>
      </c>
      <c r="E72" s="50">
        <f>A138</f>
        <v>-6.5</v>
      </c>
      <c r="F72" s="63">
        <f t="shared" ref="F72:G72" si="268">B138</f>
        <v>136.71029709570499</v>
      </c>
      <c r="G72" s="64">
        <f t="shared" si="268"/>
        <v>4.1002355426558443</v>
      </c>
      <c r="I72" s="144">
        <v>26.5</v>
      </c>
      <c r="J72" s="145">
        <v>28.131</v>
      </c>
      <c r="K72" s="146">
        <v>2.4196212003922177</v>
      </c>
      <c r="M72" s="50">
        <f>I138</f>
        <v>-6.5</v>
      </c>
      <c r="N72" s="63">
        <f t="shared" ref="N72" si="269">J138</f>
        <v>131.94</v>
      </c>
      <c r="O72" s="64">
        <f t="shared" ref="O72" si="270">K138</f>
        <v>4.0737310114857355</v>
      </c>
      <c r="Q72" s="144">
        <v>16.5</v>
      </c>
      <c r="R72" s="145">
        <v>13.9</v>
      </c>
      <c r="S72" s="146">
        <v>1.5831435079726652</v>
      </c>
      <c r="U72" s="50">
        <f>Q78</f>
        <v>13.5</v>
      </c>
      <c r="V72" s="63">
        <f>R78</f>
        <v>15.67</v>
      </c>
      <c r="W72" s="64">
        <f>S78</f>
        <v>1.7155682067002407</v>
      </c>
      <c r="Y72" s="147">
        <v>51.5</v>
      </c>
      <c r="Z72" s="148">
        <v>1.0186592600180535</v>
      </c>
      <c r="AA72" s="149">
        <v>0.83242032014628642</v>
      </c>
      <c r="AC72" s="50">
        <f>Y188</f>
        <v>-6.5</v>
      </c>
      <c r="AD72" s="63">
        <f t="shared" ref="AD72:AE72" si="271">Z188</f>
        <v>13.572992547685008</v>
      </c>
      <c r="AE72" s="64">
        <f t="shared" si="271"/>
        <v>3.6343913577386733</v>
      </c>
      <c r="AG72" s="147">
        <v>46.5</v>
      </c>
      <c r="AH72" s="148">
        <v>4.6402199716810317</v>
      </c>
      <c r="AI72" s="149">
        <v>1.5847507689968912</v>
      </c>
      <c r="AK72" s="50">
        <f>AG177</f>
        <v>-6</v>
      </c>
      <c r="AL72" s="63">
        <f>AH177</f>
        <v>36.307553002523342</v>
      </c>
      <c r="AM72" s="64">
        <f>AI177</f>
        <v>3.9202625326094114</v>
      </c>
    </row>
    <row r="73" spans="1:39">
      <c r="A73" s="144">
        <v>26</v>
      </c>
      <c r="B73" s="145">
        <v>28.716376054577818</v>
      </c>
      <c r="C73" s="146">
        <v>2.4453464249807824</v>
      </c>
      <c r="E73" s="50">
        <f>A137</f>
        <v>-6</v>
      </c>
      <c r="F73" s="63">
        <f t="shared" ref="F73:G73" si="272">B137</f>
        <v>133.16517321688002</v>
      </c>
      <c r="G73" s="64">
        <f t="shared" si="272"/>
        <v>4.0806861719159935</v>
      </c>
      <c r="I73" s="144">
        <v>26</v>
      </c>
      <c r="J73" s="145">
        <v>28.739000000000001</v>
      </c>
      <c r="K73" s="146">
        <v>2.4463303767513915</v>
      </c>
      <c r="M73" s="50">
        <f>I137</f>
        <v>-6</v>
      </c>
      <c r="N73" s="63">
        <f t="shared" ref="N73" si="273">J137</f>
        <v>128.6</v>
      </c>
      <c r="O73" s="64">
        <f t="shared" ref="O73" si="274">K137</f>
        <v>4.0542244640605301</v>
      </c>
      <c r="Q73" s="144">
        <v>16</v>
      </c>
      <c r="R73" s="145">
        <v>14.17</v>
      </c>
      <c r="S73" s="146">
        <v>1.6040298845370158</v>
      </c>
      <c r="U73" s="50">
        <f>Q77</f>
        <v>14</v>
      </c>
      <c r="V73" s="63">
        <f>R77</f>
        <v>15.35</v>
      </c>
      <c r="W73" s="64">
        <f>S77</f>
        <v>1.6923925027563396</v>
      </c>
      <c r="Y73" s="147">
        <v>51</v>
      </c>
      <c r="Z73" s="148">
        <v>1.0381126914302996</v>
      </c>
      <c r="AA73" s="149">
        <v>0.84562856990199642</v>
      </c>
      <c r="AC73" s="50">
        <f>Y187</f>
        <v>-6</v>
      </c>
      <c r="AD73" s="63">
        <f t="shared" ref="AD73:AE73" si="275">Z187</f>
        <v>13.225097679505108</v>
      </c>
      <c r="AE73" s="64">
        <f t="shared" si="275"/>
        <v>3.6084658076055263</v>
      </c>
      <c r="AG73" s="147">
        <v>46</v>
      </c>
      <c r="AH73" s="148">
        <v>4.7189559879752458</v>
      </c>
      <c r="AI73" s="149">
        <v>1.6030199396718183</v>
      </c>
      <c r="AK73" s="50">
        <f>AG176</f>
        <v>-5.5</v>
      </c>
      <c r="AL73" s="63">
        <f>AH176</f>
        <v>35.491165847421357</v>
      </c>
      <c r="AM73" s="64">
        <f>AI176</f>
        <v>3.9008855001056384</v>
      </c>
    </row>
    <row r="74" spans="1:39" ht="13.5" thickBot="1">
      <c r="A74" s="144">
        <v>25.5</v>
      </c>
      <c r="B74" s="145">
        <v>29.350232174821247</v>
      </c>
      <c r="C74" s="146">
        <v>2.4726299375179863</v>
      </c>
      <c r="E74" s="50">
        <f>A136</f>
        <v>-5.5</v>
      </c>
      <c r="F74" s="63">
        <f t="shared" ref="F74:G74" si="276">B136</f>
        <v>129.72140415470582</v>
      </c>
      <c r="G74" s="64">
        <f t="shared" si="276"/>
        <v>4.0608647551413313</v>
      </c>
      <c r="I74" s="144">
        <v>25.5</v>
      </c>
      <c r="J74" s="145">
        <v>29.361999999999998</v>
      </c>
      <c r="K74" s="146">
        <v>2.4731309591994881</v>
      </c>
      <c r="M74" s="50">
        <f>I136</f>
        <v>-5.5</v>
      </c>
      <c r="N74" s="63">
        <f t="shared" ref="N74" si="277">J136</f>
        <v>125.35</v>
      </c>
      <c r="O74" s="64">
        <f t="shared" ref="O74" si="278">K136</f>
        <v>4.0344383649822984</v>
      </c>
      <c r="Q74" s="144">
        <v>15.5</v>
      </c>
      <c r="R74" s="145">
        <v>14.46</v>
      </c>
      <c r="S74" s="146">
        <v>1.6261808367071526</v>
      </c>
      <c r="U74" s="50">
        <f>Q76</f>
        <v>14.5</v>
      </c>
      <c r="V74" s="63">
        <f>R76</f>
        <v>15.05</v>
      </c>
      <c r="W74" s="64">
        <f>S76</f>
        <v>1.6703662597114319</v>
      </c>
      <c r="Y74" s="153">
        <v>50.5</v>
      </c>
      <c r="Z74" s="154">
        <v>1.0579940408734809</v>
      </c>
      <c r="AA74" s="155">
        <v>0.8590411373014335</v>
      </c>
      <c r="AC74" s="50">
        <f>Y186</f>
        <v>-5.5</v>
      </c>
      <c r="AD74" s="63">
        <f t="shared" ref="AD74:AE74" si="279">Z186</f>
        <v>12.886943137693525</v>
      </c>
      <c r="AE74" s="64">
        <f t="shared" si="279"/>
        <v>3.5823049639512079</v>
      </c>
      <c r="AG74" s="153">
        <v>45.5</v>
      </c>
      <c r="AH74" s="154">
        <v>4.7992517547556401</v>
      </c>
      <c r="AI74" s="155">
        <v>1.6214508119349456</v>
      </c>
      <c r="AK74" s="50">
        <f>AG175</f>
        <v>-5</v>
      </c>
      <c r="AL74" s="63">
        <f>AH175</f>
        <v>34.695519152606039</v>
      </c>
      <c r="AM74" s="64">
        <f>AI175</f>
        <v>3.8813196278292996</v>
      </c>
    </row>
    <row r="75" spans="1:39" ht="13.5" thickTop="1">
      <c r="A75" s="156">
        <v>25</v>
      </c>
      <c r="B75" s="157">
        <v>30</v>
      </c>
      <c r="C75" s="158">
        <v>2.5</v>
      </c>
      <c r="E75" s="50">
        <f>A135</f>
        <v>-5</v>
      </c>
      <c r="F75" s="63">
        <f t="shared" ref="F75:G75" si="280">B135</f>
        <v>126.37587271456684</v>
      </c>
      <c r="G75" s="64">
        <f t="shared" si="280"/>
        <v>4.0407727394507003</v>
      </c>
      <c r="I75" s="156">
        <v>25</v>
      </c>
      <c r="J75" s="157">
        <v>30</v>
      </c>
      <c r="K75" s="158">
        <v>2.5</v>
      </c>
      <c r="M75" s="50">
        <f>I135</f>
        <v>-5</v>
      </c>
      <c r="N75" s="63">
        <f t="shared" ref="N75" si="281">J135</f>
        <v>122.2</v>
      </c>
      <c r="O75" s="64">
        <f t="shared" ref="O75" si="282">K135</f>
        <v>4.0144546649145862</v>
      </c>
      <c r="Q75" s="144">
        <v>15</v>
      </c>
      <c r="R75" s="145">
        <v>14.75</v>
      </c>
      <c r="S75" s="146">
        <v>1.6480446927374302</v>
      </c>
      <c r="U75" s="50">
        <f>Q75</f>
        <v>15</v>
      </c>
      <c r="V75" s="63">
        <f>R75</f>
        <v>14.75</v>
      </c>
      <c r="W75" s="64">
        <f>S75</f>
        <v>1.6480446927374302</v>
      </c>
      <c r="Y75" s="141">
        <v>50</v>
      </c>
      <c r="Z75" s="142">
        <v>1.0783138337651927</v>
      </c>
      <c r="AA75" s="143">
        <v>0.87266029436064274</v>
      </c>
      <c r="AC75" s="50">
        <f>Y185</f>
        <v>-5</v>
      </c>
      <c r="AD75" s="63">
        <f t="shared" ref="AD75:AE75" si="283">Z185</f>
        <v>12.558239004031464</v>
      </c>
      <c r="AE75" s="64">
        <f t="shared" si="283"/>
        <v>3.5559148908235851</v>
      </c>
      <c r="AG75" s="141">
        <v>45</v>
      </c>
      <c r="AH75" s="142">
        <v>4.8811422020726862</v>
      </c>
      <c r="AI75" s="143">
        <v>1.6400428595436807</v>
      </c>
      <c r="AK75" s="50">
        <f>AG174</f>
        <v>-4.5</v>
      </c>
      <c r="AL75" s="63">
        <f>AH174</f>
        <v>33.920030942094911</v>
      </c>
      <c r="AM75" s="64">
        <f>AI174</f>
        <v>3.8615672865549424</v>
      </c>
    </row>
    <row r="76" spans="1:39">
      <c r="A76" s="144">
        <v>24.5</v>
      </c>
      <c r="B76" s="145">
        <v>30.666122656241935</v>
      </c>
      <c r="C76" s="146">
        <v>2.52745035561348</v>
      </c>
      <c r="E76" s="50">
        <f>A134</f>
        <v>-4.5</v>
      </c>
      <c r="F76" s="63">
        <f t="shared" ref="F76:G76" si="284">B134</f>
        <v>123.12556285715372</v>
      </c>
      <c r="G76" s="64">
        <f t="shared" si="284"/>
        <v>4.0204117640375268</v>
      </c>
      <c r="I76" s="144">
        <v>24.5</v>
      </c>
      <c r="J76" s="145">
        <v>30.654</v>
      </c>
      <c r="K76" s="146">
        <v>2.5269561776634686</v>
      </c>
      <c r="M76" s="50">
        <f>I134</f>
        <v>-4.5</v>
      </c>
      <c r="N76" s="63">
        <f t="shared" ref="N76" si="285">J134</f>
        <v>119.14</v>
      </c>
      <c r="O76" s="64">
        <f t="shared" ref="O76" si="286">K134</f>
        <v>3.9942336060077785</v>
      </c>
      <c r="Q76" s="144">
        <v>14.5</v>
      </c>
      <c r="R76" s="145">
        <v>15.05</v>
      </c>
      <c r="S76" s="146">
        <v>1.6703662597114319</v>
      </c>
      <c r="U76" s="50">
        <f>Q74</f>
        <v>15.5</v>
      </c>
      <c r="V76" s="63">
        <f>R74</f>
        <v>14.46</v>
      </c>
      <c r="W76" s="64">
        <f>S74</f>
        <v>1.6261808367071526</v>
      </c>
      <c r="Y76" s="147">
        <v>49.5</v>
      </c>
      <c r="Z76" s="148">
        <v>1.0990828790872234</v>
      </c>
      <c r="AA76" s="149">
        <v>0.88648829232063486</v>
      </c>
      <c r="AC76" s="50">
        <f>Y184</f>
        <v>-4.5</v>
      </c>
      <c r="AD76" s="63">
        <f t="shared" ref="AD76:AE76" si="287">Z184</f>
        <v>12.23870430719608</v>
      </c>
      <c r="AE76" s="64">
        <f t="shared" si="287"/>
        <v>3.5293018700701446</v>
      </c>
      <c r="AG76" s="147">
        <v>44.5</v>
      </c>
      <c r="AH76" s="148">
        <v>4.9646631267163741</v>
      </c>
      <c r="AI76" s="149">
        <v>1.6587954852966165</v>
      </c>
      <c r="AK76" s="50">
        <f>AG173</f>
        <v>-4</v>
      </c>
      <c r="AL76" s="63">
        <f>AH173</f>
        <v>33.164137006564111</v>
      </c>
      <c r="AM76" s="64">
        <f>AI173</f>
        <v>3.8416309587656916</v>
      </c>
    </row>
    <row r="77" spans="1:39">
      <c r="A77" s="144">
        <v>24</v>
      </c>
      <c r="B77" s="145">
        <v>31.349056668374551</v>
      </c>
      <c r="C77" s="146">
        <v>2.5549746296698146</v>
      </c>
      <c r="E77" s="50">
        <f>A133</f>
        <v>-4</v>
      </c>
      <c r="F77" s="63">
        <f t="shared" ref="F77:G77" si="288">B133</f>
        <v>119.96755629134174</v>
      </c>
      <c r="G77" s="64">
        <f t="shared" si="288"/>
        <v>3.9997836618168581</v>
      </c>
      <c r="I77" s="144">
        <v>24</v>
      </c>
      <c r="J77" s="145">
        <v>31.323</v>
      </c>
      <c r="K77" s="146">
        <v>2.5539357174306541</v>
      </c>
      <c r="M77" s="50">
        <f>I133</f>
        <v>-4</v>
      </c>
      <c r="N77" s="63">
        <f t="shared" ref="N77" si="289">J133</f>
        <v>116.16</v>
      </c>
      <c r="O77" s="64">
        <f t="shared" ref="O77" si="290">K133</f>
        <v>3.9737274220032837</v>
      </c>
      <c r="Q77" s="144">
        <v>14</v>
      </c>
      <c r="R77" s="145">
        <v>15.35</v>
      </c>
      <c r="S77" s="146">
        <v>1.6923925027563396</v>
      </c>
      <c r="U77" s="50">
        <f>Q73</f>
        <v>16</v>
      </c>
      <c r="V77" s="63">
        <f>R73</f>
        <v>14.17</v>
      </c>
      <c r="W77" s="64">
        <f>S73</f>
        <v>1.6040298845370158</v>
      </c>
      <c r="Y77" s="147">
        <v>49</v>
      </c>
      <c r="Z77" s="148">
        <v>1.1203122776201806</v>
      </c>
      <c r="AA77" s="149">
        <v>0.90052735909329551</v>
      </c>
      <c r="AC77" s="50">
        <f>Y183</f>
        <v>-4</v>
      </c>
      <c r="AD77" s="63">
        <f t="shared" ref="AD77:AE77" si="291">Z183</f>
        <v>11.928066744801344</v>
      </c>
      <c r="AE77" s="64">
        <f t="shared" si="291"/>
        <v>3.5024723955944599</v>
      </c>
      <c r="AG77" s="147">
        <v>44</v>
      </c>
      <c r="AH77" s="148">
        <v>5.0498512157154156</v>
      </c>
      <c r="AI77" s="149">
        <v>1.6777080196122602</v>
      </c>
      <c r="AK77" s="50">
        <f>AG172</f>
        <v>-3.5</v>
      </c>
      <c r="AL77" s="63">
        <f>AH172</f>
        <v>32.427290319676125</v>
      </c>
      <c r="AM77" s="64">
        <f>AI172</f>
        <v>3.8215132377470749</v>
      </c>
    </row>
    <row r="78" spans="1:39">
      <c r="A78" s="144">
        <v>23.5</v>
      </c>
      <c r="B78" s="145">
        <v>32.049272392381852</v>
      </c>
      <c r="C78" s="146">
        <v>2.5825663345181082</v>
      </c>
      <c r="E78" s="50">
        <f>A132</f>
        <v>-3.5</v>
      </c>
      <c r="F78" s="63">
        <f t="shared" ref="F78:G78" si="292">B132</f>
        <v>116.89902918428605</v>
      </c>
      <c r="G78" s="64">
        <f t="shared" si="292"/>
        <v>3.9788904607951912</v>
      </c>
      <c r="I78" s="144">
        <v>23.5</v>
      </c>
      <c r="J78" s="145">
        <v>32.01</v>
      </c>
      <c r="K78" s="146">
        <v>2.5810353168843734</v>
      </c>
      <c r="M78" s="50">
        <f>I132</f>
        <v>-3.5</v>
      </c>
      <c r="N78" s="63">
        <f t="shared" ref="N78" si="293">J132</f>
        <v>113.26</v>
      </c>
      <c r="O78" s="64">
        <f t="shared" ref="O78" si="294">K132</f>
        <v>3.9529526734608411</v>
      </c>
      <c r="Q78" s="144">
        <v>13.5</v>
      </c>
      <c r="R78" s="145">
        <v>15.67</v>
      </c>
      <c r="S78" s="146">
        <v>1.7155682067002407</v>
      </c>
      <c r="U78" s="50">
        <f>Q72</f>
        <v>16.5</v>
      </c>
      <c r="V78" s="63">
        <f>R72</f>
        <v>13.9</v>
      </c>
      <c r="W78" s="64">
        <f>S72</f>
        <v>1.5831435079726652</v>
      </c>
      <c r="Y78" s="147">
        <v>48.5</v>
      </c>
      <c r="Z78" s="148">
        <v>1.1420134304324565</v>
      </c>
      <c r="AA78" s="149">
        <v>0.91477969661572489</v>
      </c>
      <c r="AC78" s="50">
        <f>Y182</f>
        <v>-3.5</v>
      </c>
      <c r="AD78" s="63">
        <f t="shared" ref="AD78:AE78" si="295">Z182</f>
        <v>11.626062413743327</v>
      </c>
      <c r="AE78" s="64">
        <f t="shared" si="295"/>
        <v>3.4754331671602885</v>
      </c>
      <c r="AG78" s="147">
        <v>43.5</v>
      </c>
      <c r="AH78" s="148">
        <v>5.1367440705257206</v>
      </c>
      <c r="AI78" s="149">
        <v>1.6967797191365588</v>
      </c>
      <c r="AK78" s="50">
        <f>AG171</f>
        <v>-3</v>
      </c>
      <c r="AL78" s="63">
        <f>AH171</f>
        <v>31.708960474871297</v>
      </c>
      <c r="AM78" s="64">
        <f>AI171</f>
        <v>3.8012168265348194</v>
      </c>
    </row>
    <row r="79" spans="1:39">
      <c r="A79" s="144">
        <v>23</v>
      </c>
      <c r="B79" s="145">
        <v>32.767254462555719</v>
      </c>
      <c r="C79" s="146">
        <v>2.6102188747241821</v>
      </c>
      <c r="E79" s="50">
        <f>A131</f>
        <v>-3</v>
      </c>
      <c r="F79" s="63">
        <f t="shared" ref="F79:G79" si="296">B131</f>
        <v>113.91724898468526</v>
      </c>
      <c r="G79" s="64">
        <f t="shared" si="296"/>
        <v>3.9577343851537763</v>
      </c>
      <c r="I79" s="144">
        <v>23</v>
      </c>
      <c r="J79" s="145">
        <v>32.713000000000001</v>
      </c>
      <c r="K79" s="146">
        <v>2.6081514199607736</v>
      </c>
      <c r="M79" s="50">
        <f>I131</f>
        <v>-3</v>
      </c>
      <c r="N79" s="63">
        <f t="shared" ref="N79" si="297">J131</f>
        <v>110.44</v>
      </c>
      <c r="O79" s="64">
        <f t="shared" ref="O79" si="298">K131</f>
        <v>3.9319282255767591</v>
      </c>
      <c r="Q79" s="144">
        <v>13</v>
      </c>
      <c r="R79" s="145">
        <v>15.99</v>
      </c>
      <c r="S79" s="146">
        <v>1.7384213959556425</v>
      </c>
      <c r="U79" s="50">
        <f>Q71</f>
        <v>17</v>
      </c>
      <c r="V79" s="63">
        <f>R71</f>
        <v>13.62</v>
      </c>
      <c r="W79" s="64">
        <f>S71</f>
        <v>1.5612104539202201</v>
      </c>
      <c r="Y79" s="147">
        <v>48</v>
      </c>
      <c r="Z79" s="148">
        <v>1.1641980476316767</v>
      </c>
      <c r="AA79" s="149">
        <v>0.92924747811240449</v>
      </c>
      <c r="AC79" s="50">
        <f>Y181</f>
        <v>-3</v>
      </c>
      <c r="AD79" s="63">
        <f t="shared" ref="AD79:AE79" si="299">Z181</f>
        <v>11.332435548633615</v>
      </c>
      <c r="AE79" s="64">
        <f t="shared" si="299"/>
        <v>3.4481910837544492</v>
      </c>
      <c r="AG79" s="147">
        <v>43</v>
      </c>
      <c r="AH79" s="148">
        <v>5.2253802319290701</v>
      </c>
      <c r="AI79" s="149">
        <v>1.7160097653820661</v>
      </c>
      <c r="AK79" s="50">
        <f>AG170</f>
        <v>-2.5</v>
      </c>
      <c r="AL79" s="63">
        <f>AH170</f>
        <v>31.008633141858059</v>
      </c>
      <c r="AM79" s="64">
        <f>AI170</f>
        <v>3.7807445367164818</v>
      </c>
    </row>
    <row r="80" spans="1:39">
      <c r="A80" s="144">
        <v>22.5</v>
      </c>
      <c r="B80" s="145">
        <v>33.503502253861235</v>
      </c>
      <c r="C80" s="146">
        <v>2.6379255525095155</v>
      </c>
      <c r="E80" s="50">
        <f>A130</f>
        <v>-2.5</v>
      </c>
      <c r="F80" s="63">
        <f t="shared" ref="F80:G80" si="300">B130</f>
        <v>111.01957135531316</v>
      </c>
      <c r="G80" s="64">
        <f t="shared" si="300"/>
        <v>3.9363178560367356</v>
      </c>
      <c r="I80" s="144">
        <v>22.5</v>
      </c>
      <c r="J80" s="145">
        <v>33.433</v>
      </c>
      <c r="K80" s="146">
        <v>2.6353002380464425</v>
      </c>
      <c r="M80" s="50">
        <f>I130</f>
        <v>-2.5</v>
      </c>
      <c r="N80" s="63">
        <f t="shared" ref="N80" si="301">J130</f>
        <v>107.7</v>
      </c>
      <c r="O80" s="64">
        <f t="shared" ref="O80" si="302">K130</f>
        <v>3.910675381263617</v>
      </c>
      <c r="Q80" s="144">
        <v>12.5</v>
      </c>
      <c r="R80" s="145">
        <v>16.309999999999999</v>
      </c>
      <c r="S80" s="146">
        <v>1.7609587562081623</v>
      </c>
      <c r="U80" s="50">
        <f>Q70</f>
        <v>17.5</v>
      </c>
      <c r="V80" s="63">
        <f>R70</f>
        <v>13.36</v>
      </c>
      <c r="W80" s="64">
        <f>S70</f>
        <v>1.5405904059040589</v>
      </c>
      <c r="Y80" s="147">
        <v>47.5</v>
      </c>
      <c r="Z80" s="148">
        <v>1.1868781573872624</v>
      </c>
      <c r="AA80" s="149">
        <v>0.94393284526490029</v>
      </c>
      <c r="AC80" s="50">
        <f>Y180</f>
        <v>-2.5</v>
      </c>
      <c r="AD80" s="63">
        <f t="shared" ref="AD80:AE80" si="303">Z180</f>
        <v>11.046938268109285</v>
      </c>
      <c r="AE80" s="64">
        <f t="shared" si="303"/>
        <v>3.420753236521421</v>
      </c>
      <c r="AG80" s="147">
        <v>42.5</v>
      </c>
      <c r="AH80" s="148">
        <v>5.3157992056652343</v>
      </c>
      <c r="AI80" s="149">
        <v>1.7353972634020132</v>
      </c>
      <c r="AK80" s="50">
        <f>AG169</f>
        <v>-2</v>
      </c>
      <c r="AL80" s="63">
        <f>AH169</f>
        <v>30.325809542077703</v>
      </c>
      <c r="AM80" s="64">
        <f>AI169</f>
        <v>3.7600992870873964</v>
      </c>
    </row>
    <row r="81" spans="1:39">
      <c r="A81" s="144">
        <v>22</v>
      </c>
      <c r="B81" s="145">
        <v>34.258530360053257</v>
      </c>
      <c r="C81" s="146">
        <v>2.6656795734430849</v>
      </c>
      <c r="E81" s="50">
        <f>A129</f>
        <v>-2</v>
      </c>
      <c r="F81" s="63">
        <f t="shared" ref="F81:G81" si="304">B129</f>
        <v>108.20343721103865</v>
      </c>
      <c r="G81" s="64">
        <f t="shared" si="304"/>
        <v>3.9146434920359621</v>
      </c>
      <c r="I81" s="144">
        <v>22</v>
      </c>
      <c r="J81" s="145">
        <v>34.171999999999997</v>
      </c>
      <c r="K81" s="146">
        <v>2.6625319453967462</v>
      </c>
      <c r="M81" s="50">
        <f>I129</f>
        <v>-2</v>
      </c>
      <c r="N81" s="63">
        <f t="shared" ref="N81" si="305">J129</f>
        <v>105.04</v>
      </c>
      <c r="O81" s="64">
        <f t="shared" ref="O81" si="306">K129</f>
        <v>3.8892180094786726</v>
      </c>
      <c r="Q81" s="144">
        <v>12</v>
      </c>
      <c r="R81" s="145">
        <v>16.649999999999999</v>
      </c>
      <c r="S81" s="146">
        <v>1.784565916398714</v>
      </c>
      <c r="U81" s="50">
        <f>Q69</f>
        <v>18</v>
      </c>
      <c r="V81" s="63">
        <f>R69</f>
        <v>13.1</v>
      </c>
      <c r="W81" s="64">
        <f>S69</f>
        <v>1.5197215777262181</v>
      </c>
      <c r="Y81" s="147">
        <v>47</v>
      </c>
      <c r="Z81" s="148">
        <v>1.2100661152327983</v>
      </c>
      <c r="AA81" s="149">
        <v>0.95883790528885382</v>
      </c>
      <c r="AC81" s="50">
        <f>Y179</f>
        <v>-2</v>
      </c>
      <c r="AD81" s="63">
        <f t="shared" ref="AD81:AE81" si="307">Z179</f>
        <v>10.769330328810433</v>
      </c>
      <c r="AE81" s="64">
        <f t="shared" si="307"/>
        <v>3.3931269012842158</v>
      </c>
      <c r="AG81" s="147">
        <v>42</v>
      </c>
      <c r="AH81" s="148">
        <v>5.4080414888198955</v>
      </c>
      <c r="AI81" s="149">
        <v>1.7549412405022342</v>
      </c>
      <c r="AK81" s="50">
        <f>AG168</f>
        <v>-1.5</v>
      </c>
      <c r="AL81" s="63">
        <f>AH168</f>
        <v>29.660005942435653</v>
      </c>
      <c r="AM81" s="64">
        <f>AI168</f>
        <v>3.7392841021614496</v>
      </c>
    </row>
    <row r="82" spans="1:39">
      <c r="A82" s="144">
        <v>21.5</v>
      </c>
      <c r="B82" s="145">
        <v>35.032869088102622</v>
      </c>
      <c r="C82" s="146">
        <v>2.6934740523782059</v>
      </c>
      <c r="E82" s="50">
        <f>A128</f>
        <v>-1.5</v>
      </c>
      <c r="F82" s="63">
        <f t="shared" ref="F82:G82" si="308">B128</f>
        <v>105.46636985869146</v>
      </c>
      <c r="G82" s="64">
        <f t="shared" si="308"/>
        <v>3.8927141093655284</v>
      </c>
      <c r="I82" s="144">
        <v>21.5</v>
      </c>
      <c r="J82" s="145">
        <v>34.929000000000002</v>
      </c>
      <c r="K82" s="146">
        <v>2.6897842258466942</v>
      </c>
      <c r="M82" s="50">
        <f>I128</f>
        <v>-1.5</v>
      </c>
      <c r="N82" s="63">
        <f t="shared" ref="N82" si="309">J128</f>
        <v>102.45</v>
      </c>
      <c r="O82" s="64">
        <f t="shared" ref="O82" si="310">K128</f>
        <v>3.867497168742922</v>
      </c>
      <c r="Q82" s="144">
        <v>11.5</v>
      </c>
      <c r="R82" s="145">
        <v>16.989999999999998</v>
      </c>
      <c r="S82" s="146">
        <v>1.8078314535007447</v>
      </c>
      <c r="U82" s="50">
        <f>Q68</f>
        <v>18.5</v>
      </c>
      <c r="V82" s="63">
        <f>R68</f>
        <v>12.84</v>
      </c>
      <c r="W82" s="64">
        <f>S68</f>
        <v>1.4985994397759104</v>
      </c>
      <c r="Y82" s="147">
        <v>46.5</v>
      </c>
      <c r="Z82" s="148">
        <v>1.2337746136574301</v>
      </c>
      <c r="AA82" s="149">
        <v>0.97396472791837208</v>
      </c>
      <c r="AC82" s="50">
        <f>Y178</f>
        <v>-1.5</v>
      </c>
      <c r="AD82" s="63">
        <f t="shared" ref="AD82:AE82" si="311">Z178</f>
        <v>10.499378886819938</v>
      </c>
      <c r="AE82" s="64">
        <f t="shared" si="311"/>
        <v>3.365319530667648</v>
      </c>
      <c r="AG82" s="147">
        <v>41.5</v>
      </c>
      <c r="AH82" s="148">
        <v>5.502148596992674</v>
      </c>
      <c r="AI82" s="149">
        <v>1.7746406449942231</v>
      </c>
      <c r="AK82" s="50">
        <f>AG167</f>
        <v>-1</v>
      </c>
      <c r="AL82" s="63">
        <f>AH167</f>
        <v>29.010753166627339</v>
      </c>
      <c r="AM82" s="64">
        <f>AI167</f>
        <v>3.7183021105377261</v>
      </c>
    </row>
    <row r="83" spans="1:39">
      <c r="A83" s="144">
        <v>21</v>
      </c>
      <c r="B83" s="145">
        <v>35.827064969508854</v>
      </c>
      <c r="C83" s="146">
        <v>2.7213020196255124</v>
      </c>
      <c r="E83" s="50">
        <f>A127</f>
        <v>-1</v>
      </c>
      <c r="F83" s="63">
        <f t="shared" ref="F83:G83" si="312">B127</f>
        <v>102.80597223524789</v>
      </c>
      <c r="G83" s="64">
        <f t="shared" si="312"/>
        <v>3.8705327217190559</v>
      </c>
      <c r="I83" s="144">
        <v>21</v>
      </c>
      <c r="J83" s="145">
        <v>35.704000000000001</v>
      </c>
      <c r="K83" s="146">
        <v>2.7170339705345183</v>
      </c>
      <c r="M83" s="50">
        <f>I127</f>
        <v>-1</v>
      </c>
      <c r="N83" s="63">
        <f t="shared" ref="N83" si="313">J127</f>
        <v>99.930999999999997</v>
      </c>
      <c r="O83" s="64">
        <f t="shared" ref="O83" si="314">K127</f>
        <v>3.845541094888826</v>
      </c>
      <c r="Q83" s="144">
        <v>11</v>
      </c>
      <c r="R83" s="145">
        <v>17.34</v>
      </c>
      <c r="S83" s="146">
        <v>1.8314321926489225</v>
      </c>
      <c r="U83" s="50">
        <f>Q67</f>
        <v>19</v>
      </c>
      <c r="V83" s="63">
        <f>R67</f>
        <v>12.59</v>
      </c>
      <c r="W83" s="64">
        <f>S67</f>
        <v>1.4780464897863348</v>
      </c>
      <c r="Y83" s="147">
        <v>46</v>
      </c>
      <c r="Z83" s="148">
        <v>1.2580166919956302</v>
      </c>
      <c r="AA83" s="149">
        <v>0.98931534229801521</v>
      </c>
      <c r="AC83" s="50">
        <f>Y177</f>
        <v>-1</v>
      </c>
      <c r="AD83" s="63">
        <f t="shared" ref="AD83:AE83" si="315">Z177</f>
        <v>10.236858266362573</v>
      </c>
      <c r="AE83" s="64">
        <f t="shared" si="315"/>
        <v>3.3373387458416013</v>
      </c>
      <c r="AG83" s="147">
        <v>41</v>
      </c>
      <c r="AH83" s="148">
        <v>5.5981630922701351</v>
      </c>
      <c r="AI83" s="149">
        <v>1.7944943449925763</v>
      </c>
      <c r="AK83" s="50">
        <f>AG166</f>
        <v>-0.5</v>
      </c>
      <c r="AL83" s="63">
        <f>AH166</f>
        <v>28.3775961234122</v>
      </c>
      <c r="AM83" s="64">
        <f>AI166</f>
        <v>3.6971565431244513</v>
      </c>
    </row>
    <row r="84" spans="1:39" ht="13.5" thickBot="1">
      <c r="A84" s="144">
        <v>20.5</v>
      </c>
      <c r="B84" s="145">
        <v>36.641681289098393</v>
      </c>
      <c r="C84" s="146">
        <v>2.7491564273523545</v>
      </c>
      <c r="E84" s="50">
        <f>A126</f>
        <v>-0.5</v>
      </c>
      <c r="F84" s="63">
        <f t="shared" ref="F84:G84" si="316">B126</f>
        <v>100.21992424093382</v>
      </c>
      <c r="G84" s="64">
        <f t="shared" si="316"/>
        <v>3.848102539804362</v>
      </c>
      <c r="I84" s="144">
        <v>20.5</v>
      </c>
      <c r="J84" s="145">
        <v>36.5</v>
      </c>
      <c r="K84" s="146">
        <v>2.744360902255639</v>
      </c>
      <c r="M84" s="50">
        <f>I126</f>
        <v>-0.5</v>
      </c>
      <c r="N84" s="63">
        <f t="shared" ref="N84" si="317">J126</f>
        <v>97.48</v>
      </c>
      <c r="O84" s="64">
        <f t="shared" ref="O84" si="318">K126</f>
        <v>3.8233448384060247</v>
      </c>
      <c r="Q84" s="150">
        <v>10.5</v>
      </c>
      <c r="R84" s="151">
        <v>17.7</v>
      </c>
      <c r="S84" s="152">
        <v>1.8553459119496853</v>
      </c>
      <c r="U84" s="50">
        <f>Q66</f>
        <v>19.5</v>
      </c>
      <c r="V84" s="63">
        <f>R66</f>
        <v>12.35</v>
      </c>
      <c r="W84" s="64">
        <f>S66</f>
        <v>1.4580873671782761</v>
      </c>
      <c r="Y84" s="147">
        <v>45.5</v>
      </c>
      <c r="Z84" s="148">
        <v>1.2828057466250939</v>
      </c>
      <c r="AA84" s="149">
        <v>1.0048917337828878</v>
      </c>
      <c r="AC84" s="50">
        <f>Y176</f>
        <v>-0.5</v>
      </c>
      <c r="AD84" s="63">
        <f t="shared" ref="AD84:AE84" si="319">Z176</f>
        <v>9.9815497355661105</v>
      </c>
      <c r="AE84" s="64">
        <f t="shared" si="319"/>
        <v>3.3091923279035083</v>
      </c>
      <c r="AG84" s="147">
        <v>40.5</v>
      </c>
      <c r="AH84" s="148">
        <v>5.6961286120289598</v>
      </c>
      <c r="AI84" s="149">
        <v>1.8145011272600198</v>
      </c>
      <c r="AK84" s="50">
        <f>AG165</f>
        <v>0</v>
      </c>
      <c r="AL84" s="63">
        <f>AH165</f>
        <v>27.760093351206816</v>
      </c>
      <c r="AM84" s="64">
        <f>AI165</f>
        <v>3.6758507312217219</v>
      </c>
    </row>
    <row r="85" spans="1:39" ht="13.5" thickTop="1">
      <c r="A85" s="144">
        <v>20</v>
      </c>
      <c r="B85" s="145">
        <v>37.477298631929038</v>
      </c>
      <c r="C85" s="146">
        <v>2.7770301561980029</v>
      </c>
      <c r="E85" s="50">
        <f>A125</f>
        <v>0</v>
      </c>
      <c r="F85" s="63">
        <f t="shared" ref="F85:G85" si="320">B125</f>
        <v>97.705980163957392</v>
      </c>
      <c r="G85" s="64">
        <f t="shared" si="320"/>
        <v>3.825426970550478</v>
      </c>
      <c r="I85" s="144">
        <v>20</v>
      </c>
      <c r="J85" s="145">
        <v>37.314999999999998</v>
      </c>
      <c r="K85" s="146">
        <v>2.7716705043452423</v>
      </c>
      <c r="M85" s="50">
        <f>I125</f>
        <v>0</v>
      </c>
      <c r="N85" s="63">
        <f t="shared" ref="N85" si="321">J125</f>
        <v>95.096000000000004</v>
      </c>
      <c r="O85" s="64">
        <f t="shared" ref="O85" si="322">K125</f>
        <v>3.8009208927543647</v>
      </c>
      <c r="Q85" s="138">
        <v>10</v>
      </c>
      <c r="R85" s="139">
        <v>18.07</v>
      </c>
      <c r="S85" s="140">
        <v>1.8795506552943622</v>
      </c>
      <c r="U85" s="50">
        <f>Q65</f>
        <v>20</v>
      </c>
      <c r="V85" s="63">
        <f>R65</f>
        <v>12.11</v>
      </c>
      <c r="W85" s="64">
        <f>S65</f>
        <v>1.4379007361671812</v>
      </c>
      <c r="Y85" s="147">
        <v>45</v>
      </c>
      <c r="Z85" s="148">
        <v>1.3081555414827568</v>
      </c>
      <c r="AA85" s="149">
        <v>1.0206958406475166</v>
      </c>
      <c r="AC85" s="50">
        <f>Y175</f>
        <v>0</v>
      </c>
      <c r="AD85" s="63">
        <f t="shared" ref="AD85:AE85" si="323">Z175</f>
        <v>9.7332412890882765</v>
      </c>
      <c r="AE85" s="64">
        <f t="shared" si="323"/>
        <v>3.2808882089204285</v>
      </c>
      <c r="AG85" s="147">
        <v>40</v>
      </c>
      <c r="AH85" s="148">
        <v>5.7960898985960059</v>
      </c>
      <c r="AI85" s="149">
        <v>1.8346596961033934</v>
      </c>
      <c r="AK85" s="50">
        <f>AG164</f>
        <v>0.5</v>
      </c>
      <c r="AL85" s="63">
        <f>AH164</f>
        <v>27.15781657840612</v>
      </c>
      <c r="AM85" s="64">
        <f>AI164</f>
        <v>3.6543881044652933</v>
      </c>
    </row>
    <row r="86" spans="1:39">
      <c r="A86" s="144">
        <v>19.5</v>
      </c>
      <c r="B86" s="145">
        <v>38.334515448942859</v>
      </c>
      <c r="C86" s="146">
        <v>2.8049160220931881</v>
      </c>
      <c r="E86" s="50">
        <f>A124</f>
        <v>0.5</v>
      </c>
      <c r="F86" s="63">
        <f t="shared" ref="F86:G86" si="324">B124</f>
        <v>95.261966193696352</v>
      </c>
      <c r="G86" s="64">
        <f t="shared" si="324"/>
        <v>3.8025096159831113</v>
      </c>
      <c r="I86" s="144">
        <v>19.5</v>
      </c>
      <c r="J86" s="145">
        <v>38.15</v>
      </c>
      <c r="K86" s="146">
        <v>2.7989728539985324</v>
      </c>
      <c r="M86" s="50">
        <f>I124</f>
        <v>0.5</v>
      </c>
      <c r="N86" s="63">
        <f t="shared" ref="N86" si="325">J124</f>
        <v>92.777000000000001</v>
      </c>
      <c r="O86" s="64">
        <f t="shared" ref="O86" si="326">K124</f>
        <v>3.7782728035381217</v>
      </c>
      <c r="Q86" s="144">
        <v>9.5</v>
      </c>
      <c r="R86" s="145">
        <v>18.45</v>
      </c>
      <c r="S86" s="146">
        <v>1.9040247678018574</v>
      </c>
      <c r="U86" s="50">
        <f>Q64</f>
        <v>20.5</v>
      </c>
      <c r="V86" s="63">
        <f>R64</f>
        <v>11.88</v>
      </c>
      <c r="W86" s="64">
        <f>S64</f>
        <v>1.4183381088825215</v>
      </c>
      <c r="Y86" s="147">
        <v>44.5</v>
      </c>
      <c r="Z86" s="148">
        <v>1.3340802189094694</v>
      </c>
      <c r="AA86" s="149">
        <v>1.0367295507045966</v>
      </c>
      <c r="AC86" s="50">
        <f>Y174</f>
        <v>0.5</v>
      </c>
      <c r="AD86" s="63">
        <f t="shared" ref="AD86:AE86" si="327">Z174</f>
        <v>9.4917274374193941</v>
      </c>
      <c r="AE86" s="64">
        <f t="shared" si="327"/>
        <v>3.2524344626526425</v>
      </c>
      <c r="AG86" s="147">
        <v>39.5</v>
      </c>
      <c r="AH86" s="148">
        <v>5.898092829792283</v>
      </c>
      <c r="AI86" s="149">
        <v>1.8549686723238692</v>
      </c>
      <c r="AK86" s="50">
        <f>AG163</f>
        <v>1</v>
      </c>
      <c r="AL86" s="63">
        <f>AH163</f>
        <v>26.570350298848521</v>
      </c>
      <c r="AM86" s="64">
        <f>AI163</f>
        <v>3.6327721886335236</v>
      </c>
    </row>
    <row r="87" spans="1:39">
      <c r="A87" s="144">
        <v>19</v>
      </c>
      <c r="B87" s="145">
        <v>39.213948642034843</v>
      </c>
      <c r="C87" s="146">
        <v>2.8328067832716837</v>
      </c>
      <c r="E87" s="50">
        <f>A123</f>
        <v>1</v>
      </c>
      <c r="F87" s="63">
        <f t="shared" ref="F87:G87" si="328">B123</f>
        <v>92.885778019272564</v>
      </c>
      <c r="G87" s="64">
        <f t="shared" si="328"/>
        <v>3.779354271765484</v>
      </c>
      <c r="I87" s="144">
        <v>19</v>
      </c>
      <c r="J87" s="145">
        <v>39.006999999999998</v>
      </c>
      <c r="K87" s="146">
        <v>2.8263074760531537</v>
      </c>
      <c r="M87" s="50">
        <f>I123</f>
        <v>1</v>
      </c>
      <c r="N87" s="63">
        <f t="shared" ref="N87" si="329">J123</f>
        <v>90.521000000000001</v>
      </c>
      <c r="O87" s="64">
        <f t="shared" ref="O87" si="330">K123</f>
        <v>3.7554036226051895</v>
      </c>
      <c r="Q87" s="144">
        <v>9</v>
      </c>
      <c r="R87" s="145">
        <v>18.829999999999998</v>
      </c>
      <c r="S87" s="146">
        <v>1.9281179602703256</v>
      </c>
      <c r="U87" s="50">
        <f>Q63</f>
        <v>21</v>
      </c>
      <c r="V87" s="63">
        <f>R63</f>
        <v>11.65</v>
      </c>
      <c r="W87" s="64">
        <f>S63</f>
        <v>1.3985594237695078</v>
      </c>
      <c r="Y87" s="147">
        <v>44</v>
      </c>
      <c r="Z87" s="148">
        <v>1.3605943108339218</v>
      </c>
      <c r="AA87" s="149">
        <v>1.0529946978347715</v>
      </c>
      <c r="AC87" s="50">
        <f>Y173</f>
        <v>1</v>
      </c>
      <c r="AD87" s="63">
        <f t="shared" ref="AD87:AE87" si="331">Z173</f>
        <v>9.256809002672977</v>
      </c>
      <c r="AE87" s="64">
        <f t="shared" si="331"/>
        <v>3.22383929498175</v>
      </c>
      <c r="AG87" s="147">
        <v>39</v>
      </c>
      <c r="AH87" s="148">
        <v>6.0021844503896906</v>
      </c>
      <c r="AI87" s="149">
        <v>1.8754265922248894</v>
      </c>
      <c r="AK87" s="50">
        <f>AG162</f>
        <v>1.5</v>
      </c>
      <c r="AL87" s="63">
        <f>AH162</f>
        <v>25.99729136187856</v>
      </c>
      <c r="AM87" s="64">
        <f>AI162</f>
        <v>3.6110066033204253</v>
      </c>
    </row>
    <row r="88" spans="1:39">
      <c r="A88" s="144">
        <v>18.5</v>
      </c>
      <c r="B88" s="145">
        <v>40.116234169226757</v>
      </c>
      <c r="C88" s="146">
        <v>2.8606951474608238</v>
      </c>
      <c r="E88" s="50">
        <f>A122</f>
        <v>1.5</v>
      </c>
      <c r="F88" s="63">
        <f t="shared" ref="F88:G88" si="332">B122</f>
        <v>90.575378510550905</v>
      </c>
      <c r="G88" s="64">
        <f t="shared" si="332"/>
        <v>3.7559649254024583</v>
      </c>
      <c r="I88" s="144">
        <v>18.5</v>
      </c>
      <c r="J88" s="145">
        <v>39.886000000000003</v>
      </c>
      <c r="K88" s="146">
        <v>2.8536473685716741</v>
      </c>
      <c r="M88" s="50">
        <f>I122</f>
        <v>1.5</v>
      </c>
      <c r="N88" s="63">
        <f t="shared" ref="N88" si="333">J122</f>
        <v>88.325999999999993</v>
      </c>
      <c r="O88" s="64">
        <f t="shared" ref="O88" si="334">K122</f>
        <v>3.7323158054865373</v>
      </c>
      <c r="Q88" s="144">
        <v>8.5</v>
      </c>
      <c r="R88" s="145">
        <v>19.23</v>
      </c>
      <c r="S88" s="146">
        <v>1.9530773918342474</v>
      </c>
      <c r="U88" s="50">
        <f>Q62</f>
        <v>21.5</v>
      </c>
      <c r="V88" s="63">
        <f>R62</f>
        <v>11.43</v>
      </c>
      <c r="W88" s="64">
        <f>S62</f>
        <v>1.3794351918899348</v>
      </c>
      <c r="Y88" s="147">
        <v>43.5</v>
      </c>
      <c r="Z88" s="148">
        <v>1.3877127503070403</v>
      </c>
      <c r="AA88" s="149">
        <v>1.069493058429078</v>
      </c>
      <c r="AC88" s="50">
        <f>Y172</f>
        <v>1.5</v>
      </c>
      <c r="AD88" s="63">
        <f t="shared" ref="AD88:AE88" si="335">Z172</f>
        <v>9.0282929206803164</v>
      </c>
      <c r="AE88" s="64">
        <f t="shared" si="335"/>
        <v>3.1951110340673696</v>
      </c>
      <c r="AG88" s="147">
        <v>38.5</v>
      </c>
      <c r="AH88" s="148">
        <v>6.1084130045087219</v>
      </c>
      <c r="AI88" s="149">
        <v>1.8960319066809952</v>
      </c>
      <c r="AK88" s="50">
        <f>AG161</f>
        <v>2</v>
      </c>
      <c r="AL88" s="63">
        <f>AH161</f>
        <v>25.438248576469181</v>
      </c>
      <c r="AM88" s="64">
        <f>AI161</f>
        <v>3.5890950594776361</v>
      </c>
    </row>
    <row r="89" spans="1:39">
      <c r="A89" s="144">
        <v>18</v>
      </c>
      <c r="B89" s="145">
        <v>41.042027670662968</v>
      </c>
      <c r="C89" s="146">
        <v>2.888573779237118</v>
      </c>
      <c r="E89" s="50">
        <f>A121</f>
        <v>2</v>
      </c>
      <c r="F89" s="63">
        <f t="shared" ref="F89:G89" si="336">B121</f>
        <v>88.328795478704762</v>
      </c>
      <c r="G89" s="64">
        <f t="shared" si="336"/>
        <v>3.732345754106869</v>
      </c>
      <c r="I89" s="144">
        <v>18</v>
      </c>
      <c r="J89" s="145">
        <v>40.786000000000001</v>
      </c>
      <c r="K89" s="146">
        <v>2.8809369084282204</v>
      </c>
      <c r="M89" s="50">
        <f>I121</f>
        <v>2</v>
      </c>
      <c r="N89" s="63">
        <f t="shared" ref="N89" si="337">J121</f>
        <v>86.19</v>
      </c>
      <c r="O89" s="64">
        <f t="shared" ref="O89" si="338">K121</f>
        <v>3.7090111025045185</v>
      </c>
      <c r="Q89" s="144">
        <v>8</v>
      </c>
      <c r="R89" s="145">
        <v>19.63</v>
      </c>
      <c r="S89" s="146">
        <v>1.9776344952649607</v>
      </c>
      <c r="U89" s="50">
        <f>Q61</f>
        <v>22</v>
      </c>
      <c r="V89" s="63">
        <f>R61</f>
        <v>11.21</v>
      </c>
      <c r="W89" s="64">
        <f>S61</f>
        <v>1.3601067702014076</v>
      </c>
      <c r="Y89" s="147">
        <v>43</v>
      </c>
      <c r="Z89" s="148">
        <v>1.4154508833982622</v>
      </c>
      <c r="AA89" s="149">
        <v>1.0862263477458722</v>
      </c>
      <c r="AC89" s="50">
        <f>Y171</f>
        <v>2</v>
      </c>
      <c r="AD89" s="63">
        <f t="shared" ref="AD89:AE89" si="339">Z171</f>
        <v>8.8059920492104897</v>
      </c>
      <c r="AE89" s="64">
        <f t="shared" si="339"/>
        <v>3.1662581202577518</v>
      </c>
      <c r="AG89" s="147">
        <v>38</v>
      </c>
      <c r="AH89" s="148">
        <v>6.2168279689885768</v>
      </c>
      <c r="AI89" s="149">
        <v>1.916782980271176</v>
      </c>
      <c r="AK89" s="50">
        <f>AG160</f>
        <v>2.5</v>
      </c>
      <c r="AL89" s="63">
        <f>AH160</f>
        <v>24.892842328897025</v>
      </c>
      <c r="AM89" s="64">
        <f>AI160</f>
        <v>3.5670413568288826</v>
      </c>
    </row>
    <row r="90" spans="1:39">
      <c r="A90" s="144">
        <v>17.5</v>
      </c>
      <c r="B90" s="145">
        <v>41.992005116168883</v>
      </c>
      <c r="C90" s="146">
        <v>2.9164353075323488</v>
      </c>
      <c r="E90" s="50">
        <f>A120</f>
        <v>2.5</v>
      </c>
      <c r="F90" s="63">
        <f t="shared" ref="F90:G90" si="340">B120</f>
        <v>86.144119513582979</v>
      </c>
      <c r="G90" s="64">
        <f t="shared" si="340"/>
        <v>3.7085011223279571</v>
      </c>
      <c r="I90" s="144">
        <v>17.5</v>
      </c>
      <c r="J90" s="145">
        <v>41.71</v>
      </c>
      <c r="K90" s="146">
        <v>2.9082415283781899</v>
      </c>
      <c r="M90" s="50">
        <f>I120</f>
        <v>2.5</v>
      </c>
      <c r="N90" s="63">
        <f t="shared" ref="N90" si="341">J120</f>
        <v>84.111999999999995</v>
      </c>
      <c r="O90" s="64">
        <f t="shared" ref="O90" si="342">K120</f>
        <v>3.6855019629837349</v>
      </c>
      <c r="Q90" s="144">
        <v>7.5</v>
      </c>
      <c r="R90" s="145">
        <v>20.04</v>
      </c>
      <c r="S90" s="146">
        <v>2.0023980815347722</v>
      </c>
      <c r="U90" s="50">
        <f>Q60</f>
        <v>22.5</v>
      </c>
      <c r="V90" s="63">
        <f>R60</f>
        <v>11</v>
      </c>
      <c r="W90" s="64">
        <f>S60</f>
        <v>1.3414634146341464</v>
      </c>
      <c r="Y90" s="147">
        <v>42.5</v>
      </c>
      <c r="Z90" s="148">
        <v>1.4438244814656378</v>
      </c>
      <c r="AA90" s="149">
        <v>1.1031962161844695</v>
      </c>
      <c r="AC90" s="50">
        <f>Y170</f>
        <v>2.5</v>
      </c>
      <c r="AD90" s="63">
        <f t="shared" ref="AD90:AE90" si="343">Z170</f>
        <v>8.5897249821388204</v>
      </c>
      <c r="AE90" s="64">
        <f t="shared" si="343"/>
        <v>3.1372890957802135</v>
      </c>
      <c r="AG90" s="147">
        <v>37.5</v>
      </c>
      <c r="AH90" s="148">
        <v>6.3274800877597537</v>
      </c>
      <c r="AI90" s="149">
        <v>1.9376780904798914</v>
      </c>
      <c r="AK90" s="50">
        <f>AG159</f>
        <v>3</v>
      </c>
      <c r="AL90" s="63">
        <f>AH159</f>
        <v>24.360704213472708</v>
      </c>
      <c r="AM90" s="64">
        <f>AI159</f>
        <v>3.5448493811603785</v>
      </c>
    </row>
    <row r="91" spans="1:39">
      <c r="A91" s="144">
        <v>17</v>
      </c>
      <c r="B91" s="145">
        <v>42.966863475141572</v>
      </c>
      <c r="C91" s="146">
        <v>2.9442723332749234</v>
      </c>
      <c r="E91" s="50">
        <f>A119</f>
        <v>3</v>
      </c>
      <c r="F91" s="63">
        <f t="shared" ref="F91:G91" si="344">B119</f>
        <v>84.019501895212557</v>
      </c>
      <c r="G91" s="64">
        <f t="shared" si="344"/>
        <v>3.6844355789428493</v>
      </c>
      <c r="I91" s="144">
        <v>17</v>
      </c>
      <c r="J91" s="145">
        <v>42.656999999999996</v>
      </c>
      <c r="K91" s="146">
        <v>2.9355051818819931</v>
      </c>
      <c r="M91" s="50">
        <f>I119</f>
        <v>3</v>
      </c>
      <c r="N91" s="63">
        <f t="shared" ref="N91" si="345">J119</f>
        <v>82.088999999999999</v>
      </c>
      <c r="O91" s="64">
        <f t="shared" ref="O91" si="346">K119</f>
        <v>3.661777694510612</v>
      </c>
      <c r="Q91" s="144">
        <v>7</v>
      </c>
      <c r="R91" s="145">
        <v>20.47</v>
      </c>
      <c r="S91" s="146">
        <v>2.0279373885476519</v>
      </c>
      <c r="U91" s="50">
        <f>Q59</f>
        <v>23</v>
      </c>
      <c r="V91" s="63">
        <f>R59</f>
        <v>10.79</v>
      </c>
      <c r="W91" s="64">
        <f>S59</f>
        <v>1.3226280951213532</v>
      </c>
      <c r="Y91" s="147">
        <v>42</v>
      </c>
      <c r="Z91" s="148">
        <v>1.4728497538119831</v>
      </c>
      <c r="AA91" s="149">
        <v>1.1204042454779912</v>
      </c>
      <c r="AC91" s="50">
        <f>Y169</f>
        <v>3</v>
      </c>
      <c r="AD91" s="63">
        <f t="shared" ref="AD91:AE91" si="347">Z169</f>
        <v>8.3793158693926664</v>
      </c>
      <c r="AE91" s="64">
        <f t="shared" si="347"/>
        <v>3.1082125942383647</v>
      </c>
      <c r="AG91" s="147">
        <v>37</v>
      </c>
      <c r="AH91" s="148">
        <v>6.4404214072524137</v>
      </c>
      <c r="AI91" s="149">
        <v>1.9587154269693265</v>
      </c>
      <c r="AK91" s="50">
        <f>AG158</f>
        <v>3.5</v>
      </c>
      <c r="AL91" s="63">
        <f>AH158</f>
        <v>23.841476675859351</v>
      </c>
      <c r="AM91" s="64">
        <f>AI158</f>
        <v>3.522523101491394</v>
      </c>
    </row>
    <row r="92" spans="1:39">
      <c r="A92" s="144">
        <v>16.5</v>
      </c>
      <c r="B92" s="145">
        <v>43.96732140956864</v>
      </c>
      <c r="C92" s="146">
        <v>2.9720774371505692</v>
      </c>
      <c r="E92" s="50">
        <f>A118</f>
        <v>3.5</v>
      </c>
      <c r="F92" s="63">
        <f t="shared" ref="F92:G92" si="348">B118</f>
        <v>81.953152576862749</v>
      </c>
      <c r="G92" s="64">
        <f t="shared" si="348"/>
        <v>3.6601538541130787</v>
      </c>
      <c r="I92" s="144">
        <v>16.5</v>
      </c>
      <c r="J92" s="145">
        <v>43.628</v>
      </c>
      <c r="K92" s="146">
        <v>2.9627315695115986</v>
      </c>
      <c r="M92" s="50">
        <f>I118</f>
        <v>3.5</v>
      </c>
      <c r="N92" s="63">
        <f t="shared" ref="N92" si="349">J118</f>
        <v>80.120999999999995</v>
      </c>
      <c r="O92" s="64">
        <f t="shared" ref="O92" si="350">K118</f>
        <v>3.6378619881766419</v>
      </c>
      <c r="Q92" s="144">
        <v>6.5</v>
      </c>
      <c r="R92" s="145">
        <v>20.9</v>
      </c>
      <c r="S92" s="146">
        <v>2.0530451866404715</v>
      </c>
      <c r="U92" s="50">
        <f>Q58</f>
        <v>23.5</v>
      </c>
      <c r="V92" s="63">
        <f>R58</f>
        <v>10.59</v>
      </c>
      <c r="W92" s="64">
        <f>S58</f>
        <v>1.3045084996304508</v>
      </c>
      <c r="Y92" s="147">
        <v>41.5</v>
      </c>
      <c r="Z92" s="148">
        <v>1.50254336073978</v>
      </c>
      <c r="AA92" s="149">
        <v>1.137851944808302</v>
      </c>
      <c r="AC92" s="50">
        <f>Y168</f>
        <v>3.5</v>
      </c>
      <c r="AD92" s="63">
        <f t="shared" ref="AD92:AE92" si="351">Z168</f>
        <v>8.1745942425064335</v>
      </c>
      <c r="AE92" s="64">
        <f t="shared" si="351"/>
        <v>3.0790373299436355</v>
      </c>
      <c r="AG92" s="147">
        <v>36.5</v>
      </c>
      <c r="AH92" s="148">
        <v>6.5557053128729974</v>
      </c>
      <c r="AI92" s="149">
        <v>1.9798930909260524</v>
      </c>
      <c r="AK92" s="50">
        <f>AG157</f>
        <v>4</v>
      </c>
      <c r="AL92" s="63">
        <f>AH157</f>
        <v>23.334812668518222</v>
      </c>
      <c r="AM92" s="64">
        <f>AI157</f>
        <v>3.5000665671290667</v>
      </c>
    </row>
    <row r="93" spans="1:39">
      <c r="A93" s="144">
        <v>16</v>
      </c>
      <c r="B93" s="145">
        <v>44.994119991000716</v>
      </c>
      <c r="C93" s="146">
        <v>2.9998431874658977</v>
      </c>
      <c r="E93" s="50">
        <f>A117</f>
        <v>4</v>
      </c>
      <c r="F93" s="63">
        <f t="shared" ref="F93:G93" si="352">B117</f>
        <v>79.943338237181905</v>
      </c>
      <c r="G93" s="64">
        <f t="shared" si="352"/>
        <v>3.6356608558091676</v>
      </c>
      <c r="I93" s="144">
        <v>16</v>
      </c>
      <c r="J93" s="145">
        <v>44.624000000000002</v>
      </c>
      <c r="K93" s="146">
        <v>2.9899228130360207</v>
      </c>
      <c r="M93" s="50">
        <f>I117</f>
        <v>4</v>
      </c>
      <c r="N93" s="63">
        <f t="shared" ref="N93" si="353">J117</f>
        <v>78.204999999999998</v>
      </c>
      <c r="O93" s="64">
        <f t="shared" ref="O93" si="354">K117</f>
        <v>3.613742433344115</v>
      </c>
      <c r="Q93" s="144">
        <v>6</v>
      </c>
      <c r="R93" s="145">
        <v>21.35</v>
      </c>
      <c r="S93" s="146">
        <v>2.0788704965920157</v>
      </c>
      <c r="U93" s="50">
        <f>Q57</f>
        <v>24</v>
      </c>
      <c r="V93" s="63">
        <f>R57</f>
        <v>10.39</v>
      </c>
      <c r="W93" s="64">
        <f>S57</f>
        <v>1.2862094577865808</v>
      </c>
      <c r="Y93" s="147">
        <v>41</v>
      </c>
      <c r="Z93" s="148">
        <v>1.5329224270179331</v>
      </c>
      <c r="AA93" s="149">
        <v>1.1555407468462684</v>
      </c>
      <c r="AC93" s="50">
        <f>Y167</f>
        <v>4</v>
      </c>
      <c r="AD93" s="63">
        <f t="shared" ref="AD93:AE93" si="355">Z167</f>
        <v>7.9753948456215937</v>
      </c>
      <c r="AE93" s="64">
        <f t="shared" si="355"/>
        <v>3.0497720871091789</v>
      </c>
      <c r="AG93" s="147">
        <v>36</v>
      </c>
      <c r="AH93" s="148">
        <v>6.6733865665848047</v>
      </c>
      <c r="AI93" s="149">
        <v>2.0012090944856289</v>
      </c>
      <c r="AK93" s="50">
        <f>AG156</f>
        <v>4.5</v>
      </c>
      <c r="AL93" s="63">
        <f>AH156</f>
        <v>22.84037531784843</v>
      </c>
      <c r="AM93" s="64">
        <f>AI156</f>
        <v>3.4774839046122148</v>
      </c>
    </row>
    <row r="94" spans="1:39">
      <c r="A94" s="144">
        <v>15.5</v>
      </c>
      <c r="B94" s="145">
        <v>46.048023442334326</v>
      </c>
      <c r="C94" s="146">
        <v>3.0275621480978798</v>
      </c>
      <c r="E94" s="50">
        <f>A116</f>
        <v>4.5</v>
      </c>
      <c r="F94" s="63">
        <f t="shared" ref="F94:G94" si="356">B116</f>
        <v>77.988380399009088</v>
      </c>
      <c r="G94" s="64">
        <f t="shared" si="356"/>
        <v>3.610961666007388</v>
      </c>
      <c r="I94" s="144">
        <v>15.5</v>
      </c>
      <c r="J94" s="145">
        <v>45.646000000000001</v>
      </c>
      <c r="K94" s="146">
        <v>3.0170795547682627</v>
      </c>
      <c r="M94" s="50">
        <f>I116</f>
        <v>4.5</v>
      </c>
      <c r="N94" s="63">
        <f t="shared" ref="N94" si="357">J116</f>
        <v>76.34</v>
      </c>
      <c r="O94" s="64">
        <f t="shared" ref="O94" si="358">K116</f>
        <v>3.5894301297724285</v>
      </c>
      <c r="Q94" s="144">
        <v>5.5</v>
      </c>
      <c r="R94" s="145">
        <v>21.8</v>
      </c>
      <c r="S94" s="146">
        <v>2.1042471042471043</v>
      </c>
      <c r="U94" s="50">
        <f>Q56</f>
        <v>24.5</v>
      </c>
      <c r="V94" s="63">
        <f>R56</f>
        <v>10.19</v>
      </c>
      <c r="W94" s="64">
        <f>S56</f>
        <v>1.2677282906195571</v>
      </c>
      <c r="Y94" s="147">
        <v>40.5</v>
      </c>
      <c r="Z94" s="148">
        <v>1.5640045557740483</v>
      </c>
      <c r="AA94" s="149">
        <v>1.1734720037210296</v>
      </c>
      <c r="AC94" s="50">
        <f>Y166</f>
        <v>4.5</v>
      </c>
      <c r="AD94" s="63">
        <f t="shared" ref="AD94:AE94" si="359">Z166</f>
        <v>7.7815574717720724</v>
      </c>
      <c r="AE94" s="64">
        <f t="shared" si="359"/>
        <v>3.0204257089347091</v>
      </c>
      <c r="AG94" s="147">
        <v>35.5</v>
      </c>
      <c r="AH94" s="148">
        <v>6.7935213456269823</v>
      </c>
      <c r="AI94" s="149">
        <v>2.0226613602381875</v>
      </c>
      <c r="AK94" s="50">
        <f>AG155</f>
        <v>5</v>
      </c>
      <c r="AL94" s="63">
        <f>AH155</f>
        <v>22.357837602595886</v>
      </c>
      <c r="AM94" s="64">
        <f>AI155</f>
        <v>3.4547793145488561</v>
      </c>
    </row>
    <row r="95" spans="1:39">
      <c r="A95" s="144">
        <v>15</v>
      </c>
      <c r="B95" s="145">
        <v>47.129819905290482</v>
      </c>
      <c r="C95" s="146">
        <v>3.0552268865117473</v>
      </c>
      <c r="E95" s="50">
        <f>A115</f>
        <v>5</v>
      </c>
      <c r="F95" s="63">
        <f t="shared" ref="F95:G95" si="360">B115</f>
        <v>76.086653612540559</v>
      </c>
      <c r="G95" s="64">
        <f t="shared" si="360"/>
        <v>3.5860615365638373</v>
      </c>
      <c r="I95" s="144">
        <v>15</v>
      </c>
      <c r="J95" s="145">
        <v>46.694000000000003</v>
      </c>
      <c r="K95" s="146">
        <v>3.0441755548022011</v>
      </c>
      <c r="M95" s="50">
        <f>I115</f>
        <v>5</v>
      </c>
      <c r="N95" s="63">
        <f t="shared" ref="N95" si="361">J115</f>
        <v>74.524000000000001</v>
      </c>
      <c r="O95" s="64">
        <f t="shared" ref="O95" si="362">K115</f>
        <v>3.5649228885232098</v>
      </c>
      <c r="Q95" s="144">
        <v>5</v>
      </c>
      <c r="R95" s="145">
        <v>22.27</v>
      </c>
      <c r="S95" s="146">
        <v>2.1302850583508706</v>
      </c>
      <c r="U95" s="50">
        <f>Q55</f>
        <v>25</v>
      </c>
      <c r="V95" s="63">
        <f>R55</f>
        <v>10</v>
      </c>
      <c r="W95" s="64">
        <f>S55</f>
        <v>1.25</v>
      </c>
      <c r="Y95" s="147">
        <v>40</v>
      </c>
      <c r="Z95" s="148">
        <v>1.5958078428260545</v>
      </c>
      <c r="AA95" s="149">
        <v>1.1916469829221703</v>
      </c>
      <c r="AC95" s="50">
        <f>Y165</f>
        <v>5</v>
      </c>
      <c r="AD95" s="63">
        <f t="shared" ref="AD95:AE95" si="363">Z165</f>
        <v>7.5929268042975124</v>
      </c>
      <c r="AE95" s="64">
        <f t="shared" si="363"/>
        <v>2.9910070866109204</v>
      </c>
      <c r="AG95" s="147">
        <v>35</v>
      </c>
      <c r="AH95" s="148">
        <v>6.9161672824100382</v>
      </c>
      <c r="AI95" s="149">
        <v>2.0442477208184404</v>
      </c>
      <c r="AK95" s="50">
        <f>AG154</f>
        <v>5.5</v>
      </c>
      <c r="AL95" s="63">
        <f>AH154</f>
        <v>21.886882043129383</v>
      </c>
      <c r="AM95" s="64">
        <f>AI154</f>
        <v>3.4319570683527081</v>
      </c>
    </row>
    <row r="96" spans="1:39">
      <c r="A96" s="144">
        <v>14.5</v>
      </c>
      <c r="B96" s="145">
        <v>48.240322234508703</v>
      </c>
      <c r="C96" s="146">
        <v>3.0828299818294846</v>
      </c>
      <c r="E96" s="50">
        <f>A114</f>
        <v>5.5</v>
      </c>
      <c r="F96" s="63">
        <f t="shared" ref="F96:G96" si="364">B114</f>
        <v>74.236583700616123</v>
      </c>
      <c r="G96" s="64">
        <f t="shared" si="364"/>
        <v>3.5609658847720524</v>
      </c>
      <c r="I96" s="144">
        <v>14.5</v>
      </c>
      <c r="J96" s="145">
        <v>47.768999999999998</v>
      </c>
      <c r="K96" s="146">
        <v>3.0712108938008718</v>
      </c>
      <c r="M96" s="50">
        <f>I114</f>
        <v>5.5</v>
      </c>
      <c r="N96" s="63">
        <f t="shared" ref="N96" si="365">J114</f>
        <v>72.757000000000005</v>
      </c>
      <c r="O96" s="64">
        <f t="shared" ref="O96" si="366">K114</f>
        <v>3.5402454334011311</v>
      </c>
      <c r="Q96" s="144">
        <v>4.5</v>
      </c>
      <c r="R96" s="145">
        <v>22.75</v>
      </c>
      <c r="S96" s="146">
        <v>2.1563981042654028</v>
      </c>
      <c r="U96" s="50">
        <f>Q54</f>
        <v>25.5</v>
      </c>
      <c r="V96" s="63">
        <f>R54</f>
        <v>9.8149999999999995</v>
      </c>
      <c r="W96" s="64">
        <f>S54</f>
        <v>1.2325756624387794</v>
      </c>
      <c r="Y96" s="147">
        <v>39.5</v>
      </c>
      <c r="Z96" s="148">
        <v>1.6283508914678788</v>
      </c>
      <c r="AA96" s="149">
        <v>1.2100668631393514</v>
      </c>
      <c r="AC96" s="50">
        <f>Y164</f>
        <v>5.5</v>
      </c>
      <c r="AD96" s="63">
        <f t="shared" ref="AD96:AE96" si="367">Z164</f>
        <v>7.4093522632335675</v>
      </c>
      <c r="AE96" s="64">
        <f t="shared" si="367"/>
        <v>2.9615251482726692</v>
      </c>
      <c r="AG96" s="147">
        <v>34.5</v>
      </c>
      <c r="AH96" s="148">
        <v>7.0413835056254479</v>
      </c>
      <c r="AI96" s="149">
        <v>2.0659659185831516</v>
      </c>
      <c r="AK96" s="50">
        <f>AG153</f>
        <v>6</v>
      </c>
      <c r="AL96" s="63">
        <f>AH153</f>
        <v>21.427200401191609</v>
      </c>
      <c r="AM96" s="64">
        <f>AI153</f>
        <v>3.4090215048838974</v>
      </c>
    </row>
    <row r="97" spans="1:39">
      <c r="A97" s="144">
        <v>14</v>
      </c>
      <c r="B97" s="145">
        <v>49.380368819209771</v>
      </c>
      <c r="C97" s="146">
        <v>3.1103640329307654</v>
      </c>
      <c r="E97" s="50">
        <f>A113</f>
        <v>6</v>
      </c>
      <c r="F97" s="63">
        <f t="shared" ref="F97:G97" si="368">B113</f>
        <v>72.43664606396419</v>
      </c>
      <c r="G97" s="64">
        <f t="shared" si="368"/>
        <v>3.535680288611402</v>
      </c>
      <c r="I97" s="144">
        <v>14</v>
      </c>
      <c r="J97" s="145">
        <v>48.872</v>
      </c>
      <c r="K97" s="146">
        <v>3.0981844000405721</v>
      </c>
      <c r="M97" s="50">
        <f>I113</f>
        <v>6</v>
      </c>
      <c r="N97" s="63">
        <f t="shared" ref="N97" si="369">J113</f>
        <v>71.036000000000001</v>
      </c>
      <c r="O97" s="64">
        <f t="shared" ref="O97" si="370">K113</f>
        <v>3.515380656399699</v>
      </c>
      <c r="Q97" s="144">
        <v>4</v>
      </c>
      <c r="R97" s="145">
        <v>23.24</v>
      </c>
      <c r="S97" s="146">
        <v>2.1825694966190832</v>
      </c>
      <c r="U97" s="50">
        <f>Q53</f>
        <v>26</v>
      </c>
      <c r="V97" s="63">
        <f>R53</f>
        <v>9.6319999999999997</v>
      </c>
      <c r="W97" s="64">
        <f>S53</f>
        <v>1.2151796528058134</v>
      </c>
      <c r="Y97" s="147">
        <v>39</v>
      </c>
      <c r="Z97" s="148">
        <v>1.661652827724021</v>
      </c>
      <c r="AA97" s="149">
        <v>1.2287327300441533</v>
      </c>
      <c r="AC97" s="50">
        <f>Y163</f>
        <v>6</v>
      </c>
      <c r="AD97" s="63">
        <f t="shared" ref="AD97:AE97" si="371">Z163</f>
        <v>7.2306878565290376</v>
      </c>
      <c r="AE97" s="64">
        <f t="shared" si="371"/>
        <v>2.9319888479296896</v>
      </c>
      <c r="AG97" s="147">
        <v>34</v>
      </c>
      <c r="AH97" s="148">
        <v>7.1692306826092933</v>
      </c>
      <c r="AI97" s="149">
        <v>2.0878136053792451</v>
      </c>
      <c r="AK97" s="50">
        <f>AG152</f>
        <v>6.5</v>
      </c>
      <c r="AL97" s="63">
        <f>AH152</f>
        <v>20.97849338975254</v>
      </c>
      <c r="AM97" s="64">
        <f>AI152</f>
        <v>3.3859770269996528</v>
      </c>
    </row>
    <row r="98" spans="1:39">
      <c r="A98" s="144">
        <v>13.5</v>
      </c>
      <c r="B98" s="145">
        <v>50.55082443341233</v>
      </c>
      <c r="C98" s="146">
        <v>3.1378216665678189</v>
      </c>
      <c r="E98" s="50">
        <f>A112</f>
        <v>6.5</v>
      </c>
      <c r="F98" s="63">
        <f t="shared" ref="F98:G98" si="372">B112</f>
        <v>70.685364044321958</v>
      </c>
      <c r="G98" s="64">
        <f t="shared" si="372"/>
        <v>3.5102104816945428</v>
      </c>
      <c r="I98" s="144">
        <v>13.5</v>
      </c>
      <c r="J98" s="145">
        <v>50.003999999999998</v>
      </c>
      <c r="K98" s="146">
        <v>3.1250937453127343</v>
      </c>
      <c r="M98" s="50">
        <f>I112</f>
        <v>6.5</v>
      </c>
      <c r="N98" s="63">
        <f t="shared" ref="N98" si="373">J112</f>
        <v>69.361000000000004</v>
      </c>
      <c r="O98" s="64">
        <f t="shared" ref="O98" si="374">K112</f>
        <v>3.4903533579573476</v>
      </c>
      <c r="Q98" s="144">
        <v>3.5</v>
      </c>
      <c r="R98" s="145">
        <v>23.74</v>
      </c>
      <c r="S98" s="146">
        <v>2.2087830294008186</v>
      </c>
      <c r="U98" s="50">
        <f>Q52</f>
        <v>26.5</v>
      </c>
      <c r="V98" s="63">
        <f>R52</f>
        <v>9.4529999999999994</v>
      </c>
      <c r="W98" s="64">
        <f>S52</f>
        <v>1.1980077560641775</v>
      </c>
      <c r="Y98" s="147">
        <v>38.5</v>
      </c>
      <c r="Z98" s="148">
        <v>1.6957333160885781</v>
      </c>
      <c r="AA98" s="149">
        <v>1.2476455720194386</v>
      </c>
      <c r="AC98" s="50">
        <f>Y162</f>
        <v>6.5</v>
      </c>
      <c r="AD98" s="63">
        <f t="shared" ref="AD98:AE98" si="375">Z162</f>
        <v>7.0567920359462031</v>
      </c>
      <c r="AE98" s="64">
        <f t="shared" si="375"/>
        <v>2.9024071544039334</v>
      </c>
      <c r="AG98" s="147">
        <v>33.5</v>
      </c>
      <c r="AH98" s="148">
        <v>7.2997710630009642</v>
      </c>
      <c r="AI98" s="149">
        <v>2.1097883424055799</v>
      </c>
      <c r="AK98" s="50">
        <f>AG151</f>
        <v>7</v>
      </c>
      <c r="AL98" s="63">
        <f>AH151</f>
        <v>20.540470392601037</v>
      </c>
      <c r="AM98" s="64">
        <f>AI151</f>
        <v>3.3628280980206062</v>
      </c>
    </row>
    <row r="99" spans="1:39">
      <c r="A99" s="144">
        <v>13</v>
      </c>
      <c r="B99" s="145">
        <v>51.752581115728198</v>
      </c>
      <c r="C99" s="146">
        <v>3.1651955454756666</v>
      </c>
      <c r="E99" s="50">
        <f>A111</f>
        <v>7</v>
      </c>
      <c r="F99" s="63">
        <f t="shared" ref="F99:G99" si="376">B111</f>
        <v>68.981307343416788</v>
      </c>
      <c r="G99" s="64">
        <f t="shared" si="376"/>
        <v>3.4845623479231969</v>
      </c>
      <c r="I99" s="144">
        <v>13</v>
      </c>
      <c r="J99" s="145">
        <v>51.164999999999999</v>
      </c>
      <c r="K99" s="146">
        <v>3.1519127702827574</v>
      </c>
      <c r="M99" s="50">
        <f>I111</f>
        <v>7</v>
      </c>
      <c r="N99" s="63">
        <f t="shared" ref="N99" si="377">J111</f>
        <v>67.73</v>
      </c>
      <c r="O99" s="64">
        <f t="shared" ref="O99" si="378">K111</f>
        <v>3.4651591118387395</v>
      </c>
      <c r="Q99" s="144">
        <v>3</v>
      </c>
      <c r="R99" s="145">
        <v>24.25</v>
      </c>
      <c r="S99" s="146">
        <v>2.2350230414746544</v>
      </c>
      <c r="U99" s="50">
        <f>Q51</f>
        <v>27</v>
      </c>
      <c r="V99" s="63">
        <f>R51</f>
        <v>9.2780000000000005</v>
      </c>
      <c r="W99" s="64">
        <f>S51</f>
        <v>1.181068282499109</v>
      </c>
      <c r="Y99" s="147">
        <v>38</v>
      </c>
      <c r="Z99" s="148">
        <v>1.7306125757647566</v>
      </c>
      <c r="AA99" s="149">
        <v>1.266806275841956</v>
      </c>
      <c r="AC99" s="50">
        <f>Y161</f>
        <v>7</v>
      </c>
      <c r="AD99" s="63">
        <f t="shared" ref="AD99:AE99" si="379">Z161</f>
        <v>6.8875275575019312</v>
      </c>
      <c r="AE99" s="64">
        <f t="shared" si="379"/>
        <v>2.8727890403019924</v>
      </c>
      <c r="AG99" s="147">
        <v>33</v>
      </c>
      <c r="AH99" s="148">
        <v>7.4330685237387613</v>
      </c>
      <c r="AI99" s="149">
        <v>2.131887600171217</v>
      </c>
      <c r="AK99" s="50">
        <f>AG150</f>
        <v>7.5</v>
      </c>
      <c r="AL99" s="63">
        <f>AH150</f>
        <v>20.112849193332284</v>
      </c>
      <c r="AM99" s="64">
        <f>AI150</f>
        <v>3.3395792381190148</v>
      </c>
    </row>
    <row r="100" spans="1:39">
      <c r="A100" s="144">
        <v>12.5</v>
      </c>
      <c r="B100" s="145">
        <v>52.986559079796415</v>
      </c>
      <c r="C100" s="146">
        <v>3.1924783764589364</v>
      </c>
      <c r="E100" s="50">
        <f>A110</f>
        <v>7.5</v>
      </c>
      <c r="F100" s="63">
        <f t="shared" ref="F100:G100" si="380">B110</f>
        <v>67.323090495868954</v>
      </c>
      <c r="G100" s="64">
        <f t="shared" si="380"/>
        <v>3.4587419158625359</v>
      </c>
      <c r="I100" s="144">
        <v>12.5</v>
      </c>
      <c r="J100" s="145">
        <v>52.356000000000002</v>
      </c>
      <c r="K100" s="146">
        <v>3.1786390791199191</v>
      </c>
      <c r="M100" s="50">
        <f>I110</f>
        <v>7.5</v>
      </c>
      <c r="N100" s="63">
        <f t="shared" ref="N100" si="381">J110</f>
        <v>66.141000000000005</v>
      </c>
      <c r="O100" s="64">
        <f t="shared" ref="O100" si="382">K110</f>
        <v>3.4397915561519019</v>
      </c>
      <c r="Q100" s="144">
        <v>2.5</v>
      </c>
      <c r="R100" s="145">
        <v>24.78</v>
      </c>
      <c r="S100" s="146">
        <v>2.261774370208105</v>
      </c>
      <c r="U100" s="50">
        <f>Q50</f>
        <v>27.5</v>
      </c>
      <c r="V100" s="63">
        <f>R50</f>
        <v>9.1069999999999993</v>
      </c>
      <c r="W100" s="64">
        <f>S50</f>
        <v>1.1643695502084026</v>
      </c>
      <c r="Y100" s="147">
        <v>37.5</v>
      </c>
      <c r="Z100" s="148">
        <v>1.7663113974213838</v>
      </c>
      <c r="AA100" s="149">
        <v>1.2862156223243202</v>
      </c>
      <c r="AC100" s="50">
        <f>Y160</f>
        <v>7.5</v>
      </c>
      <c r="AD100" s="63">
        <f t="shared" ref="AD100:AE100" si="383">Z160</f>
        <v>6.7227613463133711</v>
      </c>
      <c r="AE100" s="64">
        <f t="shared" si="383"/>
        <v>2.8431434710511576</v>
      </c>
      <c r="AG100" s="147">
        <v>32.5</v>
      </c>
      <c r="AH100" s="148">
        <v>7.5691886154369294</v>
      </c>
      <c r="AI100" s="149">
        <v>2.1541087585531313</v>
      </c>
      <c r="AK100" s="50">
        <f>AG149</f>
        <v>8</v>
      </c>
      <c r="AL100" s="63">
        <f>AH149</f>
        <v>19.695355713391638</v>
      </c>
      <c r="AM100" s="64">
        <f>AI149</f>
        <v>3.3162350206348385</v>
      </c>
    </row>
    <row r="101" spans="1:39">
      <c r="A101" s="144">
        <v>12</v>
      </c>
      <c r="B101" s="145">
        <v>54.25370765645323</v>
      </c>
      <c r="C101" s="146">
        <v>3.2196629184364318</v>
      </c>
      <c r="E101" s="50">
        <f>A109</f>
        <v>8</v>
      </c>
      <c r="F101" s="63">
        <f t="shared" ref="F101:G101" si="384">B109</f>
        <v>65.709371394139424</v>
      </c>
      <c r="G101" s="64">
        <f t="shared" si="384"/>
        <v>3.4327553528453647</v>
      </c>
      <c r="I101" s="144">
        <v>12</v>
      </c>
      <c r="J101" s="145">
        <v>53.579000000000001</v>
      </c>
      <c r="K101" s="146">
        <v>3.2052908027135998</v>
      </c>
      <c r="M101" s="50">
        <f>I109</f>
        <v>8</v>
      </c>
      <c r="N101" s="63">
        <f t="shared" ref="N101" si="385">J109</f>
        <v>64.596000000000004</v>
      </c>
      <c r="O101" s="64">
        <f t="shared" ref="O101" si="386">K109</f>
        <v>3.4143092731193709</v>
      </c>
      <c r="Q101" s="144">
        <v>2</v>
      </c>
      <c r="R101" s="145">
        <v>25.32</v>
      </c>
      <c r="S101" s="146">
        <v>2.2885032537960952</v>
      </c>
      <c r="U101" s="50">
        <f>Q49</f>
        <v>28</v>
      </c>
      <c r="V101" s="63">
        <f>R49</f>
        <v>8.9390000000000001</v>
      </c>
      <c r="W101" s="64">
        <f>S49</f>
        <v>1.1478209507177894</v>
      </c>
      <c r="Y101" s="147">
        <v>37</v>
      </c>
      <c r="Z101" s="148">
        <v>1.8028511604835842</v>
      </c>
      <c r="AA101" s="149">
        <v>1.3058742819230107</v>
      </c>
      <c r="AC101" s="50">
        <f>Y159</f>
        <v>8</v>
      </c>
      <c r="AD101" s="63">
        <f t="shared" ref="AD101:AE101" si="387">Z159</f>
        <v>6.5623643657131936</v>
      </c>
      <c r="AE101" s="64">
        <f t="shared" si="387"/>
        <v>2.8134793940267544</v>
      </c>
      <c r="AG101" s="147">
        <v>32</v>
      </c>
      <c r="AH101" s="148">
        <v>7.7081986101895188</v>
      </c>
      <c r="AI101" s="149">
        <v>2.1764491069560639</v>
      </c>
      <c r="AK101" s="50">
        <f>AG148</f>
        <v>8.5</v>
      </c>
      <c r="AL101" s="63">
        <f>AH148</f>
        <v>19.287723758857066</v>
      </c>
      <c r="AM101" s="64">
        <f>AI148</f>
        <v>3.2928000683262653</v>
      </c>
    </row>
    <row r="102" spans="1:39">
      <c r="A102" s="144">
        <v>11.5</v>
      </c>
      <c r="B102" s="145">
        <v>55.555006268779188</v>
      </c>
      <c r="C102" s="146">
        <v>3.246741990424725</v>
      </c>
      <c r="E102" s="50">
        <f>A108</f>
        <v>8.5</v>
      </c>
      <c r="F102" s="63">
        <f t="shared" ref="F102:G102" si="388">B108</f>
        <v>64.138849863712878</v>
      </c>
      <c r="G102" s="64">
        <f t="shared" si="388"/>
        <v>3.4066089588181856</v>
      </c>
      <c r="I102" s="144">
        <v>11.5</v>
      </c>
      <c r="J102" s="145">
        <v>54.832999999999998</v>
      </c>
      <c r="K102" s="146">
        <v>3.2318201643228459</v>
      </c>
      <c r="M102" s="50">
        <f>I108</f>
        <v>8.5</v>
      </c>
      <c r="N102" s="63">
        <f t="shared" ref="N102" si="389">J108</f>
        <v>63.088000000000001</v>
      </c>
      <c r="O102" s="64">
        <f t="shared" ref="O102" si="390">K108</f>
        <v>3.388621519422482</v>
      </c>
      <c r="Q102" s="144">
        <v>1.5</v>
      </c>
      <c r="R102" s="145">
        <v>25.87</v>
      </c>
      <c r="S102" s="146">
        <v>2.3151959906926791</v>
      </c>
      <c r="U102" s="50">
        <f>Q48</f>
        <v>28.5</v>
      </c>
      <c r="V102" s="63">
        <f>R48</f>
        <v>8.7750000000000004</v>
      </c>
      <c r="W102" s="64">
        <f>S48</f>
        <v>1.1315280464216635</v>
      </c>
      <c r="Y102" s="147">
        <v>36.5</v>
      </c>
      <c r="Z102" s="148">
        <v>1.8402538509753139</v>
      </c>
      <c r="AA102" s="149">
        <v>1.3257828103194691</v>
      </c>
      <c r="AC102" s="50">
        <f>Y158</f>
        <v>8.5</v>
      </c>
      <c r="AD102" s="63">
        <f t="shared" ref="AD102:AE102" si="391">Z158</f>
        <v>6.4062114905047114</v>
      </c>
      <c r="AE102" s="64">
        <f t="shared" si="391"/>
        <v>2.7838057277981196</v>
      </c>
      <c r="AG102" s="147">
        <v>31.5</v>
      </c>
      <c r="AH102" s="148">
        <v>7.8501675508471287</v>
      </c>
      <c r="AI102" s="149">
        <v>2.198905844576954</v>
      </c>
      <c r="AK102" s="50">
        <f>AG147</f>
        <v>9</v>
      </c>
      <c r="AL102" s="63">
        <f>AH147</f>
        <v>18.889694775649268</v>
      </c>
      <c r="AM102" s="64">
        <f>AI147</f>
        <v>3.2692790495611495</v>
      </c>
    </row>
    <row r="103" spans="1:39">
      <c r="A103" s="144">
        <v>11</v>
      </c>
      <c r="B103" s="145">
        <v>56.891465441201497</v>
      </c>
      <c r="C103" s="146">
        <v>3.2737084794420541</v>
      </c>
      <c r="E103" s="50">
        <f>A107</f>
        <v>9</v>
      </c>
      <c r="F103" s="63">
        <f t="shared" ref="F103:G103" si="392">B107</f>
        <v>62.61026628677228</v>
      </c>
      <c r="G103" s="64">
        <f t="shared" si="392"/>
        <v>3.3803091599421862</v>
      </c>
      <c r="I103" s="144">
        <v>11</v>
      </c>
      <c r="J103" s="145">
        <v>56.121000000000002</v>
      </c>
      <c r="K103" s="146">
        <v>3.258264534782457</v>
      </c>
      <c r="M103" s="50">
        <f>I107</f>
        <v>9</v>
      </c>
      <c r="N103" s="63">
        <f t="shared" ref="N103" si="393">J107</f>
        <v>61.62</v>
      </c>
      <c r="O103" s="64">
        <f t="shared" ref="O103" si="394">K107</f>
        <v>3.3628028814669282</v>
      </c>
      <c r="Q103" s="144">
        <v>1</v>
      </c>
      <c r="R103" s="145">
        <v>26.44</v>
      </c>
      <c r="S103" s="146">
        <v>2.3423104181431613</v>
      </c>
      <c r="U103" s="50">
        <f>Q47</f>
        <v>29</v>
      </c>
      <c r="V103" s="63">
        <f>R47</f>
        <v>8.6140000000000008</v>
      </c>
      <c r="W103" s="64">
        <f>S47</f>
        <v>1.115398560107733</v>
      </c>
      <c r="Y103" s="147">
        <v>36</v>
      </c>
      <c r="Z103" s="148">
        <v>1.8785420799320702</v>
      </c>
      <c r="AA103" s="149">
        <v>1.345941643981859</v>
      </c>
      <c r="AC103" s="50">
        <f>Y157</f>
        <v>9</v>
      </c>
      <c r="AD103" s="63">
        <f t="shared" ref="AD103:AE103" si="395">Z157</f>
        <v>6.2541813842300025</v>
      </c>
      <c r="AE103" s="64">
        <f t="shared" si="395"/>
        <v>2.7541313515197716</v>
      </c>
      <c r="AG103" s="147">
        <v>31</v>
      </c>
      <c r="AH103" s="148">
        <v>7.99516630181673</v>
      </c>
      <c r="AI103" s="149">
        <v>2.2214760807766374</v>
      </c>
      <c r="AK103" s="50">
        <f>AG146</f>
        <v>9.5</v>
      </c>
      <c r="AL103" s="63">
        <f>AH146</f>
        <v>18.501017612871323</v>
      </c>
      <c r="AM103" s="64">
        <f>AI146</f>
        <v>3.2456766744560186</v>
      </c>
    </row>
    <row r="104" spans="1:39">
      <c r="A104" s="144">
        <v>10.5</v>
      </c>
      <c r="B104" s="145">
        <v>58.264127843875933</v>
      </c>
      <c r="C104" s="146">
        <v>3.3005553483140484</v>
      </c>
      <c r="E104" s="50">
        <f>A106</f>
        <v>9.5</v>
      </c>
      <c r="F104" s="63">
        <f t="shared" ref="F104:G104" si="396">B106</f>
        <v>61.122400272676096</v>
      </c>
      <c r="G104" s="64">
        <f t="shared" si="396"/>
        <v>3.3538625019628805</v>
      </c>
      <c r="I104" s="144">
        <v>10.5</v>
      </c>
      <c r="J104" s="145">
        <v>57.442</v>
      </c>
      <c r="K104" s="146">
        <v>3.2845772054619058</v>
      </c>
      <c r="M104" s="50">
        <f>I106</f>
        <v>9.5</v>
      </c>
      <c r="N104" s="63">
        <f t="shared" ref="N104" si="397">J106</f>
        <v>60.191000000000003</v>
      </c>
      <c r="O104" s="64">
        <f t="shared" ref="O104" si="398">K106</f>
        <v>3.3368628798882374</v>
      </c>
      <c r="Q104" s="144">
        <v>0.5</v>
      </c>
      <c r="R104" s="145">
        <v>27.02</v>
      </c>
      <c r="S104" s="146">
        <v>2.3693440897930551</v>
      </c>
      <c r="U104" s="50">
        <f>Q46</f>
        <v>29.5</v>
      </c>
      <c r="V104" s="63">
        <f>R46</f>
        <v>8.4570000000000007</v>
      </c>
      <c r="W104" s="64">
        <f>S46</f>
        <v>1.0995397456899916</v>
      </c>
      <c r="Y104" s="147">
        <v>35.5</v>
      </c>
      <c r="Z104" s="148">
        <v>1.9177391024026176</v>
      </c>
      <c r="AA104" s="149">
        <v>1.3663510957154661</v>
      </c>
      <c r="AC104" s="50">
        <f>Y156</f>
        <v>9.5</v>
      </c>
      <c r="AD104" s="63">
        <f t="shared" ref="AD104:AE104" si="399">Z156</f>
        <v>6.106156380327489</v>
      </c>
      <c r="AE104" s="64">
        <f t="shared" si="399"/>
        <v>2.7244650944934623</v>
      </c>
      <c r="AG104" s="147">
        <v>30.5</v>
      </c>
      <c r="AH104" s="148">
        <v>8.1432676014333261</v>
      </c>
      <c r="AI104" s="149">
        <v>2.2441568355608679</v>
      </c>
      <c r="AK104" s="50">
        <f>AG145</f>
        <v>10</v>
      </c>
      <c r="AL104" s="63">
        <f>AH145</f>
        <v>18.121448293991815</v>
      </c>
      <c r="AM104" s="64">
        <f>AI145</f>
        <v>3.2219976909694741</v>
      </c>
    </row>
    <row r="105" spans="1:39">
      <c r="A105" s="144">
        <v>10</v>
      </c>
      <c r="B105" s="145">
        <v>59.674069373614898</v>
      </c>
      <c r="C105" s="146">
        <v>3.3272756433630186</v>
      </c>
      <c r="E105" s="50">
        <f>A105</f>
        <v>10</v>
      </c>
      <c r="F105" s="63">
        <f t="shared" ref="F105:G105" si="400">B105</f>
        <v>59.674069373614898</v>
      </c>
      <c r="G105" s="64">
        <f t="shared" si="400"/>
        <v>3.3272756433630186</v>
      </c>
      <c r="I105" s="144">
        <v>10</v>
      </c>
      <c r="J105" s="145">
        <v>58.798999999999999</v>
      </c>
      <c r="K105" s="146">
        <v>3.3107917881958127</v>
      </c>
      <c r="M105" s="50">
        <f>I105</f>
        <v>10</v>
      </c>
      <c r="N105" s="63">
        <f t="shared" ref="N105" si="401">J105</f>
        <v>58.798999999999999</v>
      </c>
      <c r="O105" s="64">
        <f t="shared" ref="O105" si="402">K105</f>
        <v>3.3107917881958127</v>
      </c>
      <c r="Q105" s="156">
        <v>0</v>
      </c>
      <c r="R105" s="157">
        <v>27.62</v>
      </c>
      <c r="S105" s="158">
        <v>2.3967372440124954</v>
      </c>
      <c r="U105" s="50">
        <f>Q45</f>
        <v>30</v>
      </c>
      <c r="V105" s="63">
        <f>R45</f>
        <v>8.3030000000000008</v>
      </c>
      <c r="W105" s="64">
        <f>S45</f>
        <v>1.0838576612797954</v>
      </c>
      <c r="Y105" s="147">
        <v>35</v>
      </c>
      <c r="Z105" s="148">
        <v>1.9578688370595239</v>
      </c>
      <c r="AA105" s="149">
        <v>1.3870113502103694</v>
      </c>
      <c r="AC105" s="50">
        <f>Y155</f>
        <v>10</v>
      </c>
      <c r="AD105" s="63">
        <f t="shared" ref="AD105:AE105" si="403">Z155</f>
        <v>5.9620223670590882</v>
      </c>
      <c r="AE105" s="64">
        <f t="shared" si="403"/>
        <v>2.6948157259259506</v>
      </c>
      <c r="AG105" s="147">
        <v>30</v>
      </c>
      <c r="AH105" s="148">
        <v>8.294546115956674</v>
      </c>
      <c r="AI105" s="149">
        <v>2.2669450401729545</v>
      </c>
      <c r="AK105" s="50">
        <f>AG144</f>
        <v>10.5</v>
      </c>
      <c r="AL105" s="63">
        <f>AH144</f>
        <v>17.750749795594508</v>
      </c>
      <c r="AM105" s="64">
        <f>AI144</f>
        <v>3.1982468809567948</v>
      </c>
    </row>
    <row r="106" spans="1:39">
      <c r="A106" s="144">
        <v>9.5</v>
      </c>
      <c r="B106" s="145">
        <v>61.122400272676096</v>
      </c>
      <c r="C106" s="146">
        <v>3.3538625019628805</v>
      </c>
      <c r="E106" s="50">
        <f>A104</f>
        <v>10.5</v>
      </c>
      <c r="F106" s="63">
        <f t="shared" ref="F106:G106" si="404">B104</f>
        <v>58.264127843875933</v>
      </c>
      <c r="G106" s="64">
        <f t="shared" si="404"/>
        <v>3.3005553483140484</v>
      </c>
      <c r="I106" s="144">
        <v>9.5</v>
      </c>
      <c r="J106" s="145">
        <v>60.191000000000003</v>
      </c>
      <c r="K106" s="146">
        <v>3.3368628798882374</v>
      </c>
      <c r="M106" s="50">
        <f>I104</f>
        <v>10.5</v>
      </c>
      <c r="N106" s="63">
        <f t="shared" ref="N106" si="405">J104</f>
        <v>57.442</v>
      </c>
      <c r="O106" s="64">
        <f t="shared" ref="O106" si="406">K104</f>
        <v>3.2845772054619058</v>
      </c>
      <c r="Q106" s="144">
        <v>-0.5</v>
      </c>
      <c r="R106" s="145">
        <v>28.23</v>
      </c>
      <c r="S106" s="146">
        <v>2.4240082431736218</v>
      </c>
      <c r="U106" s="50">
        <f>Q44</f>
        <v>30.5</v>
      </c>
      <c r="V106" s="63">
        <f>R44</f>
        <v>8.1519999999999992</v>
      </c>
      <c r="W106" s="64">
        <f>S44</f>
        <v>1.0683581463619207</v>
      </c>
      <c r="Y106" s="147">
        <v>34.5</v>
      </c>
      <c r="Z106" s="148">
        <v>1.9989558864383685</v>
      </c>
      <c r="AA106" s="149">
        <v>1.4079224595951594</v>
      </c>
      <c r="AC106" s="50">
        <f>Y154</f>
        <v>10.5</v>
      </c>
      <c r="AD106" s="63">
        <f t="shared" ref="AD106:AE106" si="407">Z154</f>
        <v>5.8216686760905363</v>
      </c>
      <c r="AE106" s="64">
        <f t="shared" si="407"/>
        <v>2.6651919449063666</v>
      </c>
      <c r="AG106" s="147">
        <v>29.5</v>
      </c>
      <c r="AH106" s="148">
        <v>8.4490784952466669</v>
      </c>
      <c r="AI106" s="149">
        <v>2.2898375377999338</v>
      </c>
      <c r="AK106" s="50">
        <f>AG143</f>
        <v>11</v>
      </c>
      <c r="AL106" s="63">
        <f>AH143</f>
        <v>17.388691833429068</v>
      </c>
      <c r="AM106" s="64">
        <f>AI143</f>
        <v>3.1744290561927144</v>
      </c>
    </row>
    <row r="107" spans="1:39">
      <c r="A107" s="144">
        <v>9</v>
      </c>
      <c r="B107" s="145">
        <v>62.61026628677228</v>
      </c>
      <c r="C107" s="146">
        <v>3.3803091599421862</v>
      </c>
      <c r="E107" s="50">
        <f>A103</f>
        <v>11</v>
      </c>
      <c r="F107" s="63">
        <f t="shared" ref="F107:G107" si="408">B103</f>
        <v>56.891465441201497</v>
      </c>
      <c r="G107" s="64">
        <f t="shared" si="408"/>
        <v>3.2737084794420541</v>
      </c>
      <c r="I107" s="144">
        <v>9</v>
      </c>
      <c r="J107" s="145">
        <v>61.62</v>
      </c>
      <c r="K107" s="146">
        <v>3.3628028814669282</v>
      </c>
      <c r="M107" s="50">
        <f>I103</f>
        <v>11</v>
      </c>
      <c r="N107" s="63">
        <f t="shared" ref="N107" si="409">J103</f>
        <v>56.121000000000002</v>
      </c>
      <c r="O107" s="64">
        <f t="shared" ref="O107" si="410">K103</f>
        <v>3.258264534782457</v>
      </c>
      <c r="Q107" s="144">
        <v>-1</v>
      </c>
      <c r="R107" s="145">
        <v>28.86</v>
      </c>
      <c r="S107" s="146">
        <v>2.4515800203873601</v>
      </c>
      <c r="U107" s="50">
        <f>Q43</f>
        <v>31</v>
      </c>
      <c r="V107" s="63">
        <f>R43</f>
        <v>8.0050000000000008</v>
      </c>
      <c r="W107" s="64">
        <f>S43</f>
        <v>1.0531509011972109</v>
      </c>
      <c r="Y107" s="147">
        <v>34</v>
      </c>
      <c r="Z107" s="148">
        <v>2.0410255578269285</v>
      </c>
      <c r="AA107" s="149">
        <v>1.4290843390063632</v>
      </c>
      <c r="AC107" s="50">
        <f>Y153</f>
        <v>11</v>
      </c>
      <c r="AD107" s="63">
        <f t="shared" ref="AD107:AE107" si="411">Z153</f>
        <v>5.6849879746112411</v>
      </c>
      <c r="AE107" s="64">
        <f t="shared" si="411"/>
        <v>2.6356023706258065</v>
      </c>
      <c r="AG107" s="147">
        <v>29</v>
      </c>
      <c r="AH107" s="148">
        <v>8.6069434301731906</v>
      </c>
      <c r="AI107" s="149">
        <v>2.3128310843940367</v>
      </c>
      <c r="AK107" s="50">
        <f>AG142</f>
        <v>11.5</v>
      </c>
      <c r="AL107" s="63">
        <f>AH142</f>
        <v>17.035050655506971</v>
      </c>
      <c r="AM107" s="64">
        <f>AI142</f>
        <v>3.1505490543693462</v>
      </c>
    </row>
    <row r="108" spans="1:39">
      <c r="A108" s="144">
        <v>8.5</v>
      </c>
      <c r="B108" s="145">
        <v>64.138849863712878</v>
      </c>
      <c r="C108" s="146">
        <v>3.4066089588181856</v>
      </c>
      <c r="E108" s="50">
        <f>A102</f>
        <v>11.5</v>
      </c>
      <c r="F108" s="63">
        <f t="shared" ref="F108:G108" si="412">B102</f>
        <v>55.555006268779188</v>
      </c>
      <c r="G108" s="64">
        <f t="shared" si="412"/>
        <v>3.246741990424725</v>
      </c>
      <c r="I108" s="144">
        <v>8.5</v>
      </c>
      <c r="J108" s="145">
        <v>63.088000000000001</v>
      </c>
      <c r="K108" s="146">
        <v>3.388621519422482</v>
      </c>
      <c r="M108" s="50">
        <f>I102</f>
        <v>11.5</v>
      </c>
      <c r="N108" s="63">
        <f t="shared" ref="N108" si="413">J102</f>
        <v>54.832999999999998</v>
      </c>
      <c r="O108" s="64">
        <f t="shared" ref="O108" si="414">K102</f>
        <v>3.2318201643228459</v>
      </c>
      <c r="Q108" s="144">
        <v>-1.5</v>
      </c>
      <c r="R108" s="145">
        <v>29.5</v>
      </c>
      <c r="S108" s="146">
        <v>2.4789915966386555</v>
      </c>
      <c r="U108" s="50">
        <f>Q42</f>
        <v>31.5</v>
      </c>
      <c r="V108" s="63">
        <f>R42</f>
        <v>7.86</v>
      </c>
      <c r="W108" s="64">
        <f>S42</f>
        <v>1.0380348652931854</v>
      </c>
      <c r="Y108" s="147">
        <v>33.5</v>
      </c>
      <c r="Z108" s="148">
        <v>2.0841038848256943</v>
      </c>
      <c r="AA108" s="149">
        <v>1.4504967621833467</v>
      </c>
      <c r="AC108" s="50">
        <f>Y152</f>
        <v>11.5</v>
      </c>
      <c r="AD108" s="63">
        <f t="shared" ref="AD108:AE108" si="415">Z152</f>
        <v>5.5518761608836522</v>
      </c>
      <c r="AE108" s="64">
        <f t="shared" si="415"/>
        <v>2.60605553286074</v>
      </c>
      <c r="AG108" s="147">
        <v>28.5</v>
      </c>
      <c r="AH108" s="148">
        <v>8.7682217118179935</v>
      </c>
      <c r="AI108" s="149">
        <v>2.3359223496109944</v>
      </c>
      <c r="AK108" s="50">
        <f>AG141</f>
        <v>12</v>
      </c>
      <c r="AL108" s="63">
        <f>AH141</f>
        <v>16.68960884199592</v>
      </c>
      <c r="AM108" s="64">
        <f>AI141</f>
        <v>3.1266117350762617</v>
      </c>
    </row>
    <row r="109" spans="1:39">
      <c r="A109" s="144">
        <v>8</v>
      </c>
      <c r="B109" s="145">
        <v>65.709371394139424</v>
      </c>
      <c r="C109" s="146">
        <v>3.4327553528453647</v>
      </c>
      <c r="E109" s="50">
        <f>A101</f>
        <v>12</v>
      </c>
      <c r="F109" s="63">
        <f t="shared" ref="F109:G109" si="416">B101</f>
        <v>54.25370765645323</v>
      </c>
      <c r="G109" s="64">
        <f t="shared" si="416"/>
        <v>3.2196629184364318</v>
      </c>
      <c r="I109" s="144">
        <v>8</v>
      </c>
      <c r="J109" s="145">
        <v>64.596000000000004</v>
      </c>
      <c r="K109" s="146">
        <v>3.4143092731193709</v>
      </c>
      <c r="M109" s="50">
        <f>I101</f>
        <v>12</v>
      </c>
      <c r="N109" s="63">
        <f t="shared" ref="N109" si="417">J101</f>
        <v>53.579000000000001</v>
      </c>
      <c r="O109" s="64">
        <f t="shared" ref="O109" si="418">K101</f>
        <v>3.2052908027135998</v>
      </c>
      <c r="Q109" s="144">
        <v>-2</v>
      </c>
      <c r="R109" s="145">
        <v>30.16</v>
      </c>
      <c r="S109" s="146">
        <v>2.5066489361702131</v>
      </c>
      <c r="U109" s="50">
        <f>Q41</f>
        <v>32</v>
      </c>
      <c r="V109" s="63">
        <f>R41</f>
        <v>7.7190000000000003</v>
      </c>
      <c r="W109" s="64">
        <f>S41</f>
        <v>1.0232243696810626</v>
      </c>
      <c r="Y109" s="147">
        <v>33</v>
      </c>
      <c r="Z109" s="148">
        <v>2.1282176496021501</v>
      </c>
      <c r="AA109" s="149">
        <v>1.4721593570991112</v>
      </c>
      <c r="AC109" s="50">
        <f>Y151</f>
        <v>12</v>
      </c>
      <c r="AD109" s="63">
        <f t="shared" ref="AD109:AE109" si="419">Z151</f>
        <v>5.4222322631151272</v>
      </c>
      <c r="AE109" s="64">
        <f t="shared" si="419"/>
        <v>2.5765598627405062</v>
      </c>
      <c r="AG109" s="147">
        <v>28</v>
      </c>
      <c r="AH109" s="148">
        <v>8.9329962925296442</v>
      </c>
      <c r="AI109" s="149">
        <v>2.3591079178667349</v>
      </c>
      <c r="AK109" s="50">
        <f>AG140</f>
        <v>12.5</v>
      </c>
      <c r="AL109" s="63">
        <f>AH140</f>
        <v>16.352155111675359</v>
      </c>
      <c r="AM109" s="64">
        <f>AI140</f>
        <v>3.1026219757697375</v>
      </c>
    </row>
    <row r="110" spans="1:39">
      <c r="A110" s="144">
        <v>7.5</v>
      </c>
      <c r="B110" s="145">
        <v>67.323090495868954</v>
      </c>
      <c r="C110" s="146">
        <v>3.4587419158625359</v>
      </c>
      <c r="E110" s="50">
        <f>A100</f>
        <v>12.5</v>
      </c>
      <c r="F110" s="63">
        <f t="shared" ref="F110:G110" si="420">B100</f>
        <v>52.986559079796415</v>
      </c>
      <c r="G110" s="64">
        <f t="shared" si="420"/>
        <v>3.1924783764589364</v>
      </c>
      <c r="I110" s="144">
        <v>7.5</v>
      </c>
      <c r="J110" s="145">
        <v>66.141000000000005</v>
      </c>
      <c r="K110" s="146">
        <v>3.4397915561519019</v>
      </c>
      <c r="M110" s="50">
        <f>I100</f>
        <v>12.5</v>
      </c>
      <c r="N110" s="63">
        <f t="shared" ref="N110" si="421">J100</f>
        <v>52.356000000000002</v>
      </c>
      <c r="O110" s="64">
        <f t="shared" ref="O110" si="422">K100</f>
        <v>3.1786390791199191</v>
      </c>
      <c r="Q110" s="144">
        <v>-2.5</v>
      </c>
      <c r="R110" s="145">
        <v>30.84</v>
      </c>
      <c r="S110" s="146">
        <v>2.5345167652859959</v>
      </c>
      <c r="U110" s="50">
        <f>Q40</f>
        <v>32.5</v>
      </c>
      <c r="V110" s="63">
        <f>R40</f>
        <v>7.58</v>
      </c>
      <c r="W110" s="64">
        <f>S40</f>
        <v>1.0085151676423629</v>
      </c>
      <c r="Y110" s="147">
        <v>32.5</v>
      </c>
      <c r="Z110" s="148">
        <v>2.173394405861925</v>
      </c>
      <c r="AA110" s="149">
        <v>1.4940716016378115</v>
      </c>
      <c r="AC110" s="50">
        <f>Y150</f>
        <v>12.5</v>
      </c>
      <c r="AD110" s="63">
        <f t="shared" ref="AD110:AE110" si="423">Z150</f>
        <v>5.2959583415484968</v>
      </c>
      <c r="AE110" s="64">
        <f t="shared" si="423"/>
        <v>2.547123683817905</v>
      </c>
      <c r="AG110" s="147">
        <v>27.5</v>
      </c>
      <c r="AH110" s="148">
        <v>9.1013523488916999</v>
      </c>
      <c r="AI110" s="149">
        <v>2.3823842895133494</v>
      </c>
      <c r="AK110" s="50">
        <f>AG139</f>
        <v>13</v>
      </c>
      <c r="AL110" s="63">
        <f>AH139</f>
        <v>16.022484134724145</v>
      </c>
      <c r="AM110" s="64">
        <f>AI139</f>
        <v>3.0785846677381392</v>
      </c>
    </row>
    <row r="111" spans="1:39">
      <c r="A111" s="144">
        <v>7</v>
      </c>
      <c r="B111" s="145">
        <v>68.981307343416788</v>
      </c>
      <c r="C111" s="146">
        <v>3.4845623479231969</v>
      </c>
      <c r="E111" s="50">
        <f>A99</f>
        <v>13</v>
      </c>
      <c r="F111" s="63">
        <f t="shared" ref="F111:G111" si="424">B99</f>
        <v>51.752581115728198</v>
      </c>
      <c r="G111" s="64">
        <f t="shared" si="424"/>
        <v>3.1651955454756666</v>
      </c>
      <c r="I111" s="144">
        <v>7</v>
      </c>
      <c r="J111" s="145">
        <v>67.73</v>
      </c>
      <c r="K111" s="146">
        <v>3.4651591118387395</v>
      </c>
      <c r="M111" s="50">
        <f>I99</f>
        <v>13</v>
      </c>
      <c r="N111" s="63">
        <f t="shared" ref="N111" si="425">J99</f>
        <v>51.164999999999999</v>
      </c>
      <c r="O111" s="64">
        <f t="shared" ref="O111" si="426">K99</f>
        <v>3.1519127702827574</v>
      </c>
      <c r="Q111" s="144">
        <v>-3</v>
      </c>
      <c r="R111" s="145">
        <v>31.53</v>
      </c>
      <c r="S111" s="146">
        <v>2.5621647976596784</v>
      </c>
      <c r="U111" s="50">
        <f>Q39</f>
        <v>33</v>
      </c>
      <c r="V111" s="63">
        <f>R39</f>
        <v>7.4450000000000003</v>
      </c>
      <c r="W111" s="64">
        <f>S39</f>
        <v>0.99412471625050081</v>
      </c>
      <c r="Y111" s="147">
        <v>32</v>
      </c>
      <c r="Z111" s="148">
        <v>2.2196625025607926</v>
      </c>
      <c r="AA111" s="149">
        <v>1.516232819330291</v>
      </c>
      <c r="AC111" s="50">
        <f>Y149</f>
        <v>13</v>
      </c>
      <c r="AD111" s="63">
        <f t="shared" ref="AD111:AE111" si="427">Z149</f>
        <v>5.1729593936698439</v>
      </c>
      <c r="AE111" s="64">
        <f t="shared" si="427"/>
        <v>2.5177552034603585</v>
      </c>
      <c r="AG111" s="147">
        <v>27</v>
      </c>
      <c r="AH111" s="148">
        <v>9.2733773466704932</v>
      </c>
      <c r="AI111" s="149">
        <v>2.4057478821355831</v>
      </c>
      <c r="AK111" s="50">
        <f>AG138</f>
        <v>13.5</v>
      </c>
      <c r="AL111" s="63">
        <f>AH138</f>
        <v>15.700396351620988</v>
      </c>
      <c r="AM111" s="64">
        <f>AI138</f>
        <v>3.0545047120704663</v>
      </c>
    </row>
    <row r="112" spans="1:39">
      <c r="A112" s="144">
        <v>6.5</v>
      </c>
      <c r="B112" s="145">
        <v>70.685364044321958</v>
      </c>
      <c r="C112" s="146">
        <v>3.5102104816945428</v>
      </c>
      <c r="E112" s="50">
        <f>A98</f>
        <v>13.5</v>
      </c>
      <c r="F112" s="63">
        <f t="shared" ref="F112:G112" si="428">B98</f>
        <v>50.55082443341233</v>
      </c>
      <c r="G112" s="64">
        <f t="shared" si="428"/>
        <v>3.1378216665678189</v>
      </c>
      <c r="I112" s="144">
        <v>6.5</v>
      </c>
      <c r="J112" s="145">
        <v>69.361000000000004</v>
      </c>
      <c r="K112" s="146">
        <v>3.4903533579573476</v>
      </c>
      <c r="M112" s="50">
        <f>I98</f>
        <v>13.5</v>
      </c>
      <c r="N112" s="63">
        <f t="shared" ref="N112" si="429">J98</f>
        <v>50.003999999999998</v>
      </c>
      <c r="O112" s="64">
        <f t="shared" ref="O112" si="430">K98</f>
        <v>3.1250937453127343</v>
      </c>
      <c r="Q112" s="144">
        <v>-3.5</v>
      </c>
      <c r="R112" s="145">
        <v>32.24</v>
      </c>
      <c r="S112" s="146">
        <v>2.5899742930591261</v>
      </c>
      <c r="U112" s="50">
        <f>Q38</f>
        <v>33.5</v>
      </c>
      <c r="V112" s="63">
        <f>R38</f>
        <v>7.3120000000000003</v>
      </c>
      <c r="W112" s="64">
        <f>S38</f>
        <v>0.97984562607204129</v>
      </c>
      <c r="Y112" s="147">
        <v>31.5</v>
      </c>
      <c r="Z112" s="148">
        <v>2.2670511083821014</v>
      </c>
      <c r="AA112" s="149">
        <v>1.5386421751592645</v>
      </c>
      <c r="AC112" s="50">
        <f>Y148</f>
        <v>13.5</v>
      </c>
      <c r="AD112" s="63">
        <f t="shared" ref="AD112:AE112" si="431">Z148</f>
        <v>5.053143262436623</v>
      </c>
      <c r="AE112" s="64">
        <f t="shared" si="431"/>
        <v>2.4884625045780822</v>
      </c>
      <c r="AG112" s="147">
        <v>26.5</v>
      </c>
      <c r="AH112" s="148">
        <v>9.449161107807047</v>
      </c>
      <c r="AI112" s="149">
        <v>2.4291950319682627</v>
      </c>
      <c r="AK112" s="50">
        <f>AG137</f>
        <v>14</v>
      </c>
      <c r="AL112" s="63">
        <f>AH137</f>
        <v>15.385697797944957</v>
      </c>
      <c r="AM112" s="64">
        <f>AI137</f>
        <v>3.0303870156349362</v>
      </c>
    </row>
    <row r="113" spans="1:39">
      <c r="A113" s="144">
        <v>6</v>
      </c>
      <c r="B113" s="145">
        <v>72.43664606396419</v>
      </c>
      <c r="C113" s="146">
        <v>3.535680288611402</v>
      </c>
      <c r="E113" s="50">
        <f>A97</f>
        <v>14</v>
      </c>
      <c r="F113" s="63">
        <f t="shared" ref="F113:G113" si="432">B97</f>
        <v>49.380368819209771</v>
      </c>
      <c r="G113" s="64">
        <f t="shared" si="432"/>
        <v>3.1103640329307654</v>
      </c>
      <c r="I113" s="144">
        <v>6</v>
      </c>
      <c r="J113" s="145">
        <v>71.036000000000001</v>
      </c>
      <c r="K113" s="146">
        <v>3.515380656399699</v>
      </c>
      <c r="M113" s="50">
        <f>I97</f>
        <v>14</v>
      </c>
      <c r="N113" s="63">
        <f t="shared" ref="N113" si="433">J97</f>
        <v>48.872</v>
      </c>
      <c r="O113" s="64">
        <f t="shared" ref="O113" si="434">K97</f>
        <v>3.0981844000405721</v>
      </c>
      <c r="Q113" s="144">
        <v>-4</v>
      </c>
      <c r="R113" s="145">
        <v>32.97</v>
      </c>
      <c r="S113" s="146">
        <v>2.6179132920438302</v>
      </c>
      <c r="U113" s="50">
        <f>Q37</f>
        <v>34</v>
      </c>
      <c r="V113" s="63">
        <f>R37</f>
        <v>7.181</v>
      </c>
      <c r="W113" s="64">
        <f>S37</f>
        <v>0.96568139641214612</v>
      </c>
      <c r="Y113" s="147">
        <v>31</v>
      </c>
      <c r="Z113" s="148">
        <v>2.3155902370050812</v>
      </c>
      <c r="AA113" s="149">
        <v>1.5612986714461949</v>
      </c>
      <c r="AC113" s="50">
        <f>Y147</f>
        <v>14</v>
      </c>
      <c r="AD113" s="63">
        <f t="shared" ref="AD113:AE113" si="435">Z147</f>
        <v>4.9364205474295701</v>
      </c>
      <c r="AE113" s="64">
        <f t="shared" si="435"/>
        <v>2.459253537703658</v>
      </c>
      <c r="AG113" s="147">
        <v>26</v>
      </c>
      <c r="AH113" s="148">
        <v>9.6287958795236346</v>
      </c>
      <c r="AI113" s="149">
        <v>2.452721995435339</v>
      </c>
      <c r="AK113" s="50">
        <f>AG136</f>
        <v>14.5</v>
      </c>
      <c r="AL113" s="63">
        <f>AH136</f>
        <v>15.078199934871115</v>
      </c>
      <c r="AM113" s="64">
        <f>AI136</f>
        <v>3.0062364870743679</v>
      </c>
    </row>
    <row r="114" spans="1:39">
      <c r="A114" s="144">
        <v>5.5</v>
      </c>
      <c r="B114" s="145">
        <v>74.236583700616123</v>
      </c>
      <c r="C114" s="146">
        <v>3.5609658847720524</v>
      </c>
      <c r="E114" s="50">
        <f>A96</f>
        <v>14.5</v>
      </c>
      <c r="F114" s="63">
        <f t="shared" ref="F114:G114" si="436">B96</f>
        <v>48.240322234508703</v>
      </c>
      <c r="G114" s="64">
        <f t="shared" si="436"/>
        <v>3.0828299818294846</v>
      </c>
      <c r="I114" s="144">
        <v>5.5</v>
      </c>
      <c r="J114" s="145">
        <v>72.757000000000005</v>
      </c>
      <c r="K114" s="146">
        <v>3.5402454334011311</v>
      </c>
      <c r="M114" s="50">
        <f>I96</f>
        <v>14.5</v>
      </c>
      <c r="N114" s="63">
        <f t="shared" ref="N114" si="437">J96</f>
        <v>47.768999999999998</v>
      </c>
      <c r="O114" s="64">
        <f t="shared" ref="O114" si="438">K96</f>
        <v>3.0712108938008718</v>
      </c>
      <c r="Q114" s="144">
        <v>-4.5</v>
      </c>
      <c r="R114" s="145">
        <v>33.72</v>
      </c>
      <c r="S114" s="146">
        <v>2.6459510357815441</v>
      </c>
      <c r="U114" s="50">
        <f>Q36</f>
        <v>34.5</v>
      </c>
      <c r="V114" s="63">
        <f>R36</f>
        <v>7.0540000000000003</v>
      </c>
      <c r="W114" s="64">
        <f>S36</f>
        <v>0.9518540508447132</v>
      </c>
      <c r="Y114" s="147">
        <v>30.5</v>
      </c>
      <c r="Z114" s="148">
        <v>2.3653107731907625</v>
      </c>
      <c r="AA114" s="149">
        <v>1.5842011438324897</v>
      </c>
      <c r="AC114" s="50">
        <f>Y146</f>
        <v>14.5</v>
      </c>
      <c r="AD114" s="63">
        <f t="shared" ref="AD114:AE114" si="439">Z146</f>
        <v>4.8227045188373232</v>
      </c>
      <c r="AE114" s="64">
        <f t="shared" si="439"/>
        <v>2.4301361134365491</v>
      </c>
      <c r="AG114" s="147">
        <v>25.5</v>
      </c>
      <c r="AH114" s="148">
        <v>9.8123764056150478</v>
      </c>
      <c r="AI114" s="149">
        <v>2.4763249508105729</v>
      </c>
      <c r="AK114" s="50">
        <f>AG135</f>
        <v>15</v>
      </c>
      <c r="AL114" s="63">
        <f>AH135</f>
        <v>14.777719485165806</v>
      </c>
      <c r="AM114" s="64">
        <f>AI135</f>
        <v>2.9820580328252353</v>
      </c>
    </row>
    <row r="115" spans="1:39">
      <c r="A115" s="144">
        <v>5</v>
      </c>
      <c r="B115" s="145">
        <v>76.086653612540559</v>
      </c>
      <c r="C115" s="146">
        <v>3.5860615365638373</v>
      </c>
      <c r="E115" s="50">
        <f>A95</f>
        <v>15</v>
      </c>
      <c r="F115" s="63">
        <f t="shared" ref="F115:G115" si="440">B95</f>
        <v>47.129819905290482</v>
      </c>
      <c r="G115" s="64">
        <f t="shared" si="440"/>
        <v>3.0552268865117473</v>
      </c>
      <c r="I115" s="144">
        <v>5</v>
      </c>
      <c r="J115" s="145">
        <v>74.524000000000001</v>
      </c>
      <c r="K115" s="146">
        <v>3.5649228885232098</v>
      </c>
      <c r="M115" s="50">
        <f>I95</f>
        <v>15</v>
      </c>
      <c r="N115" s="63">
        <f t="shared" ref="N115" si="441">J95</f>
        <v>46.694000000000003</v>
      </c>
      <c r="O115" s="64">
        <f t="shared" ref="O115" si="442">K95</f>
        <v>3.0441755548022011</v>
      </c>
      <c r="Q115" s="144">
        <v>-5</v>
      </c>
      <c r="R115" s="145">
        <v>34.479999999999997</v>
      </c>
      <c r="S115" s="146">
        <v>2.6736972704714641</v>
      </c>
      <c r="U115" s="50">
        <f>Q35</f>
        <v>35</v>
      </c>
      <c r="V115" s="63">
        <f>R35</f>
        <v>6.9290000000000003</v>
      </c>
      <c r="W115" s="64">
        <f>S35</f>
        <v>0.93815158818272903</v>
      </c>
      <c r="Y115" s="147">
        <v>30</v>
      </c>
      <c r="Z115" s="148">
        <v>2.4162444997123895</v>
      </c>
      <c r="AA115" s="149">
        <v>1.6073482573676572</v>
      </c>
      <c r="AC115" s="50">
        <f>Y145</f>
        <v>15</v>
      </c>
      <c r="AD115" s="63">
        <f t="shared" ref="AD115:AE115" si="443">Z145</f>
        <v>4.711911034183494</v>
      </c>
      <c r="AE115" s="64">
        <f t="shared" si="443"/>
        <v>2.4011178952641203</v>
      </c>
      <c r="AG115" s="147">
        <v>25</v>
      </c>
      <c r="AH115" s="148">
        <v>9.9999999999998224</v>
      </c>
      <c r="AI115" s="149">
        <v>2.4999999999999778</v>
      </c>
      <c r="AK115" s="50">
        <f>AG134</f>
        <v>15.5</v>
      </c>
      <c r="AL115" s="63">
        <f>AH134</f>
        <v>14.484078274491184</v>
      </c>
      <c r="AM115" s="64">
        <f>AI134</f>
        <v>2.957856553166935</v>
      </c>
    </row>
    <row r="116" spans="1:39">
      <c r="A116" s="144">
        <v>4.5</v>
      </c>
      <c r="B116" s="145">
        <v>77.988380399009088</v>
      </c>
      <c r="C116" s="146">
        <v>3.610961666007388</v>
      </c>
      <c r="E116" s="50">
        <f>A94</f>
        <v>15.5</v>
      </c>
      <c r="F116" s="63">
        <f t="shared" ref="F116:G116" si="444">B94</f>
        <v>46.048023442334326</v>
      </c>
      <c r="G116" s="64">
        <f t="shared" si="444"/>
        <v>3.0275621480978798</v>
      </c>
      <c r="I116" s="144">
        <v>4.5</v>
      </c>
      <c r="J116" s="145">
        <v>76.34</v>
      </c>
      <c r="K116" s="146">
        <v>3.5894301297724285</v>
      </c>
      <c r="M116" s="50">
        <f>I94</f>
        <v>15.5</v>
      </c>
      <c r="N116" s="63">
        <f t="shared" ref="N116" si="445">J94</f>
        <v>45.646000000000001</v>
      </c>
      <c r="O116" s="64">
        <f t="shared" ref="O116" si="446">K94</f>
        <v>3.0170795547682627</v>
      </c>
      <c r="Q116" s="144">
        <v>-5.5</v>
      </c>
      <c r="R116" s="145">
        <v>35.270000000000003</v>
      </c>
      <c r="S116" s="146">
        <v>2.7018538379040908</v>
      </c>
      <c r="U116" s="50">
        <f>Q34</f>
        <v>35.5</v>
      </c>
      <c r="V116" s="63">
        <f>R34</f>
        <v>6.8070000000000004</v>
      </c>
      <c r="W116" s="64">
        <f>S34</f>
        <v>0.92468823865025684</v>
      </c>
      <c r="Y116" s="147">
        <v>29.5</v>
      </c>
      <c r="Z116" s="148">
        <v>2.4684241251588359</v>
      </c>
      <c r="AA116" s="149">
        <v>1.6307385027177188</v>
      </c>
      <c r="AC116" s="50">
        <f>Y144</f>
        <v>15.5</v>
      </c>
      <c r="AD116" s="63">
        <f t="shared" ref="AD116:AE116" si="447">Z144</f>
        <v>4.6039584577094157</v>
      </c>
      <c r="AE116" s="64">
        <f t="shared" si="447"/>
        <v>2.3722063927694124</v>
      </c>
      <c r="AG116" s="147">
        <v>24.5</v>
      </c>
      <c r="AH116" s="148">
        <v>10.191766622606913</v>
      </c>
      <c r="AI116" s="149">
        <v>2.523743170445548</v>
      </c>
      <c r="AK116" s="50">
        <f>AG133</f>
        <v>16</v>
      </c>
      <c r="AL116" s="63">
        <f>AH133</f>
        <v>14.197103077835211</v>
      </c>
      <c r="AM116" s="64">
        <f>AI133</f>
        <v>2.9336369383076897</v>
      </c>
    </row>
    <row r="117" spans="1:39">
      <c r="A117" s="144">
        <v>4</v>
      </c>
      <c r="B117" s="145">
        <v>79.943338237181905</v>
      </c>
      <c r="C117" s="146">
        <v>3.6356608558091676</v>
      </c>
      <c r="E117" s="50">
        <f>A93</f>
        <v>16</v>
      </c>
      <c r="F117" s="63">
        <f t="shared" ref="F117:G117" si="448">B93</f>
        <v>44.994119991000716</v>
      </c>
      <c r="G117" s="64">
        <f t="shared" si="448"/>
        <v>2.9998431874658977</v>
      </c>
      <c r="I117" s="144">
        <v>4</v>
      </c>
      <c r="J117" s="145">
        <v>78.204999999999998</v>
      </c>
      <c r="K117" s="146">
        <v>3.613742433344115</v>
      </c>
      <c r="M117" s="50">
        <f>I93</f>
        <v>16</v>
      </c>
      <c r="N117" s="63">
        <f t="shared" ref="N117" si="449">J93</f>
        <v>44.624000000000002</v>
      </c>
      <c r="O117" s="64">
        <f t="shared" ref="O117" si="450">K93</f>
        <v>2.9899228130360207</v>
      </c>
      <c r="Q117" s="144">
        <v>-6</v>
      </c>
      <c r="R117" s="145">
        <v>36.08</v>
      </c>
      <c r="S117" s="146">
        <v>2.73002421307506</v>
      </c>
      <c r="U117" s="50">
        <f>Q33</f>
        <v>36</v>
      </c>
      <c r="V117" s="63">
        <f>R33</f>
        <v>6.6870000000000003</v>
      </c>
      <c r="W117" s="64">
        <f>S33</f>
        <v>0.91135824679041633</v>
      </c>
      <c r="Y117" s="147">
        <v>29</v>
      </c>
      <c r="Z117" s="148">
        <v>2.5218833126400115</v>
      </c>
      <c r="AA117" s="149">
        <v>1.6543701925072507</v>
      </c>
      <c r="AC117" s="50">
        <f>Y143</f>
        <v>16</v>
      </c>
      <c r="AD117" s="63">
        <f t="shared" ref="AD117:AE117" si="451">Z143</f>
        <v>4.4987675823285089</v>
      </c>
      <c r="AE117" s="64">
        <f t="shared" si="451"/>
        <v>2.3434089552344273</v>
      </c>
      <c r="AG117" s="147">
        <v>24</v>
      </c>
      <c r="AH117" s="148">
        <v>10.38777895767736</v>
      </c>
      <c r="AI117" s="149">
        <v>2.5475504171496981</v>
      </c>
      <c r="AK117" s="50">
        <f>AG132</f>
        <v>16.5</v>
      </c>
      <c r="AL117" s="63">
        <f>AH132</f>
        <v>13.916625470893658</v>
      </c>
      <c r="AM117" s="64">
        <f>AI132</f>
        <v>2.909404064513633</v>
      </c>
    </row>
    <row r="118" spans="1:39">
      <c r="A118" s="144">
        <v>3.5</v>
      </c>
      <c r="B118" s="145">
        <v>81.953152576862749</v>
      </c>
      <c r="C118" s="146">
        <v>3.6601538541130787</v>
      </c>
      <c r="E118" s="50">
        <f>A92</f>
        <v>16.5</v>
      </c>
      <c r="F118" s="63">
        <f t="shared" ref="F118:G118" si="452">B92</f>
        <v>43.96732140956864</v>
      </c>
      <c r="G118" s="64">
        <f t="shared" si="452"/>
        <v>2.9720774371505692</v>
      </c>
      <c r="I118" s="144">
        <v>3.5</v>
      </c>
      <c r="J118" s="145">
        <v>80.120999999999995</v>
      </c>
      <c r="K118" s="146">
        <v>3.6378619881766419</v>
      </c>
      <c r="M118" s="50">
        <f>I92</f>
        <v>16.5</v>
      </c>
      <c r="N118" s="63">
        <f t="shared" ref="N118" si="453">J92</f>
        <v>43.628</v>
      </c>
      <c r="O118" s="64">
        <f t="shared" ref="O118" si="454">K92</f>
        <v>2.9627315695115986</v>
      </c>
      <c r="Q118" s="144">
        <v>-6.5</v>
      </c>
      <c r="R118" s="145">
        <v>36.909999999999997</v>
      </c>
      <c r="S118" s="146">
        <v>2.7581826333881332</v>
      </c>
      <c r="U118" s="50">
        <f>Q32</f>
        <v>36.5</v>
      </c>
      <c r="V118" s="63">
        <f>R32</f>
        <v>6.569</v>
      </c>
      <c r="W118" s="64">
        <f>S32</f>
        <v>0.89816511252700371</v>
      </c>
      <c r="Y118" s="147">
        <v>28.5</v>
      </c>
      <c r="Z118" s="148">
        <v>2.5766567094244355</v>
      </c>
      <c r="AA118" s="149">
        <v>1.678241457808801</v>
      </c>
      <c r="AC118" s="50">
        <f>Y142</f>
        <v>16.5</v>
      </c>
      <c r="AD118" s="63">
        <f t="shared" ref="AD118:AE118" si="455">Z142</f>
        <v>4.3962615540700911</v>
      </c>
      <c r="AE118" s="64">
        <f t="shared" si="455"/>
        <v>2.3147327656460011</v>
      </c>
      <c r="AG118" s="147">
        <v>23.5</v>
      </c>
      <c r="AH118" s="148">
        <v>10.588142494564234</v>
      </c>
      <c r="AI118" s="149">
        <v>2.5714176248196652</v>
      </c>
      <c r="AK118" s="50">
        <f>AG131</f>
        <v>17</v>
      </c>
      <c r="AL118" s="63">
        <f>AH131</f>
        <v>13.642481686231045</v>
      </c>
      <c r="AM118" s="64">
        <f>AI131</f>
        <v>2.8851627902869819</v>
      </c>
    </row>
    <row r="119" spans="1:39">
      <c r="A119" s="144">
        <v>3</v>
      </c>
      <c r="B119" s="145">
        <v>84.019501895212557</v>
      </c>
      <c r="C119" s="146">
        <v>3.6844355789428493</v>
      </c>
      <c r="E119" s="50">
        <f>A91</f>
        <v>17</v>
      </c>
      <c r="F119" s="63">
        <f t="shared" ref="F119:G119" si="456">B91</f>
        <v>42.966863475141572</v>
      </c>
      <c r="G119" s="64">
        <f t="shared" si="456"/>
        <v>2.9442723332749234</v>
      </c>
      <c r="I119" s="144">
        <v>3</v>
      </c>
      <c r="J119" s="145">
        <v>82.088999999999999</v>
      </c>
      <c r="K119" s="146">
        <v>3.661777694510612</v>
      </c>
      <c r="M119" s="50">
        <f>I91</f>
        <v>17</v>
      </c>
      <c r="N119" s="63">
        <f t="shared" ref="N119" si="457">J91</f>
        <v>42.656999999999996</v>
      </c>
      <c r="O119" s="64">
        <f t="shared" ref="O119" si="458">K91</f>
        <v>2.9355051818819931</v>
      </c>
      <c r="Q119" s="144">
        <v>-7</v>
      </c>
      <c r="R119" s="145">
        <v>37.76</v>
      </c>
      <c r="S119" s="146">
        <v>2.7863046044864226</v>
      </c>
      <c r="U119" s="50">
        <f>Q31</f>
        <v>37</v>
      </c>
      <c r="V119" s="63">
        <f>R31</f>
        <v>6.4539999999999997</v>
      </c>
      <c r="W119" s="64">
        <f>S31</f>
        <v>0.8852252153398803</v>
      </c>
      <c r="Y119" s="147">
        <v>28</v>
      </c>
      <c r="Z119" s="148">
        <v>2.632779977540161</v>
      </c>
      <c r="AA119" s="149">
        <v>1.7023502447936341</v>
      </c>
      <c r="AC119" s="50">
        <f>Y141</f>
        <v>17</v>
      </c>
      <c r="AD119" s="63">
        <f t="shared" ref="AD119:AE119" si="459">Z141</f>
        <v>4.2963657989337882</v>
      </c>
      <c r="AE119" s="64">
        <f t="shared" si="459"/>
        <v>2.2861848351100273</v>
      </c>
      <c r="AG119" s="147">
        <v>23</v>
      </c>
      <c r="AH119" s="148">
        <v>10.792965611114267</v>
      </c>
      <c r="AI119" s="149">
        <v>2.595340610130477</v>
      </c>
      <c r="AK119" s="50">
        <f>AG130</f>
        <v>17.5</v>
      </c>
      <c r="AL119" s="63">
        <f>AH130</f>
        <v>13.374512474060026</v>
      </c>
      <c r="AM119" s="64">
        <f>AI130</f>
        <v>2.8609179525995363</v>
      </c>
    </row>
    <row r="120" spans="1:39">
      <c r="A120" s="144">
        <v>2.5</v>
      </c>
      <c r="B120" s="145">
        <v>86.144119513582979</v>
      </c>
      <c r="C120" s="146">
        <v>3.7085011223279571</v>
      </c>
      <c r="E120" s="50">
        <f>A90</f>
        <v>17.5</v>
      </c>
      <c r="F120" s="63">
        <f t="shared" ref="F120:G120" si="460">B90</f>
        <v>41.992005116168883</v>
      </c>
      <c r="G120" s="64">
        <f t="shared" si="460"/>
        <v>2.9164353075323488</v>
      </c>
      <c r="I120" s="144">
        <v>2.5</v>
      </c>
      <c r="J120" s="145">
        <v>84.111999999999995</v>
      </c>
      <c r="K120" s="146">
        <v>3.6855019629837349</v>
      </c>
      <c r="M120" s="50">
        <f>I90</f>
        <v>17.5</v>
      </c>
      <c r="N120" s="63">
        <f t="shared" ref="N120" si="461">J90</f>
        <v>41.71</v>
      </c>
      <c r="O120" s="64">
        <f t="shared" ref="O120" si="462">K90</f>
        <v>2.9082415283781899</v>
      </c>
      <c r="Q120" s="144">
        <v>-7.5</v>
      </c>
      <c r="R120" s="145">
        <v>38.630000000000003</v>
      </c>
      <c r="S120" s="146">
        <v>2.8143668949439022</v>
      </c>
      <c r="U120" s="50">
        <f>Q30</f>
        <v>37.5</v>
      </c>
      <c r="V120" s="63">
        <f>R30</f>
        <v>6.3419999999999996</v>
      </c>
      <c r="W120" s="64">
        <f>S30</f>
        <v>0.87254416377744759</v>
      </c>
      <c r="Y120" s="147">
        <v>27.5</v>
      </c>
      <c r="Z120" s="148">
        <v>2.6902898253712451</v>
      </c>
      <c r="AA120" s="149">
        <v>1.7266943115579398</v>
      </c>
      <c r="AC120" s="50">
        <f>Y140</f>
        <v>17.5</v>
      </c>
      <c r="AD120" s="63">
        <f t="shared" ref="AD120:AE120" si="463">Z140</f>
        <v>4.1990079520773769</v>
      </c>
      <c r="AE120" s="64">
        <f t="shared" si="463"/>
        <v>2.2577719976781654</v>
      </c>
      <c r="AG120" s="147">
        <v>22.5</v>
      </c>
      <c r="AH120" s="148">
        <v>11.002359659721172</v>
      </c>
      <c r="AI120" s="149">
        <v>2.6193151241052597</v>
      </c>
      <c r="AK120" s="50">
        <f>AG129</f>
        <v>18</v>
      </c>
      <c r="AL120" s="63">
        <f>AH129</f>
        <v>13.112562967479453</v>
      </c>
      <c r="AM120" s="64">
        <f>AI129</f>
        <v>2.8366743631871318</v>
      </c>
    </row>
    <row r="121" spans="1:39">
      <c r="A121" s="144">
        <v>2</v>
      </c>
      <c r="B121" s="145">
        <v>88.328795478704762</v>
      </c>
      <c r="C121" s="146">
        <v>3.732345754106869</v>
      </c>
      <c r="E121" s="50">
        <f>A89</f>
        <v>18</v>
      </c>
      <c r="F121" s="63">
        <f t="shared" ref="F121:G121" si="464">B89</f>
        <v>41.042027670662968</v>
      </c>
      <c r="G121" s="64">
        <f t="shared" si="464"/>
        <v>2.888573779237118</v>
      </c>
      <c r="I121" s="144">
        <v>2</v>
      </c>
      <c r="J121" s="145">
        <v>86.19</v>
      </c>
      <c r="K121" s="146">
        <v>3.7090111025045185</v>
      </c>
      <c r="M121" s="50">
        <f>I89</f>
        <v>18</v>
      </c>
      <c r="N121" s="63">
        <f t="shared" ref="N121" si="465">J89</f>
        <v>40.786000000000001</v>
      </c>
      <c r="O121" s="64">
        <f t="shared" ref="O121" si="466">K89</f>
        <v>2.8809369084282204</v>
      </c>
      <c r="Q121" s="144">
        <v>-8</v>
      </c>
      <c r="R121" s="145">
        <v>39.53</v>
      </c>
      <c r="S121" s="146">
        <v>2.8426578455343017</v>
      </c>
      <c r="U121" s="50">
        <f>Q29</f>
        <v>38</v>
      </c>
      <c r="V121" s="63">
        <f>R29</f>
        <v>6.2309999999999999</v>
      </c>
      <c r="W121" s="64">
        <f>S29</f>
        <v>0.85989898153514943</v>
      </c>
      <c r="Y121" s="147">
        <v>27</v>
      </c>
      <c r="Z121" s="148">
        <v>2.7492240402829928</v>
      </c>
      <c r="AA121" s="149">
        <v>1.751271225138755</v>
      </c>
      <c r="AC121" s="50">
        <f>Y139</f>
        <v>18</v>
      </c>
      <c r="AD121" s="63">
        <f t="shared" ref="AD121:AE121" si="467">Z139</f>
        <v>4.104117789263575</v>
      </c>
      <c r="AE121" s="64">
        <f t="shared" si="467"/>
        <v>2.229500905589751</v>
      </c>
      <c r="AG121" s="147">
        <v>22</v>
      </c>
      <c r="AH121" s="148">
        <v>11.216439056141096</v>
      </c>
      <c r="AI121" s="149">
        <v>2.6433368546109763</v>
      </c>
      <c r="AK121" s="50">
        <f>AG128</f>
        <v>18.5</v>
      </c>
      <c r="AL121" s="63">
        <f>AH128</f>
        <v>12.856482552020404</v>
      </c>
      <c r="AM121" s="64">
        <f>AI128</f>
        <v>2.812436804910726</v>
      </c>
    </row>
    <row r="122" spans="1:39">
      <c r="A122" s="144">
        <v>1.5</v>
      </c>
      <c r="B122" s="145">
        <v>90.575378510550905</v>
      </c>
      <c r="C122" s="146">
        <v>3.7559649254024583</v>
      </c>
      <c r="E122" s="50">
        <f>A88</f>
        <v>18.5</v>
      </c>
      <c r="F122" s="63">
        <f t="shared" ref="F122:G122" si="468">B88</f>
        <v>40.116234169226757</v>
      </c>
      <c r="G122" s="64">
        <f t="shared" si="468"/>
        <v>2.8606951474608238</v>
      </c>
      <c r="I122" s="144">
        <v>1.5</v>
      </c>
      <c r="J122" s="145">
        <v>88.325999999999993</v>
      </c>
      <c r="K122" s="146">
        <v>3.7323158054865373</v>
      </c>
      <c r="M122" s="50">
        <f>I88</f>
        <v>18.5</v>
      </c>
      <c r="N122" s="63">
        <f t="shared" ref="N122" si="469">J88</f>
        <v>39.886000000000003</v>
      </c>
      <c r="O122" s="64">
        <f t="shared" ref="O122" si="470">K88</f>
        <v>2.8536473685716741</v>
      </c>
      <c r="Q122" s="144">
        <v>-8.5</v>
      </c>
      <c r="R122" s="145">
        <v>40.450000000000003</v>
      </c>
      <c r="S122" s="146">
        <v>2.8708303761533003</v>
      </c>
      <c r="U122" s="50">
        <f>Q28</f>
        <v>38.5</v>
      </c>
      <c r="V122" s="63">
        <f>R28</f>
        <v>6.1230000000000002</v>
      </c>
      <c r="W122" s="64">
        <f>S28</f>
        <v>0.84752097001910154</v>
      </c>
      <c r="Y122" s="147">
        <v>26.5</v>
      </c>
      <c r="Z122" s="148">
        <v>2.8096215223104184</v>
      </c>
      <c r="AA122" s="149">
        <v>1.776078358733985</v>
      </c>
      <c r="AC122" s="50">
        <f>Y138</f>
        <v>18.5</v>
      </c>
      <c r="AD122" s="63">
        <f t="shared" ref="AD122:AE122" si="471">Z138</f>
        <v>4.0116271604937275</v>
      </c>
      <c r="AE122" s="64">
        <f t="shared" si="471"/>
        <v>2.2013780249302646</v>
      </c>
      <c r="AG122" s="147">
        <v>21.5</v>
      </c>
      <c r="AH122" s="148">
        <v>11.435321371165413</v>
      </c>
      <c r="AI122" s="149">
        <v>2.6674014289676329</v>
      </c>
      <c r="AK122" s="50">
        <f>AG127</f>
        <v>19</v>
      </c>
      <c r="AL122" s="63">
        <f>AH127</f>
        <v>12.606124739352826</v>
      </c>
      <c r="AM122" s="64">
        <f>AI127</f>
        <v>2.788210028189404</v>
      </c>
    </row>
    <row r="123" spans="1:39">
      <c r="A123" s="144">
        <v>1</v>
      </c>
      <c r="B123" s="145">
        <v>92.885778019272564</v>
      </c>
      <c r="C123" s="146">
        <v>3.779354271765484</v>
      </c>
      <c r="E123" s="50">
        <f>A87</f>
        <v>19</v>
      </c>
      <c r="F123" s="63">
        <f t="shared" ref="F123:G123" si="472">B87</f>
        <v>39.213948642034843</v>
      </c>
      <c r="G123" s="64">
        <f t="shared" si="472"/>
        <v>2.8328067832716837</v>
      </c>
      <c r="I123" s="144">
        <v>1</v>
      </c>
      <c r="J123" s="145">
        <v>90.521000000000001</v>
      </c>
      <c r="K123" s="146">
        <v>3.7554036226051895</v>
      </c>
      <c r="M123" s="50">
        <f>I87</f>
        <v>19</v>
      </c>
      <c r="N123" s="63">
        <f t="shared" ref="N123" si="473">J87</f>
        <v>39.006999999999998</v>
      </c>
      <c r="O123" s="64">
        <f t="shared" ref="O123" si="474">K87</f>
        <v>2.8263074760531537</v>
      </c>
      <c r="Q123" s="144">
        <v>-9</v>
      </c>
      <c r="R123" s="145">
        <v>41.39</v>
      </c>
      <c r="S123" s="146">
        <v>2.8988653873091468</v>
      </c>
      <c r="U123" s="50">
        <f>Q27</f>
        <v>39</v>
      </c>
      <c r="V123" s="63">
        <f>R27</f>
        <v>6.0170000000000003</v>
      </c>
      <c r="W123" s="64">
        <f>S27</f>
        <v>0.83529999722353332</v>
      </c>
      <c r="Y123" s="147">
        <v>26</v>
      </c>
      <c r="Z123" s="148">
        <v>2.8715223189454249</v>
      </c>
      <c r="AA123" s="149">
        <v>1.8011128891409205</v>
      </c>
      <c r="AC123" s="50">
        <f>Y137</f>
        <v>19</v>
      </c>
      <c r="AD123" s="63">
        <f t="shared" ref="AD123:AE123" si="475">Z137</f>
        <v>3.9214699257581582</v>
      </c>
      <c r="AE123" s="64">
        <f t="shared" si="475"/>
        <v>2.1734096317062215</v>
      </c>
      <c r="AG123" s="147">
        <v>21</v>
      </c>
      <c r="AH123" s="148">
        <v>11.659127425249041</v>
      </c>
      <c r="AI123" s="149">
        <v>2.6915044166685727</v>
      </c>
      <c r="AK123" s="50">
        <f>AG126</f>
        <v>19.5</v>
      </c>
      <c r="AL123" s="63">
        <f>AH126</f>
        <v>12.361347045012161</v>
      </c>
      <c r="AM123" s="64">
        <f>AI126</f>
        <v>2.763998747510481</v>
      </c>
    </row>
    <row r="124" spans="1:39" ht="13.5" thickBot="1">
      <c r="A124" s="150">
        <v>0.5</v>
      </c>
      <c r="B124" s="151">
        <v>95.261966193696352</v>
      </c>
      <c r="C124" s="152">
        <v>3.8025096159831113</v>
      </c>
      <c r="E124" s="50">
        <f>A86</f>
        <v>19.5</v>
      </c>
      <c r="F124" s="63">
        <f t="shared" ref="F124:G124" si="476">B86</f>
        <v>38.334515448942859</v>
      </c>
      <c r="G124" s="64">
        <f t="shared" si="476"/>
        <v>2.8049160220931881</v>
      </c>
      <c r="I124" s="150">
        <v>0.5</v>
      </c>
      <c r="J124" s="151">
        <v>92.777000000000001</v>
      </c>
      <c r="K124" s="152">
        <v>3.7782728035381217</v>
      </c>
      <c r="M124" s="50">
        <f>I86</f>
        <v>19.5</v>
      </c>
      <c r="N124" s="63">
        <f t="shared" ref="N124" si="477">J86</f>
        <v>38.15</v>
      </c>
      <c r="O124" s="64">
        <f t="shared" ref="O124" si="478">K86</f>
        <v>2.7989728539985324</v>
      </c>
      <c r="Q124" s="150">
        <v>-9.5</v>
      </c>
      <c r="R124" s="151">
        <v>42.36</v>
      </c>
      <c r="S124" s="152">
        <v>2.9270315091210617</v>
      </c>
      <c r="U124" s="50">
        <f>Q26</f>
        <v>39.5</v>
      </c>
      <c r="V124" s="63">
        <f>R26</f>
        <v>5.9130000000000003</v>
      </c>
      <c r="W124" s="64">
        <f>S26</f>
        <v>0.82323949544733122</v>
      </c>
      <c r="Y124" s="147">
        <v>25.5</v>
      </c>
      <c r="Z124" s="148">
        <v>2.9349676610595408</v>
      </c>
      <c r="AA124" s="149">
        <v>1.8263717944276818</v>
      </c>
      <c r="AC124" s="50">
        <f>Y136</f>
        <v>19.5</v>
      </c>
      <c r="AD124" s="63">
        <f t="shared" ref="AD124:AE124" si="479">Z136</f>
        <v>3.8335818928354639</v>
      </c>
      <c r="AE124" s="64">
        <f t="shared" si="479"/>
        <v>2.145601808335083</v>
      </c>
      <c r="AG124" s="147">
        <v>20.5</v>
      </c>
      <c r="AH124" s="148">
        <v>11.887981386196342</v>
      </c>
      <c r="AI124" s="149">
        <v>2.7156413322092594</v>
      </c>
      <c r="AK124" s="50">
        <f>AG125</f>
        <v>20</v>
      </c>
      <c r="AL124" s="63">
        <f>AH125</f>
        <v>12.122010870009888</v>
      </c>
      <c r="AM124" s="64">
        <f>AI125</f>
        <v>2.7398076380215768</v>
      </c>
    </row>
    <row r="125" spans="1:39" ht="13.5" thickTop="1">
      <c r="A125" s="138">
        <v>0</v>
      </c>
      <c r="B125" s="139">
        <v>97.705980163957392</v>
      </c>
      <c r="C125" s="140">
        <v>3.825426970550478</v>
      </c>
      <c r="E125" s="50">
        <f>A85</f>
        <v>20</v>
      </c>
      <c r="F125" s="63">
        <f t="shared" ref="F125:G125" si="480">B85</f>
        <v>37.477298631929038</v>
      </c>
      <c r="G125" s="64">
        <f t="shared" si="480"/>
        <v>2.7770301561980029</v>
      </c>
      <c r="I125" s="138">
        <v>0</v>
      </c>
      <c r="J125" s="139">
        <v>95.096000000000004</v>
      </c>
      <c r="K125" s="140">
        <v>3.8009208927543647</v>
      </c>
      <c r="M125" s="50">
        <f>I85</f>
        <v>20</v>
      </c>
      <c r="N125" s="63">
        <f t="shared" ref="N125" si="481">J85</f>
        <v>37.314999999999998</v>
      </c>
      <c r="O125" s="64">
        <f t="shared" ref="O125" si="482">K85</f>
        <v>2.7716705043452423</v>
      </c>
      <c r="Q125" s="138">
        <v>-10</v>
      </c>
      <c r="R125" s="139">
        <v>43.35</v>
      </c>
      <c r="S125" s="140">
        <v>2.9550102249488757</v>
      </c>
      <c r="U125" s="50">
        <f>Q25</f>
        <v>40</v>
      </c>
      <c r="V125" s="63">
        <f>R25</f>
        <v>5.8109999999999999</v>
      </c>
      <c r="W125" s="64">
        <f>S25</f>
        <v>0.81134288347155903</v>
      </c>
      <c r="Y125" s="159">
        <v>25</v>
      </c>
      <c r="Z125" s="160">
        <v>3</v>
      </c>
      <c r="AA125" s="161">
        <v>1.8518518518518519</v>
      </c>
      <c r="AC125" s="50">
        <f>Y135</f>
        <v>20</v>
      </c>
      <c r="AD125" s="63">
        <f t="shared" ref="AD125:AE125" si="483">Z135</f>
        <v>3.7479007570750889</v>
      </c>
      <c r="AE125" s="64">
        <f t="shared" si="483"/>
        <v>2.117960440547515</v>
      </c>
      <c r="AG125" s="162">
        <v>20</v>
      </c>
      <c r="AH125" s="163">
        <v>12.122010870009888</v>
      </c>
      <c r="AI125" s="164">
        <f>AH125*5/(10+AH125)</f>
        <v>2.7398076380215768</v>
      </c>
      <c r="AK125" s="50">
        <f>AG124</f>
        <v>20.5</v>
      </c>
      <c r="AL125" s="63">
        <f>AH124</f>
        <v>11.887981386196342</v>
      </c>
      <c r="AM125" s="64">
        <f>AI124</f>
        <v>2.7156413322092594</v>
      </c>
    </row>
    <row r="126" spans="1:39">
      <c r="A126" s="144">
        <v>-0.5</v>
      </c>
      <c r="B126" s="145">
        <v>100.21992424093382</v>
      </c>
      <c r="C126" s="146">
        <v>3.848102539804362</v>
      </c>
      <c r="E126" s="50">
        <f>A84</f>
        <v>20.5</v>
      </c>
      <c r="F126" s="63">
        <f t="shared" ref="F126:G126" si="484">B84</f>
        <v>36.641681289098393</v>
      </c>
      <c r="G126" s="64">
        <f t="shared" si="484"/>
        <v>2.7491564273523545</v>
      </c>
      <c r="I126" s="144">
        <v>-0.5</v>
      </c>
      <c r="J126" s="145">
        <v>97.48</v>
      </c>
      <c r="K126" s="146">
        <v>3.8233448384060247</v>
      </c>
      <c r="M126" s="50">
        <f>I84</f>
        <v>20.5</v>
      </c>
      <c r="N126" s="63">
        <f t="shared" ref="N126" si="485">J84</f>
        <v>36.5</v>
      </c>
      <c r="O126" s="64">
        <f t="shared" ref="O126" si="486">K84</f>
        <v>2.744360902255639</v>
      </c>
      <c r="Q126" s="144">
        <v>-10.5</v>
      </c>
      <c r="R126" s="145">
        <v>44.37</v>
      </c>
      <c r="S126" s="146">
        <v>2.9830576845502215</v>
      </c>
      <c r="U126" s="50">
        <f>Q24</f>
        <v>40.5</v>
      </c>
      <c r="V126" s="63">
        <f>R24</f>
        <v>5.7110000000000003</v>
      </c>
      <c r="W126" s="64">
        <f>S24</f>
        <v>0.79961356444792919</v>
      </c>
      <c r="Y126" s="147">
        <v>24.5</v>
      </c>
      <c r="Z126" s="148">
        <v>3.0666630458986517</v>
      </c>
      <c r="AA126" s="149">
        <v>1.8775496360406034</v>
      </c>
      <c r="AC126" s="50">
        <f>Y134</f>
        <v>20.5</v>
      </c>
      <c r="AD126" s="63">
        <f t="shared" ref="AD126:AE126" si="487">Z134</f>
        <v>3.6643660430990823</v>
      </c>
      <c r="AE126" s="64">
        <f t="shared" si="487"/>
        <v>2.0904912146979209</v>
      </c>
      <c r="AG126" s="165">
        <v>19.5</v>
      </c>
      <c r="AH126" s="166">
        <v>12.361347045012161</v>
      </c>
      <c r="AI126" s="167">
        <f t="shared" ref="AI126:AI184" si="488">AH126*5/(10+AH126)</f>
        <v>2.763998747510481</v>
      </c>
      <c r="AK126" s="50">
        <f>AG123</f>
        <v>21</v>
      </c>
      <c r="AL126" s="63">
        <f>AH123</f>
        <v>11.659127425249041</v>
      </c>
      <c r="AM126" s="64">
        <f>AI123</f>
        <v>2.6915044166685727</v>
      </c>
    </row>
    <row r="127" spans="1:39">
      <c r="A127" s="144">
        <v>-1</v>
      </c>
      <c r="B127" s="145">
        <v>102.80597223524789</v>
      </c>
      <c r="C127" s="146">
        <v>3.8705327217190559</v>
      </c>
      <c r="E127" s="50">
        <f>A83</f>
        <v>21</v>
      </c>
      <c r="F127" s="63">
        <f t="shared" ref="F127:G127" si="489">B83</f>
        <v>35.827064969508854</v>
      </c>
      <c r="G127" s="64">
        <f t="shared" si="489"/>
        <v>2.7213020196255124</v>
      </c>
      <c r="I127" s="144">
        <v>-1</v>
      </c>
      <c r="J127" s="145">
        <v>99.930999999999997</v>
      </c>
      <c r="K127" s="146">
        <v>3.845541094888826</v>
      </c>
      <c r="M127" s="50">
        <f>I83</f>
        <v>21</v>
      </c>
      <c r="N127" s="63">
        <f t="shared" ref="N127" si="490">J83</f>
        <v>35.704000000000001</v>
      </c>
      <c r="O127" s="64">
        <f t="shared" ref="O127" si="491">K83</f>
        <v>2.7170339705345183</v>
      </c>
      <c r="Q127" s="144">
        <v>-11</v>
      </c>
      <c r="R127" s="145">
        <v>45.42</v>
      </c>
      <c r="S127" s="146">
        <v>3.0111376292760546</v>
      </c>
      <c r="U127" s="50">
        <f>Q23</f>
        <v>41</v>
      </c>
      <c r="V127" s="63">
        <f>R23</f>
        <v>5.6139999999999999</v>
      </c>
      <c r="W127" s="64">
        <f>S23</f>
        <v>0.78817319031841415</v>
      </c>
      <c r="Y127" s="147">
        <v>24</v>
      </c>
      <c r="Z127" s="148">
        <v>3.1350018072338601</v>
      </c>
      <c r="AA127" s="149">
        <v>1.903461517446168</v>
      </c>
      <c r="AC127" s="50">
        <f>Y133</f>
        <v>21</v>
      </c>
      <c r="AD127" s="63">
        <f t="shared" ref="AD127:AE127" si="492">Z133</f>
        <v>3.5829190483620201</v>
      </c>
      <c r="AE127" s="64">
        <f t="shared" si="492"/>
        <v>2.063199615478343</v>
      </c>
      <c r="AG127" s="165">
        <v>19</v>
      </c>
      <c r="AH127" s="166">
        <v>12.606124739352826</v>
      </c>
      <c r="AI127" s="167">
        <f t="shared" si="488"/>
        <v>2.788210028189404</v>
      </c>
      <c r="AK127" s="50">
        <f>AG122</f>
        <v>21.5</v>
      </c>
      <c r="AL127" s="63">
        <f>AH122</f>
        <v>11.435321371165413</v>
      </c>
      <c r="AM127" s="64">
        <f>AI122</f>
        <v>2.6674014289676329</v>
      </c>
    </row>
    <row r="128" spans="1:39">
      <c r="A128" s="144">
        <v>-1.5</v>
      </c>
      <c r="B128" s="145">
        <v>105.46636985869146</v>
      </c>
      <c r="C128" s="146">
        <v>3.8927141093655284</v>
      </c>
      <c r="E128" s="50">
        <f>A82</f>
        <v>21.5</v>
      </c>
      <c r="F128" s="63">
        <f t="shared" ref="F128:G128" si="493">B82</f>
        <v>35.032869088102622</v>
      </c>
      <c r="G128" s="64">
        <f t="shared" si="493"/>
        <v>2.6934740523782059</v>
      </c>
      <c r="I128" s="144">
        <v>-1.5</v>
      </c>
      <c r="J128" s="145">
        <v>102.45</v>
      </c>
      <c r="K128" s="146">
        <v>3.867497168742922</v>
      </c>
      <c r="M128" s="50">
        <f>I82</f>
        <v>21.5</v>
      </c>
      <c r="N128" s="63">
        <f t="shared" ref="N128" si="494">J82</f>
        <v>34.929000000000002</v>
      </c>
      <c r="O128" s="64">
        <f t="shared" ref="O128" si="495">K82</f>
        <v>2.6897842258466942</v>
      </c>
      <c r="Q128" s="144">
        <v>-11.5</v>
      </c>
      <c r="R128" s="145">
        <v>46.5</v>
      </c>
      <c r="S128" s="146">
        <v>3.0392156862745097</v>
      </c>
      <c r="U128" s="50">
        <f>Q22</f>
        <v>41.5</v>
      </c>
      <c r="V128" s="63">
        <f>R22</f>
        <v>5.5179999999999998</v>
      </c>
      <c r="W128" s="64">
        <f>S22</f>
        <v>0.77678923362801955</v>
      </c>
      <c r="Y128" s="147">
        <v>23.5</v>
      </c>
      <c r="Z128" s="148">
        <v>3.2050626316877495</v>
      </c>
      <c r="AA128" s="149">
        <v>1.9295836610905963</v>
      </c>
      <c r="AC128" s="50">
        <f>Y132</f>
        <v>21.5</v>
      </c>
      <c r="AD128" s="63">
        <f t="shared" ref="AD128:AE128" si="496">Z132</f>
        <v>3.5035027885087184</v>
      </c>
      <c r="AE128" s="64">
        <f t="shared" si="496"/>
        <v>2.0360909240293248</v>
      </c>
      <c r="AG128" s="165">
        <v>18.5</v>
      </c>
      <c r="AH128" s="166">
        <v>12.856482552020404</v>
      </c>
      <c r="AI128" s="167">
        <f t="shared" si="488"/>
        <v>2.812436804910726</v>
      </c>
      <c r="AK128" s="50">
        <f>AG121</f>
        <v>22</v>
      </c>
      <c r="AL128" s="63">
        <f>AH121</f>
        <v>11.216439056141096</v>
      </c>
      <c r="AM128" s="64">
        <f>AI121</f>
        <v>2.6433368546109763</v>
      </c>
    </row>
    <row r="129" spans="1:39">
      <c r="A129" s="144">
        <v>-2</v>
      </c>
      <c r="B129" s="145">
        <v>108.20343721103865</v>
      </c>
      <c r="C129" s="146">
        <v>3.9146434920359621</v>
      </c>
      <c r="E129" s="50">
        <f>A81</f>
        <v>22</v>
      </c>
      <c r="F129" s="63">
        <f t="shared" ref="F129:G129" si="497">B81</f>
        <v>34.258530360053257</v>
      </c>
      <c r="G129" s="64">
        <f t="shared" si="497"/>
        <v>2.6656795734430849</v>
      </c>
      <c r="I129" s="144">
        <v>-2</v>
      </c>
      <c r="J129" s="145">
        <v>105.04</v>
      </c>
      <c r="K129" s="146">
        <v>3.8892180094786726</v>
      </c>
      <c r="M129" s="50">
        <f>I81</f>
        <v>22</v>
      </c>
      <c r="N129" s="63">
        <f t="shared" ref="N129" si="498">J81</f>
        <v>34.171999999999997</v>
      </c>
      <c r="O129" s="64">
        <f t="shared" ref="O129" si="499">K81</f>
        <v>2.6625319453967462</v>
      </c>
      <c r="Q129" s="144">
        <v>-12</v>
      </c>
      <c r="R129" s="145">
        <v>47.6</v>
      </c>
      <c r="S129" s="146">
        <v>3.0670103092783507</v>
      </c>
      <c r="U129" s="50">
        <f>Q21</f>
        <v>42</v>
      </c>
      <c r="V129" s="63">
        <f>R21</f>
        <v>5.4240000000000004</v>
      </c>
      <c r="W129" s="64">
        <f>S21</f>
        <v>0.76558265582655827</v>
      </c>
      <c r="Y129" s="147">
        <v>23</v>
      </c>
      <c r="Z129" s="148">
        <v>3.2768932483416817</v>
      </c>
      <c r="AA129" s="149">
        <v>1.955912025613068</v>
      </c>
      <c r="AC129" s="50">
        <f>Y131</f>
        <v>22</v>
      </c>
      <c r="AD129" s="63">
        <f t="shared" ref="AD129:AE129" si="500">Z131</f>
        <v>3.4260619444720266</v>
      </c>
      <c r="AE129" s="64">
        <f t="shared" si="500"/>
        <v>2.009170216440519</v>
      </c>
      <c r="AG129" s="165">
        <v>18</v>
      </c>
      <c r="AH129" s="166">
        <v>13.112562967479453</v>
      </c>
      <c r="AI129" s="167">
        <f t="shared" si="488"/>
        <v>2.8366743631871318</v>
      </c>
      <c r="AK129" s="50">
        <f>AG120</f>
        <v>22.5</v>
      </c>
      <c r="AL129" s="63">
        <f>AH120</f>
        <v>11.002359659721172</v>
      </c>
      <c r="AM129" s="64">
        <f>AI120</f>
        <v>2.6193151241052597</v>
      </c>
    </row>
    <row r="130" spans="1:39">
      <c r="A130" s="144">
        <v>-2.5</v>
      </c>
      <c r="B130" s="145">
        <v>111.01957135531316</v>
      </c>
      <c r="C130" s="146">
        <v>3.9363178560367356</v>
      </c>
      <c r="E130" s="50">
        <f>A80</f>
        <v>22.5</v>
      </c>
      <c r="F130" s="63">
        <f t="shared" ref="F130:G130" si="501">B80</f>
        <v>33.503502253861235</v>
      </c>
      <c r="G130" s="64">
        <f t="shared" si="501"/>
        <v>2.6379255525095155</v>
      </c>
      <c r="I130" s="144">
        <v>-2.5</v>
      </c>
      <c r="J130" s="145">
        <v>107.7</v>
      </c>
      <c r="K130" s="146">
        <v>3.910675381263617</v>
      </c>
      <c r="M130" s="50">
        <f>I80</f>
        <v>22.5</v>
      </c>
      <c r="N130" s="63">
        <f t="shared" ref="N130" si="502">J80</f>
        <v>33.433</v>
      </c>
      <c r="O130" s="64">
        <f t="shared" ref="O130" si="503">K80</f>
        <v>2.6353002380464425</v>
      </c>
      <c r="Q130" s="144">
        <v>-12.5</v>
      </c>
      <c r="R130" s="145">
        <v>48.74</v>
      </c>
      <c r="S130" s="146">
        <v>3.0949961899923797</v>
      </c>
      <c r="U130" s="50">
        <f>Q20</f>
        <v>42.5</v>
      </c>
      <c r="V130" s="63">
        <f>R20</f>
        <v>5.3319999999999999</v>
      </c>
      <c r="W130" s="64">
        <f>S20</f>
        <v>0.75455677572738589</v>
      </c>
      <c r="Y130" s="147">
        <v>22.5</v>
      </c>
      <c r="Z130" s="148">
        <v>3.350542811254809</v>
      </c>
      <c r="AA130" s="149">
        <v>1.9824423626328516</v>
      </c>
      <c r="AC130" s="50">
        <f>Y130</f>
        <v>22.5</v>
      </c>
      <c r="AD130" s="63">
        <f t="shared" ref="AD130:AE130" si="504">Z130</f>
        <v>3.350542811254809</v>
      </c>
      <c r="AE130" s="64">
        <f t="shared" si="504"/>
        <v>1.9824423626328516</v>
      </c>
      <c r="AG130" s="165">
        <v>17.5</v>
      </c>
      <c r="AH130" s="166">
        <v>13.374512474060026</v>
      </c>
      <c r="AI130" s="167">
        <f t="shared" si="488"/>
        <v>2.8609179525995363</v>
      </c>
      <c r="AK130" s="50">
        <f>AG119</f>
        <v>23</v>
      </c>
      <c r="AL130" s="63">
        <f>AH119</f>
        <v>10.792965611114267</v>
      </c>
      <c r="AM130" s="64">
        <f>AI119</f>
        <v>2.595340610130477</v>
      </c>
    </row>
    <row r="131" spans="1:39">
      <c r="A131" s="144">
        <v>-3</v>
      </c>
      <c r="B131" s="145">
        <v>113.91724898468526</v>
      </c>
      <c r="C131" s="146">
        <v>3.9577343851537763</v>
      </c>
      <c r="E131" s="50">
        <f>A79</f>
        <v>23</v>
      </c>
      <c r="F131" s="63">
        <f t="shared" ref="F131:G131" si="505">B79</f>
        <v>32.767254462555719</v>
      </c>
      <c r="G131" s="64">
        <f t="shared" si="505"/>
        <v>2.6102188747241821</v>
      </c>
      <c r="I131" s="144">
        <v>-3</v>
      </c>
      <c r="J131" s="145">
        <v>110.44</v>
      </c>
      <c r="K131" s="146">
        <v>3.9319282255767591</v>
      </c>
      <c r="M131" s="50">
        <f>I79</f>
        <v>23</v>
      </c>
      <c r="N131" s="63">
        <f t="shared" ref="N131" si="506">J79</f>
        <v>32.713000000000001</v>
      </c>
      <c r="O131" s="64">
        <f t="shared" ref="O131" si="507">K79</f>
        <v>2.6081514199607736</v>
      </c>
      <c r="Q131" s="144">
        <v>-13</v>
      </c>
      <c r="R131" s="145">
        <v>49.91</v>
      </c>
      <c r="S131" s="146">
        <v>3.1228882492804404</v>
      </c>
      <c r="U131" s="50">
        <f>Q19</f>
        <v>43</v>
      </c>
      <c r="V131" s="63">
        <f>R19</f>
        <v>5.2409999999999997</v>
      </c>
      <c r="W131" s="64">
        <f>S19</f>
        <v>0.74359410913424695</v>
      </c>
      <c r="Y131" s="147">
        <v>22</v>
      </c>
      <c r="Z131" s="148">
        <v>3.4260619444720266</v>
      </c>
      <c r="AA131" s="149">
        <v>2.009170216440519</v>
      </c>
      <c r="AC131" s="50">
        <f>Y129</f>
        <v>23</v>
      </c>
      <c r="AD131" s="63">
        <f t="shared" ref="AD131:AE131" si="508">Z129</f>
        <v>3.2768932483416817</v>
      </c>
      <c r="AE131" s="64">
        <f t="shared" si="508"/>
        <v>1.955912025613068</v>
      </c>
      <c r="AG131" s="165">
        <v>17</v>
      </c>
      <c r="AH131" s="166">
        <v>13.642481686231045</v>
      </c>
      <c r="AI131" s="167">
        <f t="shared" si="488"/>
        <v>2.8851627902869819</v>
      </c>
      <c r="AK131" s="50">
        <f>AG118</f>
        <v>23.5</v>
      </c>
      <c r="AL131" s="63">
        <f>AH118</f>
        <v>10.588142494564234</v>
      </c>
      <c r="AM131" s="64">
        <f>AI118</f>
        <v>2.5714176248196652</v>
      </c>
    </row>
    <row r="132" spans="1:39">
      <c r="A132" s="144">
        <v>-3.5</v>
      </c>
      <c r="B132" s="145">
        <v>116.89902918428605</v>
      </c>
      <c r="C132" s="146">
        <v>3.9788904607951912</v>
      </c>
      <c r="E132" s="50">
        <f>A78</f>
        <v>23.5</v>
      </c>
      <c r="F132" s="63">
        <f t="shared" ref="F132:G132" si="509">B78</f>
        <v>32.049272392381852</v>
      </c>
      <c r="G132" s="64">
        <f t="shared" si="509"/>
        <v>2.5825663345181082</v>
      </c>
      <c r="I132" s="144">
        <v>-3.5</v>
      </c>
      <c r="J132" s="145">
        <v>113.26</v>
      </c>
      <c r="K132" s="146">
        <v>3.9529526734608411</v>
      </c>
      <c r="M132" s="50">
        <f>I78</f>
        <v>23.5</v>
      </c>
      <c r="N132" s="63">
        <f t="shared" ref="N132" si="510">J78</f>
        <v>32.01</v>
      </c>
      <c r="O132" s="64">
        <f t="shared" ref="O132" si="511">K78</f>
        <v>2.5810353168843734</v>
      </c>
      <c r="Q132" s="144">
        <v>-13.5</v>
      </c>
      <c r="R132" s="145">
        <v>51.1</v>
      </c>
      <c r="S132" s="146">
        <v>3.1504315659679412</v>
      </c>
      <c r="U132" s="50">
        <f>Q18</f>
        <v>43.5</v>
      </c>
      <c r="V132" s="63">
        <f>R18</f>
        <v>5.1529999999999996</v>
      </c>
      <c r="W132" s="64">
        <f>S18</f>
        <v>0.73293886723750457</v>
      </c>
      <c r="Y132" s="147">
        <v>21.5</v>
      </c>
      <c r="Z132" s="148">
        <v>3.5035027885087184</v>
      </c>
      <c r="AA132" s="149">
        <v>2.0360909240293248</v>
      </c>
      <c r="AC132" s="50">
        <f>Y128</f>
        <v>23.5</v>
      </c>
      <c r="AD132" s="63">
        <f t="shared" ref="AD132:AE132" si="512">Z128</f>
        <v>3.2050626316877495</v>
      </c>
      <c r="AE132" s="64">
        <f t="shared" si="512"/>
        <v>1.9295836610905963</v>
      </c>
      <c r="AG132" s="165">
        <v>16.5</v>
      </c>
      <c r="AH132" s="166">
        <v>13.916625470893658</v>
      </c>
      <c r="AI132" s="167">
        <f t="shared" si="488"/>
        <v>2.909404064513633</v>
      </c>
      <c r="AK132" s="50">
        <f>AG117</f>
        <v>24</v>
      </c>
      <c r="AL132" s="63">
        <f>AH117</f>
        <v>10.38777895767736</v>
      </c>
      <c r="AM132" s="64">
        <f>AI117</f>
        <v>2.5475504171496981</v>
      </c>
    </row>
    <row r="133" spans="1:39">
      <c r="A133" s="144">
        <v>-4</v>
      </c>
      <c r="B133" s="145">
        <v>119.96755629134174</v>
      </c>
      <c r="C133" s="146">
        <v>3.9997836618168581</v>
      </c>
      <c r="E133" s="50">
        <f>A77</f>
        <v>24</v>
      </c>
      <c r="F133" s="63">
        <f t="shared" ref="F133:G133" si="513">B77</f>
        <v>31.349056668374551</v>
      </c>
      <c r="G133" s="64">
        <f t="shared" si="513"/>
        <v>2.5549746296698146</v>
      </c>
      <c r="I133" s="144">
        <v>-4</v>
      </c>
      <c r="J133" s="145">
        <v>116.16</v>
      </c>
      <c r="K133" s="146">
        <v>3.9737274220032837</v>
      </c>
      <c r="M133" s="50">
        <f>I77</f>
        <v>24</v>
      </c>
      <c r="N133" s="63">
        <f t="shared" ref="N133" si="514">J77</f>
        <v>31.323</v>
      </c>
      <c r="O133" s="64">
        <f t="shared" ref="O133" si="515">K77</f>
        <v>2.5539357174306541</v>
      </c>
      <c r="Q133" s="144">
        <v>-14</v>
      </c>
      <c r="R133" s="145">
        <v>52.33</v>
      </c>
      <c r="S133" s="146">
        <v>3.1780638892262845</v>
      </c>
      <c r="U133" s="50">
        <f>Q17</f>
        <v>44</v>
      </c>
      <c r="V133" s="63">
        <f>R17</f>
        <v>5.0659999999999998</v>
      </c>
      <c r="W133" s="64">
        <f>S17</f>
        <v>0.72235213597216663</v>
      </c>
      <c r="Y133" s="147">
        <v>21</v>
      </c>
      <c r="Z133" s="148">
        <v>3.5829190483620201</v>
      </c>
      <c r="AA133" s="149">
        <v>2.063199615478343</v>
      </c>
      <c r="AC133" s="50">
        <f>Y127</f>
        <v>24</v>
      </c>
      <c r="AD133" s="63">
        <f t="shared" ref="AD133:AE133" si="516">Z127</f>
        <v>3.1350018072338601</v>
      </c>
      <c r="AE133" s="64">
        <f t="shared" si="516"/>
        <v>1.903461517446168</v>
      </c>
      <c r="AG133" s="165">
        <v>16</v>
      </c>
      <c r="AH133" s="166">
        <v>14.197103077835211</v>
      </c>
      <c r="AI133" s="167">
        <f t="shared" si="488"/>
        <v>2.9336369383076897</v>
      </c>
      <c r="AK133" s="50">
        <f>AG116</f>
        <v>24.5</v>
      </c>
      <c r="AL133" s="63">
        <f>AH116</f>
        <v>10.191766622606913</v>
      </c>
      <c r="AM133" s="64">
        <f>AI116</f>
        <v>2.523743170445548</v>
      </c>
    </row>
    <row r="134" spans="1:39">
      <c r="A134" s="144">
        <v>-4.5</v>
      </c>
      <c r="B134" s="145">
        <v>123.12556285715372</v>
      </c>
      <c r="C134" s="146">
        <v>4.0204117640375268</v>
      </c>
      <c r="E134" s="50">
        <f>A76</f>
        <v>24.5</v>
      </c>
      <c r="F134" s="63">
        <f t="shared" ref="F134:G134" si="517">B76</f>
        <v>30.666122656241935</v>
      </c>
      <c r="G134" s="64">
        <f t="shared" si="517"/>
        <v>2.52745035561348</v>
      </c>
      <c r="I134" s="144">
        <v>-4.5</v>
      </c>
      <c r="J134" s="145">
        <v>119.14</v>
      </c>
      <c r="K134" s="146">
        <v>3.9942336060077785</v>
      </c>
      <c r="M134" s="50">
        <f>I76</f>
        <v>24.5</v>
      </c>
      <c r="N134" s="63">
        <f t="shared" ref="N134" si="518">J76</f>
        <v>30.654</v>
      </c>
      <c r="O134" s="64">
        <f t="shared" ref="O134" si="519">K76</f>
        <v>2.5269561776634686</v>
      </c>
      <c r="Q134" s="144">
        <v>-14.5</v>
      </c>
      <c r="R134" s="145">
        <v>53.6</v>
      </c>
      <c r="S134" s="146">
        <v>3.2057416267942584</v>
      </c>
      <c r="U134" s="50">
        <f>Q16</f>
        <v>44.5</v>
      </c>
      <c r="V134" s="63">
        <f>R16</f>
        <v>4.9809999999999999</v>
      </c>
      <c r="W134" s="64">
        <f>S16</f>
        <v>0.71195792001372171</v>
      </c>
      <c r="Y134" s="147">
        <v>20.5</v>
      </c>
      <c r="Z134" s="148">
        <v>3.6643660430990823</v>
      </c>
      <c r="AA134" s="149">
        <v>2.0904912146979209</v>
      </c>
      <c r="AC134" s="50">
        <f>Y126</f>
        <v>24.5</v>
      </c>
      <c r="AD134" s="63">
        <f t="shared" ref="AD134:AE134" si="520">Z126</f>
        <v>3.0666630458986517</v>
      </c>
      <c r="AE134" s="64">
        <f t="shared" si="520"/>
        <v>1.8775496360406034</v>
      </c>
      <c r="AG134" s="165">
        <v>15.5</v>
      </c>
      <c r="AH134" s="166">
        <v>14.484078274491184</v>
      </c>
      <c r="AI134" s="167">
        <f t="shared" si="488"/>
        <v>2.957856553166935</v>
      </c>
      <c r="AK134" s="50">
        <f>AG115</f>
        <v>25</v>
      </c>
      <c r="AL134" s="63">
        <f>AH115</f>
        <v>9.9999999999998224</v>
      </c>
      <c r="AM134" s="64">
        <f>AI115</f>
        <v>2.4999999999999778</v>
      </c>
    </row>
    <row r="135" spans="1:39">
      <c r="A135" s="144">
        <v>-5</v>
      </c>
      <c r="B135" s="145">
        <v>126.37587271456684</v>
      </c>
      <c r="C135" s="146">
        <v>4.0407727394507003</v>
      </c>
      <c r="E135" s="50">
        <f>A75</f>
        <v>25</v>
      </c>
      <c r="F135" s="63">
        <f t="shared" ref="F135:G135" si="521">B75</f>
        <v>30</v>
      </c>
      <c r="G135" s="64">
        <f t="shared" si="521"/>
        <v>2.5</v>
      </c>
      <c r="I135" s="144">
        <v>-5</v>
      </c>
      <c r="J135" s="145">
        <v>122.2</v>
      </c>
      <c r="K135" s="146">
        <v>4.0144546649145862</v>
      </c>
      <c r="M135" s="50">
        <f>I75</f>
        <v>25</v>
      </c>
      <c r="N135" s="63">
        <f t="shared" ref="N135" si="522">J75</f>
        <v>30</v>
      </c>
      <c r="O135" s="64">
        <f t="shared" ref="O135" si="523">K75</f>
        <v>2.5</v>
      </c>
      <c r="Q135" s="144">
        <v>-15</v>
      </c>
      <c r="R135" s="145">
        <v>54.9</v>
      </c>
      <c r="S135" s="146">
        <v>3.2332155477031801</v>
      </c>
      <c r="U135" s="50">
        <f>Q15</f>
        <v>45</v>
      </c>
      <c r="V135" s="63">
        <f>R15</f>
        <v>4.8970000000000002</v>
      </c>
      <c r="W135" s="64">
        <f>S15</f>
        <v>0.70163624380319223</v>
      </c>
      <c r="Y135" s="147">
        <v>20</v>
      </c>
      <c r="Z135" s="148">
        <v>3.7479007570750889</v>
      </c>
      <c r="AA135" s="149">
        <v>2.117960440547515</v>
      </c>
      <c r="AC135" s="50">
        <f>Y125</f>
        <v>25</v>
      </c>
      <c r="AD135" s="63">
        <f t="shared" ref="AD135:AE135" si="524">Z125</f>
        <v>3</v>
      </c>
      <c r="AE135" s="64">
        <f t="shared" si="524"/>
        <v>1.8518518518518519</v>
      </c>
      <c r="AG135" s="165">
        <v>15</v>
      </c>
      <c r="AH135" s="166">
        <v>14.777719485165806</v>
      </c>
      <c r="AI135" s="167">
        <f t="shared" si="488"/>
        <v>2.9820580328252353</v>
      </c>
      <c r="AK135" s="50">
        <f>AG114</f>
        <v>25.5</v>
      </c>
      <c r="AL135" s="63">
        <f>AH114</f>
        <v>9.8123764056150478</v>
      </c>
      <c r="AM135" s="64">
        <f>AI114</f>
        <v>2.4763249508105729</v>
      </c>
    </row>
    <row r="136" spans="1:39">
      <c r="A136" s="144">
        <v>-5.5</v>
      </c>
      <c r="B136" s="145">
        <v>129.72140415470582</v>
      </c>
      <c r="C136" s="146">
        <v>4.0608647551413313</v>
      </c>
      <c r="E136" s="50">
        <f>A74</f>
        <v>25.5</v>
      </c>
      <c r="F136" s="63">
        <f t="shared" ref="F136:G136" si="525">B74</f>
        <v>29.350232174821247</v>
      </c>
      <c r="G136" s="64">
        <f t="shared" si="525"/>
        <v>2.4726299375179863</v>
      </c>
      <c r="I136" s="144">
        <v>-5.5</v>
      </c>
      <c r="J136" s="145">
        <v>125.35</v>
      </c>
      <c r="K136" s="146">
        <v>4.0344383649822984</v>
      </c>
      <c r="M136" s="50">
        <f>I74</f>
        <v>25.5</v>
      </c>
      <c r="N136" s="63">
        <f t="shared" ref="N136" si="526">J74</f>
        <v>29.361999999999998</v>
      </c>
      <c r="O136" s="64">
        <f t="shared" ref="O136" si="527">K74</f>
        <v>2.4731309591994881</v>
      </c>
      <c r="Q136" s="144">
        <v>-15.5</v>
      </c>
      <c r="R136" s="145">
        <v>56.23</v>
      </c>
      <c r="S136" s="146">
        <v>3.260466195059724</v>
      </c>
      <c r="U136" s="50">
        <f>Q14</f>
        <v>45.5</v>
      </c>
      <c r="V136" s="63">
        <f>R14</f>
        <v>4.8150000000000004</v>
      </c>
      <c r="W136" s="64">
        <f>S14</f>
        <v>0.69151227919000446</v>
      </c>
      <c r="Y136" s="147">
        <v>19.5</v>
      </c>
      <c r="Z136" s="148">
        <v>3.8335818928354639</v>
      </c>
      <c r="AA136" s="149">
        <v>2.145601808335083</v>
      </c>
      <c r="AC136" s="50">
        <f>Y124</f>
        <v>25.5</v>
      </c>
      <c r="AD136" s="63">
        <f t="shared" ref="AD136:AE136" si="528">Z124</f>
        <v>2.9349676610595408</v>
      </c>
      <c r="AE136" s="64">
        <f t="shared" si="528"/>
        <v>1.8263717944276818</v>
      </c>
      <c r="AG136" s="165">
        <v>14.5</v>
      </c>
      <c r="AH136" s="166">
        <v>15.078199934871115</v>
      </c>
      <c r="AI136" s="167">
        <f t="shared" si="488"/>
        <v>3.0062364870743679</v>
      </c>
      <c r="AK136" s="50">
        <f>AG113</f>
        <v>26</v>
      </c>
      <c r="AL136" s="63">
        <f>AH113</f>
        <v>9.6287958795236346</v>
      </c>
      <c r="AM136" s="64">
        <f>AI113</f>
        <v>2.452721995435339</v>
      </c>
    </row>
    <row r="137" spans="1:39">
      <c r="A137" s="144">
        <v>-6</v>
      </c>
      <c r="B137" s="145">
        <v>133.16517321688002</v>
      </c>
      <c r="C137" s="146">
        <v>4.0806861719159935</v>
      </c>
      <c r="E137" s="50">
        <f>A73</f>
        <v>26</v>
      </c>
      <c r="F137" s="63">
        <f t="shared" ref="F137:G137" si="529">B73</f>
        <v>28.716376054577818</v>
      </c>
      <c r="G137" s="64">
        <f t="shared" si="529"/>
        <v>2.4453464249807824</v>
      </c>
      <c r="I137" s="144">
        <v>-6</v>
      </c>
      <c r="J137" s="145">
        <v>128.6</v>
      </c>
      <c r="K137" s="146">
        <v>4.0542244640605301</v>
      </c>
      <c r="M137" s="50">
        <f>I73</f>
        <v>26</v>
      </c>
      <c r="N137" s="63">
        <f t="shared" ref="N137" si="530">J73</f>
        <v>28.739000000000001</v>
      </c>
      <c r="O137" s="64">
        <f t="shared" ref="O137" si="531">K73</f>
        <v>2.4463303767513915</v>
      </c>
      <c r="Q137" s="144">
        <v>-16</v>
      </c>
      <c r="R137" s="145">
        <v>57.6</v>
      </c>
      <c r="S137" s="146">
        <v>3.2876712328767126</v>
      </c>
      <c r="U137" s="50">
        <f>Q13</f>
        <v>46</v>
      </c>
      <c r="V137" s="63">
        <f>R13</f>
        <v>4.7350000000000003</v>
      </c>
      <c r="W137" s="64">
        <f>S13</f>
        <v>0.68158917518353246</v>
      </c>
      <c r="Y137" s="147">
        <v>19</v>
      </c>
      <c r="Z137" s="148">
        <v>3.9214699257581582</v>
      </c>
      <c r="AA137" s="149">
        <v>2.1734096317062215</v>
      </c>
      <c r="AC137" s="50">
        <f>Y123</f>
        <v>26</v>
      </c>
      <c r="AD137" s="63">
        <f t="shared" ref="AD137:AE137" si="532">Z123</f>
        <v>2.8715223189454249</v>
      </c>
      <c r="AE137" s="64">
        <f t="shared" si="532"/>
        <v>1.8011128891409205</v>
      </c>
      <c r="AG137" s="165">
        <v>14</v>
      </c>
      <c r="AH137" s="166">
        <v>15.385697797944957</v>
      </c>
      <c r="AI137" s="167">
        <f t="shared" si="488"/>
        <v>3.0303870156349362</v>
      </c>
      <c r="AK137" s="50">
        <f>AG112</f>
        <v>26.5</v>
      </c>
      <c r="AL137" s="63">
        <f>AH112</f>
        <v>9.449161107807047</v>
      </c>
      <c r="AM137" s="64">
        <f>AI112</f>
        <v>2.4291950319682627</v>
      </c>
    </row>
    <row r="138" spans="1:39">
      <c r="A138" s="144">
        <v>-6.5</v>
      </c>
      <c r="B138" s="145">
        <v>136.71029709570499</v>
      </c>
      <c r="C138" s="146">
        <v>4.1002355426558443</v>
      </c>
      <c r="E138" s="50">
        <f>A72</f>
        <v>26.5</v>
      </c>
      <c r="F138" s="63">
        <f t="shared" ref="F138:G138" si="533">B72</f>
        <v>28.098001493578334</v>
      </c>
      <c r="G138" s="64">
        <f t="shared" si="533"/>
        <v>2.4181555966846853</v>
      </c>
      <c r="I138" s="144">
        <v>-6.5</v>
      </c>
      <c r="J138" s="145">
        <v>131.94</v>
      </c>
      <c r="K138" s="146">
        <v>4.0737310114857355</v>
      </c>
      <c r="M138" s="50">
        <f>I72</f>
        <v>26.5</v>
      </c>
      <c r="N138" s="63">
        <f t="shared" ref="N138" si="534">J72</f>
        <v>28.131</v>
      </c>
      <c r="O138" s="64">
        <f t="shared" ref="O138" si="535">K72</f>
        <v>2.4196212003922177</v>
      </c>
      <c r="Q138" s="144">
        <v>-16.5</v>
      </c>
      <c r="R138" s="145">
        <v>59.01</v>
      </c>
      <c r="S138" s="146">
        <v>3.3147960903269302</v>
      </c>
      <c r="U138" s="50">
        <f>Q12</f>
        <v>46.5</v>
      </c>
      <c r="V138" s="63">
        <f>R12</f>
        <v>4.6559999999999997</v>
      </c>
      <c r="W138" s="64">
        <f>S12</f>
        <v>0.67174515235457055</v>
      </c>
      <c r="Y138" s="147">
        <v>18.5</v>
      </c>
      <c r="Z138" s="148">
        <v>4.0116271604937275</v>
      </c>
      <c r="AA138" s="149">
        <v>2.2013780249302646</v>
      </c>
      <c r="AC138" s="50">
        <f>Y122</f>
        <v>26.5</v>
      </c>
      <c r="AD138" s="63">
        <f t="shared" ref="AD138:AE138" si="536">Z122</f>
        <v>2.8096215223104184</v>
      </c>
      <c r="AE138" s="64">
        <f t="shared" si="536"/>
        <v>1.776078358733985</v>
      </c>
      <c r="AG138" s="165">
        <v>13.5</v>
      </c>
      <c r="AH138" s="166">
        <v>15.700396351620988</v>
      </c>
      <c r="AI138" s="167">
        <f t="shared" si="488"/>
        <v>3.0545047120704663</v>
      </c>
      <c r="AK138" s="50">
        <f>AG111</f>
        <v>27</v>
      </c>
      <c r="AL138" s="63">
        <f>AH111</f>
        <v>9.2733773466704932</v>
      </c>
      <c r="AM138" s="64">
        <f>AI111</f>
        <v>2.4057478821355831</v>
      </c>
    </row>
    <row r="139" spans="1:39">
      <c r="A139" s="144">
        <v>-7</v>
      </c>
      <c r="B139" s="145">
        <v>140.35999766961885</v>
      </c>
      <c r="C139" s="146">
        <v>4.1195116104022453</v>
      </c>
      <c r="E139" s="50">
        <f>A71</f>
        <v>27</v>
      </c>
      <c r="F139" s="63">
        <f t="shared" ref="F139:G139" si="537">B71</f>
        <v>27.49469092201468</v>
      </c>
      <c r="G139" s="64">
        <f t="shared" si="537"/>
        <v>2.391063460042619</v>
      </c>
      <c r="I139" s="144">
        <v>-7</v>
      </c>
      <c r="J139" s="145">
        <v>135.37</v>
      </c>
      <c r="K139" s="146">
        <v>4.0929430972969705</v>
      </c>
      <c r="M139" s="50">
        <f>I71</f>
        <v>27</v>
      </c>
      <c r="N139" s="63">
        <f t="shared" ref="N139" si="538">J71</f>
        <v>27.538</v>
      </c>
      <c r="O139" s="64">
        <f t="shared" ref="O139" si="539">K71</f>
        <v>2.3930272167958568</v>
      </c>
      <c r="Q139" s="144">
        <v>-17</v>
      </c>
      <c r="R139" s="145">
        <v>60.46</v>
      </c>
      <c r="S139" s="146">
        <v>3.3418085341587442</v>
      </c>
      <c r="U139" s="50">
        <f>Q11</f>
        <v>47</v>
      </c>
      <c r="V139" s="63">
        <f>R11</f>
        <v>4.5789999999999997</v>
      </c>
      <c r="W139" s="64">
        <f>S11</f>
        <v>0.66210705919777901</v>
      </c>
      <c r="Y139" s="147">
        <v>18</v>
      </c>
      <c r="Z139" s="148">
        <v>4.104117789263575</v>
      </c>
      <c r="AA139" s="149">
        <v>2.229500905589751</v>
      </c>
      <c r="AC139" s="50">
        <f>Y121</f>
        <v>27</v>
      </c>
      <c r="AD139" s="63">
        <f t="shared" ref="AD139:AE139" si="540">Z121</f>
        <v>2.7492240402829928</v>
      </c>
      <c r="AE139" s="64">
        <f t="shared" si="540"/>
        <v>1.751271225138755</v>
      </c>
      <c r="AG139" s="165">
        <v>13</v>
      </c>
      <c r="AH139" s="166">
        <v>16.022484134724145</v>
      </c>
      <c r="AI139" s="167">
        <f t="shared" si="488"/>
        <v>3.0785846677381392</v>
      </c>
      <c r="AK139" s="50">
        <f>AG110</f>
        <v>27.5</v>
      </c>
      <c r="AL139" s="63">
        <f>AH110</f>
        <v>9.1013523488916999</v>
      </c>
      <c r="AM139" s="64">
        <f>AI110</f>
        <v>2.3823842895133494</v>
      </c>
    </row>
    <row r="140" spans="1:39">
      <c r="A140" s="144">
        <v>-7.5</v>
      </c>
      <c r="B140" s="145">
        <v>144.11760515512387</v>
      </c>
      <c r="C140" s="146">
        <v>4.1385133061854207</v>
      </c>
      <c r="E140" s="50">
        <f>A70</f>
        <v>27.5</v>
      </c>
      <c r="F140" s="63">
        <f t="shared" ref="F140:G140" si="541">B70</f>
        <v>26.906038954652725</v>
      </c>
      <c r="G140" s="64">
        <f t="shared" si="541"/>
        <v>2.3640758914966478</v>
      </c>
      <c r="I140" s="144">
        <v>-7.5</v>
      </c>
      <c r="J140" s="145">
        <v>138.9</v>
      </c>
      <c r="K140" s="146">
        <v>4.1119005328596803</v>
      </c>
      <c r="M140" s="50">
        <f>I70</f>
        <v>27.5</v>
      </c>
      <c r="N140" s="63">
        <f t="shared" ref="N140" si="542">J70</f>
        <v>26.957999999999998</v>
      </c>
      <c r="O140" s="64">
        <f t="shared" ref="O140" si="543">K70</f>
        <v>2.366480564626567</v>
      </c>
      <c r="Q140" s="144">
        <v>-17.5</v>
      </c>
      <c r="R140" s="145">
        <v>61.95</v>
      </c>
      <c r="S140" s="146">
        <v>3.3686786296900491</v>
      </c>
      <c r="U140" s="50">
        <f>Q10</f>
        <v>47.5</v>
      </c>
      <c r="V140" s="63">
        <f>R10</f>
        <v>4.5030000000000001</v>
      </c>
      <c r="W140" s="64">
        <f>S10</f>
        <v>0.6525519520041736</v>
      </c>
      <c r="Y140" s="147">
        <v>17.5</v>
      </c>
      <c r="Z140" s="148">
        <v>4.1990079520773769</v>
      </c>
      <c r="AA140" s="149">
        <v>2.2577719976781654</v>
      </c>
      <c r="AC140" s="50">
        <f>Y120</f>
        <v>27.5</v>
      </c>
      <c r="AD140" s="63">
        <f t="shared" ref="AD140:AE140" si="544">Z120</f>
        <v>2.6902898253712451</v>
      </c>
      <c r="AE140" s="64">
        <f t="shared" si="544"/>
        <v>1.7266943115579398</v>
      </c>
      <c r="AG140" s="165">
        <v>12.5</v>
      </c>
      <c r="AH140" s="166">
        <v>16.352155111675359</v>
      </c>
      <c r="AI140" s="167">
        <f t="shared" si="488"/>
        <v>3.1026219757697375</v>
      </c>
      <c r="AK140" s="50">
        <f>AG109</f>
        <v>28</v>
      </c>
      <c r="AL140" s="63">
        <f>AH109</f>
        <v>8.9329962925296442</v>
      </c>
      <c r="AM140" s="64">
        <f>AI109</f>
        <v>2.3591079178667349</v>
      </c>
    </row>
    <row r="141" spans="1:39">
      <c r="A141" s="144">
        <v>-8</v>
      </c>
      <c r="B141" s="145">
        <v>147.98656189123034</v>
      </c>
      <c r="C141" s="146">
        <v>4.1572397466070123</v>
      </c>
      <c r="E141" s="50">
        <f>A69</f>
        <v>28</v>
      </c>
      <c r="F141" s="63">
        <f t="shared" ref="F141:G141" si="545">B69</f>
        <v>26.331652012316315</v>
      </c>
      <c r="G141" s="64">
        <f t="shared" si="545"/>
        <v>2.337198632711782</v>
      </c>
      <c r="I141" s="144">
        <v>-8</v>
      </c>
      <c r="J141" s="145">
        <v>142.54</v>
      </c>
      <c r="K141" s="146">
        <v>4.1306363741741041</v>
      </c>
      <c r="M141" s="50">
        <f>I69</f>
        <v>28</v>
      </c>
      <c r="N141" s="63">
        <f t="shared" ref="N141" si="546">J69</f>
        <v>26.393000000000001</v>
      </c>
      <c r="O141" s="64">
        <f t="shared" ref="O141" si="547">K69</f>
        <v>2.3400954019115847</v>
      </c>
      <c r="Q141" s="144">
        <v>-18</v>
      </c>
      <c r="R141" s="145">
        <v>63.48</v>
      </c>
      <c r="S141" s="146">
        <v>3.3953786906290118</v>
      </c>
      <c r="U141" s="50">
        <f>Q9</f>
        <v>48</v>
      </c>
      <c r="V141" s="63">
        <f>R9</f>
        <v>4.4290000000000003</v>
      </c>
      <c r="W141" s="64">
        <f>S9</f>
        <v>0.64320776089924192</v>
      </c>
      <c r="Y141" s="147">
        <v>17</v>
      </c>
      <c r="Z141" s="148">
        <v>4.2963657989337882</v>
      </c>
      <c r="AA141" s="149">
        <v>2.2861848351100273</v>
      </c>
      <c r="AC141" s="50">
        <f>Y119</f>
        <v>28</v>
      </c>
      <c r="AD141" s="63">
        <f t="shared" ref="AD141:AE141" si="548">Z119</f>
        <v>2.632779977540161</v>
      </c>
      <c r="AE141" s="64">
        <f t="shared" si="548"/>
        <v>1.7023502447936341</v>
      </c>
      <c r="AG141" s="165">
        <v>12</v>
      </c>
      <c r="AH141" s="166">
        <v>16.68960884199592</v>
      </c>
      <c r="AI141" s="167">
        <f t="shared" si="488"/>
        <v>3.1266117350762617</v>
      </c>
      <c r="AK141" s="50">
        <f>AG108</f>
        <v>28.5</v>
      </c>
      <c r="AL141" s="63">
        <f>AH108</f>
        <v>8.7682217118179935</v>
      </c>
      <c r="AM141" s="64">
        <f>AI108</f>
        <v>2.3359223496109944</v>
      </c>
    </row>
    <row r="142" spans="1:39">
      <c r="A142" s="144">
        <v>-8.5</v>
      </c>
      <c r="B142" s="145">
        <v>151.97042625873289</v>
      </c>
      <c r="C142" s="146">
        <v>4.1756902311877653</v>
      </c>
      <c r="E142" s="50">
        <f>A68</f>
        <v>28.5</v>
      </c>
      <c r="F142" s="63">
        <f t="shared" ref="F142:G142" si="549">B68</f>
        <v>25.771147955729983</v>
      </c>
      <c r="G142" s="64">
        <f t="shared" si="549"/>
        <v>2.3104372870526708</v>
      </c>
      <c r="I142" s="144">
        <v>-8.5</v>
      </c>
      <c r="J142" s="145">
        <v>146.28</v>
      </c>
      <c r="K142" s="146">
        <v>4.1490810074880873</v>
      </c>
      <c r="M142" s="50">
        <f>I68</f>
        <v>28.5</v>
      </c>
      <c r="N142" s="63">
        <f t="shared" ref="N142" si="550">J68</f>
        <v>25.84</v>
      </c>
      <c r="O142" s="64">
        <f t="shared" ref="O142" si="551">K68</f>
        <v>2.3137535816618908</v>
      </c>
      <c r="Q142" s="144">
        <v>-18.5</v>
      </c>
      <c r="R142" s="145">
        <v>65.05</v>
      </c>
      <c r="S142" s="146">
        <v>3.4218832193582327</v>
      </c>
      <c r="U142" s="50">
        <f>Q8</f>
        <v>48.5</v>
      </c>
      <c r="V142" s="63">
        <f>R8</f>
        <v>4.3559999999999999</v>
      </c>
      <c r="W142" s="64">
        <f>S8</f>
        <v>0.63395040167656302</v>
      </c>
      <c r="Y142" s="147">
        <v>16.5</v>
      </c>
      <c r="Z142" s="148">
        <v>4.3962615540700911</v>
      </c>
      <c r="AA142" s="149">
        <v>2.3147327656460011</v>
      </c>
      <c r="AC142" s="50">
        <f>Y118</f>
        <v>28.5</v>
      </c>
      <c r="AD142" s="63">
        <f t="shared" ref="AD142:AE142" si="552">Z118</f>
        <v>2.5766567094244355</v>
      </c>
      <c r="AE142" s="64">
        <f t="shared" si="552"/>
        <v>1.678241457808801</v>
      </c>
      <c r="AG142" s="165">
        <v>11.5</v>
      </c>
      <c r="AH142" s="166">
        <v>17.035050655506971</v>
      </c>
      <c r="AI142" s="167">
        <f t="shared" si="488"/>
        <v>3.1505490543693462</v>
      </c>
      <c r="AK142" s="50">
        <f>AG107</f>
        <v>29</v>
      </c>
      <c r="AL142" s="63">
        <f>AH107</f>
        <v>8.6069434301731906</v>
      </c>
      <c r="AM142" s="64">
        <f>AI107</f>
        <v>2.3128310843940367</v>
      </c>
    </row>
    <row r="143" spans="1:39">
      <c r="A143" s="144">
        <v>-9</v>
      </c>
      <c r="B143" s="145">
        <v>156.07287673911196</v>
      </c>
      <c r="C143" s="146">
        <v>4.1938642394919752</v>
      </c>
      <c r="E143" s="50">
        <f>A67</f>
        <v>29</v>
      </c>
      <c r="F143" s="63">
        <f t="shared" ref="F143:G143" si="553">B67</f>
        <v>25.224155731301323</v>
      </c>
      <c r="G143" s="64">
        <f t="shared" si="553"/>
        <v>2.2837973163439553</v>
      </c>
      <c r="I143" s="144">
        <v>-9</v>
      </c>
      <c r="J143" s="145">
        <v>150.13</v>
      </c>
      <c r="K143" s="146">
        <v>4.1672680841614387</v>
      </c>
      <c r="M143" s="50">
        <f>I67</f>
        <v>29</v>
      </c>
      <c r="N143" s="63">
        <f t="shared" ref="N143" si="554">J67</f>
        <v>25.300999999999998</v>
      </c>
      <c r="O143" s="64">
        <f t="shared" ref="O143" si="555">K67</f>
        <v>2.2875716533154913</v>
      </c>
      <c r="Q143" s="144">
        <v>-19</v>
      </c>
      <c r="R143" s="145">
        <v>66.67</v>
      </c>
      <c r="S143" s="146">
        <v>3.4483293679528293</v>
      </c>
      <c r="U143" s="50">
        <f>Q7</f>
        <v>49</v>
      </c>
      <c r="V143" s="63">
        <f>R7</f>
        <v>4.2850000000000001</v>
      </c>
      <c r="W143" s="64">
        <f>S7</f>
        <v>0.62490885226775561</v>
      </c>
      <c r="Y143" s="147">
        <v>16</v>
      </c>
      <c r="Z143" s="148">
        <v>4.4987675823285089</v>
      </c>
      <c r="AA143" s="149">
        <v>2.3434089552344273</v>
      </c>
      <c r="AC143" s="50">
        <f>Y117</f>
        <v>29</v>
      </c>
      <c r="AD143" s="63">
        <f t="shared" ref="AD143:AE143" si="556">Z117</f>
        <v>2.5218833126400115</v>
      </c>
      <c r="AE143" s="64">
        <f t="shared" si="556"/>
        <v>1.6543701925072507</v>
      </c>
      <c r="AG143" s="165">
        <v>11</v>
      </c>
      <c r="AH143" s="166">
        <v>17.388691833429068</v>
      </c>
      <c r="AI143" s="167">
        <f t="shared" si="488"/>
        <v>3.1744290561927144</v>
      </c>
      <c r="AK143" s="50">
        <f>AG106</f>
        <v>29.5</v>
      </c>
      <c r="AL143" s="63">
        <f>AH106</f>
        <v>8.4490784952466669</v>
      </c>
      <c r="AM143" s="64">
        <f>AI106</f>
        <v>2.2898375377999338</v>
      </c>
    </row>
    <row r="144" spans="1:39" ht="13.5" thickBot="1">
      <c r="A144" s="144">
        <v>-9.5</v>
      </c>
      <c r="B144" s="145">
        <v>160.29771611801385</v>
      </c>
      <c r="C144" s="146">
        <v>4.2117614280405924</v>
      </c>
      <c r="E144" s="50">
        <f>A66</f>
        <v>29.5</v>
      </c>
      <c r="F144" s="63">
        <f t="shared" ref="F144:G144" si="557">B66</f>
        <v>24.690315028437993</v>
      </c>
      <c r="G144" s="64">
        <f t="shared" si="557"/>
        <v>2.2572840379141597</v>
      </c>
      <c r="I144" s="144">
        <v>-9.5</v>
      </c>
      <c r="J144" s="145">
        <v>154.1</v>
      </c>
      <c r="K144" s="146">
        <v>4.1852254209668658</v>
      </c>
      <c r="M144" s="50">
        <f>I66</f>
        <v>29.5</v>
      </c>
      <c r="N144" s="63">
        <f t="shared" ref="N144" si="558">J66</f>
        <v>24.774000000000001</v>
      </c>
      <c r="O144" s="64">
        <f t="shared" ref="O144" si="559">K66</f>
        <v>2.2614744221711032</v>
      </c>
      <c r="Q144" s="144">
        <v>-19.5</v>
      </c>
      <c r="R144" s="145">
        <v>68.33</v>
      </c>
      <c r="S144" s="146">
        <v>3.4745245601545816</v>
      </c>
      <c r="U144" s="50">
        <f>Q6</f>
        <v>49.5</v>
      </c>
      <c r="V144" s="63">
        <f>R6</f>
        <v>4.2149999999999999</v>
      </c>
      <c r="W144" s="64">
        <f>S6</f>
        <v>0.6159579131959666</v>
      </c>
      <c r="Y144" s="153">
        <v>15.5</v>
      </c>
      <c r="Z144" s="154">
        <v>4.6039584577094157</v>
      </c>
      <c r="AA144" s="155">
        <v>2.3722063927694124</v>
      </c>
      <c r="AC144" s="50">
        <f>Y116</f>
        <v>29.5</v>
      </c>
      <c r="AD144" s="63">
        <f t="shared" ref="AD144:AE144" si="560">Z116</f>
        <v>2.4684241251588359</v>
      </c>
      <c r="AE144" s="64">
        <f t="shared" si="560"/>
        <v>1.6307385027177188</v>
      </c>
      <c r="AG144" s="165">
        <v>10.5</v>
      </c>
      <c r="AH144" s="166">
        <v>17.750749795594508</v>
      </c>
      <c r="AI144" s="167">
        <f t="shared" si="488"/>
        <v>3.1982468809567948</v>
      </c>
      <c r="AK144" s="50">
        <f>AG105</f>
        <v>30</v>
      </c>
      <c r="AL144" s="63">
        <f>AH105</f>
        <v>8.294546115956674</v>
      </c>
      <c r="AM144" s="64">
        <f>AI105</f>
        <v>2.2669450401729545</v>
      </c>
    </row>
    <row r="145" spans="1:39" ht="13.5" thickTop="1">
      <c r="A145" s="144">
        <v>-10</v>
      </c>
      <c r="B145" s="145">
        <v>164.64887583843239</v>
      </c>
      <c r="C145" s="146">
        <v>4.2293816270251314</v>
      </c>
      <c r="E145" s="50">
        <f>A65</f>
        <v>30</v>
      </c>
      <c r="F145" s="63">
        <f t="shared" ref="F145:G145" si="561">B65</f>
        <v>24.169275948008831</v>
      </c>
      <c r="G145" s="64">
        <f t="shared" si="561"/>
        <v>2.2309026219222754</v>
      </c>
      <c r="I145" s="144">
        <v>-10</v>
      </c>
      <c r="J145" s="145">
        <v>158.18</v>
      </c>
      <c r="K145" s="146">
        <v>4.2028908491869492</v>
      </c>
      <c r="M145" s="50">
        <f>I65</f>
        <v>30</v>
      </c>
      <c r="N145" s="63">
        <f t="shared" ref="N145" si="562">J65</f>
        <v>24.26</v>
      </c>
      <c r="O145" s="64">
        <f t="shared" ref="O145" si="563">K65</f>
        <v>2.2355326207150754</v>
      </c>
      <c r="Q145" s="144">
        <v>-20</v>
      </c>
      <c r="R145" s="145">
        <v>70.040000000000006</v>
      </c>
      <c r="S145" s="146">
        <v>3.500599760095962</v>
      </c>
      <c r="U145" s="50">
        <f>Q5</f>
        <v>50</v>
      </c>
      <c r="V145" s="63">
        <f>R5</f>
        <v>4.1459999999999999</v>
      </c>
      <c r="W145" s="64">
        <f>S5</f>
        <v>0.6070989281321385</v>
      </c>
      <c r="Y145" s="141">
        <v>15</v>
      </c>
      <c r="Z145" s="142">
        <v>4.711911034183494</v>
      </c>
      <c r="AA145" s="143">
        <v>2.4011178952641203</v>
      </c>
      <c r="AC145" s="50">
        <f>Y115</f>
        <v>30</v>
      </c>
      <c r="AD145" s="63">
        <f t="shared" ref="AD145:AE145" si="564">Z115</f>
        <v>2.4162444997123895</v>
      </c>
      <c r="AE145" s="64">
        <f t="shared" si="564"/>
        <v>1.6073482573676572</v>
      </c>
      <c r="AG145" s="165">
        <v>10</v>
      </c>
      <c r="AH145" s="166">
        <v>18.121448293991815</v>
      </c>
      <c r="AI145" s="167">
        <f t="shared" si="488"/>
        <v>3.2219976909694741</v>
      </c>
      <c r="AK145" s="50">
        <f>AG104</f>
        <v>30.5</v>
      </c>
      <c r="AL145" s="63">
        <f>AH104</f>
        <v>8.1432676014333261</v>
      </c>
      <c r="AM145" s="64">
        <f>AI104</f>
        <v>2.2441568355608679</v>
      </c>
    </row>
    <row r="146" spans="1:39">
      <c r="A146" s="144">
        <v>-10.5</v>
      </c>
      <c r="B146" s="145">
        <v>169.1304205088922</v>
      </c>
      <c r="C146" s="146">
        <v>4.246724836834753</v>
      </c>
      <c r="E146" s="50">
        <f>A64</f>
        <v>30.5</v>
      </c>
      <c r="F146" s="63">
        <f t="shared" ref="F146:G146" si="565">B64</f>
        <v>23.660698681572121</v>
      </c>
      <c r="G146" s="64">
        <f t="shared" si="565"/>
        <v>2.2046580889653562</v>
      </c>
      <c r="I146" s="144">
        <v>-10.5</v>
      </c>
      <c r="J146" s="145">
        <v>162.38</v>
      </c>
      <c r="K146" s="146">
        <v>4.2202931697681674</v>
      </c>
      <c r="M146" s="50">
        <f>I64</f>
        <v>30.5</v>
      </c>
      <c r="N146" s="63">
        <f t="shared" ref="N146" si="566">J64</f>
        <v>23.757000000000001</v>
      </c>
      <c r="O146" s="64">
        <f t="shared" ref="O146" si="567">K64</f>
        <v>2.2096657179530106</v>
      </c>
      <c r="Y146" s="147">
        <v>14.5</v>
      </c>
      <c r="Z146" s="148">
        <v>4.8227045188373232</v>
      </c>
      <c r="AA146" s="149">
        <v>2.4301361134365491</v>
      </c>
      <c r="AC146" s="50">
        <f>Y114</f>
        <v>30.5</v>
      </c>
      <c r="AD146" s="63">
        <f t="shared" ref="AD146:AE146" si="568">Z114</f>
        <v>2.3653107731907625</v>
      </c>
      <c r="AE146" s="64">
        <f t="shared" si="568"/>
        <v>1.5842011438324897</v>
      </c>
      <c r="AG146" s="165">
        <v>9.5</v>
      </c>
      <c r="AH146" s="166">
        <v>18.501017612871323</v>
      </c>
      <c r="AI146" s="167">
        <f t="shared" si="488"/>
        <v>3.2456766744560186</v>
      </c>
      <c r="AK146" s="50">
        <f>AG103</f>
        <v>31</v>
      </c>
      <c r="AL146" s="63">
        <f>AH103</f>
        <v>7.99516630181673</v>
      </c>
      <c r="AM146" s="64">
        <f>AI103</f>
        <v>2.2214760807766374</v>
      </c>
    </row>
    <row r="147" spans="1:39">
      <c r="A147" s="144">
        <v>-11</v>
      </c>
      <c r="B147" s="145">
        <v>173.74655257210964</v>
      </c>
      <c r="C147" s="146">
        <v>4.263791224409001</v>
      </c>
      <c r="E147" s="50">
        <f>A63</f>
        <v>31</v>
      </c>
      <c r="F147" s="63">
        <f t="shared" ref="F147:G147" si="569">B63</f>
        <v>23.164253201007043</v>
      </c>
      <c r="G147" s="64">
        <f t="shared" si="569"/>
        <v>2.178555307964738</v>
      </c>
      <c r="I147" s="144">
        <v>-11</v>
      </c>
      <c r="J147" s="145">
        <v>166.71</v>
      </c>
      <c r="K147" s="146">
        <v>4.2374561537288393</v>
      </c>
      <c r="M147" s="50">
        <f>I63</f>
        <v>31</v>
      </c>
      <c r="N147" s="63">
        <f t="shared" ref="N147" si="570">J63</f>
        <v>23.266999999999999</v>
      </c>
      <c r="O147" s="64">
        <f t="shared" ref="O147" si="571">K63</f>
        <v>2.1839975970112828</v>
      </c>
      <c r="Y147" s="147">
        <v>14</v>
      </c>
      <c r="Z147" s="148">
        <v>4.9364205474295701</v>
      </c>
      <c r="AA147" s="149">
        <v>2.459253537703658</v>
      </c>
      <c r="AC147" s="50">
        <f>Y113</f>
        <v>31</v>
      </c>
      <c r="AD147" s="63">
        <f t="shared" ref="AD147:AE147" si="572">Z113</f>
        <v>2.3155902370050812</v>
      </c>
      <c r="AE147" s="64">
        <f t="shared" si="572"/>
        <v>1.5612986714461949</v>
      </c>
      <c r="AG147" s="165">
        <v>9</v>
      </c>
      <c r="AH147" s="166">
        <v>18.889694775649268</v>
      </c>
      <c r="AI147" s="167">
        <f t="shared" si="488"/>
        <v>3.2692790495611495</v>
      </c>
      <c r="AK147" s="50">
        <f>AG102</f>
        <v>31.5</v>
      </c>
      <c r="AL147" s="63">
        <f>AH102</f>
        <v>7.8501675508471287</v>
      </c>
      <c r="AM147" s="64">
        <f>AI102</f>
        <v>2.198905844576954</v>
      </c>
    </row>
    <row r="148" spans="1:39">
      <c r="A148" s="144">
        <v>-11.5</v>
      </c>
      <c r="B148" s="145">
        <v>178.50161713979412</v>
      </c>
      <c r="C148" s="146">
        <v>4.2805811194287786</v>
      </c>
      <c r="E148" s="50">
        <f>A62</f>
        <v>31.5</v>
      </c>
      <c r="F148" s="63">
        <f t="shared" ref="F148:G148" si="573">B62</f>
        <v>22.679618958197103</v>
      </c>
      <c r="G148" s="64">
        <f t="shared" si="573"/>
        <v>2.1525989943277755</v>
      </c>
      <c r="I148" s="144">
        <v>-11.5</v>
      </c>
      <c r="J148" s="145">
        <v>171.16</v>
      </c>
      <c r="K148" s="146">
        <v>4.254324915490157</v>
      </c>
      <c r="M148" s="50">
        <f>I62</f>
        <v>31.5</v>
      </c>
      <c r="N148" s="63">
        <f t="shared" ref="N148" si="574">J62</f>
        <v>22.786999999999999</v>
      </c>
      <c r="O148" s="64">
        <f t="shared" ref="O148" si="575">K62</f>
        <v>2.1583912705779831</v>
      </c>
      <c r="Y148" s="147">
        <v>13.5</v>
      </c>
      <c r="Z148" s="148">
        <v>5.053143262436623</v>
      </c>
      <c r="AA148" s="149">
        <v>2.4884625045780822</v>
      </c>
      <c r="AC148" s="50">
        <f>Y112</f>
        <v>31.5</v>
      </c>
      <c r="AD148" s="63">
        <f t="shared" ref="AD148:AE148" si="576">Z112</f>
        <v>2.2670511083821014</v>
      </c>
      <c r="AE148" s="64">
        <f t="shared" si="576"/>
        <v>1.5386421751592645</v>
      </c>
      <c r="AG148" s="165">
        <v>8.5</v>
      </c>
      <c r="AH148" s="166">
        <v>19.287723758857066</v>
      </c>
      <c r="AI148" s="167">
        <f t="shared" si="488"/>
        <v>3.2928000683262653</v>
      </c>
      <c r="AK148" s="50">
        <f>AG101</f>
        <v>32</v>
      </c>
      <c r="AL148" s="63">
        <f>AH101</f>
        <v>7.7081986101895188</v>
      </c>
      <c r="AM148" s="64">
        <f>AI101</f>
        <v>2.1764491069560639</v>
      </c>
    </row>
    <row r="149" spans="1:39">
      <c r="A149" s="144">
        <v>-12</v>
      </c>
      <c r="B149" s="145">
        <v>183.40010699944045</v>
      </c>
      <c r="C149" s="146">
        <v>4.2970950103582037</v>
      </c>
      <c r="E149" s="50">
        <f>A61</f>
        <v>32</v>
      </c>
      <c r="F149" s="63">
        <f t="shared" ref="F149:G149" si="577">B61</f>
        <v>22.20648459442641</v>
      </c>
      <c r="G149" s="64">
        <f t="shared" si="577"/>
        <v>2.1267937083813133</v>
      </c>
      <c r="I149" s="144">
        <v>-12</v>
      </c>
      <c r="J149" s="145">
        <v>175.75</v>
      </c>
      <c r="K149" s="146">
        <v>4.2709599027946537</v>
      </c>
      <c r="M149" s="50">
        <f>I61</f>
        <v>32</v>
      </c>
      <c r="N149" s="63">
        <f t="shared" ref="N149" si="578">J61</f>
        <v>22.318999999999999</v>
      </c>
      <c r="O149" s="64">
        <f t="shared" ref="O149" si="579">K61</f>
        <v>2.132972725013857</v>
      </c>
      <c r="Y149" s="147">
        <v>13</v>
      </c>
      <c r="Z149" s="148">
        <v>5.1729593936698439</v>
      </c>
      <c r="AA149" s="149">
        <v>2.5177552034603585</v>
      </c>
      <c r="AC149" s="50">
        <f>Y111</f>
        <v>32</v>
      </c>
      <c r="AD149" s="63">
        <f t="shared" ref="AD149:AE149" si="580">Z111</f>
        <v>2.2196625025607926</v>
      </c>
      <c r="AE149" s="64">
        <f t="shared" si="580"/>
        <v>1.516232819330291</v>
      </c>
      <c r="AG149" s="165">
        <v>8</v>
      </c>
      <c r="AH149" s="166">
        <v>19.695355713391638</v>
      </c>
      <c r="AI149" s="167">
        <f t="shared" si="488"/>
        <v>3.3162350206348385</v>
      </c>
      <c r="AK149" s="50">
        <f>AG100</f>
        <v>32.5</v>
      </c>
      <c r="AL149" s="63">
        <f>AH100</f>
        <v>7.5691886154369294</v>
      </c>
      <c r="AM149" s="64">
        <f>AI100</f>
        <v>2.1541087585531313</v>
      </c>
    </row>
    <row r="150" spans="1:39">
      <c r="A150" s="144">
        <v>-12.5</v>
      </c>
      <c r="B150" s="145">
        <v>188.44666779916517</v>
      </c>
      <c r="C150" s="146">
        <v>4.3133335403499657</v>
      </c>
      <c r="E150" s="50">
        <f>A60</f>
        <v>32.5</v>
      </c>
      <c r="F150" s="63">
        <f t="shared" ref="F150:G150" si="581">B60</f>
        <v>21.7445476591618</v>
      </c>
      <c r="G150" s="64">
        <f t="shared" si="581"/>
        <v>2.1011438540724927</v>
      </c>
      <c r="I150" s="144">
        <v>-12.5</v>
      </c>
      <c r="J150" s="145">
        <v>180.48</v>
      </c>
      <c r="K150" s="146">
        <v>4.2873432155074118</v>
      </c>
      <c r="M150" s="50">
        <f>I60</f>
        <v>32.5</v>
      </c>
      <c r="N150" s="63">
        <f t="shared" ref="N150" si="582">J60</f>
        <v>21.861999999999998</v>
      </c>
      <c r="O150" s="64">
        <f t="shared" ref="O150" si="583">K60</f>
        <v>2.1077089198256913</v>
      </c>
      <c r="Y150" s="147">
        <v>12.5</v>
      </c>
      <c r="Z150" s="148">
        <v>5.2959583415484968</v>
      </c>
      <c r="AA150" s="149">
        <v>2.547123683817905</v>
      </c>
      <c r="AC150" s="50">
        <f>Y110</f>
        <v>32.5</v>
      </c>
      <c r="AD150" s="63">
        <f t="shared" ref="AD150:AE150" si="584">Z110</f>
        <v>2.173394405861925</v>
      </c>
      <c r="AE150" s="64">
        <f t="shared" si="584"/>
        <v>1.4940716016378115</v>
      </c>
      <c r="AG150" s="165">
        <v>7.5</v>
      </c>
      <c r="AH150" s="166">
        <v>20.112849193332284</v>
      </c>
      <c r="AI150" s="167">
        <f t="shared" si="488"/>
        <v>3.3395792381190148</v>
      </c>
      <c r="AK150" s="50">
        <f>AG99</f>
        <v>33</v>
      </c>
      <c r="AL150" s="63">
        <f>AH99</f>
        <v>7.4330685237387613</v>
      </c>
      <c r="AM150" s="64">
        <f>AI99</f>
        <v>2.131887600171217</v>
      </c>
    </row>
    <row r="151" spans="1:39">
      <c r="A151" s="144">
        <v>-13</v>
      </c>
      <c r="B151" s="145">
        <v>193.64610341683309</v>
      </c>
      <c r="C151" s="146">
        <v>4.3292975030267842</v>
      </c>
      <c r="E151" s="50">
        <f>A59</f>
        <v>33</v>
      </c>
      <c r="F151" s="63">
        <f t="shared" ref="F151:G151" si="585">B59</f>
        <v>21.293514337904604</v>
      </c>
      <c r="G151" s="64">
        <f t="shared" si="585"/>
        <v>2.0756536779318746</v>
      </c>
      <c r="I151" s="144">
        <v>-13</v>
      </c>
      <c r="J151" s="145">
        <v>185.34</v>
      </c>
      <c r="K151" s="146">
        <v>4.3034271384786846</v>
      </c>
      <c r="M151" s="50">
        <f>I59</f>
        <v>33</v>
      </c>
      <c r="N151" s="63">
        <f t="shared" ref="N151" si="586">J59</f>
        <v>21.414999999999999</v>
      </c>
      <c r="O151" s="64">
        <f t="shared" ref="O151" si="587">K59</f>
        <v>2.0825634542448701</v>
      </c>
      <c r="Y151" s="147">
        <v>12</v>
      </c>
      <c r="Z151" s="148">
        <v>5.4222322631151272</v>
      </c>
      <c r="AA151" s="149">
        <v>2.5765598627405062</v>
      </c>
      <c r="AC151" s="50">
        <f>Y109</f>
        <v>33</v>
      </c>
      <c r="AD151" s="63">
        <f t="shared" ref="AD151:AE151" si="588">Z109</f>
        <v>2.1282176496021501</v>
      </c>
      <c r="AE151" s="64">
        <f t="shared" si="588"/>
        <v>1.4721593570991112</v>
      </c>
      <c r="AG151" s="165">
        <v>7</v>
      </c>
      <c r="AH151" s="166">
        <v>20.540470392601037</v>
      </c>
      <c r="AI151" s="167">
        <f t="shared" si="488"/>
        <v>3.3628280980206062</v>
      </c>
      <c r="AK151" s="50">
        <f>AG98</f>
        <v>33.5</v>
      </c>
      <c r="AL151" s="63">
        <f>AH98</f>
        <v>7.2997710630009642</v>
      </c>
      <c r="AM151" s="64">
        <f>AI98</f>
        <v>2.1097883424055799</v>
      </c>
    </row>
    <row r="152" spans="1:39">
      <c r="A152" s="144">
        <v>-13.5</v>
      </c>
      <c r="B152" s="145">
        <v>199.00338151993205</v>
      </c>
      <c r="C152" s="146">
        <v>4.3449878381514457</v>
      </c>
      <c r="E152" s="50">
        <f>A58</f>
        <v>33.5</v>
      </c>
      <c r="F152" s="63">
        <f t="shared" ref="F152:G152" si="589">B58</f>
        <v>20.85309918880764</v>
      </c>
      <c r="G152" s="64">
        <f t="shared" si="589"/>
        <v>2.0503272682933393</v>
      </c>
      <c r="I152" s="144">
        <v>-13.5</v>
      </c>
      <c r="J152" s="145">
        <v>190.35</v>
      </c>
      <c r="K152" s="146">
        <v>4.3192648059904695</v>
      </c>
      <c r="M152" s="50">
        <f>I58</f>
        <v>33.5</v>
      </c>
      <c r="N152" s="63">
        <f t="shared" ref="N152" si="590">J58</f>
        <v>20.978999999999999</v>
      </c>
      <c r="O152" s="64">
        <f t="shared" ref="O152" si="591">K58</f>
        <v>2.0576119578650034</v>
      </c>
      <c r="Y152" s="147">
        <v>11.5</v>
      </c>
      <c r="Z152" s="148">
        <v>5.5518761608836522</v>
      </c>
      <c r="AA152" s="149">
        <v>2.60605553286074</v>
      </c>
      <c r="AC152" s="50">
        <f>Y108</f>
        <v>33.5</v>
      </c>
      <c r="AD152" s="63">
        <f t="shared" ref="AD152:AE152" si="592">Z108</f>
        <v>2.0841038848256943</v>
      </c>
      <c r="AE152" s="64">
        <f t="shared" si="592"/>
        <v>1.4504967621833467</v>
      </c>
      <c r="AG152" s="165">
        <v>6.5</v>
      </c>
      <c r="AH152" s="166">
        <v>20.97849338975254</v>
      </c>
      <c r="AI152" s="167">
        <f t="shared" si="488"/>
        <v>3.3859770269996528</v>
      </c>
      <c r="AK152" s="50">
        <f>AG97</f>
        <v>34</v>
      </c>
      <c r="AL152" s="63">
        <f>AH97</f>
        <v>7.1692306826092933</v>
      </c>
      <c r="AM152" s="64">
        <f>AI97</f>
        <v>2.0878136053792451</v>
      </c>
    </row>
    <row r="153" spans="1:39">
      <c r="A153" s="144">
        <v>-14</v>
      </c>
      <c r="B153" s="145">
        <v>204.52363932286843</v>
      </c>
      <c r="C153" s="146">
        <v>4.3604056271977978</v>
      </c>
      <c r="E153" s="50">
        <f>A57</f>
        <v>34</v>
      </c>
      <c r="F153" s="63">
        <f t="shared" ref="F153:G153" si="593">B57</f>
        <v>20.423024887762569</v>
      </c>
      <c r="G153" s="64">
        <f t="shared" si="593"/>
        <v>2.0251685547646647</v>
      </c>
      <c r="I153" s="144">
        <v>-14</v>
      </c>
      <c r="J153" s="145">
        <v>195.51</v>
      </c>
      <c r="K153" s="146">
        <v>4.3348410270054547</v>
      </c>
      <c r="M153" s="50">
        <f>I57</f>
        <v>34</v>
      </c>
      <c r="N153" s="63">
        <f t="shared" ref="N153" si="594">J57</f>
        <v>20.552</v>
      </c>
      <c r="O153" s="64">
        <f t="shared" ref="O153" si="595">K57</f>
        <v>2.0327583478398479</v>
      </c>
      <c r="Y153" s="147">
        <v>11</v>
      </c>
      <c r="Z153" s="148">
        <v>5.6849879746112411</v>
      </c>
      <c r="AA153" s="149">
        <v>2.6356023706258065</v>
      </c>
      <c r="AC153" s="50">
        <f>Y107</f>
        <v>34</v>
      </c>
      <c r="AD153" s="63">
        <f t="shared" ref="AD153:AE153" si="596">Z107</f>
        <v>2.0410255578269285</v>
      </c>
      <c r="AE153" s="64">
        <f t="shared" si="596"/>
        <v>1.4290843390063632</v>
      </c>
      <c r="AG153" s="165">
        <v>6</v>
      </c>
      <c r="AH153" s="166">
        <v>21.427200401191609</v>
      </c>
      <c r="AI153" s="167">
        <f t="shared" si="488"/>
        <v>3.4090215048838974</v>
      </c>
      <c r="AK153" s="50">
        <f>AG96</f>
        <v>34.5</v>
      </c>
      <c r="AL153" s="63">
        <f>AH96</f>
        <v>7.0413835056254479</v>
      </c>
      <c r="AM153" s="64">
        <f>AI96</f>
        <v>2.0659659185831516</v>
      </c>
    </row>
    <row r="154" spans="1:39">
      <c r="A154" s="144">
        <v>-14.5</v>
      </c>
      <c r="B154" s="145">
        <v>210.21218954857383</v>
      </c>
      <c r="C154" s="146">
        <v>4.3755520888349082</v>
      </c>
      <c r="E154" s="50">
        <f>A56</f>
        <v>34.5</v>
      </c>
      <c r="F154" s="63">
        <f t="shared" ref="F154:G154" si="597">B56</f>
        <v>20.003021981673712</v>
      </c>
      <c r="G154" s="64">
        <f t="shared" si="597"/>
        <v>2.000181307942237</v>
      </c>
      <c r="I154" s="144">
        <v>-14.5</v>
      </c>
      <c r="J154" s="145">
        <v>200.83</v>
      </c>
      <c r="K154" s="146">
        <v>4.3501711216046441</v>
      </c>
      <c r="M154" s="50">
        <f>I56</f>
        <v>34.5</v>
      </c>
      <c r="N154" s="63">
        <f t="shared" ref="N154" si="598">J56</f>
        <v>20.135000000000002</v>
      </c>
      <c r="O154" s="64">
        <f t="shared" ref="O154" si="599">K56</f>
        <v>2.0080781888899972</v>
      </c>
      <c r="Y154" s="147">
        <v>10.5</v>
      </c>
      <c r="Z154" s="148">
        <v>5.8216686760905363</v>
      </c>
      <c r="AA154" s="149">
        <v>2.6651919449063666</v>
      </c>
      <c r="AC154" s="50">
        <f>Y106</f>
        <v>34.5</v>
      </c>
      <c r="AD154" s="63">
        <f t="shared" ref="AD154:AE154" si="600">Z106</f>
        <v>1.9989558864383685</v>
      </c>
      <c r="AE154" s="64">
        <f t="shared" si="600"/>
        <v>1.4079224595951594</v>
      </c>
      <c r="AG154" s="165">
        <v>5.5</v>
      </c>
      <c r="AH154" s="166">
        <v>21.886882043129383</v>
      </c>
      <c r="AI154" s="167">
        <f t="shared" si="488"/>
        <v>3.4319570683527081</v>
      </c>
      <c r="AK154" s="50">
        <f>AG95</f>
        <v>35</v>
      </c>
      <c r="AL154" s="63">
        <f>AH95</f>
        <v>6.9161672824100382</v>
      </c>
      <c r="AM154" s="64">
        <f>AI95</f>
        <v>2.0442477208184404</v>
      </c>
    </row>
    <row r="155" spans="1:39">
      <c r="A155" s="144">
        <v>-15</v>
      </c>
      <c r="B155" s="145">
        <v>216.07452660153459</v>
      </c>
      <c r="C155" s="146">
        <v>4.3904285743363713</v>
      </c>
      <c r="E155" s="50">
        <f>A55</f>
        <v>35</v>
      </c>
      <c r="F155" s="63">
        <f t="shared" ref="F155:G155" si="601">B55</f>
        <v>19.592828649644026</v>
      </c>
      <c r="G155" s="64">
        <f t="shared" si="601"/>
        <v>1.9753691393629209</v>
      </c>
      <c r="I155" s="144">
        <v>-15</v>
      </c>
      <c r="J155" s="145">
        <v>206.31</v>
      </c>
      <c r="K155" s="146">
        <v>4.3652405738225211</v>
      </c>
      <c r="M155" s="50">
        <f>I55</f>
        <v>35</v>
      </c>
      <c r="N155" s="63">
        <f t="shared" ref="N155" si="602">J55</f>
        <v>19.728000000000002</v>
      </c>
      <c r="O155" s="64">
        <f t="shared" ref="O155" si="603">K55</f>
        <v>1.9835907335907339</v>
      </c>
      <c r="Y155" s="147">
        <v>10</v>
      </c>
      <c r="Z155" s="148">
        <v>5.9620223670590882</v>
      </c>
      <c r="AA155" s="149">
        <v>2.6948157259259506</v>
      </c>
      <c r="AC155" s="50">
        <f>Y105</f>
        <v>35</v>
      </c>
      <c r="AD155" s="63">
        <f t="shared" ref="AD155:AE155" si="604">Z105</f>
        <v>1.9578688370595239</v>
      </c>
      <c r="AE155" s="64">
        <f t="shared" si="604"/>
        <v>1.3870113502103694</v>
      </c>
      <c r="AG155" s="165">
        <v>5</v>
      </c>
      <c r="AH155" s="166">
        <v>22.357837602595886</v>
      </c>
      <c r="AI155" s="167">
        <f t="shared" si="488"/>
        <v>3.4547793145488561</v>
      </c>
      <c r="AK155" s="50">
        <f>AG94</f>
        <v>35.5</v>
      </c>
      <c r="AL155" s="63">
        <f>AH94</f>
        <v>6.7935213456269823</v>
      </c>
      <c r="AM155" s="64">
        <f>AI94</f>
        <v>2.0226613602381875</v>
      </c>
    </row>
    <row r="156" spans="1:39">
      <c r="A156" s="144">
        <v>-15.5</v>
      </c>
      <c r="B156" s="145">
        <v>222.11633295959609</v>
      </c>
      <c r="C156" s="146">
        <v>4.4050365629265329</v>
      </c>
      <c r="E156" s="50">
        <f>A54</f>
        <v>35.5</v>
      </c>
      <c r="F156" s="63">
        <f t="shared" ref="F156:G156" si="605">B54</f>
        <v>19.192190471808594</v>
      </c>
      <c r="G156" s="64">
        <f t="shared" si="605"/>
        <v>1.9507355016857189</v>
      </c>
      <c r="I156" s="144">
        <v>-15.5</v>
      </c>
      <c r="J156" s="145">
        <v>211.95</v>
      </c>
      <c r="K156" s="146">
        <v>4.380037197768134</v>
      </c>
      <c r="M156" s="50">
        <f>I54</f>
        <v>35.5</v>
      </c>
      <c r="N156" s="63">
        <f t="shared" ref="N156" si="606">J54</f>
        <v>19.329999999999998</v>
      </c>
      <c r="O156" s="64">
        <f t="shared" ref="O156" si="607">K54</f>
        <v>1.959254003648895</v>
      </c>
      <c r="Y156" s="147">
        <v>9.5</v>
      </c>
      <c r="Z156" s="148">
        <v>6.106156380327489</v>
      </c>
      <c r="AA156" s="149">
        <v>2.7244650944934623</v>
      </c>
      <c r="AC156" s="50">
        <f>Y104</f>
        <v>35.5</v>
      </c>
      <c r="AD156" s="63">
        <f t="shared" ref="AD156:AE156" si="608">Z104</f>
        <v>1.9177391024026176</v>
      </c>
      <c r="AE156" s="64">
        <f t="shared" si="608"/>
        <v>1.3663510957154661</v>
      </c>
      <c r="AG156" s="165">
        <v>4.5</v>
      </c>
      <c r="AH156" s="166">
        <v>22.84037531784843</v>
      </c>
      <c r="AI156" s="167">
        <f t="shared" si="488"/>
        <v>3.4774839046122148</v>
      </c>
      <c r="AK156" s="50">
        <f>AG93</f>
        <v>36</v>
      </c>
      <c r="AL156" s="63">
        <f>AH93</f>
        <v>6.6733865665848047</v>
      </c>
      <c r="AM156" s="64">
        <f>AI93</f>
        <v>2.0012090944856289</v>
      </c>
    </row>
    <row r="157" spans="1:39">
      <c r="A157" s="144">
        <v>-16</v>
      </c>
      <c r="B157" s="145">
        <v>228.34348579212153</v>
      </c>
      <c r="C157" s="146">
        <v>4.4193776570751275</v>
      </c>
      <c r="E157" s="50">
        <f>A53</f>
        <v>36</v>
      </c>
      <c r="F157" s="63">
        <f t="shared" ref="F157:G157" si="609">B53</f>
        <v>18.800860205559601</v>
      </c>
      <c r="G157" s="64">
        <f t="shared" si="609"/>
        <v>1.9262836890954771</v>
      </c>
      <c r="I157" s="144">
        <v>-16</v>
      </c>
      <c r="J157" s="145">
        <v>217.77</v>
      </c>
      <c r="K157" s="146">
        <v>4.3945998304879526</v>
      </c>
      <c r="M157" s="50">
        <f>I53</f>
        <v>36</v>
      </c>
      <c r="N157" s="63">
        <f t="shared" ref="N157" si="610">J53</f>
        <v>18.940999999999999</v>
      </c>
      <c r="O157" s="64">
        <f t="shared" ref="O157" si="611">K53</f>
        <v>1.9350851024703213</v>
      </c>
      <c r="Y157" s="147">
        <v>9</v>
      </c>
      <c r="Z157" s="148">
        <v>6.2541813842300025</v>
      </c>
      <c r="AA157" s="149">
        <v>2.7541313515197716</v>
      </c>
      <c r="AC157" s="50">
        <f>Y103</f>
        <v>36</v>
      </c>
      <c r="AD157" s="63">
        <f t="shared" ref="AD157:AE157" si="612">Z103</f>
        <v>1.8785420799320702</v>
      </c>
      <c r="AE157" s="64">
        <f t="shared" si="612"/>
        <v>1.345941643981859</v>
      </c>
      <c r="AG157" s="165">
        <v>4</v>
      </c>
      <c r="AH157" s="166">
        <v>23.334812668518222</v>
      </c>
      <c r="AI157" s="167">
        <f t="shared" si="488"/>
        <v>3.5000665671290667</v>
      </c>
      <c r="AK157" s="50">
        <f>AG92</f>
        <v>36.5</v>
      </c>
      <c r="AL157" s="63">
        <f>AH92</f>
        <v>6.5557053128729974</v>
      </c>
      <c r="AM157" s="64">
        <f>AI92</f>
        <v>1.9798930909260524</v>
      </c>
    </row>
    <row r="158" spans="1:39">
      <c r="A158" s="144">
        <v>-16.5</v>
      </c>
      <c r="B158" s="145">
        <v>234.76206381233948</v>
      </c>
      <c r="C158" s="146">
        <v>4.4334535777515374</v>
      </c>
      <c r="E158" s="50">
        <f>A52</f>
        <v>36.5</v>
      </c>
      <c r="F158" s="63">
        <f t="shared" ref="F158:G158" si="613">B52</f>
        <v>18.41859756891624</v>
      </c>
      <c r="G158" s="64">
        <f t="shared" si="613"/>
        <v>1.9020168379206224</v>
      </c>
      <c r="I158" s="144">
        <v>-16.5</v>
      </c>
      <c r="J158" s="145">
        <v>223.76</v>
      </c>
      <c r="K158" s="146">
        <v>4.4088902900378306</v>
      </c>
      <c r="M158" s="50">
        <f>I52</f>
        <v>36.5</v>
      </c>
      <c r="N158" s="63">
        <f t="shared" ref="N158" si="614">J52</f>
        <v>18.561</v>
      </c>
      <c r="O158" s="64">
        <f t="shared" ref="O158" si="615">K52</f>
        <v>1.9111015012046706</v>
      </c>
      <c r="Y158" s="147">
        <v>8.5</v>
      </c>
      <c r="Z158" s="148">
        <v>6.4062114905047114</v>
      </c>
      <c r="AA158" s="149">
        <v>2.7838057277981196</v>
      </c>
      <c r="AC158" s="50">
        <f>Y102</f>
        <v>36.5</v>
      </c>
      <c r="AD158" s="63">
        <f t="shared" ref="AD158:AE158" si="616">Z102</f>
        <v>1.8402538509753139</v>
      </c>
      <c r="AE158" s="64">
        <f t="shared" si="616"/>
        <v>1.3257828103194691</v>
      </c>
      <c r="AG158" s="165">
        <v>3.5</v>
      </c>
      <c r="AH158" s="166">
        <v>23.841476675859351</v>
      </c>
      <c r="AI158" s="167">
        <f t="shared" si="488"/>
        <v>3.522523101491394</v>
      </c>
      <c r="AK158" s="50">
        <f>AG91</f>
        <v>37</v>
      </c>
      <c r="AL158" s="63">
        <f>AH91</f>
        <v>6.4404214072524137</v>
      </c>
      <c r="AM158" s="64">
        <f>AI91</f>
        <v>1.9587154269693265</v>
      </c>
    </row>
    <row r="159" spans="1:39">
      <c r="A159" s="144">
        <v>-17</v>
      </c>
      <c r="B159" s="145">
        <v>241.37835437195281</v>
      </c>
      <c r="C159" s="146">
        <v>4.4472661596495309</v>
      </c>
      <c r="E159" s="50">
        <f>A51</f>
        <v>37</v>
      </c>
      <c r="F159" s="63">
        <f t="shared" ref="F159:G159" si="617">B51</f>
        <v>18.045169030801258</v>
      </c>
      <c r="G159" s="64">
        <f t="shared" si="617"/>
        <v>1.8779379274566281</v>
      </c>
      <c r="I159" s="144">
        <v>-17</v>
      </c>
      <c r="J159" s="145">
        <v>229.94</v>
      </c>
      <c r="K159" s="146">
        <v>4.4229437562514429</v>
      </c>
      <c r="M159" s="50">
        <f>I51</f>
        <v>37</v>
      </c>
      <c r="N159" s="63">
        <f t="shared" ref="N159" si="618">J51</f>
        <v>18.190000000000001</v>
      </c>
      <c r="O159" s="64">
        <f t="shared" ref="O159" si="619">K51</f>
        <v>1.8873210209587052</v>
      </c>
      <c r="Y159" s="147">
        <v>8</v>
      </c>
      <c r="Z159" s="148">
        <v>6.5623643657131936</v>
      </c>
      <c r="AA159" s="149">
        <v>2.8134793940267544</v>
      </c>
      <c r="AC159" s="50">
        <f>Y101</f>
        <v>37</v>
      </c>
      <c r="AD159" s="63">
        <f t="shared" ref="AD159:AE159" si="620">Z101</f>
        <v>1.8028511604835842</v>
      </c>
      <c r="AE159" s="64">
        <f t="shared" si="620"/>
        <v>1.3058742819230107</v>
      </c>
      <c r="AG159" s="165">
        <v>3</v>
      </c>
      <c r="AH159" s="166">
        <v>24.360704213472708</v>
      </c>
      <c r="AI159" s="167">
        <f t="shared" si="488"/>
        <v>3.5448493811603785</v>
      </c>
      <c r="AK159" s="50">
        <f>AG90</f>
        <v>37.5</v>
      </c>
      <c r="AL159" s="63">
        <f>AH90</f>
        <v>6.3274800877597537</v>
      </c>
      <c r="AM159" s="64">
        <f>AI90</f>
        <v>1.9376780904798914</v>
      </c>
    </row>
    <row r="160" spans="1:39">
      <c r="A160" s="144">
        <v>-17.5</v>
      </c>
      <c r="B160" s="145">
        <v>248.19886080634797</v>
      </c>
      <c r="C160" s="146">
        <v>4.4608173463930401</v>
      </c>
      <c r="E160" s="50">
        <f>A50</f>
        <v>37.5</v>
      </c>
      <c r="F160" s="63">
        <f t="shared" ref="F160:G160" si="621">B50</f>
        <v>17.680347607993887</v>
      </c>
      <c r="G160" s="64">
        <f t="shared" si="621"/>
        <v>1.8540497809866718</v>
      </c>
      <c r="I160" s="144">
        <v>-17.5</v>
      </c>
      <c r="J160" s="145">
        <v>236.31</v>
      </c>
      <c r="K160" s="146">
        <v>4.4367466486425595</v>
      </c>
      <c r="M160" s="50">
        <f>I50</f>
        <v>37.5</v>
      </c>
      <c r="N160" s="63">
        <f t="shared" ref="N160" si="622">J50</f>
        <v>17.827000000000002</v>
      </c>
      <c r="O160" s="64">
        <f t="shared" ref="O160" si="623">K50</f>
        <v>1.8636962385263556</v>
      </c>
      <c r="Y160" s="147">
        <v>7.5</v>
      </c>
      <c r="Z160" s="148">
        <v>6.7227613463133711</v>
      </c>
      <c r="AA160" s="149">
        <v>2.8431434710511576</v>
      </c>
      <c r="AC160" s="50">
        <f>Y100</f>
        <v>37.5</v>
      </c>
      <c r="AD160" s="63">
        <f t="shared" ref="AD160:AE160" si="624">Z100</f>
        <v>1.7663113974213838</v>
      </c>
      <c r="AE160" s="64">
        <f t="shared" si="624"/>
        <v>1.2862156223243202</v>
      </c>
      <c r="AG160" s="165">
        <v>2.5</v>
      </c>
      <c r="AH160" s="166">
        <v>24.892842328897025</v>
      </c>
      <c r="AI160" s="167">
        <f t="shared" si="488"/>
        <v>3.5670413568288826</v>
      </c>
      <c r="AK160" s="50">
        <f>AG89</f>
        <v>38</v>
      </c>
      <c r="AL160" s="63">
        <f>AH89</f>
        <v>6.2168279689885768</v>
      </c>
      <c r="AM160" s="64">
        <f>AI89</f>
        <v>1.916782980271176</v>
      </c>
    </row>
    <row r="161" spans="1:39">
      <c r="A161" s="144">
        <v>-18</v>
      </c>
      <c r="B161" s="145">
        <v>255.23031003900456</v>
      </c>
      <c r="C161" s="146">
        <v>4.4741091857331439</v>
      </c>
      <c r="E161" s="50">
        <f>A49</f>
        <v>38</v>
      </c>
      <c r="F161" s="63">
        <f t="shared" ref="F161:G161" si="625">B49</f>
        <v>17.323912668537233</v>
      </c>
      <c r="G161" s="64">
        <f t="shared" si="625"/>
        <v>1.8303550669907773</v>
      </c>
      <c r="I161" s="144">
        <v>-18</v>
      </c>
      <c r="J161" s="145">
        <v>242.87</v>
      </c>
      <c r="K161" s="146">
        <v>4.4502876827793454</v>
      </c>
      <c r="M161" s="50">
        <f>I49</f>
        <v>38</v>
      </c>
      <c r="N161" s="63">
        <f t="shared" ref="N161" si="626">J49</f>
        <v>17.472000000000001</v>
      </c>
      <c r="O161" s="64">
        <f t="shared" ref="O161" si="627">K49</f>
        <v>1.8402426693629932</v>
      </c>
      <c r="Y161" s="147">
        <v>7</v>
      </c>
      <c r="Z161" s="148">
        <v>6.8875275575019312</v>
      </c>
      <c r="AA161" s="149">
        <v>2.8727890403019924</v>
      </c>
      <c r="AC161" s="50">
        <f>Y99</f>
        <v>38</v>
      </c>
      <c r="AD161" s="63">
        <f t="shared" ref="AD161:AE161" si="628">Z99</f>
        <v>1.7306125757647566</v>
      </c>
      <c r="AE161" s="64">
        <f t="shared" si="628"/>
        <v>1.266806275841956</v>
      </c>
      <c r="AG161" s="165">
        <v>2</v>
      </c>
      <c r="AH161" s="166">
        <v>25.438248576469181</v>
      </c>
      <c r="AI161" s="167">
        <f t="shared" si="488"/>
        <v>3.5890950594776361</v>
      </c>
      <c r="AK161" s="50">
        <f>AG88</f>
        <v>38.5</v>
      </c>
      <c r="AL161" s="63">
        <f>AH88</f>
        <v>6.1084130045087219</v>
      </c>
      <c r="AM161" s="64">
        <f>AI88</f>
        <v>1.8960319066809952</v>
      </c>
    </row>
    <row r="162" spans="1:39">
      <c r="A162" s="144">
        <v>-18.5</v>
      </c>
      <c r="B162" s="145">
        <v>262.47966045396834</v>
      </c>
      <c r="C162" s="146">
        <v>4.4871438247460373</v>
      </c>
      <c r="E162" s="50">
        <f>A48</f>
        <v>38.5</v>
      </c>
      <c r="F162" s="63">
        <f t="shared" ref="F162:G162" si="629">B48</f>
        <v>16.975649741385325</v>
      </c>
      <c r="G162" s="64">
        <f t="shared" si="629"/>
        <v>1.8068563005345575</v>
      </c>
      <c r="I162" s="144">
        <v>-18.5</v>
      </c>
      <c r="J162" s="145">
        <v>249.63</v>
      </c>
      <c r="K162" s="146">
        <v>4.4635768694346103</v>
      </c>
      <c r="M162" s="50">
        <f>I48</f>
        <v>38.5</v>
      </c>
      <c r="N162" s="63">
        <f t="shared" ref="N162" si="630">J48</f>
        <v>17.125</v>
      </c>
      <c r="O162" s="64">
        <f t="shared" ref="O162" si="631">K48</f>
        <v>1.8169761273209548</v>
      </c>
      <c r="Y162" s="147">
        <v>6.5</v>
      </c>
      <c r="Z162" s="148">
        <v>7.0567920359462031</v>
      </c>
      <c r="AA162" s="149">
        <v>2.9024071544039334</v>
      </c>
      <c r="AC162" s="50">
        <f>Y98</f>
        <v>38.5</v>
      </c>
      <c r="AD162" s="63">
        <f t="shared" ref="AD162:AE162" si="632">Z98</f>
        <v>1.6957333160885781</v>
      </c>
      <c r="AE162" s="64">
        <f t="shared" si="632"/>
        <v>1.2476455720194386</v>
      </c>
      <c r="AG162" s="165">
        <v>1.5</v>
      </c>
      <c r="AH162" s="166">
        <v>25.99729136187856</v>
      </c>
      <c r="AI162" s="167">
        <f t="shared" si="488"/>
        <v>3.6110066033204253</v>
      </c>
      <c r="AK162" s="50">
        <f>AG87</f>
        <v>39</v>
      </c>
      <c r="AL162" s="63">
        <f>AH87</f>
        <v>6.0021844503896906</v>
      </c>
      <c r="AM162" s="64">
        <f>AI87</f>
        <v>1.8754265922248894</v>
      </c>
    </row>
    <row r="163" spans="1:39">
      <c r="A163" s="144">
        <v>-19</v>
      </c>
      <c r="B163" s="145">
        <v>269.95411004553921</v>
      </c>
      <c r="C163" s="146">
        <v>4.4999235050413979</v>
      </c>
      <c r="E163" s="50">
        <f>A47</f>
        <v>39</v>
      </c>
      <c r="F163" s="63">
        <f t="shared" ref="F163:G163" si="633">B47</f>
        <v>16.635350332083178</v>
      </c>
      <c r="G163" s="64">
        <f t="shared" si="633"/>
        <v>1.7835558448285902</v>
      </c>
      <c r="I163" s="144">
        <v>-19</v>
      </c>
      <c r="J163" s="145">
        <v>256.60000000000002</v>
      </c>
      <c r="K163" s="146">
        <v>4.4766224703419395</v>
      </c>
      <c r="M163" s="50">
        <f>I47</f>
        <v>39</v>
      </c>
      <c r="N163" s="63">
        <f t="shared" ref="N163" si="634">J47</f>
        <v>16.786000000000001</v>
      </c>
      <c r="O163" s="64">
        <f t="shared" ref="O163" si="635">K47</f>
        <v>1.793912708930022</v>
      </c>
      <c r="Y163" s="147">
        <v>6</v>
      </c>
      <c r="Z163" s="148">
        <v>7.2306878565290376</v>
      </c>
      <c r="AA163" s="149">
        <v>2.9319888479296896</v>
      </c>
      <c r="AC163" s="50">
        <f>Y97</f>
        <v>39</v>
      </c>
      <c r="AD163" s="63">
        <f t="shared" ref="AD163:AE163" si="636">Z97</f>
        <v>1.661652827724021</v>
      </c>
      <c r="AE163" s="64">
        <f t="shared" si="636"/>
        <v>1.2287327300441533</v>
      </c>
      <c r="AG163" s="165">
        <v>1</v>
      </c>
      <c r="AH163" s="166">
        <v>26.570350298848521</v>
      </c>
      <c r="AI163" s="167">
        <f t="shared" si="488"/>
        <v>3.6327721886335236</v>
      </c>
      <c r="AK163" s="50">
        <f>AG86</f>
        <v>39.5</v>
      </c>
      <c r="AL163" s="63">
        <f>AH86</f>
        <v>5.898092829792283</v>
      </c>
      <c r="AM163" s="64">
        <f>AI86</f>
        <v>1.8549686723238692</v>
      </c>
    </row>
    <row r="164" spans="1:39">
      <c r="A164" s="144">
        <v>-19.5</v>
      </c>
      <c r="B164" s="145">
        <v>277.66110485459154</v>
      </c>
      <c r="C164" s="146">
        <v>4.5124505579901175</v>
      </c>
      <c r="E164" s="50">
        <f>A46</f>
        <v>39.5</v>
      </c>
      <c r="F164" s="63">
        <f t="shared" ref="F164:G164" si="637">B46</f>
        <v>16.302811744279129</v>
      </c>
      <c r="G164" s="64">
        <f t="shared" si="637"/>
        <v>1.7604559129493251</v>
      </c>
      <c r="I164" s="144">
        <v>-19.5</v>
      </c>
      <c r="J164" s="145">
        <v>263.79000000000002</v>
      </c>
      <c r="K164" s="146">
        <v>4.489431226386194</v>
      </c>
      <c r="M164" s="50">
        <f>I46</f>
        <v>39.5</v>
      </c>
      <c r="N164" s="63">
        <f t="shared" ref="N164" si="638">J46</f>
        <v>16.454000000000001</v>
      </c>
      <c r="O164" s="64">
        <f t="shared" ref="O164" si="639">K46</f>
        <v>1.7709992680931677</v>
      </c>
      <c r="Y164" s="147">
        <v>5.5</v>
      </c>
      <c r="Z164" s="148">
        <v>7.4093522632335675</v>
      </c>
      <c r="AA164" s="149">
        <v>2.9615251482726692</v>
      </c>
      <c r="AC164" s="50">
        <f>Y96</f>
        <v>39.5</v>
      </c>
      <c r="AD164" s="63">
        <f t="shared" ref="AD164:AE164" si="640">Z96</f>
        <v>1.6283508914678788</v>
      </c>
      <c r="AE164" s="64">
        <f t="shared" si="640"/>
        <v>1.2100668631393514</v>
      </c>
      <c r="AG164" s="165">
        <v>0.5</v>
      </c>
      <c r="AH164" s="166">
        <v>27.15781657840612</v>
      </c>
      <c r="AI164" s="167">
        <f t="shared" si="488"/>
        <v>3.6543881044652933</v>
      </c>
      <c r="AK164" s="50">
        <f>AG85</f>
        <v>40</v>
      </c>
      <c r="AL164" s="63">
        <f>AH85</f>
        <v>5.7960898985960059</v>
      </c>
      <c r="AM164" s="64">
        <f>AI85</f>
        <v>1.8346596961033934</v>
      </c>
    </row>
    <row r="165" spans="1:39">
      <c r="A165" s="144">
        <v>-20</v>
      </c>
      <c r="B165" s="145">
        <v>285.60834770125172</v>
      </c>
      <c r="C165" s="146">
        <v>4.5247273999799686</v>
      </c>
      <c r="E165" s="50">
        <f>A45</f>
        <v>40</v>
      </c>
      <c r="F165" s="63">
        <f t="shared" ref="F165:G165" si="641">B45</f>
        <v>15.977836906877176</v>
      </c>
      <c r="G165" s="64">
        <f t="shared" si="641"/>
        <v>1.7375585697124518</v>
      </c>
      <c r="I165" s="144">
        <v>-20</v>
      </c>
      <c r="J165" s="145">
        <v>271.20999999999998</v>
      </c>
      <c r="K165" s="146">
        <v>4.502008565452674</v>
      </c>
      <c r="M165" s="50">
        <f>I45</f>
        <v>40</v>
      </c>
      <c r="N165" s="63">
        <f t="shared" ref="N165" si="642">J45</f>
        <v>16.13</v>
      </c>
      <c r="O165" s="64">
        <f t="shared" ref="O165" si="643">K45</f>
        <v>1.7483199653154129</v>
      </c>
      <c r="Y165" s="147">
        <v>5</v>
      </c>
      <c r="Z165" s="148">
        <v>7.5929268042975124</v>
      </c>
      <c r="AA165" s="149">
        <v>2.9910070866109204</v>
      </c>
      <c r="AC165" s="50">
        <f>Y95</f>
        <v>40</v>
      </c>
      <c r="AD165" s="63">
        <f t="shared" ref="AD165:AE165" si="644">Z95</f>
        <v>1.5958078428260545</v>
      </c>
      <c r="AE165" s="64">
        <f t="shared" si="644"/>
        <v>1.1916469829221703</v>
      </c>
      <c r="AG165" s="165">
        <v>0</v>
      </c>
      <c r="AH165" s="166">
        <v>27.760093351206816</v>
      </c>
      <c r="AI165" s="167">
        <f t="shared" si="488"/>
        <v>3.6758507312217219</v>
      </c>
      <c r="AK165" s="50">
        <f>AG84</f>
        <v>40.5</v>
      </c>
      <c r="AL165" s="63">
        <f>AH84</f>
        <v>5.6961286120289598</v>
      </c>
      <c r="AM165" s="64">
        <f>AI84</f>
        <v>1.8145011272600198</v>
      </c>
    </row>
    <row r="166" spans="1:39">
      <c r="A166" s="144">
        <v>-20.5</v>
      </c>
      <c r="B166" s="145">
        <v>293.80380722393937</v>
      </c>
      <c r="C166" s="146">
        <v>4.5367565277073423</v>
      </c>
      <c r="E166" s="50">
        <f>A44</f>
        <v>40.5</v>
      </c>
      <c r="F166" s="63">
        <f t="shared" ref="F166:G166" si="645">B44</f>
        <v>15.660234206642031</v>
      </c>
      <c r="G166" s="64">
        <f t="shared" si="645"/>
        <v>1.7148657336895561</v>
      </c>
      <c r="I166" s="144">
        <v>-20.5</v>
      </c>
      <c r="J166" s="145">
        <v>278.85000000000002</v>
      </c>
      <c r="K166" s="146">
        <v>4.5143273433705682</v>
      </c>
      <c r="M166" s="50">
        <f>I44</f>
        <v>40.5</v>
      </c>
      <c r="N166" s="63">
        <f t="shared" ref="N166" si="646">J44</f>
        <v>15.813000000000001</v>
      </c>
      <c r="O166" s="64">
        <f t="shared" ref="O166" si="647">K44</f>
        <v>1.7258201820443977</v>
      </c>
      <c r="Y166" s="147">
        <v>4.5</v>
      </c>
      <c r="Z166" s="148">
        <v>7.7815574717720724</v>
      </c>
      <c r="AA166" s="149">
        <v>3.0204257089347091</v>
      </c>
      <c r="AC166" s="50">
        <f>Y94</f>
        <v>40.5</v>
      </c>
      <c r="AD166" s="63">
        <f t="shared" ref="AD166:AE166" si="648">Z94</f>
        <v>1.5640045557740483</v>
      </c>
      <c r="AE166" s="64">
        <f t="shared" si="648"/>
        <v>1.1734720037210296</v>
      </c>
      <c r="AG166" s="165">
        <v>-0.5</v>
      </c>
      <c r="AH166" s="166">
        <v>28.3775961234122</v>
      </c>
      <c r="AI166" s="167">
        <f t="shared" si="488"/>
        <v>3.6971565431244513</v>
      </c>
      <c r="AK166" s="50">
        <f>AG83</f>
        <v>41</v>
      </c>
      <c r="AL166" s="63">
        <f>AH83</f>
        <v>5.5981630922701351</v>
      </c>
      <c r="AM166" s="64">
        <f>AI83</f>
        <v>1.7944943449925763</v>
      </c>
    </row>
    <row r="167" spans="1:39">
      <c r="A167" s="144">
        <v>-21</v>
      </c>
      <c r="B167" s="145">
        <v>302.25572723508014</v>
      </c>
      <c r="C167" s="146">
        <v>4.5485405135127408</v>
      </c>
      <c r="E167" s="50">
        <f>A43</f>
        <v>41</v>
      </c>
      <c r="F167" s="63">
        <f t="shared" ref="F167:G167" si="649">B43</f>
        <v>15.34981732607738</v>
      </c>
      <c r="G167" s="64">
        <f t="shared" si="649"/>
        <v>1.6923791793589891</v>
      </c>
      <c r="I167" s="144">
        <v>-21</v>
      </c>
      <c r="J167" s="145">
        <v>286.73</v>
      </c>
      <c r="K167" s="146">
        <v>4.5264105073722094</v>
      </c>
      <c r="M167" s="50">
        <f>I43</f>
        <v>41</v>
      </c>
      <c r="N167" s="63">
        <f t="shared" ref="N167" si="650">J43</f>
        <v>15.503</v>
      </c>
      <c r="O167" s="64">
        <f t="shared" ref="O167" si="651">K43</f>
        <v>1.7035140540184164</v>
      </c>
      <c r="Y167" s="147">
        <v>4</v>
      </c>
      <c r="Z167" s="148">
        <v>7.9753948456215937</v>
      </c>
      <c r="AA167" s="149">
        <v>3.0497720871091789</v>
      </c>
      <c r="AC167" s="50">
        <f>Y93</f>
        <v>41</v>
      </c>
      <c r="AD167" s="63">
        <f t="shared" ref="AD167:AE167" si="652">Z93</f>
        <v>1.5329224270179331</v>
      </c>
      <c r="AE167" s="64">
        <f t="shared" si="652"/>
        <v>1.1555407468462684</v>
      </c>
      <c r="AG167" s="165">
        <v>-1</v>
      </c>
      <c r="AH167" s="166">
        <v>29.010753166627339</v>
      </c>
      <c r="AI167" s="167">
        <f t="shared" si="488"/>
        <v>3.7183021105377261</v>
      </c>
      <c r="AK167" s="50">
        <f>AG82</f>
        <v>41.5</v>
      </c>
      <c r="AL167" s="63">
        <f>AH82</f>
        <v>5.502148596992674</v>
      </c>
      <c r="AM167" s="64">
        <f>AI82</f>
        <v>1.7746406449942231</v>
      </c>
    </row>
    <row r="168" spans="1:39">
      <c r="A168" s="144">
        <v>-21.5</v>
      </c>
      <c r="B168" s="145">
        <v>310.97263640412581</v>
      </c>
      <c r="C168" s="146">
        <v>4.5600820007673057</v>
      </c>
      <c r="E168" s="50">
        <f>A42</f>
        <v>41.5</v>
      </c>
      <c r="F168" s="63">
        <f t="shared" ref="F168:G168" si="653">B42</f>
        <v>15.046405086402913</v>
      </c>
      <c r="G168" s="64">
        <f t="shared" si="653"/>
        <v>1.6701005393818444</v>
      </c>
      <c r="I168" s="144">
        <v>-21.5</v>
      </c>
      <c r="J168" s="145">
        <v>294.86</v>
      </c>
      <c r="K168" s="146">
        <v>4.5382626362125231</v>
      </c>
      <c r="M168" s="50">
        <f>I42</f>
        <v>41.5</v>
      </c>
      <c r="N168" s="63">
        <f t="shared" ref="N168" si="654">J42</f>
        <v>15.2</v>
      </c>
      <c r="O168" s="64">
        <f t="shared" ref="O168" si="655">K42</f>
        <v>1.6814159292035398</v>
      </c>
      <c r="Y168" s="147">
        <v>3.5</v>
      </c>
      <c r="Z168" s="148">
        <v>8.1745942425064335</v>
      </c>
      <c r="AA168" s="149">
        <v>3.0790373299436355</v>
      </c>
      <c r="AC168" s="50">
        <f>Y92</f>
        <v>41.5</v>
      </c>
      <c r="AD168" s="63">
        <f t="shared" ref="AD168:AE168" si="656">Z92</f>
        <v>1.50254336073978</v>
      </c>
      <c r="AE168" s="64">
        <f t="shared" si="656"/>
        <v>1.137851944808302</v>
      </c>
      <c r="AG168" s="165">
        <v>-1.5</v>
      </c>
      <c r="AH168" s="166">
        <v>29.660005942435653</v>
      </c>
      <c r="AI168" s="167">
        <f t="shared" si="488"/>
        <v>3.7392841021614496</v>
      </c>
      <c r="AK168" s="50">
        <f>AG81</f>
        <v>42</v>
      </c>
      <c r="AL168" s="63">
        <f>AH81</f>
        <v>5.4080414888198955</v>
      </c>
      <c r="AM168" s="64">
        <f>AI81</f>
        <v>1.7549412405022342</v>
      </c>
    </row>
    <row r="169" spans="1:39">
      <c r="A169" s="144">
        <v>-22</v>
      </c>
      <c r="B169" s="145">
        <v>319.96335827879693</v>
      </c>
      <c r="C169" s="146">
        <v>4.5713836993171633</v>
      </c>
      <c r="E169" s="50">
        <f>A41</f>
        <v>42</v>
      </c>
      <c r="F169" s="63">
        <f t="shared" ref="F169:G169" si="657">B41</f>
        <v>14.749821295462505</v>
      </c>
      <c r="G169" s="64">
        <f t="shared" si="657"/>
        <v>1.6480313069940786</v>
      </c>
      <c r="I169" s="144">
        <v>-22</v>
      </c>
      <c r="J169" s="145">
        <v>303.25</v>
      </c>
      <c r="K169" s="146">
        <v>4.5498874718679669</v>
      </c>
      <c r="M169" s="50">
        <f>I41</f>
        <v>42</v>
      </c>
      <c r="N169" s="63">
        <f t="shared" ref="N169" si="658">J41</f>
        <v>14.903</v>
      </c>
      <c r="O169" s="64">
        <f t="shared" ref="O169" si="659">K41</f>
        <v>1.6594659599581321</v>
      </c>
      <c r="Y169" s="147">
        <v>3</v>
      </c>
      <c r="Z169" s="148">
        <v>8.3793158693926664</v>
      </c>
      <c r="AA169" s="149">
        <v>3.1082125942383647</v>
      </c>
      <c r="AC169" s="50">
        <f>Y91</f>
        <v>42</v>
      </c>
      <c r="AD169" s="63">
        <f t="shared" ref="AD169:AE169" si="660">Z91</f>
        <v>1.4728497538119831</v>
      </c>
      <c r="AE169" s="64">
        <f t="shared" si="660"/>
        <v>1.1204042454779912</v>
      </c>
      <c r="AG169" s="165">
        <v>-2</v>
      </c>
      <c r="AH169" s="166">
        <v>30.325809542077703</v>
      </c>
      <c r="AI169" s="167">
        <f t="shared" si="488"/>
        <v>3.7600992870873964</v>
      </c>
      <c r="AK169" s="50">
        <f>AG80</f>
        <v>42.5</v>
      </c>
      <c r="AL169" s="63">
        <f>AH80</f>
        <v>5.3157992056652343</v>
      </c>
      <c r="AM169" s="64">
        <f>AI80</f>
        <v>1.7353972634020132</v>
      </c>
    </row>
    <row r="170" spans="1:39">
      <c r="A170" s="144">
        <v>-22.5</v>
      </c>
      <c r="B170" s="145">
        <v>329.23702165581977</v>
      </c>
      <c r="C170" s="146">
        <v>4.5824483809919982</v>
      </c>
      <c r="E170" s="50">
        <f>A40</f>
        <v>42.5</v>
      </c>
      <c r="F170" s="63">
        <f t="shared" ref="F170:G170" si="661">B40</f>
        <v>14.459894600401057</v>
      </c>
      <c r="G170" s="64">
        <f t="shared" si="661"/>
        <v>1.6261728385058543</v>
      </c>
      <c r="I170" s="144">
        <v>-22.5</v>
      </c>
      <c r="J170" s="145">
        <v>311.89</v>
      </c>
      <c r="K170" s="146">
        <v>4.5612623943373594</v>
      </c>
      <c r="M170" s="50">
        <f>I40</f>
        <v>42.5</v>
      </c>
      <c r="N170" s="63">
        <f t="shared" ref="N170" si="662">J40</f>
        <v>14.614000000000001</v>
      </c>
      <c r="O170" s="64">
        <f t="shared" ref="O170" si="663">K40</f>
        <v>1.6378266911731743</v>
      </c>
      <c r="Y170" s="147">
        <v>2.5</v>
      </c>
      <c r="Z170" s="148">
        <v>8.5897249821388204</v>
      </c>
      <c r="AA170" s="149">
        <v>3.1372890957802135</v>
      </c>
      <c r="AC170" s="50">
        <f>Y90</f>
        <v>42.5</v>
      </c>
      <c r="AD170" s="63">
        <f t="shared" ref="AD170:AE170" si="664">Z90</f>
        <v>1.4438244814656378</v>
      </c>
      <c r="AE170" s="64">
        <f t="shared" si="664"/>
        <v>1.1031962161844695</v>
      </c>
      <c r="AG170" s="165">
        <v>-2.5</v>
      </c>
      <c r="AH170" s="166">
        <v>31.008633141858059</v>
      </c>
      <c r="AI170" s="167">
        <f t="shared" si="488"/>
        <v>3.7807445367164818</v>
      </c>
      <c r="AK170" s="50">
        <f>AG79</f>
        <v>43</v>
      </c>
      <c r="AL170" s="63">
        <f>AH79</f>
        <v>5.2253802319290701</v>
      </c>
      <c r="AM170" s="64">
        <f>AI79</f>
        <v>1.7160097653820661</v>
      </c>
    </row>
    <row r="171" spans="1:39">
      <c r="A171" s="144">
        <v>-23</v>
      </c>
      <c r="B171" s="145">
        <v>338.80307131272843</v>
      </c>
      <c r="C171" s="146">
        <v>4.5932788751837519</v>
      </c>
      <c r="E171" s="50">
        <f>A39</f>
        <v>43</v>
      </c>
      <c r="F171" s="63">
        <f t="shared" ref="F171:G171" si="665">B39</f>
        <v>14.176458344953367</v>
      </c>
      <c r="G171" s="64">
        <f t="shared" si="665"/>
        <v>1.6045263558993361</v>
      </c>
      <c r="I171" s="144">
        <v>-23</v>
      </c>
      <c r="J171" s="145">
        <v>320.82</v>
      </c>
      <c r="K171" s="146">
        <v>4.5724303061399008</v>
      </c>
      <c r="M171" s="50">
        <f>I39</f>
        <v>43</v>
      </c>
      <c r="N171" s="63">
        <f t="shared" ref="N171" si="666">J39</f>
        <v>14.33</v>
      </c>
      <c r="O171" s="64">
        <f t="shared" ref="O171" si="667">K39</f>
        <v>1.6162869388675842</v>
      </c>
      <c r="Y171" s="147">
        <v>2</v>
      </c>
      <c r="Z171" s="148">
        <v>8.8059920492104897</v>
      </c>
      <c r="AA171" s="149">
        <v>3.1662581202577518</v>
      </c>
      <c r="AC171" s="50">
        <f>Y89</f>
        <v>43</v>
      </c>
      <c r="AD171" s="63">
        <f t="shared" ref="AD171:AE171" si="668">Z89</f>
        <v>1.4154508833982622</v>
      </c>
      <c r="AE171" s="64">
        <f t="shared" si="668"/>
        <v>1.0862263477458722</v>
      </c>
      <c r="AG171" s="165">
        <v>-3</v>
      </c>
      <c r="AH171" s="166">
        <v>31.708960474871297</v>
      </c>
      <c r="AI171" s="167">
        <f t="shared" si="488"/>
        <v>3.8012168265348194</v>
      </c>
      <c r="AK171" s="50">
        <f>AG78</f>
        <v>43.5</v>
      </c>
      <c r="AL171" s="63">
        <f>AH78</f>
        <v>5.1367440705257206</v>
      </c>
      <c r="AM171" s="64">
        <f>AI78</f>
        <v>1.6967797191365588</v>
      </c>
    </row>
    <row r="172" spans="1:39">
      <c r="A172" s="144">
        <v>-23.5</v>
      </c>
      <c r="B172" s="145">
        <v>348.67127911265652</v>
      </c>
      <c r="C172" s="146">
        <v>4.6038780645009671</v>
      </c>
      <c r="E172" s="50">
        <f>A38</f>
        <v>43.5</v>
      </c>
      <c r="F172" s="63">
        <f t="shared" ref="F172:G172" si="669">B38</f>
        <v>13.899350431193739</v>
      </c>
      <c r="G172" s="64">
        <f t="shared" si="669"/>
        <v>1.5830929495163124</v>
      </c>
      <c r="I172" s="144">
        <v>-23.5</v>
      </c>
      <c r="J172" s="145">
        <v>330.02</v>
      </c>
      <c r="K172" s="146">
        <v>4.5833564801955449</v>
      </c>
      <c r="M172" s="50">
        <f>I38</f>
        <v>43.5</v>
      </c>
      <c r="N172" s="63">
        <f t="shared" ref="N172" si="670">J38</f>
        <v>14.053000000000001</v>
      </c>
      <c r="O172" s="64">
        <f t="shared" ref="O172" si="671">K38</f>
        <v>1.5950105554672782</v>
      </c>
      <c r="Y172" s="147">
        <v>1.5</v>
      </c>
      <c r="Z172" s="148">
        <v>9.0282929206803164</v>
      </c>
      <c r="AA172" s="149">
        <v>3.1951110340673696</v>
      </c>
      <c r="AC172" s="50">
        <f>Y88</f>
        <v>43.5</v>
      </c>
      <c r="AD172" s="63">
        <f t="shared" ref="AD172:AE172" si="672">Z88</f>
        <v>1.3877127503070403</v>
      </c>
      <c r="AE172" s="64">
        <f t="shared" si="672"/>
        <v>1.069493058429078</v>
      </c>
      <c r="AG172" s="165">
        <v>-3.5</v>
      </c>
      <c r="AH172" s="166">
        <v>32.427290319676125</v>
      </c>
      <c r="AI172" s="167">
        <f t="shared" si="488"/>
        <v>3.8215132377470749</v>
      </c>
      <c r="AK172" s="50">
        <f>AG77</f>
        <v>44</v>
      </c>
      <c r="AL172" s="63">
        <f>AH77</f>
        <v>5.0498512157154156</v>
      </c>
      <c r="AM172" s="64">
        <f>AI77</f>
        <v>1.6777080196122602</v>
      </c>
    </row>
    <row r="173" spans="1:39">
      <c r="A173" s="144">
        <v>-24</v>
      </c>
      <c r="B173" s="145">
        <v>358.85175549436093</v>
      </c>
      <c r="C173" s="146">
        <v>4.6142488805038315</v>
      </c>
      <c r="E173" s="50">
        <f>A37</f>
        <v>44</v>
      </c>
      <c r="F173" s="63">
        <f t="shared" ref="F173:G173" si="673">B37</f>
        <v>13.628413185599875</v>
      </c>
      <c r="G173" s="64">
        <f t="shared" si="673"/>
        <v>1.5618735808271511</v>
      </c>
      <c r="I173" s="144">
        <v>-24</v>
      </c>
      <c r="J173" s="145">
        <v>339.52</v>
      </c>
      <c r="K173" s="146">
        <v>4.5940679800822686</v>
      </c>
      <c r="M173" s="50">
        <f>I37</f>
        <v>44</v>
      </c>
      <c r="N173" s="63">
        <f t="shared" ref="N173" si="674">J37</f>
        <v>13.731999999999999</v>
      </c>
      <c r="O173" s="64">
        <f t="shared" ref="O173" si="675">K37</f>
        <v>1.5700173785786151</v>
      </c>
      <c r="Y173" s="147">
        <v>1</v>
      </c>
      <c r="Z173" s="148">
        <v>9.256809002672977</v>
      </c>
      <c r="AA173" s="149">
        <v>3.22383929498175</v>
      </c>
      <c r="AC173" s="50">
        <f>Y87</f>
        <v>44</v>
      </c>
      <c r="AD173" s="63">
        <f t="shared" ref="AD173:AE173" si="676">Z87</f>
        <v>1.3605943108339218</v>
      </c>
      <c r="AE173" s="64">
        <f t="shared" si="676"/>
        <v>1.0529946978347715</v>
      </c>
      <c r="AG173" s="165">
        <v>-4</v>
      </c>
      <c r="AH173" s="166">
        <v>33.164137006564111</v>
      </c>
      <c r="AI173" s="167">
        <f t="shared" si="488"/>
        <v>3.8416309587656916</v>
      </c>
      <c r="AK173" s="50">
        <f>AG76</f>
        <v>44.5</v>
      </c>
      <c r="AL173" s="63">
        <f>AH76</f>
        <v>4.9646631267163741</v>
      </c>
      <c r="AM173" s="64">
        <f>AI76</f>
        <v>1.6587954852966165</v>
      </c>
    </row>
    <row r="174" spans="1:39">
      <c r="A174" s="144">
        <v>-24.5</v>
      </c>
      <c r="B174" s="145">
        <v>369.3549613600718</v>
      </c>
      <c r="C174" s="146">
        <v>4.62439429952454</v>
      </c>
      <c r="E174" s="50">
        <f>A36</f>
        <v>44.5</v>
      </c>
      <c r="F174" s="63">
        <f t="shared" ref="F174:G174" si="677">B36</f>
        <v>13.363493229290125</v>
      </c>
      <c r="G174" s="64">
        <f t="shared" si="677"/>
        <v>1.5408690852728251</v>
      </c>
      <c r="I174" s="144">
        <v>-24.5</v>
      </c>
      <c r="J174" s="145">
        <v>349.32</v>
      </c>
      <c r="K174" s="146">
        <v>4.6045555204049347</v>
      </c>
      <c r="M174" s="50">
        <f>I36</f>
        <v>44.5</v>
      </c>
      <c r="N174" s="63">
        <f t="shared" ref="N174" si="678">J36</f>
        <v>13.516</v>
      </c>
      <c r="O174" s="64">
        <f t="shared" ref="O174" si="679">K36</f>
        <v>1.5529920029414468</v>
      </c>
      <c r="Y174" s="147">
        <v>0.5</v>
      </c>
      <c r="Z174" s="148">
        <v>9.4917274374193941</v>
      </c>
      <c r="AA174" s="149">
        <v>3.2524344626526425</v>
      </c>
      <c r="AC174" s="50">
        <f>Y86</f>
        <v>44.5</v>
      </c>
      <c r="AD174" s="63">
        <f t="shared" ref="AD174:AE174" si="680">Z86</f>
        <v>1.3340802189094694</v>
      </c>
      <c r="AE174" s="64">
        <f t="shared" si="680"/>
        <v>1.0367295507045966</v>
      </c>
      <c r="AG174" s="165">
        <v>-4.5</v>
      </c>
      <c r="AH174" s="166">
        <v>33.920030942094911</v>
      </c>
      <c r="AI174" s="167">
        <f t="shared" si="488"/>
        <v>3.8615672865549424</v>
      </c>
      <c r="AK174" s="50">
        <f>AG75</f>
        <v>45</v>
      </c>
      <c r="AL174" s="63">
        <f>AH75</f>
        <v>4.8811422020726862</v>
      </c>
      <c r="AM174" s="64">
        <f>AI75</f>
        <v>1.6400428595436807</v>
      </c>
    </row>
    <row r="175" spans="1:39">
      <c r="A175" s="144">
        <v>-25</v>
      </c>
      <c r="B175" s="145">
        <v>380.19172037412289</v>
      </c>
      <c r="C175" s="146">
        <v>4.6343173385772154</v>
      </c>
      <c r="E175" s="50">
        <f>A35</f>
        <v>45</v>
      </c>
      <c r="F175" s="63">
        <f t="shared" ref="F175:G175" si="681">B35</f>
        <v>13.1044413522974</v>
      </c>
      <c r="G175" s="64">
        <f t="shared" si="681"/>
        <v>1.5200801751718971</v>
      </c>
      <c r="I175" s="144">
        <v>-25</v>
      </c>
      <c r="J175" s="145">
        <v>359.43</v>
      </c>
      <c r="K175" s="146">
        <v>4.6148216624297049</v>
      </c>
      <c r="M175" s="50">
        <f>I35</f>
        <v>45</v>
      </c>
      <c r="N175" s="63">
        <f t="shared" ref="N175" si="682">J35</f>
        <v>13.257</v>
      </c>
      <c r="O175" s="64">
        <f t="shared" ref="O175" si="683">K35</f>
        <v>1.5323531451556973</v>
      </c>
      <c r="Y175" s="147">
        <v>0</v>
      </c>
      <c r="Z175" s="148">
        <v>9.7332412890882765</v>
      </c>
      <c r="AA175" s="149">
        <v>3.2808882089204285</v>
      </c>
      <c r="AC175" s="50">
        <f>Y85</f>
        <v>45</v>
      </c>
      <c r="AD175" s="63">
        <f t="shared" ref="AD175:AE175" si="684">Z85</f>
        <v>1.3081555414827568</v>
      </c>
      <c r="AE175" s="64">
        <f t="shared" si="684"/>
        <v>1.0206958406475166</v>
      </c>
      <c r="AG175" s="165">
        <v>-5</v>
      </c>
      <c r="AH175" s="166">
        <v>34.695519152606039</v>
      </c>
      <c r="AI175" s="167">
        <f t="shared" si="488"/>
        <v>3.8813196278292996</v>
      </c>
      <c r="AK175" s="50">
        <f>AG74</f>
        <v>45.5</v>
      </c>
      <c r="AL175" s="63">
        <f>AH74</f>
        <v>4.7992517547556401</v>
      </c>
      <c r="AM175" s="64">
        <f>AI74</f>
        <v>1.6214508119349456</v>
      </c>
    </row>
    <row r="176" spans="1:39">
      <c r="A176" s="144">
        <v>-25.5</v>
      </c>
      <c r="B176" s="145">
        <v>391.37323168564649</v>
      </c>
      <c r="C176" s="146">
        <v>4.6440210513611762</v>
      </c>
      <c r="E176" s="50">
        <f>A34</f>
        <v>45.5</v>
      </c>
      <c r="F176" s="63">
        <f t="shared" ref="F176:G176" si="685">B34</f>
        <v>12.851112391748249</v>
      </c>
      <c r="G176" s="64">
        <f t="shared" si="685"/>
        <v>1.4995074426846107</v>
      </c>
      <c r="I176" s="144">
        <v>-25.5</v>
      </c>
      <c r="J176" s="145">
        <v>369.87</v>
      </c>
      <c r="K176" s="146">
        <v>4.6248780853777474</v>
      </c>
      <c r="M176" s="50">
        <f>I34</f>
        <v>45.5</v>
      </c>
      <c r="N176" s="63">
        <f t="shared" ref="N176" si="686">J34</f>
        <v>13.003</v>
      </c>
      <c r="O176" s="64">
        <f t="shared" ref="O176" si="687">K34</f>
        <v>1.5118712647954793</v>
      </c>
      <c r="Y176" s="147">
        <v>-0.5</v>
      </c>
      <c r="Z176" s="148">
        <v>9.9815497355661105</v>
      </c>
      <c r="AA176" s="149">
        <v>3.3091923279035083</v>
      </c>
      <c r="AC176" s="50">
        <f>Y84</f>
        <v>45.5</v>
      </c>
      <c r="AD176" s="63">
        <f t="shared" ref="AD176:AE176" si="688">Z84</f>
        <v>1.2828057466250939</v>
      </c>
      <c r="AE176" s="64">
        <f t="shared" si="688"/>
        <v>1.0048917337828878</v>
      </c>
      <c r="AG176" s="165">
        <v>-5.5</v>
      </c>
      <c r="AH176" s="166">
        <v>35.491165847421357</v>
      </c>
      <c r="AI176" s="167">
        <f t="shared" si="488"/>
        <v>3.9008855001056384</v>
      </c>
      <c r="AK176" s="50">
        <f>AG73</f>
        <v>46</v>
      </c>
      <c r="AL176" s="63">
        <f>AH73</f>
        <v>4.7189559879752458</v>
      </c>
      <c r="AM176" s="64">
        <f>AI73</f>
        <v>1.6030199396718183</v>
      </c>
    </row>
    <row r="177" spans="1:39">
      <c r="A177" s="144">
        <v>-26</v>
      </c>
      <c r="B177" s="145">
        <v>402.91108308899283</v>
      </c>
      <c r="C177" s="146">
        <v>4.6535085243609604</v>
      </c>
      <c r="E177" s="50">
        <f>A33</f>
        <v>46</v>
      </c>
      <c r="F177" s="63">
        <f t="shared" ref="F177:G177" si="689">B33</f>
        <v>12.603365113819367</v>
      </c>
      <c r="G177" s="64">
        <f t="shared" si="689"/>
        <v>1.479151362826405</v>
      </c>
      <c r="I177" s="144">
        <v>-26</v>
      </c>
      <c r="J177" s="145">
        <v>380.64</v>
      </c>
      <c r="K177" s="146">
        <v>4.6347165400350665</v>
      </c>
      <c r="M177" s="50">
        <f>I33</f>
        <v>46</v>
      </c>
      <c r="N177" s="63">
        <f t="shared" ref="N177" si="690">J33</f>
        <v>12.754</v>
      </c>
      <c r="O177" s="64">
        <f t="shared" ref="O177" si="691">K33</f>
        <v>1.4915563456050895</v>
      </c>
      <c r="Y177" s="147">
        <v>-1</v>
      </c>
      <c r="Z177" s="148">
        <v>10.236858266362573</v>
      </c>
      <c r="AA177" s="149">
        <v>3.3373387458416013</v>
      </c>
      <c r="AC177" s="50">
        <f>Y83</f>
        <v>46</v>
      </c>
      <c r="AD177" s="63">
        <f t="shared" ref="AD177:AE177" si="692">Z83</f>
        <v>1.2580166919956302</v>
      </c>
      <c r="AE177" s="64">
        <f t="shared" si="692"/>
        <v>0.98931534229801521</v>
      </c>
      <c r="AG177" s="165">
        <v>-6</v>
      </c>
      <c r="AH177" s="166">
        <v>36.307553002523342</v>
      </c>
      <c r="AI177" s="167">
        <f t="shared" si="488"/>
        <v>3.9202625326094114</v>
      </c>
      <c r="AK177" s="50">
        <f>AG72</f>
        <v>46.5</v>
      </c>
      <c r="AL177" s="63">
        <f>AH72</f>
        <v>4.6402199716810317</v>
      </c>
      <c r="AM177" s="64">
        <f>AI72</f>
        <v>1.5847507689968912</v>
      </c>
    </row>
    <row r="178" spans="1:39">
      <c r="A178" s="144">
        <v>-26.5</v>
      </c>
      <c r="B178" s="145">
        <v>414.81726463589382</v>
      </c>
      <c r="C178" s="146">
        <v>4.6627828730461198</v>
      </c>
      <c r="E178" s="50">
        <f>A32</f>
        <v>46.5</v>
      </c>
      <c r="F178" s="63">
        <f t="shared" ref="F178:G178" si="693">B32</f>
        <v>12.361062099348965</v>
      </c>
      <c r="G178" s="64">
        <f t="shared" si="693"/>
        <v>1.4590122965234786</v>
      </c>
      <c r="I178" s="144">
        <v>-26.5</v>
      </c>
      <c r="J178" s="145">
        <v>391.76</v>
      </c>
      <c r="K178" s="146">
        <v>4.6443474962063735</v>
      </c>
      <c r="M178" s="50">
        <f>I32</f>
        <v>46.5</v>
      </c>
      <c r="N178" s="63">
        <f t="shared" ref="N178" si="694">J32</f>
        <v>12.510999999999999</v>
      </c>
      <c r="O178" s="64">
        <f t="shared" ref="O178" si="695">K32</f>
        <v>1.4715014937310342</v>
      </c>
      <c r="Y178" s="147">
        <v>-1.5</v>
      </c>
      <c r="Z178" s="148">
        <v>10.499378886819938</v>
      </c>
      <c r="AA178" s="149">
        <v>3.365319530667648</v>
      </c>
      <c r="AC178" s="50">
        <f>Y82</f>
        <v>46.5</v>
      </c>
      <c r="AD178" s="63">
        <f t="shared" ref="AD178:AE178" si="696">Z82</f>
        <v>1.2337746136574301</v>
      </c>
      <c r="AE178" s="64">
        <f t="shared" si="696"/>
        <v>0.97396472791837208</v>
      </c>
      <c r="AG178" s="165">
        <v>-6.5</v>
      </c>
      <c r="AH178" s="166">
        <v>37.145280965478698</v>
      </c>
      <c r="AI178" s="167">
        <f t="shared" si="488"/>
        <v>3.9394484670350862</v>
      </c>
      <c r="AK178" s="50">
        <f>AG71</f>
        <v>47</v>
      </c>
      <c r="AL178" s="63">
        <f>AH71</f>
        <v>4.5630096197306571</v>
      </c>
      <c r="AM178" s="64">
        <f>AI71</f>
        <v>1.5666437566409608</v>
      </c>
    </row>
    <row r="179" spans="1:39">
      <c r="A179" s="144">
        <v>-27</v>
      </c>
      <c r="B179" s="145">
        <v>427.10418271373203</v>
      </c>
      <c r="C179" s="146">
        <v>4.6718472381734042</v>
      </c>
      <c r="E179" s="50">
        <f>A31</f>
        <v>47</v>
      </c>
      <c r="F179" s="63">
        <f t="shared" ref="F179:G179" si="697">B31</f>
        <v>12.124069632983852</v>
      </c>
      <c r="G179" s="64">
        <f t="shared" si="697"/>
        <v>1.4390904937032132</v>
      </c>
      <c r="I179" s="144">
        <v>-27</v>
      </c>
      <c r="J179" s="145">
        <v>403.24</v>
      </c>
      <c r="K179" s="146">
        <v>4.6537715815714158</v>
      </c>
      <c r="M179" s="50">
        <f>I31</f>
        <v>47</v>
      </c>
      <c r="N179" s="63">
        <f t="shared" ref="N179" si="698">J31</f>
        <v>12.273999999999999</v>
      </c>
      <c r="O179" s="64">
        <f t="shared" ref="O179" si="699">K31</f>
        <v>1.4517197331693239</v>
      </c>
      <c r="Y179" s="147">
        <v>-2</v>
      </c>
      <c r="Z179" s="148">
        <v>10.769330328810433</v>
      </c>
      <c r="AA179" s="149">
        <v>3.3931269012842158</v>
      </c>
      <c r="AC179" s="50">
        <f>Y81</f>
        <v>47</v>
      </c>
      <c r="AD179" s="63">
        <f t="shared" ref="AD179:AE179" si="700">Z81</f>
        <v>1.2100661152327983</v>
      </c>
      <c r="AE179" s="64">
        <f t="shared" si="700"/>
        <v>0.95883790528885382</v>
      </c>
      <c r="AG179" s="165">
        <v>-7</v>
      </c>
      <c r="AH179" s="166">
        <v>38.004969082440866</v>
      </c>
      <c r="AI179" s="167">
        <f t="shared" si="488"/>
        <v>3.9584411581615027</v>
      </c>
      <c r="AK179" s="50">
        <f>AG70</f>
        <v>47.5</v>
      </c>
      <c r="AL179" s="63">
        <f>AH70</f>
        <v>4.4872916677061374</v>
      </c>
      <c r="AM179" s="64">
        <f>AI70</f>
        <v>1.5486992912929454</v>
      </c>
    </row>
    <row r="180" spans="1:39">
      <c r="A180" s="144">
        <v>-27.5</v>
      </c>
      <c r="B180" s="145">
        <v>439.78467460469824</v>
      </c>
      <c r="C180" s="146">
        <v>4.680704782193633</v>
      </c>
      <c r="E180" s="50">
        <f>A30</f>
        <v>47.5</v>
      </c>
      <c r="F180" s="63">
        <f t="shared" ref="F180:G180" si="701">B30</f>
        <v>11.892257595747539</v>
      </c>
      <c r="G180" s="64">
        <f t="shared" si="701"/>
        <v>1.4193860964125644</v>
      </c>
      <c r="I180" s="144">
        <v>-27.5</v>
      </c>
      <c r="J180" s="145">
        <v>415.1</v>
      </c>
      <c r="K180" s="146">
        <v>4.6629970793080204</v>
      </c>
      <c r="M180" s="50">
        <f>I30</f>
        <v>47.5</v>
      </c>
      <c r="N180" s="63">
        <f t="shared" ref="N180" si="702">J30</f>
        <v>12.041</v>
      </c>
      <c r="O180" s="64">
        <f t="shared" ref="O180" si="703">K30</f>
        <v>1.4320544230632002</v>
      </c>
      <c r="Y180" s="147">
        <v>-2.5</v>
      </c>
      <c r="Z180" s="148">
        <v>11.046938268109285</v>
      </c>
      <c r="AA180" s="149">
        <v>3.420753236521421</v>
      </c>
      <c r="AC180" s="50">
        <f>Y80</f>
        <v>47.5</v>
      </c>
      <c r="AD180" s="63">
        <f t="shared" ref="AD180:AE180" si="704">Z80</f>
        <v>1.1868781573872624</v>
      </c>
      <c r="AE180" s="64">
        <f t="shared" si="704"/>
        <v>0.94393284526490029</v>
      </c>
      <c r="AG180" s="165">
        <v>-7.5</v>
      </c>
      <c r="AH180" s="166">
        <v>38.887256348088094</v>
      </c>
      <c r="AI180" s="167">
        <f t="shared" si="488"/>
        <v>3.9772385743231546</v>
      </c>
      <c r="AK180" s="50">
        <f>AG69</f>
        <v>48</v>
      </c>
      <c r="AL180" s="63">
        <f>AH69</f>
        <v>4.4130336513584458</v>
      </c>
      <c r="AM180" s="64">
        <f>AI69</f>
        <v>1.5309176950899965</v>
      </c>
    </row>
    <row r="181" spans="1:39">
      <c r="A181" s="144">
        <v>-28</v>
      </c>
      <c r="B181" s="145">
        <v>452.87202354092375</v>
      </c>
      <c r="C181" s="146">
        <v>4.6893586857651375</v>
      </c>
      <c r="E181" s="50">
        <f>A29</f>
        <v>48</v>
      </c>
      <c r="F181" s="63">
        <f t="shared" ref="F181:G181" si="705">B29</f>
        <v>11.665499360918469</v>
      </c>
      <c r="G181" s="64">
        <f t="shared" si="705"/>
        <v>1.3998991419577835</v>
      </c>
      <c r="I181" s="144">
        <v>-28</v>
      </c>
      <c r="J181" s="145">
        <v>427.33</v>
      </c>
      <c r="K181" s="146">
        <v>4.6720092712046011</v>
      </c>
      <c r="M181" s="50">
        <f>I29</f>
        <v>48</v>
      </c>
      <c r="N181" s="63">
        <f t="shared" ref="N181" si="706">J29</f>
        <v>11.813000000000001</v>
      </c>
      <c r="O181" s="64">
        <f t="shared" ref="O181" si="707">K29</f>
        <v>1.4125989524788942</v>
      </c>
      <c r="Y181" s="147">
        <v>-3</v>
      </c>
      <c r="Z181" s="148">
        <v>11.332435548633615</v>
      </c>
      <c r="AA181" s="149">
        <v>3.4481910837544492</v>
      </c>
      <c r="AC181" s="50">
        <f>Y79</f>
        <v>48</v>
      </c>
      <c r="AD181" s="63">
        <f t="shared" ref="AD181:AE181" si="708">Z79</f>
        <v>1.1641980476316767</v>
      </c>
      <c r="AE181" s="64">
        <f t="shared" si="708"/>
        <v>0.92924747811240449</v>
      </c>
      <c r="AG181" s="165">
        <v>-8</v>
      </c>
      <c r="AH181" s="166">
        <v>39.792802079388814</v>
      </c>
      <c r="AI181" s="167">
        <f t="shared" si="488"/>
        <v>3.9958387977386605</v>
      </c>
      <c r="AK181" s="50">
        <f>AG68</f>
        <v>48.5</v>
      </c>
      <c r="AL181" s="63">
        <f>AH68</f>
        <v>4.3402038856606833</v>
      </c>
      <c r="AM181" s="64">
        <f>AI68</f>
        <v>1.5132992251249018</v>
      </c>
    </row>
    <row r="182" spans="1:39">
      <c r="A182" s="144">
        <v>-28.5</v>
      </c>
      <c r="B182" s="145">
        <v>466.37997427110605</v>
      </c>
      <c r="C182" s="146">
        <v>4.6978121443753587</v>
      </c>
      <c r="E182" s="50">
        <f>A28</f>
        <v>48.5</v>
      </c>
      <c r="F182" s="63">
        <f t="shared" ref="F182:G182" si="709">B28</f>
        <v>11.443671693111078</v>
      </c>
      <c r="G182" s="64">
        <f t="shared" si="709"/>
        <v>1.3806295660590913</v>
      </c>
      <c r="I182" s="144">
        <v>-28.5</v>
      </c>
      <c r="J182" s="145">
        <v>439.97</v>
      </c>
      <c r="K182" s="146">
        <v>4.6808306913207227</v>
      </c>
      <c r="M182" s="50">
        <f>I28</f>
        <v>48.5</v>
      </c>
      <c r="N182" s="63">
        <f t="shared" ref="N182" si="710">J28</f>
        <v>11.590999999999999</v>
      </c>
      <c r="O182" s="64">
        <f t="shared" ref="O182" si="711">K28</f>
        <v>1.3934505061191123</v>
      </c>
      <c r="Y182" s="147">
        <v>-3.5</v>
      </c>
      <c r="Z182" s="148">
        <v>11.626062413743327</v>
      </c>
      <c r="AA182" s="149">
        <v>3.4754331671602885</v>
      </c>
      <c r="AC182" s="50">
        <f>Y78</f>
        <v>48.5</v>
      </c>
      <c r="AD182" s="63">
        <f t="shared" ref="AD182:AE182" si="712">Z78</f>
        <v>1.1420134304324565</v>
      </c>
      <c r="AE182" s="64">
        <f t="shared" si="712"/>
        <v>0.91477969661572489</v>
      </c>
      <c r="AG182" s="165">
        <v>-8.5</v>
      </c>
      <c r="AH182" s="166">
        <v>40.722286614126496</v>
      </c>
      <c r="AI182" s="167">
        <f t="shared" si="488"/>
        <v>4.0142400246980454</v>
      </c>
      <c r="AK182" s="50">
        <f>AG67</f>
        <v>49</v>
      </c>
      <c r="AL182" s="63">
        <f>AH67</f>
        <v>4.2687714444524785</v>
      </c>
      <c r="AM182" s="64">
        <f>AI67</f>
        <v>1.4958440749683897</v>
      </c>
    </row>
    <row r="183" spans="1:39">
      <c r="A183" s="144">
        <v>-29</v>
      </c>
      <c r="B183" s="145">
        <v>480.32274915448545</v>
      </c>
      <c r="C183" s="146">
        <v>4.7060683650718618</v>
      </c>
      <c r="E183" s="50">
        <f>A27</f>
        <v>49</v>
      </c>
      <c r="F183" s="63">
        <f t="shared" ref="F183:G183" si="713">B27</f>
        <v>11.226654650456096</v>
      </c>
      <c r="G183" s="64">
        <f t="shared" si="713"/>
        <v>1.3615772060142035</v>
      </c>
      <c r="I183" s="144">
        <v>-29</v>
      </c>
      <c r="J183" s="145">
        <v>456.02</v>
      </c>
      <c r="K183" s="146">
        <v>4.691370725484548</v>
      </c>
      <c r="M183" s="50">
        <f>I27</f>
        <v>49</v>
      </c>
      <c r="N183" s="63">
        <f t="shared" ref="N183" si="714">J27</f>
        <v>11.372</v>
      </c>
      <c r="O183" s="64">
        <f t="shared" ref="O183" si="715">K27</f>
        <v>1.3743594701730639</v>
      </c>
      <c r="Y183" s="147">
        <v>-4</v>
      </c>
      <c r="Z183" s="148">
        <v>11.928066744801344</v>
      </c>
      <c r="AA183" s="149">
        <v>3.5024723955944599</v>
      </c>
      <c r="AC183" s="50">
        <f>Y77</f>
        <v>49</v>
      </c>
      <c r="AD183" s="63">
        <f t="shared" ref="AD183:AE183" si="716">Z77</f>
        <v>1.1203122776201806</v>
      </c>
      <c r="AE183" s="64">
        <f t="shared" si="716"/>
        <v>0.90052735909329551</v>
      </c>
      <c r="AG183" s="165">
        <v>-9</v>
      </c>
      <c r="AH183" s="166">
        <v>41.676412035148751</v>
      </c>
      <c r="AI183" s="167">
        <f t="shared" si="488"/>
        <v>4.0324405656106412</v>
      </c>
      <c r="AK183" s="50">
        <f>AG66</f>
        <v>49.5</v>
      </c>
      <c r="AL183" s="63">
        <f>AH66</f>
        <v>4.1987061406568316</v>
      </c>
      <c r="AM183" s="64">
        <f>AI66</f>
        <v>1.4785523762035544</v>
      </c>
    </row>
    <row r="184" spans="1:39" ht="13.5" thickBot="1">
      <c r="A184" s="150">
        <v>-29.5</v>
      </c>
      <c r="B184" s="151">
        <v>494.7150647984185</v>
      </c>
      <c r="C184" s="152">
        <v>4.714130563303673</v>
      </c>
      <c r="E184" s="50">
        <f>A26</f>
        <v>49.5</v>
      </c>
      <c r="F184" s="63">
        <f t="shared" ref="F184:G184" si="717">B26</f>
        <v>11.014331489780144</v>
      </c>
      <c r="G184" s="64">
        <f t="shared" si="717"/>
        <v>1.3427418038649086</v>
      </c>
      <c r="I184" s="150">
        <v>-29.5</v>
      </c>
      <c r="J184" s="151">
        <v>466.49</v>
      </c>
      <c r="K184" s="152">
        <v>4.6978791113617593</v>
      </c>
      <c r="M184" s="50">
        <f>I26</f>
        <v>49.5</v>
      </c>
      <c r="N184" s="63">
        <f t="shared" ref="N184" si="718">J26</f>
        <v>11.159000000000001</v>
      </c>
      <c r="O184" s="64">
        <f t="shared" ref="O184" si="719">K26</f>
        <v>1.3555965888384072</v>
      </c>
      <c r="Y184" s="147">
        <v>-4.5</v>
      </c>
      <c r="Z184" s="148">
        <v>12.23870430719608</v>
      </c>
      <c r="AA184" s="149">
        <v>3.5293018700701446</v>
      </c>
      <c r="AC184" s="50">
        <f>Y76</f>
        <v>49.5</v>
      </c>
      <c r="AD184" s="63">
        <f t="shared" ref="AD184:AE184" si="720">Z76</f>
        <v>1.0990828790872234</v>
      </c>
      <c r="AE184" s="64">
        <f t="shared" si="720"/>
        <v>0.88648829232063486</v>
      </c>
      <c r="AG184" s="168">
        <v>-9.5</v>
      </c>
      <c r="AH184" s="169">
        <v>42.655902921350801</v>
      </c>
      <c r="AI184" s="170">
        <f t="shared" si="488"/>
        <v>4.0504388449157878</v>
      </c>
      <c r="AK184" s="50">
        <f>AG65</f>
        <v>50</v>
      </c>
      <c r="AL184" s="63">
        <f>AH65</f>
        <v>4.1299785070527353</v>
      </c>
      <c r="AM184" s="64">
        <f>AI65</f>
        <v>1.4614241999700592</v>
      </c>
    </row>
    <row r="185" spans="1:39" ht="13.5" thickTop="1">
      <c r="A185" s="138">
        <v>-30</v>
      </c>
      <c r="B185" s="139">
        <v>509.57214925617967</v>
      </c>
      <c r="C185" s="140">
        <v>4.7220019598736132</v>
      </c>
      <c r="E185" s="50">
        <f>A25</f>
        <v>50</v>
      </c>
      <c r="F185" s="63">
        <f t="shared" ref="F185:G185" si="721">B25</f>
        <v>10.806588574687787</v>
      </c>
      <c r="G185" s="64">
        <f t="shared" si="721"/>
        <v>1.3241230095611427</v>
      </c>
      <c r="I185" s="138">
        <v>-30</v>
      </c>
      <c r="J185" s="139">
        <v>480.41</v>
      </c>
      <c r="K185" s="140">
        <v>4.7061186105287911</v>
      </c>
      <c r="M185" s="50">
        <f>I25</f>
        <v>50</v>
      </c>
      <c r="N185" s="63">
        <f t="shared" ref="N185" si="722">J25</f>
        <v>10.95</v>
      </c>
      <c r="O185" s="64">
        <f t="shared" ref="O185" si="723">K25</f>
        <v>1.3369963369963369</v>
      </c>
      <c r="Y185" s="147">
        <v>-5</v>
      </c>
      <c r="Z185" s="148">
        <v>12.558239004031464</v>
      </c>
      <c r="AA185" s="149">
        <v>3.5559148908235851</v>
      </c>
      <c r="AC185" s="50">
        <f>Y75</f>
        <v>50</v>
      </c>
      <c r="AD185" s="63">
        <f t="shared" ref="AD185:AE185" si="724">Z75</f>
        <v>1.0783138337651927</v>
      </c>
      <c r="AE185" s="64">
        <f t="shared" si="724"/>
        <v>0.87266029436064274</v>
      </c>
      <c r="AG185" s="162">
        <v>-10</v>
      </c>
      <c r="AH185" s="163">
        <v>43.661507126443723</v>
      </c>
      <c r="AI185" s="164">
        <f>AH185*5/(10+AH185)</f>
        <v>4.068233400858758</v>
      </c>
      <c r="AK185" s="50">
        <f>AG64</f>
        <v>50.5</v>
      </c>
      <c r="AL185" s="63">
        <f>AH64</f>
        <v>4.0625597775867881</v>
      </c>
      <c r="AM185" s="64">
        <f>AI64</f>
        <v>1.4444595585157205</v>
      </c>
    </row>
    <row r="186" spans="1:39">
      <c r="A186" s="144">
        <v>-30.5</v>
      </c>
      <c r="B186" s="145">
        <v>524.90975980196527</v>
      </c>
      <c r="C186" s="146">
        <v>4.7296857780019375</v>
      </c>
      <c r="E186" s="50">
        <f>A24</f>
        <v>50.5</v>
      </c>
      <c r="F186" s="63">
        <f t="shared" ref="F186:G186" si="725">B24</f>
        <v>10.603315286452615</v>
      </c>
      <c r="G186" s="64">
        <f t="shared" si="725"/>
        <v>1.305720384117308</v>
      </c>
      <c r="I186" s="144">
        <v>-30.5</v>
      </c>
      <c r="J186" s="145">
        <v>494.78</v>
      </c>
      <c r="K186" s="146">
        <v>4.7141659362018364</v>
      </c>
      <c r="M186" s="50">
        <f>I24</f>
        <v>50.5</v>
      </c>
      <c r="N186" s="63">
        <f t="shared" ref="N186" si="726">J24</f>
        <v>10.746</v>
      </c>
      <c r="O186" s="64">
        <f t="shared" ref="O186" si="727">K24</f>
        <v>1.3186570460904139</v>
      </c>
      <c r="Y186" s="147">
        <v>-5.5</v>
      </c>
      <c r="Z186" s="148">
        <v>12.886943137693525</v>
      </c>
      <c r="AA186" s="149">
        <v>3.5823049639512079</v>
      </c>
      <c r="AC186" s="50">
        <f>Y74</f>
        <v>50.5</v>
      </c>
      <c r="AD186" s="63">
        <f t="shared" ref="AD186:AE186" si="728">Z74</f>
        <v>1.0579940408734809</v>
      </c>
      <c r="AE186" s="64">
        <f t="shared" si="728"/>
        <v>0.8590411373014335</v>
      </c>
      <c r="AG186" s="165">
        <v>-10.5</v>
      </c>
      <c r="AH186" s="166">
        <v>44.693996586600136</v>
      </c>
      <c r="AI186" s="167">
        <f t="shared" ref="AI186:AI244" si="729">AH186*5/(10+AH186)</f>
        <v>4.0858228851345295</v>
      </c>
      <c r="AK186" s="50">
        <f>AG63</f>
        <v>51</v>
      </c>
      <c r="AL186" s="63">
        <f>AH63</f>
        <v>3.9964218692076612</v>
      </c>
      <c r="AM186" s="64">
        <f>AI63</f>
        <v>1.427658406753175</v>
      </c>
    </row>
    <row r="187" spans="1:39">
      <c r="A187" s="144">
        <v>-31</v>
      </c>
      <c r="B187" s="145">
        <v>540.74420130048816</v>
      </c>
      <c r="C187" s="146">
        <v>4.7371852405014154</v>
      </c>
      <c r="E187" s="50">
        <f>A23</f>
        <v>51</v>
      </c>
      <c r="F187" s="63">
        <f t="shared" ref="F187:G187" si="730">B23</f>
        <v>10.404403937626901</v>
      </c>
      <c r="G187" s="64">
        <f t="shared" si="730"/>
        <v>1.2875334027558469</v>
      </c>
      <c r="I187" s="144">
        <v>-31</v>
      </c>
      <c r="J187" s="145">
        <v>509.63</v>
      </c>
      <c r="K187" s="146">
        <v>4.7220317625039385</v>
      </c>
      <c r="M187" s="50">
        <f>I23</f>
        <v>51</v>
      </c>
      <c r="N187" s="63">
        <f t="shared" ref="N187" si="731">J23</f>
        <v>10.545999999999999</v>
      </c>
      <c r="O187" s="64">
        <f t="shared" ref="O187" si="732">K23</f>
        <v>1.3004981995757905</v>
      </c>
      <c r="Y187" s="147">
        <v>-6</v>
      </c>
      <c r="Z187" s="148">
        <v>13.225097679505108</v>
      </c>
      <c r="AA187" s="149">
        <v>3.6084658076055263</v>
      </c>
      <c r="AC187" s="50">
        <f>Y73</f>
        <v>51</v>
      </c>
      <c r="AD187" s="63">
        <f t="shared" ref="AD187:AE187" si="733">Z73</f>
        <v>1.0381126914302996</v>
      </c>
      <c r="AE187" s="64">
        <f t="shared" si="733"/>
        <v>0.84562856990199642</v>
      </c>
      <c r="AG187" s="165">
        <v>-11</v>
      </c>
      <c r="AH187" s="166">
        <v>45.754168158116777</v>
      </c>
      <c r="AI187" s="167">
        <f t="shared" si="729"/>
        <v>4.1032060624023332</v>
      </c>
      <c r="AK187" s="50">
        <f>AG62</f>
        <v>51.5</v>
      </c>
      <c r="AL187" s="63">
        <f>AH62</f>
        <v>3.9315373642075593</v>
      </c>
      <c r="AM187" s="64">
        <f>AI62</f>
        <v>1.4110206438193726</v>
      </c>
    </row>
    <row r="188" spans="1:39">
      <c r="A188" s="144">
        <v>-31.5</v>
      </c>
      <c r="B188" s="145">
        <v>557.09234518889582</v>
      </c>
      <c r="C188" s="146">
        <v>4.7445035670636484</v>
      </c>
      <c r="E188" s="50">
        <f>A22</f>
        <v>51.5</v>
      </c>
      <c r="F188" s="63">
        <f t="shared" ref="F188:G188" si="734">B22</f>
        <v>10.209749688282766</v>
      </c>
      <c r="G188" s="64">
        <f t="shared" si="734"/>
        <v>1.2695614580333878</v>
      </c>
      <c r="I188" s="144">
        <v>-31.5</v>
      </c>
      <c r="J188" s="145">
        <v>524.97</v>
      </c>
      <c r="K188" s="146">
        <v>4.729715119736202</v>
      </c>
      <c r="M188" s="50">
        <f>I22</f>
        <v>51.5</v>
      </c>
      <c r="N188" s="63">
        <f t="shared" ref="N188" si="735">J22</f>
        <v>10.35</v>
      </c>
      <c r="O188" s="64">
        <f t="shared" ref="O188" si="736">K22</f>
        <v>1.2825278810408922</v>
      </c>
      <c r="Y188" s="147">
        <v>-6.5</v>
      </c>
      <c r="Z188" s="148">
        <v>13.572992547685008</v>
      </c>
      <c r="AA188" s="149">
        <v>3.6343913577386733</v>
      </c>
      <c r="AC188" s="50">
        <f>Y72</f>
        <v>51.5</v>
      </c>
      <c r="AD188" s="63">
        <f t="shared" ref="AD188:AE188" si="737">Z72</f>
        <v>1.0186592600180535</v>
      </c>
      <c r="AE188" s="64">
        <f t="shared" si="737"/>
        <v>0.83242032014628642</v>
      </c>
      <c r="AG188" s="165">
        <v>-11.5</v>
      </c>
      <c r="AH188" s="166">
        <v>46.842844486280391</v>
      </c>
      <c r="AI188" s="167">
        <f t="shared" si="729"/>
        <v>4.1203818096740745</v>
      </c>
      <c r="AK188" s="50">
        <f>AG61</f>
        <v>52</v>
      </c>
      <c r="AL188" s="63">
        <f>AH61</f>
        <v>3.8678794930558618</v>
      </c>
      <c r="AM188" s="64">
        <f>AI61</f>
        <v>1.3945461146358555</v>
      </c>
    </row>
    <row r="189" spans="1:39">
      <c r="A189" s="144">
        <v>-32</v>
      </c>
      <c r="B189" s="145">
        <v>573.97164908910383</v>
      </c>
      <c r="C189" s="146">
        <v>4.7516439716562413</v>
      </c>
      <c r="E189" s="50">
        <f>A21</f>
        <v>52</v>
      </c>
      <c r="F189" s="63">
        <f t="shared" ref="F189:G189" si="738">B21</f>
        <v>10.019250464800328</v>
      </c>
      <c r="G189" s="64">
        <f t="shared" si="738"/>
        <v>1.2518038629450274</v>
      </c>
      <c r="I189" s="144">
        <v>-32</v>
      </c>
      <c r="J189" s="145">
        <v>540.80999999999995</v>
      </c>
      <c r="K189" s="146">
        <v>4.7372155358175227</v>
      </c>
      <c r="M189" s="50">
        <f>I21</f>
        <v>52</v>
      </c>
      <c r="N189" s="63">
        <f t="shared" ref="N189" si="739">J21</f>
        <v>10.157999999999999</v>
      </c>
      <c r="O189" s="64">
        <f t="shared" ref="O189" si="740">K21</f>
        <v>1.2647542208277305</v>
      </c>
      <c r="Y189" s="147">
        <v>-7</v>
      </c>
      <c r="Z189" s="148">
        <v>13.930926893827747</v>
      </c>
      <c r="AA189" s="149">
        <v>3.6600757733838836</v>
      </c>
      <c r="AC189" s="50">
        <f>Y71</f>
        <v>52</v>
      </c>
      <c r="AD189" s="63">
        <f t="shared" ref="AD189:AE189" si="741">Z71</f>
        <v>0.9996234967950246</v>
      </c>
      <c r="AE189" s="64">
        <f t="shared" si="741"/>
        <v>0.81941409770641171</v>
      </c>
      <c r="AG189" s="165">
        <v>-12</v>
      </c>
      <c r="AH189" s="166">
        <v>47.960874906672984</v>
      </c>
      <c r="AI189" s="167">
        <f t="shared" si="729"/>
        <v>4.1373491155799726</v>
      </c>
      <c r="AK189" s="50">
        <f>AG60</f>
        <v>52.5</v>
      </c>
      <c r="AL189" s="63">
        <f>AH60</f>
        <v>3.8054221177102594</v>
      </c>
      <c r="AM189" s="64">
        <f>AI60</f>
        <v>1.3782346114677944</v>
      </c>
    </row>
    <row r="190" spans="1:39">
      <c r="A190" s="144">
        <v>-32.5</v>
      </c>
      <c r="B190" s="145">
        <v>591.4001770690362</v>
      </c>
      <c r="C190" s="146">
        <v>4.7586096600301815</v>
      </c>
      <c r="E190" s="50">
        <f>A20</f>
        <v>52.5</v>
      </c>
      <c r="F190" s="63">
        <f t="shared" ref="F190:G190" si="742">B20</f>
        <v>9.8328068811210638</v>
      </c>
      <c r="G190" s="64">
        <f t="shared" si="742"/>
        <v>1.2342598540025767</v>
      </c>
      <c r="I190" s="144">
        <v>-32.5</v>
      </c>
      <c r="J190" s="145">
        <v>557.19000000000005</v>
      </c>
      <c r="K190" s="146">
        <v>4.74454605834568</v>
      </c>
      <c r="M190" s="50">
        <f>I20</f>
        <v>52.5</v>
      </c>
      <c r="N190" s="63">
        <f t="shared" ref="N190" si="743">J20</f>
        <v>9.9700000000000006</v>
      </c>
      <c r="O190" s="64">
        <f t="shared" ref="O190" si="744">K20</f>
        <v>1.2471853890417814</v>
      </c>
      <c r="Y190" s="147">
        <v>-7.5</v>
      </c>
      <c r="Z190" s="148">
        <v>14.299209398126585</v>
      </c>
      <c r="AA190" s="149">
        <v>3.6855134414672284</v>
      </c>
      <c r="AC190" s="50">
        <f>Y70</f>
        <v>52.5</v>
      </c>
      <c r="AD190" s="63">
        <f t="shared" ref="AD190:AE190" si="745">Z70</f>
        <v>0.9809954197455838</v>
      </c>
      <c r="AE190" s="64">
        <f t="shared" si="745"/>
        <v>0.80660759631572509</v>
      </c>
      <c r="AG190" s="165">
        <v>-12.5</v>
      </c>
      <c r="AH190" s="166">
        <v>49.109136380206586</v>
      </c>
      <c r="AI190" s="167">
        <f t="shared" si="729"/>
        <v>4.1541070795149855</v>
      </c>
      <c r="AK190" s="50">
        <f>AG59</f>
        <v>53</v>
      </c>
      <c r="AL190" s="63">
        <f>AH59</f>
        <v>3.7441397153906268</v>
      </c>
      <c r="AM190" s="64">
        <f>AI59</f>
        <v>1.3620858754796983</v>
      </c>
    </row>
    <row r="191" spans="1:39">
      <c r="A191" s="144">
        <v>-33</v>
      </c>
      <c r="B191" s="145">
        <v>609.39662057156147</v>
      </c>
      <c r="C191" s="146">
        <v>4.7654038273366011</v>
      </c>
      <c r="E191" s="50">
        <f>A19</f>
        <v>53</v>
      </c>
      <c r="F191" s="63">
        <f t="shared" ref="F191:G191" si="746">B19</f>
        <v>9.6503221623881696</v>
      </c>
      <c r="G191" s="64">
        <f t="shared" si="746"/>
        <v>1.2169285942829429</v>
      </c>
      <c r="I191" s="144">
        <v>-33</v>
      </c>
      <c r="J191" s="145">
        <v>574.11</v>
      </c>
      <c r="K191" s="146">
        <v>4.7517008491830959</v>
      </c>
      <c r="M191" s="50">
        <f>I19</f>
        <v>53</v>
      </c>
      <c r="N191" s="63">
        <f t="shared" ref="N191" si="747">J19</f>
        <v>9.7870000000000008</v>
      </c>
      <c r="O191" s="64">
        <f t="shared" ref="O191" si="748">K19</f>
        <v>1.2299243471485661</v>
      </c>
      <c r="Y191" s="147">
        <v>-8</v>
      </c>
      <c r="Z191" s="148">
        <v>14.678158573560321</v>
      </c>
      <c r="AA191" s="149">
        <v>3.7106989811433357</v>
      </c>
      <c r="AC191" s="50">
        <f>Y69</f>
        <v>53</v>
      </c>
      <c r="AD191" s="63">
        <f t="shared" ref="AD191:AE191" si="749">Z69</f>
        <v>0.96276530716164088</v>
      </c>
      <c r="AE191" s="64">
        <f t="shared" si="749"/>
        <v>0.79399849605292694</v>
      </c>
      <c r="AG191" s="165">
        <v>-13</v>
      </c>
      <c r="AH191" s="166">
        <v>50.288534463226327</v>
      </c>
      <c r="AI191" s="167">
        <f t="shared" si="729"/>
        <v>4.1706549106696551</v>
      </c>
      <c r="AK191" s="50">
        <f>AG58</f>
        <v>53.5</v>
      </c>
      <c r="AL191" s="63">
        <f>AH58</f>
        <v>3.6840073628029266</v>
      </c>
      <c r="AM191" s="64">
        <f>AI58</f>
        <v>1.3460995982862154</v>
      </c>
    </row>
    <row r="192" spans="1:39">
      <c r="A192" s="144">
        <v>-33.5</v>
      </c>
      <c r="B192" s="145">
        <v>627.98032003032233</v>
      </c>
      <c r="C192" s="146">
        <v>4.7720296558518838</v>
      </c>
      <c r="E192" s="50">
        <f>A18</f>
        <v>53.5</v>
      </c>
      <c r="F192" s="63">
        <f t="shared" ref="F192:G192" si="750">B18</f>
        <v>9.471702070896864</v>
      </c>
      <c r="G192" s="64">
        <f t="shared" si="750"/>
        <v>1.1998091764429517</v>
      </c>
      <c r="I192" s="144">
        <v>-33.5</v>
      </c>
      <c r="J192" s="145">
        <v>591.6</v>
      </c>
      <c r="K192" s="146">
        <v>4.7586872586872584</v>
      </c>
      <c r="M192" s="50">
        <f>I18</f>
        <v>53.5</v>
      </c>
      <c r="N192" s="63">
        <f t="shared" ref="N192" si="751">J18</f>
        <v>9.6069999999999993</v>
      </c>
      <c r="O192" s="64">
        <f t="shared" ref="O192" si="752">K18</f>
        <v>1.2127906683162066</v>
      </c>
      <c r="Y192" s="147">
        <v>-8.5</v>
      </c>
      <c r="Z192" s="148">
        <v>15.068103079271372</v>
      </c>
      <c r="AA192" s="149">
        <v>3.7356272476508359</v>
      </c>
      <c r="AC192" s="50">
        <f>Y68</f>
        <v>53.5</v>
      </c>
      <c r="AD192" s="63">
        <f t="shared" ref="AD192:AE192" si="753">Z68</f>
        <v>0.94492369034789458</v>
      </c>
      <c r="AE192" s="64">
        <f t="shared" si="753"/>
        <v>0.78158446553815208</v>
      </c>
      <c r="AG192" s="165">
        <v>-13.5</v>
      </c>
      <c r="AH192" s="166">
        <v>51.50000431408445</v>
      </c>
      <c r="AI192" s="167">
        <f t="shared" si="729"/>
        <v>4.1869919269493572</v>
      </c>
      <c r="AK192" s="50">
        <f>AG57</f>
        <v>54</v>
      </c>
      <c r="AL192" s="63">
        <f>AH57</f>
        <v>3.6250007207987767</v>
      </c>
      <c r="AM192" s="64">
        <f>AI57</f>
        <v>1.3302754234959988</v>
      </c>
    </row>
    <row r="193" spans="1:39">
      <c r="A193" s="144">
        <v>-34</v>
      </c>
      <c r="B193" s="145">
        <v>647.17128719193647</v>
      </c>
      <c r="C193" s="146">
        <v>4.7784903128099048</v>
      </c>
      <c r="E193" s="50">
        <f>A17</f>
        <v>54</v>
      </c>
      <c r="F193" s="63">
        <f t="shared" ref="F193:G193" si="754">B17</f>
        <v>9.2968548342817812</v>
      </c>
      <c r="G193" s="64">
        <f t="shared" si="754"/>
        <v>1.182900625697326</v>
      </c>
      <c r="I193" s="144">
        <v>-34</v>
      </c>
      <c r="J193" s="145">
        <v>609.66999999999996</v>
      </c>
      <c r="K193" s="146">
        <v>4.7655040880453985</v>
      </c>
      <c r="M193" s="50">
        <f>I17</f>
        <v>54</v>
      </c>
      <c r="N193" s="63">
        <f t="shared" ref="N193" si="755">J17</f>
        <v>9.43</v>
      </c>
      <c r="O193" s="64">
        <f t="shared" ref="O193" si="756">K17</f>
        <v>1.19579000760842</v>
      </c>
      <c r="Y193" s="147">
        <v>-9</v>
      </c>
      <c r="Z193" s="148">
        <v>15.469382043359182</v>
      </c>
      <c r="AA193" s="149">
        <v>3.7602933356846924</v>
      </c>
      <c r="AC193" s="50">
        <f>Y67</f>
        <v>54</v>
      </c>
      <c r="AD193" s="63">
        <f t="shared" ref="AD193:AE193" si="757">Z67</f>
        <v>0.92746134654404477</v>
      </c>
      <c r="AE193" s="64">
        <f t="shared" si="757"/>
        <v>0.76936316404237226</v>
      </c>
      <c r="AG193" s="165">
        <v>-14</v>
      </c>
      <c r="AH193" s="166">
        <v>52.744511737638213</v>
      </c>
      <c r="AI193" s="167">
        <f t="shared" si="729"/>
        <v>4.2031175537858747</v>
      </c>
      <c r="AK193" s="50">
        <f>AG56</f>
        <v>54.5</v>
      </c>
      <c r="AL193" s="63">
        <f>AH56</f>
        <v>3.5670960194584782</v>
      </c>
      <c r="AM193" s="64">
        <f>AI56</f>
        <v>1.3146129482471431</v>
      </c>
    </row>
    <row r="194" spans="1:39">
      <c r="A194" s="144">
        <v>-34.5</v>
      </c>
      <c r="B194" s="145">
        <v>666.99022816442118</v>
      </c>
      <c r="C194" s="146">
        <v>4.7847889483400126</v>
      </c>
      <c r="E194" s="50">
        <f>A16</f>
        <v>54.5</v>
      </c>
      <c r="F194" s="63">
        <f t="shared" ref="F194:G194" si="758">B16</f>
        <v>9.1256910758697227</v>
      </c>
      <c r="G194" s="64">
        <f t="shared" si="758"/>
        <v>1.1662019027566619</v>
      </c>
      <c r="I194" s="144">
        <v>-34.5</v>
      </c>
      <c r="J194" s="145">
        <v>628.36</v>
      </c>
      <c r="K194" s="146">
        <v>4.7721611276505254</v>
      </c>
      <c r="M194" s="50">
        <f>I16</f>
        <v>54.5</v>
      </c>
      <c r="N194" s="63">
        <f t="shared" ref="N194" si="759">J16</f>
        <v>9.2579999999999991</v>
      </c>
      <c r="O194" s="64">
        <f t="shared" ref="O194" si="760">K16</f>
        <v>1.1791227265780222</v>
      </c>
      <c r="Y194" s="147">
        <v>-9.5</v>
      </c>
      <c r="Z194" s="148">
        <v>15.882345395320179</v>
      </c>
      <c r="AA194" s="149">
        <v>3.7846925822845612</v>
      </c>
      <c r="AC194" s="50">
        <f>Y66</f>
        <v>54.5</v>
      </c>
      <c r="AD194" s="63">
        <f t="shared" ref="AD194:AE194" si="761">Z66</f>
        <v>0.91036929205713346</v>
      </c>
      <c r="AE194" s="64">
        <f t="shared" si="761"/>
        <v>0.75733224351140238</v>
      </c>
      <c r="AG194" s="165">
        <v>-14.5</v>
      </c>
      <c r="AH194" s="166">
        <v>54.023054269195875</v>
      </c>
      <c r="AI194" s="167">
        <f t="shared" si="729"/>
        <v>4.2190313228455718</v>
      </c>
      <c r="AK194" s="50">
        <f>AG55</f>
        <v>55</v>
      </c>
      <c r="AL194" s="63">
        <f>AH55</f>
        <v>3.5102700435846632</v>
      </c>
      <c r="AM194" s="64">
        <f>AI55</f>
        <v>1.2991117247325159</v>
      </c>
    </row>
    <row r="195" spans="1:39">
      <c r="A195" s="144">
        <v>-35</v>
      </c>
      <c r="B195" s="145">
        <v>687.45856721197117</v>
      </c>
      <c r="C195" s="146">
        <v>4.7909286935092332</v>
      </c>
      <c r="E195" s="50">
        <f>A15</f>
        <v>55</v>
      </c>
      <c r="F195" s="63">
        <f t="shared" ref="F195:G195" si="762">B15</f>
        <v>8.9581237471290613</v>
      </c>
      <c r="G195" s="64">
        <f t="shared" si="762"/>
        <v>1.1497119067225627</v>
      </c>
      <c r="I195" s="144">
        <v>-35</v>
      </c>
      <c r="J195" s="145">
        <v>647.66999999999996</v>
      </c>
      <c r="K195" s="146">
        <v>4.778653326840498</v>
      </c>
      <c r="M195" s="50">
        <f>I15</f>
        <v>55</v>
      </c>
      <c r="N195" s="63">
        <f t="shared" ref="N195" si="763">J15</f>
        <v>9.0890000000000004</v>
      </c>
      <c r="O195" s="64">
        <f t="shared" ref="O195" si="764">K15</f>
        <v>1.1626032899281129</v>
      </c>
      <c r="Y195" s="147">
        <v>-10</v>
      </c>
      <c r="Z195" s="148">
        <v>16.307354208359989</v>
      </c>
      <c r="AA195" s="149">
        <v>3.8088205692396229</v>
      </c>
      <c r="AC195" s="50">
        <f>Y65</f>
        <v>55</v>
      </c>
      <c r="AD195" s="63">
        <f t="shared" ref="AD195:AE195" si="765">Z65</f>
        <v>0.89363877559746929</v>
      </c>
      <c r="AE195" s="64">
        <f t="shared" si="765"/>
        <v>0.74548935050593534</v>
      </c>
      <c r="AG195" s="165">
        <v>-15</v>
      </c>
      <c r="AH195" s="166">
        <v>55.336662299491152</v>
      </c>
      <c r="AI195" s="167">
        <f t="shared" si="729"/>
        <v>4.234732870638398</v>
      </c>
      <c r="AK195" s="50">
        <f>AG54</f>
        <v>55.5</v>
      </c>
      <c r="AL195" s="63">
        <f>AH54</f>
        <v>3.4545001185947721</v>
      </c>
      <c r="AM195" s="64">
        <f>AI54</f>
        <v>1.2837712617135753</v>
      </c>
    </row>
    <row r="196" spans="1:39">
      <c r="A196" s="144">
        <v>-35.5</v>
      </c>
      <c r="B196" s="145">
        <v>708.59847131654442</v>
      </c>
      <c r="C196" s="146">
        <v>4.7969126584670203</v>
      </c>
      <c r="E196" s="50">
        <f>A14</f>
        <v>55.5</v>
      </c>
      <c r="F196" s="63">
        <f t="shared" ref="F196:G196" si="766">B14</f>
        <v>8.794068062149373</v>
      </c>
      <c r="G196" s="64">
        <f t="shared" si="766"/>
        <v>1.1334294779373211</v>
      </c>
      <c r="I196" s="144">
        <v>-35.5</v>
      </c>
      <c r="J196" s="145">
        <v>667.64</v>
      </c>
      <c r="K196" s="146">
        <v>4.7849893928100453</v>
      </c>
      <c r="M196" s="50">
        <f>I14</f>
        <v>55.5</v>
      </c>
      <c r="N196" s="63">
        <f t="shared" ref="N196" si="767">J14</f>
        <v>8.923</v>
      </c>
      <c r="O196" s="64">
        <f t="shared" ref="O196" si="768">K14</f>
        <v>1.1462374431570024</v>
      </c>
      <c r="Y196" s="147">
        <v>-10.5</v>
      </c>
      <c r="Z196" s="148">
        <v>16.744781051811092</v>
      </c>
      <c r="AA196" s="149">
        <v>3.8326731250123536</v>
      </c>
      <c r="AC196" s="50">
        <f>Y64</f>
        <v>55.5</v>
      </c>
      <c r="AD196" s="63">
        <f t="shared" ref="AD196:AE196" si="769">Z64</f>
        <v>0.8772612718118411</v>
      </c>
      <c r="AE196" s="64">
        <f t="shared" si="769"/>
        <v>0.73383212805914688</v>
      </c>
      <c r="AG196" s="165">
        <v>-15.5</v>
      </c>
      <c r="AH196" s="166">
        <v>56.68640024233742</v>
      </c>
      <c r="AI196" s="167">
        <f t="shared" si="729"/>
        <v>4.2502219370321281</v>
      </c>
      <c r="AK196" s="50">
        <f>AG53</f>
        <v>56</v>
      </c>
      <c r="AL196" s="63">
        <f>AH53</f>
        <v>3.3997640968001992</v>
      </c>
      <c r="AM196" s="64">
        <f>AI53</f>
        <v>1.2685910260211397</v>
      </c>
    </row>
    <row r="197" spans="1:39">
      <c r="A197" s="144">
        <v>-36</v>
      </c>
      <c r="B197" s="145">
        <v>730.43287552697643</v>
      </c>
      <c r="C197" s="146">
        <v>4.8027439306907258</v>
      </c>
      <c r="E197" s="50">
        <f>A13</f>
        <v>56</v>
      </c>
      <c r="F197" s="63">
        <f t="shared" ref="F197:G197" si="770">B13</f>
        <v>8.633441434086718</v>
      </c>
      <c r="G197" s="64">
        <f t="shared" si="770"/>
        <v>1.117353400785742</v>
      </c>
      <c r="I197" s="144">
        <v>-36</v>
      </c>
      <c r="J197" s="145">
        <v>688.28</v>
      </c>
      <c r="K197" s="146">
        <v>4.7911677897198857</v>
      </c>
      <c r="M197" s="50">
        <f>I13</f>
        <v>56</v>
      </c>
      <c r="N197" s="63">
        <f t="shared" ref="N197" si="771">J13</f>
        <v>8.7609999999999992</v>
      </c>
      <c r="O197" s="64">
        <f t="shared" ref="O197" si="772">K13</f>
        <v>1.1301308015789067</v>
      </c>
      <c r="Y197" s="147">
        <v>-11</v>
      </c>
      <c r="Z197" s="148">
        <v>17.195010353882978</v>
      </c>
      <c r="AA197" s="149">
        <v>3.8562463261848707</v>
      </c>
      <c r="AC197" s="50">
        <f>Y63</f>
        <v>56</v>
      </c>
      <c r="AD197" s="63">
        <f t="shared" ref="AD197:AE197" si="773">Z63</f>
        <v>0.86122847500781741</v>
      </c>
      <c r="AE197" s="64">
        <f t="shared" si="773"/>
        <v>0.72235821745339834</v>
      </c>
      <c r="AG197" s="165">
        <v>-16</v>
      </c>
      <c r="AH197" s="166">
        <v>58.073367746683218</v>
      </c>
      <c r="AI197" s="167">
        <f t="shared" si="729"/>
        <v>4.2654983636763557</v>
      </c>
      <c r="AK197" s="50">
        <f>AG52</f>
        <v>56.5</v>
      </c>
      <c r="AL197" s="63">
        <f>AH52</f>
        <v>3.3460403440612989</v>
      </c>
      <c r="AM197" s="64">
        <f>AI52</f>
        <v>1.2535704440419346</v>
      </c>
    </row>
    <row r="198" spans="1:39">
      <c r="A198" s="144">
        <v>-36.5</v>
      </c>
      <c r="B198" s="145">
        <v>752.98550911660493</v>
      </c>
      <c r="C198" s="146">
        <v>4.808425573329913</v>
      </c>
      <c r="E198" s="50">
        <f>A12</f>
        <v>56.5</v>
      </c>
      <c r="F198" s="63">
        <f t="shared" ref="F198:G198" si="774">B12</f>
        <v>8.4761634135126265</v>
      </c>
      <c r="G198" s="64">
        <f t="shared" si="774"/>
        <v>1.1014824064469799</v>
      </c>
      <c r="I198" s="144">
        <v>-36.5</v>
      </c>
      <c r="J198" s="145">
        <v>709.63</v>
      </c>
      <c r="K198" s="146">
        <v>4.7971958952449203</v>
      </c>
      <c r="M198" s="50">
        <f>I12</f>
        <v>56.5</v>
      </c>
      <c r="N198" s="63">
        <f t="shared" ref="N198" si="775">J12</f>
        <v>8.6029999999999998</v>
      </c>
      <c r="O198" s="64">
        <f t="shared" ref="O198" si="776">K12</f>
        <v>1.1142916353651271</v>
      </c>
      <c r="Y198" s="147">
        <v>-11.5</v>
      </c>
      <c r="Z198" s="148">
        <v>17.658438774977114</v>
      </c>
      <c r="AA198" s="149">
        <v>3.8795364984333971</v>
      </c>
      <c r="AC198" s="50">
        <f>Y62</f>
        <v>56.5</v>
      </c>
      <c r="AD198" s="63">
        <f t="shared" ref="AD198:AE198" si="777">Z62</f>
        <v>0.84553229306330135</v>
      </c>
      <c r="AE198" s="64">
        <f t="shared" si="777"/>
        <v>0.71106525991776248</v>
      </c>
      <c r="AG198" s="165">
        <v>-16.5</v>
      </c>
      <c r="AH198" s="166">
        <v>59.498700954864212</v>
      </c>
      <c r="AI198" s="167">
        <f t="shared" si="729"/>
        <v>4.2805620923407997</v>
      </c>
      <c r="AK198" s="50">
        <f>AG51</f>
        <v>57</v>
      </c>
      <c r="AL198" s="63">
        <f>AH51</f>
        <v>3.2933077268066335</v>
      </c>
      <c r="AM198" s="64">
        <f>AI51</f>
        <v>1.2387089031895013</v>
      </c>
    </row>
    <row r="199" spans="1:39">
      <c r="A199" s="144">
        <v>-37</v>
      </c>
      <c r="B199" s="145">
        <v>776.28092257066669</v>
      </c>
      <c r="C199" s="146">
        <v>4.813960623647457</v>
      </c>
      <c r="E199" s="50">
        <f>A11</f>
        <v>57</v>
      </c>
      <c r="F199" s="63">
        <f t="shared" ref="F199:G199" si="778">B11</f>
        <v>8.3221556286063354</v>
      </c>
      <c r="G199" s="64">
        <f t="shared" si="778"/>
        <v>1.0858151755944148</v>
      </c>
      <c r="I199" s="144">
        <v>-37</v>
      </c>
      <c r="J199" s="145">
        <v>731.7</v>
      </c>
      <c r="K199" s="146">
        <v>4.8030720756203227</v>
      </c>
      <c r="M199" s="50">
        <f>I11</f>
        <v>57</v>
      </c>
      <c r="N199" s="63">
        <f t="shared" ref="N199" si="779">J11</f>
        <v>8.4469999999999992</v>
      </c>
      <c r="O199" s="64">
        <f t="shared" ref="O199" si="780">K11</f>
        <v>1.0985252425416807</v>
      </c>
      <c r="Y199" s="147">
        <v>-12</v>
      </c>
      <c r="Z199" s="148">
        <v>18.135475591792563</v>
      </c>
      <c r="AA199" s="149">
        <v>3.9025402170374619</v>
      </c>
      <c r="AC199" s="50">
        <f>Y61</f>
        <v>57</v>
      </c>
      <c r="AD199" s="63">
        <f t="shared" ref="AD199:AE199" si="781">Z61</f>
        <v>0.83016484151547609</v>
      </c>
      <c r="AE199" s="64">
        <f t="shared" si="781"/>
        <v>0.69995089824798562</v>
      </c>
      <c r="AG199" s="165">
        <v>-17</v>
      </c>
      <c r="AH199" s="166">
        <v>60.963573808921069</v>
      </c>
      <c r="AI199" s="167">
        <f t="shared" si="729"/>
        <v>4.2954131631725359</v>
      </c>
      <c r="AK199" s="50">
        <f>AG50</f>
        <v>57.5</v>
      </c>
      <c r="AL199" s="63">
        <f>AH50</f>
        <v>3.241545599406535</v>
      </c>
      <c r="AM199" s="64">
        <f>AI50</f>
        <v>1.2240057533585111</v>
      </c>
    </row>
    <row r="200" spans="1:39">
      <c r="A200" s="144">
        <v>-37.5</v>
      </c>
      <c r="B200" s="145">
        <v>800.34451542486693</v>
      </c>
      <c r="C200" s="146">
        <v>4.8193520915553361</v>
      </c>
      <c r="E200" s="50">
        <f>A10</f>
        <v>57.5</v>
      </c>
      <c r="F200" s="63">
        <f t="shared" ref="F200:G200" si="782">B10</f>
        <v>8.1713417271322779</v>
      </c>
      <c r="G200" s="64">
        <f t="shared" si="782"/>
        <v>1.0703503410418593</v>
      </c>
      <c r="I200" s="144">
        <v>-37.5</v>
      </c>
      <c r="J200" s="145">
        <v>754.53</v>
      </c>
      <c r="K200" s="146">
        <v>4.8088027226492294</v>
      </c>
      <c r="M200" s="50">
        <f>I10</f>
        <v>57.5</v>
      </c>
      <c r="N200" s="63">
        <f t="shared" ref="N200" si="783">J10</f>
        <v>8.2949999999999999</v>
      </c>
      <c r="O200" s="64">
        <f t="shared" ref="O200" si="784">K10</f>
        <v>1.0830395613004309</v>
      </c>
      <c r="Y200" s="147">
        <v>-12.5</v>
      </c>
      <c r="Z200" s="148">
        <v>18.626543092451442</v>
      </c>
      <c r="AA200" s="149">
        <v>3.9252543069321892</v>
      </c>
      <c r="AC200" s="50">
        <f>Y60</f>
        <v>57.5</v>
      </c>
      <c r="AD200" s="63">
        <f t="shared" ref="AD200:AE200" si="785">Z60</f>
        <v>0.81511843782370907</v>
      </c>
      <c r="AE200" s="64">
        <f t="shared" si="785"/>
        <v>0.68901277835073038</v>
      </c>
      <c r="AG200" s="165">
        <v>-17.5</v>
      </c>
      <c r="AH200" s="166">
        <v>62.469199406933704</v>
      </c>
      <c r="AI200" s="167">
        <f t="shared" si="729"/>
        <v>4.3100517128768487</v>
      </c>
      <c r="AK200" s="50">
        <f>AG49</f>
        <v>58</v>
      </c>
      <c r="AL200" s="63">
        <f>AH49</f>
        <v>3.1907337918899499</v>
      </c>
      <c r="AM200" s="64">
        <f>AI49</f>
        <v>1.2094603083612023</v>
      </c>
    </row>
    <row r="201" spans="1:39">
      <c r="A201" s="144">
        <v>-38</v>
      </c>
      <c r="B201" s="145">
        <v>825.20256497681555</v>
      </c>
      <c r="C201" s="146">
        <v>4.8246029582429202</v>
      </c>
      <c r="E201" s="50">
        <f>A9</f>
        <v>58</v>
      </c>
      <c r="F201" s="63">
        <f t="shared" ref="F201:G201" si="786">B9</f>
        <v>8.02364732014669</v>
      </c>
      <c r="G201" s="64">
        <f t="shared" si="786"/>
        <v>1.0550864903345805</v>
      </c>
      <c r="I201" s="144">
        <v>-38</v>
      </c>
      <c r="J201" s="145">
        <v>778.14</v>
      </c>
      <c r="K201" s="146">
        <v>4.8143885960353403</v>
      </c>
      <c r="M201" s="50">
        <f>I9</f>
        <v>58</v>
      </c>
      <c r="N201" s="63">
        <f t="shared" ref="N201" si="787">J9</f>
        <v>8.1460000000000008</v>
      </c>
      <c r="O201" s="64">
        <f t="shared" ref="O201" si="788">K9</f>
        <v>1.0677397368007131</v>
      </c>
      <c r="Y201" s="147">
        <v>-13</v>
      </c>
      <c r="Z201" s="148">
        <v>19.132076982868764</v>
      </c>
      <c r="AA201" s="149">
        <v>3.9476758423131622</v>
      </c>
      <c r="AC201" s="50">
        <f>Y59</f>
        <v>58</v>
      </c>
      <c r="AD201" s="63">
        <f t="shared" ref="AD201:AE201" si="789">Z59</f>
        <v>0.80038559580092428</v>
      </c>
      <c r="AE201" s="64">
        <f t="shared" si="789"/>
        <v>0.67824855071381074</v>
      </c>
      <c r="AG201" s="165">
        <v>-18</v>
      </c>
      <c r="AH201" s="166">
        <v>64.016831411410308</v>
      </c>
      <c r="AI201" s="167">
        <f t="shared" si="729"/>
        <v>4.3244779728264335</v>
      </c>
      <c r="AK201" s="50">
        <f>AG48</f>
        <v>58.5</v>
      </c>
      <c r="AL201" s="63">
        <f>AH48</f>
        <v>3.1408525979949733</v>
      </c>
      <c r="AM201" s="64">
        <f>AI48</f>
        <v>1.195071847345051</v>
      </c>
    </row>
    <row r="202" spans="1:39">
      <c r="A202" s="144">
        <v>-38.5</v>
      </c>
      <c r="B202" s="145">
        <v>850.88225589209651</v>
      </c>
      <c r="C202" s="146">
        <v>4.8297161748954851</v>
      </c>
      <c r="E202" s="50">
        <f>A8</f>
        <v>58.5</v>
      </c>
      <c r="F202" s="63">
        <f t="shared" ref="F202:G202" si="790">B8</f>
        <v>7.8789999273785547</v>
      </c>
      <c r="G202" s="64">
        <f t="shared" si="790"/>
        <v>1.0400221682837638</v>
      </c>
      <c r="I202" s="144">
        <v>-38.5</v>
      </c>
      <c r="J202" s="145">
        <v>802.57</v>
      </c>
      <c r="K202" s="146">
        <v>4.8198349688314499</v>
      </c>
      <c r="M202" s="50">
        <f>I8</f>
        <v>58.5</v>
      </c>
      <c r="N202" s="63">
        <f t="shared" ref="N202" si="791">J8</f>
        <v>8</v>
      </c>
      <c r="O202" s="64">
        <f t="shared" ref="O202" si="792">K8</f>
        <v>1.0526315789473684</v>
      </c>
      <c r="Y202" s="147">
        <v>-13.5</v>
      </c>
      <c r="Z202" s="148">
        <v>19.652526804586852</v>
      </c>
      <c r="AA202" s="149">
        <v>3.96980214580458</v>
      </c>
      <c r="AC202" s="50">
        <f>Y58</f>
        <v>58.5</v>
      </c>
      <c r="AD202" s="63">
        <f t="shared" ref="AD202:AE202" si="793">Z58</f>
        <v>0.78595902020832908</v>
      </c>
      <c r="AE202" s="64">
        <f t="shared" si="793"/>
        <v>0.66765587180431196</v>
      </c>
      <c r="AG202" s="165">
        <v>-18.5</v>
      </c>
      <c r="AH202" s="166">
        <v>65.607765511848228</v>
      </c>
      <c r="AI202" s="167">
        <f t="shared" si="729"/>
        <v>4.3386922671036396</v>
      </c>
      <c r="AK202" s="50">
        <f>AG47</f>
        <v>59</v>
      </c>
      <c r="AL202" s="63">
        <f>AH47</f>
        <v>3.0918827635433628</v>
      </c>
      <c r="AM202" s="64">
        <f>AI47</f>
        <v>1.180839616190748</v>
      </c>
    </row>
    <row r="203" spans="1:39">
      <c r="A203" s="144">
        <v>-39</v>
      </c>
      <c r="B203" s="145">
        <v>877.4117107269177</v>
      </c>
      <c r="C203" s="146">
        <v>4.8346946615006363</v>
      </c>
      <c r="E203" s="50">
        <f>A7</f>
        <v>59</v>
      </c>
      <c r="F203" s="63">
        <f t="shared" ref="F203:G203" si="794">B7</f>
        <v>7.7373289242327132</v>
      </c>
      <c r="G203" s="64">
        <f t="shared" si="794"/>
        <v>1.0251558794433184</v>
      </c>
      <c r="I203" s="144">
        <v>-39</v>
      </c>
      <c r="J203" s="145">
        <v>827.84</v>
      </c>
      <c r="K203" s="146">
        <v>4.8251422176629672</v>
      </c>
      <c r="M203" s="50">
        <f>I7</f>
        <v>59</v>
      </c>
      <c r="N203" s="63">
        <f t="shared" ref="N203" si="795">J7</f>
        <v>7.8570000000000002</v>
      </c>
      <c r="O203" s="64">
        <f t="shared" ref="O203" si="796">K7</f>
        <v>1.0377208970599889</v>
      </c>
      <c r="Y203" s="147">
        <v>-14</v>
      </c>
      <c r="Z203" s="148">
        <v>20.188356364295206</v>
      </c>
      <c r="AA203" s="149">
        <v>3.9916307872027774</v>
      </c>
      <c r="AC203" s="50">
        <f>Y57</f>
        <v>59</v>
      </c>
      <c r="AD203" s="63">
        <f t="shared" ref="AD203:AE203" si="797">Z57</f>
        <v>0.77183160150840635</v>
      </c>
      <c r="AE203" s="64">
        <f t="shared" si="797"/>
        <v>0.65723240539641126</v>
      </c>
      <c r="AG203" s="165">
        <v>-19</v>
      </c>
      <c r="AH203" s="166">
        <v>67.243340943685581</v>
      </c>
      <c r="AI203" s="167">
        <f t="shared" si="729"/>
        <v>4.352695010480546</v>
      </c>
      <c r="AK203" s="50">
        <f>AG46</f>
        <v>59.5</v>
      </c>
      <c r="AL203" s="63">
        <f>AH46</f>
        <v>3.0438054751294197</v>
      </c>
      <c r="AM203" s="64">
        <f>AI46</f>
        <v>1.1667628288895573</v>
      </c>
    </row>
    <row r="204" spans="1:39">
      <c r="A204" s="144">
        <v>-39.5</v>
      </c>
      <c r="B204" s="145">
        <v>904.82002138938697</v>
      </c>
      <c r="C204" s="146">
        <v>4.8395413057402639</v>
      </c>
      <c r="E204" s="50">
        <f>A6</f>
        <v>59.5</v>
      </c>
      <c r="F204" s="63">
        <f t="shared" ref="F204:G204" si="798">B6</f>
        <v>7.5985654903640008</v>
      </c>
      <c r="G204" s="64">
        <f t="shared" si="798"/>
        <v>1.0104860905280295</v>
      </c>
      <c r="I204" s="144">
        <v>-39.5</v>
      </c>
      <c r="J204" s="145">
        <v>853.98</v>
      </c>
      <c r="K204" s="146">
        <v>4.8303129030068552</v>
      </c>
      <c r="M204" s="50">
        <f>I6</f>
        <v>59.5</v>
      </c>
      <c r="N204" s="63">
        <f t="shared" ref="N204" si="799">J6</f>
        <v>7.7169999999999996</v>
      </c>
      <c r="O204" s="64">
        <f t="shared" ref="O204" si="800">K6</f>
        <v>1.0230134952408729</v>
      </c>
      <c r="Y204" s="147">
        <v>-14.5</v>
      </c>
      <c r="Z204" s="148">
        <v>20.740044175246581</v>
      </c>
      <c r="AA204" s="149">
        <v>4.0131595818080035</v>
      </c>
      <c r="AC204" s="50">
        <f>Y56</f>
        <v>59.5</v>
      </c>
      <c r="AD204" s="63">
        <f t="shared" ref="AD204:AE204" si="801">Z56</f>
        <v>0.75799641077130453</v>
      </c>
      <c r="AE204" s="64">
        <f t="shared" si="801"/>
        <v>0.646975823830781</v>
      </c>
      <c r="AG204" s="165">
        <v>-19.5</v>
      </c>
      <c r="AH204" s="166">
        <v>68.92494206594705</v>
      </c>
      <c r="AI204" s="167">
        <f t="shared" si="729"/>
        <v>4.366486706341556</v>
      </c>
      <c r="AK204" s="50">
        <f>AG45</f>
        <v>60</v>
      </c>
      <c r="AL204" s="63">
        <f>AH45</f>
        <v>2.9966023491143678</v>
      </c>
      <c r="AM204" s="64">
        <f>AI45</f>
        <v>1.1528406688993476</v>
      </c>
    </row>
    <row r="205" spans="1:39">
      <c r="A205" s="144">
        <v>-40</v>
      </c>
      <c r="B205" s="145">
        <v>933.13728156145191</v>
      </c>
      <c r="C205" s="146">
        <v>4.8442589619656111</v>
      </c>
      <c r="E205" s="50">
        <f>A5</f>
        <v>60</v>
      </c>
      <c r="F205" s="63">
        <f t="shared" ref="F205:G205" si="802">B5</f>
        <v>7.4626425597732222</v>
      </c>
      <c r="G205" s="64">
        <f t="shared" si="802"/>
        <v>0.99601123277225601</v>
      </c>
      <c r="I205" s="144">
        <v>-40</v>
      </c>
      <c r="J205" s="145">
        <v>881.03</v>
      </c>
      <c r="K205" s="146">
        <v>4.8353511958991469</v>
      </c>
      <c r="M205" s="50">
        <f>I5</f>
        <v>60</v>
      </c>
      <c r="N205" s="63">
        <f t="shared" ref="N205" si="803">J5</f>
        <v>7.5789999999999997</v>
      </c>
      <c r="O205" s="64">
        <f t="shared" ref="O205" si="804">K5</f>
        <v>1.0084089518081907</v>
      </c>
      <c r="Y205" s="147">
        <v>-15</v>
      </c>
      <c r="Z205" s="148">
        <v>21.308083910779253</v>
      </c>
      <c r="AA205" s="149">
        <v>4.034386588358597</v>
      </c>
      <c r="AC205" s="50">
        <f>Y55</f>
        <v>60</v>
      </c>
      <c r="AD205" s="63">
        <f t="shared" ref="AD205:AE205" si="805">Z55</f>
        <v>0.74444669472990876</v>
      </c>
      <c r="AE205" s="64">
        <f t="shared" si="805"/>
        <v>0.63688380920746179</v>
      </c>
      <c r="AG205" s="165">
        <v>-20</v>
      </c>
      <c r="AH205" s="166">
        <v>70.653999999999058</v>
      </c>
      <c r="AI205" s="167">
        <f t="shared" si="729"/>
        <v>4.3800679445532698</v>
      </c>
      <c r="AK205" s="50">
        <f>AG44</f>
        <v>60.5</v>
      </c>
      <c r="AL205" s="63">
        <f>AH44</f>
        <v>2.9502554209172978</v>
      </c>
      <c r="AM205" s="64">
        <f>AI44</f>
        <v>1.1390722904785473</v>
      </c>
    </row>
    <row r="206" spans="1:39">
      <c r="Y206" s="147">
        <v>-15.5</v>
      </c>
      <c r="Z206" s="148">
        <v>21.892984870145256</v>
      </c>
      <c r="AA206" s="149">
        <v>4.0553101065824153</v>
      </c>
      <c r="AC206" s="50">
        <f>Y54</f>
        <v>60.5</v>
      </c>
      <c r="AD206" s="63">
        <f t="shared" ref="AD206:AE206" si="806">Z54</f>
        <v>0.7311758709790519</v>
      </c>
      <c r="AE206" s="64">
        <f t="shared" si="806"/>
        <v>0.62695405451412656</v>
      </c>
      <c r="AG206" s="165">
        <v>-20.5</v>
      </c>
      <c r="AH206" s="166">
        <v>72.431994331922766</v>
      </c>
      <c r="AI206" s="167">
        <f t="shared" si="729"/>
        <v>4.3934393992862919</v>
      </c>
      <c r="AK206" s="50">
        <f>AG43</f>
        <v>61</v>
      </c>
      <c r="AL206" s="63">
        <f>AH43</f>
        <v>2.9047471345939386</v>
      </c>
      <c r="AM206" s="64">
        <f>AI43</f>
        <v>1.1254568199973256</v>
      </c>
    </row>
    <row r="207" spans="1:39">
      <c r="Y207" s="147">
        <v>-16</v>
      </c>
      <c r="Z207" s="148">
        <v>22.495272456838237</v>
      </c>
      <c r="AA207" s="149">
        <v>4.0759286743812897</v>
      </c>
      <c r="AC207" s="50">
        <f>Y53</f>
        <v>61</v>
      </c>
      <c r="AD207" s="63">
        <f t="shared" ref="AD207:AE207" si="807">Z53</f>
        <v>0.71817752331438789</v>
      </c>
      <c r="AE207" s="64">
        <f t="shared" si="807"/>
        <v>0.61718426469159227</v>
      </c>
      <c r="AG207" s="165">
        <v>-21</v>
      </c>
      <c r="AH207" s="166">
        <v>74.260454881128183</v>
      </c>
      <c r="AI207" s="167">
        <f t="shared" si="729"/>
        <v>4.4066018267936204</v>
      </c>
      <c r="AK207" s="50">
        <f>AG42</f>
        <v>61.5</v>
      </c>
      <c r="AL207" s="63">
        <f>AH42</f>
        <v>2.8600603326955416</v>
      </c>
      <c r="AM207" s="64">
        <f>AI42</f>
        <v>1.1119933572255865</v>
      </c>
    </row>
    <row r="208" spans="1:39">
      <c r="Y208" s="147">
        <v>-16.5</v>
      </c>
      <c r="Z208" s="148">
        <v>23.115488669607398</v>
      </c>
      <c r="AA208" s="149">
        <v>4.0962410646650405</v>
      </c>
      <c r="AC208" s="50">
        <f>Y52</f>
        <v>61.5</v>
      </c>
      <c r="AD208" s="63">
        <f t="shared" ref="AD208:AE208" si="808">Z52</f>
        <v>0.70544539720668098</v>
      </c>
      <c r="AE208" s="64">
        <f t="shared" si="808"/>
        <v>0.60757215763850747</v>
      </c>
      <c r="AG208" s="165">
        <v>-21.5</v>
      </c>
      <c r="AH208" s="166">
        <v>76.140963537953226</v>
      </c>
      <c r="AI208" s="167">
        <f t="shared" si="729"/>
        <v>4.419556063150254</v>
      </c>
      <c r="AK208" s="50">
        <f>AG41</f>
        <v>62</v>
      </c>
      <c r="AL208" s="63">
        <f>AH41</f>
        <v>2.8161782463990161</v>
      </c>
      <c r="AM208" s="64">
        <f>AI41</f>
        <v>1.0986809765970142</v>
      </c>
    </row>
    <row r="209" spans="25:39">
      <c r="Y209" s="147">
        <v>-17</v>
      </c>
      <c r="Z209" s="148">
        <v>23.75419260632837</v>
      </c>
      <c r="AA209" s="149">
        <v>4.1162462818520433</v>
      </c>
      <c r="AC209" s="50">
        <f>Y51</f>
        <v>62</v>
      </c>
      <c r="AD209" s="63">
        <f t="shared" ref="AD209:AE209" si="809">Z51</f>
        <v>0.69297339540738667</v>
      </c>
      <c r="AE209" s="64">
        <f t="shared" si="809"/>
        <v>0.59811546515712399</v>
      </c>
      <c r="AG209" s="165">
        <v>-22</v>
      </c>
      <c r="AH209" s="166">
        <v>78.075156173089269</v>
      </c>
      <c r="AI209" s="167">
        <f t="shared" si="729"/>
        <v>4.4323030219584538</v>
      </c>
      <c r="AK209" s="50">
        <f>AG40</f>
        <v>62.5</v>
      </c>
      <c r="AL209" s="63">
        <f>AH40</f>
        <v>2.7730844859012644</v>
      </c>
      <c r="AM209" s="64">
        <f>AI40</f>
        <v>1.085518728448932</v>
      </c>
    </row>
    <row r="210" spans="25:39">
      <c r="Y210" s="147">
        <v>-17.5</v>
      </c>
      <c r="Z210" s="148">
        <v>24.411960980896815</v>
      </c>
      <c r="AA210" s="149">
        <v>4.1359435580540982</v>
      </c>
      <c r="AC210" s="50">
        <f>Y50</f>
        <v>62.5</v>
      </c>
      <c r="AD210" s="63">
        <f t="shared" ref="AD210:AE210" si="810">Z50</f>
        <v>0.68075557368145334</v>
      </c>
      <c r="AE210" s="64">
        <f t="shared" si="810"/>
        <v>0.58881193384199493</v>
      </c>
      <c r="AG210" s="165">
        <v>-22.5</v>
      </c>
      <c r="AH210" s="166">
        <v>80.064724621830223</v>
      </c>
      <c r="AI210" s="167">
        <f t="shared" si="729"/>
        <v>4.4448436920232277</v>
      </c>
      <c r="AK210" s="50">
        <f>AG39</f>
        <v>63</v>
      </c>
      <c r="AL210" s="63">
        <f>AH39</f>
        <v>2.7307630310697291</v>
      </c>
      <c r="AM210" s="64">
        <f>AI39</f>
        <v>1.0725056402374458</v>
      </c>
    </row>
    <row r="211" spans="25:39">
      <c r="Y211" s="147">
        <v>-18</v>
      </c>
      <c r="Z211" s="148">
        <v>25.089388653292517</v>
      </c>
      <c r="AA211" s="149">
        <v>4.1553323489636504</v>
      </c>
      <c r="AC211" s="50">
        <f>Y49</f>
        <v>63</v>
      </c>
      <c r="AD211" s="63">
        <f t="shared" ref="AD211:AE211" si="811">Z49</f>
        <v>0.66878613666353703</v>
      </c>
      <c r="AE211" s="64">
        <f t="shared" si="811"/>
        <v>0.57965932591352698</v>
      </c>
      <c r="AG211" s="165">
        <v>-23</v>
      </c>
      <c r="AH211" s="166">
        <v>82.111418746246883</v>
      </c>
      <c r="AI211" s="167">
        <f t="shared" si="729"/>
        <v>4.4571791350023338</v>
      </c>
      <c r="AK211" s="50">
        <f>AG38</f>
        <v>63.5</v>
      </c>
      <c r="AL211" s="63">
        <f>AH38</f>
        <v>2.6891982223419402</v>
      </c>
      <c r="AM211" s="64">
        <f>AI38</f>
        <v>1.0596407177275606</v>
      </c>
    </row>
    <row r="212" spans="25:39">
      <c r="Y212" s="147">
        <v>-18.5</v>
      </c>
      <c r="Z212" s="148">
        <v>25.78708917294901</v>
      </c>
      <c r="AA212" s="149">
        <v>4.1744123294618198</v>
      </c>
      <c r="AC212" s="50">
        <f>Y48</f>
        <v>63.5</v>
      </c>
      <c r="AD212" s="63">
        <f t="shared" ref="AD212:AE212" si="812">Z48</f>
        <v>0.65705943383378795</v>
      </c>
      <c r="AE212" s="64">
        <f t="shared" si="812"/>
        <v>0.57065541999818614</v>
      </c>
      <c r="AG212" s="165">
        <v>-23.5</v>
      </c>
      <c r="AH212" s="166">
        <v>84.217048578535781</v>
      </c>
      <c r="AI212" s="167">
        <f t="shared" si="729"/>
        <v>4.4693104830351178</v>
      </c>
      <c r="AK212" s="50">
        <f>AG37</f>
        <v>64</v>
      </c>
      <c r="AL212" s="63">
        <f>AH37</f>
        <v>2.6483747518670855</v>
      </c>
      <c r="AM212" s="64">
        <f>AI37</f>
        <v>1.0469229461580218</v>
      </c>
    </row>
    <row r="213" spans="25:39">
      <c r="Y213" s="147">
        <v>-19</v>
      </c>
      <c r="Z213" s="148">
        <v>26.505695335547038</v>
      </c>
      <c r="AA213" s="149">
        <v>4.1931833889659735</v>
      </c>
      <c r="AC213" s="50">
        <f>Y47</f>
        <v>64</v>
      </c>
      <c r="AD213" s="63">
        <f t="shared" ref="AD213:AE213" si="813">Z47</f>
        <v>0.64556995560963581</v>
      </c>
      <c r="AE213" s="64">
        <f t="shared" si="813"/>
        <v>0.56179801185723921</v>
      </c>
      <c r="AG213" s="165">
        <v>-24</v>
      </c>
      <c r="AH213" s="166">
        <v>86.383486548941931</v>
      </c>
      <c r="AI213" s="167">
        <f t="shared" si="729"/>
        <v>4.4812389363544058</v>
      </c>
      <c r="AK213" s="50">
        <f>AG36</f>
        <v>64.5</v>
      </c>
      <c r="AL213" s="63">
        <f>AH36</f>
        <v>2.6082776548824351</v>
      </c>
      <c r="AM213" s="64">
        <f>AI36</f>
        <v>1.0343512913805497</v>
      </c>
    </row>
    <row r="214" spans="25:39" ht="13.5" thickBot="1">
      <c r="Y214" s="153">
        <v>-19.5</v>
      </c>
      <c r="Z214" s="154">
        <v>27.245859753331654</v>
      </c>
      <c r="AA214" s="155">
        <v>4.2116456265357591</v>
      </c>
      <c r="AC214" s="50">
        <f>Y46</f>
        <v>64.5</v>
      </c>
      <c r="AD214" s="63">
        <f t="shared" ref="AD214:AE214" si="814">Z46</f>
        <v>0.63431232955000794</v>
      </c>
      <c r="AE214" s="64">
        <f t="shared" si="814"/>
        <v>0.55308491506581814</v>
      </c>
      <c r="AG214" s="165">
        <v>-24.5</v>
      </c>
      <c r="AH214" s="166">
        <v>88.612669801779248</v>
      </c>
      <c r="AI214" s="167">
        <f t="shared" si="729"/>
        <v>4.4929657608854452</v>
      </c>
      <c r="AK214" s="50">
        <f>AG35</f>
        <v>65</v>
      </c>
      <c r="AL214" s="63">
        <f>AH35</f>
        <v>2.5688923013183036</v>
      </c>
      <c r="AM214" s="64">
        <f>AI35</f>
        <v>1.0219247009733954</v>
      </c>
    </row>
    <row r="215" spans="25:39" ht="13.5" thickTop="1">
      <c r="Y215" s="141">
        <v>-20</v>
      </c>
      <c r="Z215" s="142">
        <v>28.008255439031274</v>
      </c>
      <c r="AA215" s="143">
        <v>4.2297993457565841</v>
      </c>
      <c r="AC215" s="50">
        <f>Y45</f>
        <v>65</v>
      </c>
      <c r="AD215" s="63">
        <f t="shared" ref="AD215:AE215" si="815">Z45</f>
        <v>0.62328131666858311</v>
      </c>
      <c r="AE215" s="64">
        <f t="shared" si="815"/>
        <v>0.54451396164410781</v>
      </c>
      <c r="AG215" s="165">
        <v>-25</v>
      </c>
      <c r="AH215" s="166">
        <v>90.906602603266563</v>
      </c>
      <c r="AI215" s="167">
        <f t="shared" si="729"/>
        <v>4.5044922858359975</v>
      </c>
      <c r="AK215" s="50">
        <f>AG34</f>
        <v>65.5</v>
      </c>
      <c r="AL215" s="63">
        <f>AH34</f>
        <v>2.5302043876246967</v>
      </c>
      <c r="AM215" s="64">
        <f>AI34</f>
        <v>1.009642105328953</v>
      </c>
    </row>
    <row r="216" spans="25:39">
      <c r="Y216" s="147">
        <v>-20.5</v>
      </c>
      <c r="Z216" s="148">
        <v>28.793576403436553</v>
      </c>
      <c r="AA216" s="149">
        <v>4.2476450494196154</v>
      </c>
      <c r="AC216" s="50">
        <f>Y44</f>
        <v>65.5</v>
      </c>
      <c r="AD216" s="63">
        <f t="shared" ref="AD216:AE216" si="816">Z44</f>
        <v>0.61247180785277322</v>
      </c>
      <c r="AE216" s="64">
        <f t="shared" si="816"/>
        <v>0.53608300264241626</v>
      </c>
      <c r="AG216" s="165">
        <v>-25.5</v>
      </c>
      <c r="AH216" s="166">
        <v>93.26735884502294</v>
      </c>
      <c r="AI216" s="167">
        <f t="shared" si="729"/>
        <v>4.5158199012813256</v>
      </c>
      <c r="AK216" s="50">
        <f>AG33</f>
        <v>66</v>
      </c>
      <c r="AL216" s="63">
        <f>AH33</f>
        <v>2.4921999288137582</v>
      </c>
      <c r="AM216" s="64">
        <f>AI33</f>
        <v>0.99750241871545764</v>
      </c>
    </row>
    <row r="217" spans="25:39">
      <c r="Y217" s="147">
        <v>-21</v>
      </c>
      <c r="Z217" s="148">
        <v>29.602538266668958</v>
      </c>
      <c r="AA217" s="149">
        <v>4.265183434017211</v>
      </c>
      <c r="AC217" s="50">
        <f>Y43</f>
        <v>66</v>
      </c>
      <c r="AD217" s="63">
        <f t="shared" ref="AD217:AE217" si="817">Z43</f>
        <v>0.60187882038523421</v>
      </c>
      <c r="AE217" s="64">
        <f t="shared" si="817"/>
        <v>0.52778990868186293</v>
      </c>
      <c r="AG217" s="165">
        <v>-26</v>
      </c>
      <c r="AH217" s="166">
        <v>95.69708464726375</v>
      </c>
      <c r="AI217" s="167">
        <f t="shared" si="729"/>
        <v>4.5269500557478777</v>
      </c>
      <c r="AK217" s="50">
        <f>AG32</f>
        <v>66.5</v>
      </c>
      <c r="AL217" s="63">
        <f>AH32</f>
        <v>2.4548652507114452</v>
      </c>
      <c r="AM217" s="64">
        <f>AI32</f>
        <v>0.9855045403125573</v>
      </c>
    </row>
    <row r="218" spans="25:39">
      <c r="Y218" s="147">
        <v>-21.5</v>
      </c>
      <c r="Z218" s="148">
        <v>30.435878883146444</v>
      </c>
      <c r="AA218" s="149">
        <v>4.2824153840727472</v>
      </c>
      <c r="AC218" s="50">
        <f>Y42</f>
        <v>66.5</v>
      </c>
      <c r="AD218" s="63">
        <f t="shared" ref="AD218:AE218" si="818">Z42</f>
        <v>0.59149749456481371</v>
      </c>
      <c r="AE218" s="64">
        <f t="shared" si="818"/>
        <v>0.51963257045239297</v>
      </c>
      <c r="AG218" s="165">
        <v>-26.5</v>
      </c>
      <c r="AH218" s="166">
        <v>98.19800106590624</v>
      </c>
      <c r="AI218" s="167">
        <f t="shared" si="729"/>
        <v>4.5378842537992572</v>
      </c>
      <c r="AK218" s="50">
        <f>AG31</f>
        <v>67</v>
      </c>
      <c r="AL218" s="63">
        <f>AH31</f>
        <v>2.4181869824130908</v>
      </c>
      <c r="AM218" s="64">
        <f>AI31</f>
        <v>0.97364735522092727</v>
      </c>
    </row>
    <row r="219" spans="25:39">
      <c r="Y219" s="147">
        <v>-22</v>
      </c>
      <c r="Z219" s="148">
        <v>31.294358980216025</v>
      </c>
      <c r="AA219" s="149">
        <v>4.2993419663233583</v>
      </c>
      <c r="AC219" s="50">
        <f>Y41</f>
        <v>67</v>
      </c>
      <c r="AD219" s="63">
        <f t="shared" ref="AD219:AE219" si="819">Z41</f>
        <v>0.58132309042390307</v>
      </c>
      <c r="AE219" s="64">
        <f t="shared" si="819"/>
        <v>0.5116088991697606</v>
      </c>
      <c r="AG219" s="165">
        <v>-27</v>
      </c>
      <c r="AH219" s="166">
        <v>100.77240690798193</v>
      </c>
      <c r="AI219" s="167">
        <f t="shared" si="729"/>
        <v>4.5486240536279512</v>
      </c>
      <c r="AK219" s="50">
        <f>AG30</f>
        <v>67.5</v>
      </c>
      <c r="AL219" s="63">
        <f>AH30</f>
        <v>2.3821520489366592</v>
      </c>
      <c r="AM219" s="64">
        <f>AI30</f>
        <v>0.96192973544579874</v>
      </c>
    </row>
    <row r="220" spans="25:39">
      <c r="Y220" s="147">
        <v>-22.5</v>
      </c>
      <c r="Z220" s="148">
        <v>32.178762810397288</v>
      </c>
      <c r="AA220" s="149">
        <v>4.3159644237740666</v>
      </c>
      <c r="AC220" s="50">
        <f>Y40</f>
        <v>67.5</v>
      </c>
      <c r="AD220" s="63">
        <f t="shared" ref="AD220:AE220" si="820">Z40</f>
        <v>0.57135098453933164</v>
      </c>
      <c r="AE220" s="64">
        <f t="shared" si="820"/>
        <v>0.50371682699315512</v>
      </c>
      <c r="AG220" s="165">
        <v>-27.5</v>
      </c>
      <c r="AH220" s="166">
        <v>103.42268165995598</v>
      </c>
      <c r="AI220" s="167">
        <f t="shared" si="729"/>
        <v>4.5591710646561756</v>
      </c>
      <c r="AK220" s="50">
        <f>AG29</f>
        <v>68</v>
      </c>
      <c r="AL220" s="63">
        <f>AH29</f>
        <v>2.346747664068221</v>
      </c>
      <c r="AM220" s="64">
        <f>AI29</f>
        <v>0.95035054085448678</v>
      </c>
    </row>
    <row r="221" spans="25:39">
      <c r="Y221" s="147">
        <v>-23</v>
      </c>
      <c r="Z221" s="148">
        <v>33.089898817140934</v>
      </c>
      <c r="AA221" s="149">
        <v>4.3322841696413521</v>
      </c>
      <c r="AC221" s="50">
        <f>Y39</f>
        <v>68</v>
      </c>
      <c r="AD221" s="63">
        <f t="shared" ref="AD221:AE221" si="821">Z39</f>
        <v>0.56157666693396469</v>
      </c>
      <c r="AE221" s="64">
        <f t="shared" si="821"/>
        <v>0.49595430740504959</v>
      </c>
      <c r="AG221" s="165">
        <v>-28</v>
      </c>
      <c r="AH221" s="166">
        <v>106.15128853374992</v>
      </c>
      <c r="AI221" s="167">
        <f t="shared" si="729"/>
        <v>4.5695269451490281</v>
      </c>
      <c r="AK221" s="50">
        <f>AG28</f>
        <v>68.5</v>
      </c>
      <c r="AL221" s="63">
        <f>AH28</f>
        <v>2.3119613233945526</v>
      </c>
      <c r="AM221" s="64">
        <f>AI28</f>
        <v>0.93890862010810705</v>
      </c>
    </row>
    <row r="222" spans="25:39">
      <c r="Y222" s="147">
        <v>-23.5</v>
      </c>
      <c r="Z222" s="148">
        <v>34.028600313969768</v>
      </c>
      <c r="AA222" s="149">
        <v>4.3483027812038566</v>
      </c>
      <c r="AC222" s="50">
        <f>Y38</f>
        <v>68.5</v>
      </c>
      <c r="AD222" s="63">
        <f t="shared" ref="AD222:AE222" si="822">Z38</f>
        <v>0.55199573806627567</v>
      </c>
      <c r="AE222" s="64">
        <f t="shared" si="822"/>
        <v>0.48831931555483682</v>
      </c>
      <c r="AG222" s="165">
        <v>-28.5</v>
      </c>
      <c r="AH222" s="166">
        <v>108.96077763548658</v>
      </c>
      <c r="AI222" s="167">
        <f t="shared" si="729"/>
        <v>4.5796933998430358</v>
      </c>
      <c r="AK222" s="50">
        <f>AG27</f>
        <v>69</v>
      </c>
      <c r="AL222" s="63">
        <f>AH27</f>
        <v>2.2777807975172486</v>
      </c>
      <c r="AM222" s="64">
        <f>AI27</f>
        <v>0.92760281156748214</v>
      </c>
    </row>
    <row r="223" spans="25:39">
      <c r="Y223" s="147">
        <v>-24</v>
      </c>
      <c r="Z223" s="148">
        <v>34.995726176822409</v>
      </c>
      <c r="AA223" s="149">
        <v>4.3640219935774489</v>
      </c>
      <c r="AC223" s="50">
        <f>Y37</f>
        <v>69</v>
      </c>
      <c r="AD223" s="63">
        <f t="shared" ref="AD223:AE223" si="823">Z37</f>
        <v>0.54260390590525565</v>
      </c>
      <c r="AE223" s="64">
        <f t="shared" si="823"/>
        <v>0.48080984856778147</v>
      </c>
      <c r="AG223" s="165">
        <v>-29</v>
      </c>
      <c r="AH223" s="166">
        <v>111.85378926219936</v>
      </c>
      <c r="AI223" s="167">
        <f t="shared" si="729"/>
        <v>4.5896721775929974</v>
      </c>
      <c r="AK223" s="50">
        <f>AG26</f>
        <v>69.5</v>
      </c>
      <c r="AL223" s="63">
        <f>AH26</f>
        <v>2.2441941254435318</v>
      </c>
      <c r="AM223" s="64">
        <f>AI26</f>
        <v>0.91643194417347518</v>
      </c>
    </row>
    <row r="224" spans="25:39">
      <c r="Y224" s="147">
        <v>-24.5</v>
      </c>
      <c r="Z224" s="148">
        <v>35.992161549378146</v>
      </c>
      <c r="AA224" s="149">
        <v>4.3794436934314573</v>
      </c>
      <c r="AC224" s="50">
        <f>Y36</f>
        <v>69.5</v>
      </c>
      <c r="AD224" s="63">
        <f t="shared" ref="AD224:AE224" si="824">Z36</f>
        <v>0.53339698308811667</v>
      </c>
      <c r="AE224" s="64">
        <f t="shared" si="824"/>
        <v>0.47342392582079224</v>
      </c>
      <c r="AG224" s="165">
        <v>-29.5</v>
      </c>
      <c r="AH224" s="166">
        <v>114.83305733198102</v>
      </c>
      <c r="AI224" s="167">
        <f t="shared" si="729"/>
        <v>4.5994650690399261</v>
      </c>
      <c r="AK224" s="50">
        <f>AG25</f>
        <v>70</v>
      </c>
      <c r="AL224" s="63">
        <f>AH25</f>
        <v>2.2111896081486195</v>
      </c>
      <c r="AM224" s="64">
        <f>AI25</f>
        <v>0.90539483830186207</v>
      </c>
    </row>
    <row r="225" spans="25:39">
      <c r="Y225" s="147">
        <v>-25</v>
      </c>
      <c r="Z225" s="148">
        <v>37.018818561091258</v>
      </c>
      <c r="AA225" s="149">
        <v>4.3945699126623525</v>
      </c>
      <c r="AC225" s="50">
        <f>Y35</f>
        <v>70</v>
      </c>
      <c r="AD225" s="63">
        <f t="shared" ref="AD225:AE225" si="825">Z35</f>
        <v>0.52437088415829236</v>
      </c>
      <c r="AE225" s="64">
        <f t="shared" si="825"/>
        <v>0.46615958918645034</v>
      </c>
      <c r="AG225" s="165">
        <v>-30</v>
      </c>
      <c r="AH225" s="166">
        <v>117.90141295330618</v>
      </c>
      <c r="AI225" s="167">
        <f t="shared" si="729"/>
        <v>4.6090739043027318</v>
      </c>
      <c r="AK225" s="50">
        <f>AG24</f>
        <v>70.5</v>
      </c>
      <c r="AL225" s="63">
        <f>AH24</f>
        <v>2.1787558023050799</v>
      </c>
      <c r="AM225" s="64">
        <f>AI24</f>
        <v>0.89449030659302065</v>
      </c>
    </row>
    <row r="226" spans="25:39">
      <c r="Y226" s="147">
        <v>-25.5</v>
      </c>
      <c r="Z226" s="148">
        <v>38.076637057603293</v>
      </c>
      <c r="AA226" s="149">
        <v>4.4094028220405486</v>
      </c>
      <c r="AC226" s="50">
        <f>Y34</f>
        <v>70.5</v>
      </c>
      <c r="AD226" s="63">
        <f t="shared" ref="AD226:AE226" si="826">Z34</f>
        <v>0.51552162288134307</v>
      </c>
      <c r="AE226" s="64">
        <f t="shared" si="826"/>
        <v>0.45901490324671501</v>
      </c>
      <c r="AG226" s="165">
        <v>-30.5</v>
      </c>
      <c r="AH226" s="166">
        <v>121.06178813949494</v>
      </c>
      <c r="AI226" s="167">
        <f t="shared" si="729"/>
        <v>4.6185005506961136</v>
      </c>
      <c r="AK226" s="50">
        <f>AG23</f>
        <v>71</v>
      </c>
      <c r="AL226" s="63">
        <f>AH23</f>
        <v>2.1468815141744479</v>
      </c>
      <c r="AM226" s="64">
        <f>AI23</f>
        <v>0.88371715475663748</v>
      </c>
    </row>
    <row r="227" spans="25:39">
      <c r="Y227" s="147">
        <v>-26</v>
      </c>
      <c r="Z227" s="148">
        <v>39.166585343148071</v>
      </c>
      <c r="AA227" s="149">
        <v>4.4239447248454393</v>
      </c>
      <c r="AC227" s="50">
        <f>Y33</f>
        <v>71</v>
      </c>
      <c r="AD227" s="63">
        <f t="shared" ref="AD227:AE227" si="827">Z33</f>
        <v>0.5068453096364478</v>
      </c>
      <c r="AE227" s="64">
        <f t="shared" si="827"/>
        <v>0.45198795547768739</v>
      </c>
      <c r="AG227" s="165">
        <v>-31</v>
      </c>
      <c r="AH227" s="166">
        <v>124.31721967459063</v>
      </c>
      <c r="AI227" s="167">
        <f t="shared" si="729"/>
        <v>4.6277469104770441</v>
      </c>
      <c r="AK227" s="50">
        <f>AG22</f>
        <v>71.5</v>
      </c>
      <c r="AL227" s="63">
        <f>AH22</f>
        <v>2.1155557936565361</v>
      </c>
      <c r="AM227" s="64">
        <f>AI22</f>
        <v>0.87307418235166689</v>
      </c>
    </row>
    <row r="228" spans="25:39">
      <c r="Y228" s="147">
        <v>-26.5</v>
      </c>
      <c r="Z228" s="148">
        <v>40.289660934501242</v>
      </c>
      <c r="AA228" s="149">
        <v>4.4381980505032335</v>
      </c>
      <c r="AC228" s="50">
        <f>Y32</f>
        <v>71.5</v>
      </c>
      <c r="AD228" s="63">
        <f t="shared" ref="AD228:AE228" si="828">Z32</f>
        <v>0.49833814888122957</v>
      </c>
      <c r="AE228" s="64">
        <f t="shared" si="828"/>
        <v>0.44507685640676903</v>
      </c>
      <c r="AG228" s="165">
        <v>-31.5</v>
      </c>
      <c r="AH228" s="166">
        <v>127.67085313718384</v>
      </c>
      <c r="AI228" s="167">
        <f t="shared" si="729"/>
        <v>4.6368149186220498</v>
      </c>
      <c r="AK228" s="50">
        <f>AG21</f>
        <v>72</v>
      </c>
      <c r="AL228" s="63">
        <f>AH21</f>
        <v>2.0847679284921687</v>
      </c>
      <c r="AM228" s="64">
        <f>AI21</f>
        <v>0.86256018354184805</v>
      </c>
    </row>
    <row r="229" spans="25:39">
      <c r="Y229" s="147">
        <v>-27</v>
      </c>
      <c r="Z229" s="148">
        <v>41.446891325949423</v>
      </c>
      <c r="AA229" s="149">
        <v>4.4521653482413335</v>
      </c>
      <c r="AC229" s="50">
        <f>Y31</f>
        <v>72</v>
      </c>
      <c r="AD229" s="63">
        <f t="shared" ref="AD229:AE229" si="829">Z31</f>
        <v>0.48999643668770321</v>
      </c>
      <c r="AE229" s="64">
        <f t="shared" si="829"/>
        <v>0.43827973974348877</v>
      </c>
      <c r="AG229" s="165">
        <v>-32</v>
      </c>
      <c r="AH229" s="166">
        <v>131.12594708901892</v>
      </c>
      <c r="AI229" s="167">
        <f t="shared" si="729"/>
        <v>4.6457065406373417</v>
      </c>
      <c r="AK229" s="50">
        <f>AG20</f>
        <v>72.5</v>
      </c>
      <c r="AL229" s="63">
        <f>AH20</f>
        <v>2.0545074386150559</v>
      </c>
      <c r="AM229" s="64">
        <f>AI20</f>
        <v>0.85217394782706213</v>
      </c>
    </row>
    <row r="230" spans="25:39">
      <c r="Y230" s="147">
        <v>-27.5</v>
      </c>
      <c r="Z230" s="148">
        <v>42.639334764692592</v>
      </c>
      <c r="AA230" s="149">
        <v>4.4658492807725612</v>
      </c>
      <c r="AC230" s="50">
        <f>Y30</f>
        <v>72.5</v>
      </c>
      <c r="AD230" s="63">
        <f t="shared" ref="AD230:AE230" si="830">Z30</f>
        <v>0.48181655834729586</v>
      </c>
      <c r="AE230" s="64">
        <f t="shared" si="830"/>
        <v>0.43159476248531137</v>
      </c>
      <c r="AG230" s="165">
        <v>-32.5</v>
      </c>
      <c r="AH230" s="166">
        <v>134.68587743552899</v>
      </c>
      <c r="AI230" s="167">
        <f t="shared" si="729"/>
        <v>4.6544237704037172</v>
      </c>
      <c r="AK230" s="50">
        <f>AG19</f>
        <v>73</v>
      </c>
      <c r="AL230" s="63">
        <f>AH19</f>
        <v>2.0247640706487497</v>
      </c>
      <c r="AM230" s="64">
        <f>AI19</f>
        <v>0.8419142607508604</v>
      </c>
    </row>
    <row r="231" spans="25:39">
      <c r="Y231" s="147">
        <v>-28</v>
      </c>
      <c r="Z231" s="148">
        <v>43.868081036003822</v>
      </c>
      <c r="AA231" s="149">
        <v>4.4792526180217047</v>
      </c>
      <c r="AC231" s="50">
        <f>Y29</f>
        <v>73</v>
      </c>
      <c r="AD231" s="63">
        <f t="shared" ref="AD231:AE231" si="831">Z29</f>
        <v>0.47379498604282666</v>
      </c>
      <c r="AE231" s="64">
        <f t="shared" si="831"/>
        <v>0.42502010499959414</v>
      </c>
      <c r="AG231" s="165">
        <v>-33</v>
      </c>
      <c r="AH231" s="166">
        <v>138.35414196578668</v>
      </c>
      <c r="AI231" s="167">
        <f t="shared" si="729"/>
        <v>4.6629686280580493</v>
      </c>
      <c r="AK231" s="50">
        <f>AG18</f>
        <v>73.5</v>
      </c>
      <c r="AL231" s="63">
        <f>AH18</f>
        <v>1.9955277925445651</v>
      </c>
      <c r="AM231" s="64">
        <f>AI18</f>
        <v>0.83177990458444906</v>
      </c>
    </row>
    <row r="232" spans="25:39">
      <c r="Y232" s="147">
        <v>-28.5</v>
      </c>
      <c r="Z232" s="148">
        <v>45.134252257385633</v>
      </c>
      <c r="AA232" s="149">
        <v>4.4923782309061666</v>
      </c>
      <c r="AC232" s="50">
        <f>Y28</f>
        <v>73.5</v>
      </c>
      <c r="AD232" s="63">
        <f t="shared" ref="AD232:AE232" si="832">Z28</f>
        <v>0.46592827658549452</v>
      </c>
      <c r="AE232" s="64">
        <f t="shared" si="832"/>
        <v>0.41855397108290215</v>
      </c>
      <c r="AG232" s="165">
        <v>-33.5</v>
      </c>
      <c r="AH232" s="166">
        <v>142.13436507968302</v>
      </c>
      <c r="AI232" s="167">
        <f t="shared" si="729"/>
        <v>4.6713431579129958</v>
      </c>
      <c r="AK232" s="50">
        <f>AG17</f>
        <v>74</v>
      </c>
      <c r="AL232" s="63">
        <f>AH17</f>
        <v>1.9667887883567232</v>
      </c>
      <c r="AM232" s="64">
        <f>AI17</f>
        <v>0.82176965898752286</v>
      </c>
    </row>
    <row r="233" spans="25:39">
      <c r="Y233" s="147">
        <v>-29</v>
      </c>
      <c r="Z233" s="148">
        <v>46.439003680879523</v>
      </c>
      <c r="AA233" s="149">
        <v>4.5052290851819423</v>
      </c>
      <c r="AC233" s="50">
        <f>Y27</f>
        <v>74</v>
      </c>
      <c r="AD233" s="63">
        <f t="shared" ref="AD233:AE233" si="833">Z27</f>
        <v>0.45821306921495975</v>
      </c>
      <c r="AE233" s="64">
        <f t="shared" si="833"/>
        <v>0.41219458799883468</v>
      </c>
      <c r="AG233" s="165">
        <v>-34</v>
      </c>
      <c r="AH233" s="166">
        <v>146.03030271049741</v>
      </c>
      <c r="AI233" s="167">
        <f t="shared" si="729"/>
        <v>4.6795494264164104</v>
      </c>
      <c r="AK233" s="50">
        <f>AG16</f>
        <v>74.5</v>
      </c>
      <c r="AL233" s="63">
        <f>AH16</f>
        <v>1.9385374531509092</v>
      </c>
      <c r="AM233" s="64">
        <f>AI16</f>
        <v>0.81188230164628583</v>
      </c>
    </row>
    <row r="234" spans="25:39">
      <c r="Y234" s="147">
        <v>-29.5</v>
      </c>
      <c r="Z234" s="148">
        <v>47.783524502576405</v>
      </c>
      <c r="AA234" s="149">
        <v>4.517808235365294</v>
      </c>
      <c r="AC234" s="50">
        <f>Y26</f>
        <v>74.5</v>
      </c>
      <c r="AD234" s="63">
        <f t="shared" ref="AD234:AE234" si="834">Z26</f>
        <v>0.45064608346061852</v>
      </c>
      <c r="AE234" s="64">
        <f t="shared" si="834"/>
        <v>0.40594020649543716</v>
      </c>
      <c r="AG234" s="165">
        <v>-34.5</v>
      </c>
      <c r="AH234" s="166">
        <v>150.04584745144885</v>
      </c>
      <c r="AI234" s="167">
        <f t="shared" si="729"/>
        <v>4.687589520151918</v>
      </c>
      <c r="AK234" s="50">
        <f>AG15</f>
        <v>75</v>
      </c>
      <c r="AL234" s="63">
        <f>AH15</f>
        <v>1.9107643880425134</v>
      </c>
      <c r="AM234" s="64">
        <f>AI15</f>
        <v>0.80211660888900338</v>
      </c>
    </row>
    <row r="235" spans="25:39">
      <c r="Y235" s="147">
        <v>-30</v>
      </c>
      <c r="Z235" s="148">
        <v>49.169038678272742</v>
      </c>
      <c r="AA235" s="149">
        <v>4.530118818739842</v>
      </c>
      <c r="AC235" s="50">
        <f>Y25</f>
        <v>75</v>
      </c>
      <c r="AD235" s="63">
        <f t="shared" ref="AD235:AE235" si="835">Z25</f>
        <v>0.44322411706232878</v>
      </c>
      <c r="AE235" s="64">
        <f t="shared" si="835"/>
        <v>0.39978910080332325</v>
      </c>
      <c r="AG235" s="165">
        <v>-35</v>
      </c>
      <c r="AH235" s="166">
        <v>154.18503389513509</v>
      </c>
      <c r="AI235" s="167">
        <f t="shared" si="729"/>
        <v>4.69546554388182</v>
      </c>
      <c r="AK235" s="50">
        <f>AG14</f>
        <v>75.5</v>
      </c>
      <c r="AL235" s="63">
        <f>AH14</f>
        <v>1.8834603953611426</v>
      </c>
      <c r="AM235" s="64">
        <f>AI14</f>
        <v>0.79247135627951226</v>
      </c>
    </row>
    <row r="236" spans="25:39">
      <c r="Y236" s="147">
        <v>-30.5</v>
      </c>
      <c r="Z236" s="148">
        <v>50.596805744111663</v>
      </c>
      <c r="AA236" s="149">
        <v>4.5421640494581519</v>
      </c>
      <c r="AC236" s="50">
        <f>Y24</f>
        <v>75.5</v>
      </c>
      <c r="AD236" s="63">
        <f t="shared" ref="AD236:AE236" si="836">Z24</f>
        <v>0.43594404394874975</v>
      </c>
      <c r="AE236" s="64">
        <f t="shared" si="836"/>
        <v>0.39373956861546777</v>
      </c>
      <c r="AG236" s="165">
        <v>-35.5</v>
      </c>
      <c r="AH236" s="166">
        <v>158.45204419524401</v>
      </c>
      <c r="AI236" s="167">
        <f t="shared" si="729"/>
        <v>4.7031796186334933</v>
      </c>
      <c r="AK236" s="50">
        <f>AG13</f>
        <v>76</v>
      </c>
      <c r="AL236" s="63">
        <f>AH13</f>
        <v>1.8566164739379136</v>
      </c>
      <c r="AM236" s="64">
        <f>AI13</f>
        <v>0.78294531918905841</v>
      </c>
    </row>
    <row r="237" spans="25:39">
      <c r="Y237" s="147">
        <v>-31</v>
      </c>
      <c r="Z237" s="148">
        <v>52.068121640916388</v>
      </c>
      <c r="AA237" s="149">
        <v>4.5539472127461131</v>
      </c>
      <c r="AC237" s="50">
        <f>Y23</f>
        <v>76</v>
      </c>
      <c r="AD237" s="63">
        <f t="shared" ref="AD237:AE237" si="837">Z23</f>
        <v>0.42880281227169859</v>
      </c>
      <c r="AE237" s="64">
        <f t="shared" si="837"/>
        <v>0.38778993104974763</v>
      </c>
      <c r="AG237" s="165">
        <v>-36</v>
      </c>
      <c r="AH237" s="166">
        <v>162.8512138603358</v>
      </c>
      <c r="AI237" s="167">
        <f t="shared" si="729"/>
        <v>4.7107338798303138</v>
      </c>
      <c r="AK237" s="50">
        <f>AG12</f>
        <v>76.5</v>
      </c>
      <c r="AL237" s="63">
        <f>AH12</f>
        <v>1.830223814512058</v>
      </c>
      <c r="AM237" s="64">
        <f>AI12</f>
        <v>0.77353727334682143</v>
      </c>
    </row>
    <row r="238" spans="25:39">
      <c r="Y238" s="147">
        <v>-31.5</v>
      </c>
      <c r="Z238" s="148">
        <v>53.584319540802973</v>
      </c>
      <c r="AA238" s="149">
        <v>4.5654716592177582</v>
      </c>
      <c r="AC238" s="50">
        <f>Y22</f>
        <v>76.5</v>
      </c>
      <c r="AD238" s="63">
        <f t="shared" ref="AD238:AE238" si="838">Z22</f>
        <v>0.42179744249480772</v>
      </c>
      <c r="AE238" s="64">
        <f t="shared" si="838"/>
        <v>0.38193853259513549</v>
      </c>
      <c r="AG238" s="165">
        <v>-36.5</v>
      </c>
      <c r="AH238" s="166">
        <v>167.38703778992914</v>
      </c>
      <c r="AI238" s="167">
        <f t="shared" si="729"/>
        <v>4.7181304754679276</v>
      </c>
      <c r="AK238" s="50">
        <f>AG11</f>
        <v>77</v>
      </c>
      <c r="AL238" s="63">
        <f>AH11</f>
        <v>1.8042737952538148</v>
      </c>
      <c r="AM238" s="64">
        <f>AI11</f>
        <v>0.76424599536960303</v>
      </c>
    </row>
    <row r="239" spans="25:39">
      <c r="Y239" s="147">
        <v>-32</v>
      </c>
      <c r="Z239" s="148">
        <v>55.146770674519459</v>
      </c>
      <c r="AA239" s="149">
        <v>4.5767407993075242</v>
      </c>
      <c r="AC239" s="50">
        <f>Y21</f>
        <v>77</v>
      </c>
      <c r="AD239" s="63">
        <f t="shared" ref="AD239:AE239" si="839">Z21</f>
        <v>0.41492502553491517</v>
      </c>
      <c r="AE239" s="64">
        <f t="shared" si="839"/>
        <v>0.37618374104249042</v>
      </c>
      <c r="AG239" s="165">
        <v>-37</v>
      </c>
      <c r="AH239" s="166">
        <v>172.0641765636237</v>
      </c>
      <c r="AI239" s="167">
        <f t="shared" si="729"/>
        <v>4.7253715643366716</v>
      </c>
      <c r="AK239" s="50">
        <f>AG10</f>
        <v>77.5</v>
      </c>
      <c r="AL239" s="63">
        <f>AH10</f>
        <v>1.7787579774003373</v>
      </c>
      <c r="AM239" s="64">
        <f>AI10</f>
        <v>0.75507026327105287</v>
      </c>
    </row>
    <row r="240" spans="25:39">
      <c r="Y240" s="147">
        <v>-32.5</v>
      </c>
      <c r="Z240" s="148">
        <v>56.756885157809897</v>
      </c>
      <c r="AA240" s="149">
        <v>4.5877580978262298</v>
      </c>
      <c r="AC240" s="50">
        <f>Y20</f>
        <v>77.5</v>
      </c>
      <c r="AD240" s="63">
        <f t="shared" ref="AD240:AE240" si="840">Z20</f>
        <v>0.40818272095465846</v>
      </c>
      <c r="AE240" s="64">
        <f t="shared" si="840"/>
        <v>0.37052394740085326</v>
      </c>
      <c r="AG240" s="165">
        <v>-37.5</v>
      </c>
      <c r="AH240" s="166">
        <v>176.88746299449971</v>
      </c>
      <c r="AI240" s="167">
        <f t="shared" si="729"/>
        <v>4.7324593142908062</v>
      </c>
      <c r="AK240" s="50">
        <f>AG9</f>
        <v>78</v>
      </c>
      <c r="AL240" s="63">
        <f>AH9</f>
        <v>1.7536681010014268</v>
      </c>
      <c r="AM240" s="64">
        <f>AI9</f>
        <v>0.74600885695079822</v>
      </c>
    </row>
    <row r="241" spans="25:39">
      <c r="Y241" s="147">
        <v>-33</v>
      </c>
      <c r="Z241" s="148">
        <v>58.416112814948335</v>
      </c>
      <c r="AA241" s="149">
        <v>4.5985270686464519</v>
      </c>
      <c r="AC241" s="50">
        <f>Y19</f>
        <v>78</v>
      </c>
      <c r="AD241" s="63">
        <f t="shared" ref="AD241:AE241" si="841">Z19</f>
        <v>0.4015677552047644</v>
      </c>
      <c r="AE241" s="64">
        <f t="shared" si="841"/>
        <v>0.3649575658000947</v>
      </c>
      <c r="AG241" s="165">
        <v>-38</v>
      </c>
      <c r="AH241" s="166">
        <v>181.86190895851212</v>
      </c>
      <c r="AI241" s="167">
        <f t="shared" si="729"/>
        <v>4.7393959005650679</v>
      </c>
      <c r="AK241" s="50">
        <f>AG8</f>
        <v>78.5</v>
      </c>
      <c r="AL241" s="63">
        <f>AH8</f>
        <v>1.7289960807724467</v>
      </c>
      <c r="AM241" s="64">
        <f>AI8</f>
        <v>0.73706055866401932</v>
      </c>
    </row>
    <row r="242" spans="25:39">
      <c r="Y242" s="147">
        <v>-33.5</v>
      </c>
      <c r="Z242" s="148">
        <v>60.125943997420222</v>
      </c>
      <c r="AA242" s="149">
        <v>4.6090512695223156</v>
      </c>
      <c r="AC242" s="50">
        <f>Y18</f>
        <v>78.5</v>
      </c>
      <c r="AD242" s="63">
        <f t="shared" ref="AD242:AE242" si="842">Z18</f>
        <v>0.39507741991456585</v>
      </c>
      <c r="AE242" s="64">
        <f t="shared" si="842"/>
        <v>0.3594830333807274</v>
      </c>
      <c r="AG242" s="165">
        <v>-38.5</v>
      </c>
      <c r="AH242" s="166">
        <v>186.99271251222339</v>
      </c>
      <c r="AI242" s="167">
        <f t="shared" si="729"/>
        <v>4.7461835041390303</v>
      </c>
      <c r="AK242" s="50">
        <f>AG7</f>
        <v>79</v>
      </c>
      <c r="AL242" s="63">
        <f>AH7</f>
        <v>1.7047340020511903</v>
      </c>
      <c r="AM242" s="64">
        <f>AI7</f>
        <v>0.72822415347176839</v>
      </c>
    </row>
    <row r="243" spans="25:39">
      <c r="Y243" s="147">
        <v>-34</v>
      </c>
      <c r="Z243" s="148">
        <v>61.887910395555537</v>
      </c>
      <c r="AA243" s="149">
        <v>4.6193342970481455</v>
      </c>
      <c r="AC243" s="50">
        <f>Y17</f>
        <v>79</v>
      </c>
      <c r="AD243" s="63">
        <f t="shared" ref="AD243:AE243" si="843">Z17</f>
        <v>0.3887090702293845</v>
      </c>
      <c r="AE243" s="64">
        <f t="shared" si="843"/>
        <v>0.35409881017171452</v>
      </c>
      <c r="AG243" s="165">
        <v>-39</v>
      </c>
      <c r="AH243" s="166">
        <v>192.28526531169578</v>
      </c>
      <c r="AI243" s="167">
        <f t="shared" si="729"/>
        <v>4.7528243101495482</v>
      </c>
      <c r="AK243" s="50">
        <f>AG6</f>
        <v>79.5</v>
      </c>
      <c r="AL243" s="63">
        <f>AH6</f>
        <v>1.6808741168561849</v>
      </c>
      <c r="AM243" s="64">
        <f>AI6</f>
        <v>0.71949842967256417</v>
      </c>
    </row>
    <row r="244" spans="25:39" ht="13.5" thickBot="1">
      <c r="Y244" s="147">
        <v>-34.5</v>
      </c>
      <c r="Z244" s="148">
        <v>63.703585840722702</v>
      </c>
      <c r="AA244" s="149">
        <v>4.6293797817597557</v>
      </c>
      <c r="AC244" s="50">
        <f>Y16</f>
        <v>79.5</v>
      </c>
      <c r="AD244" s="63">
        <f t="shared" ref="AD244:AE244" si="844">Z16</f>
        <v>0.38246012319337452</v>
      </c>
      <c r="AE244" s="64">
        <f t="shared" si="844"/>
        <v>0.34880337895700242</v>
      </c>
      <c r="AG244" s="168">
        <v>-39.5</v>
      </c>
      <c r="AH244" s="169">
        <v>197.74516034608368</v>
      </c>
      <c r="AI244" s="170">
        <f t="shared" si="729"/>
        <v>4.7593205063516058</v>
      </c>
      <c r="AK244" s="50">
        <f>AG5</f>
        <v>80</v>
      </c>
      <c r="AL244" s="63">
        <f>AH5</f>
        <v>1.6574088400433546</v>
      </c>
      <c r="AM244" s="64">
        <f>AI5</f>
        <v>0.71088217921556174</v>
      </c>
    </row>
    <row r="245" spans="25:39" ht="13.5" thickTop="1">
      <c r="Y245" s="147">
        <v>-35</v>
      </c>
      <c r="Z245" s="148">
        <v>65.574587095502324</v>
      </c>
      <c r="AA245" s="149">
        <v>4.6391913833816689</v>
      </c>
      <c r="AC245" s="50">
        <f>Y15</f>
        <v>80</v>
      </c>
      <c r="AD245" s="63">
        <f t="shared" ref="AD245:AE245" si="845">Z15</f>
        <v>0.37632805617654069</v>
      </c>
      <c r="AE245" s="64">
        <f t="shared" si="845"/>
        <v>0.34359524513153911</v>
      </c>
    </row>
    <row r="246" spans="25:39">
      <c r="Y246" s="147">
        <v>-35.5</v>
      </c>
      <c r="Z246" s="148">
        <v>67.502574629044673</v>
      </c>
      <c r="AA246" s="149">
        <v>4.6487727862229464</v>
      </c>
      <c r="AC246" s="50">
        <f>Y14</f>
        <v>80.5</v>
      </c>
      <c r="AD246" s="63">
        <f t="shared" ref="AD246:AE246" si="846">Z14</f>
        <v>0.37031040534461324</v>
      </c>
      <c r="AE246" s="64">
        <f t="shared" si="846"/>
        <v>0.3384729365474507</v>
      </c>
    </row>
    <row r="247" spans="25:39">
      <c r="Y247" s="147">
        <v>-36</v>
      </c>
      <c r="Z247" s="148">
        <v>69.489253374587761</v>
      </c>
      <c r="AA247" s="149">
        <v>4.6581276947238122</v>
      </c>
      <c r="AC247" s="50">
        <f>Y13</f>
        <v>81</v>
      </c>
      <c r="AD247" s="63">
        <f t="shared" ref="AD247:AE247" si="847">Z13</f>
        <v>0.36440476417058099</v>
      </c>
      <c r="AE247" s="64">
        <f t="shared" si="847"/>
        <v>0.33343500335108545</v>
      </c>
    </row>
    <row r="248" spans="25:39">
      <c r="Y248" s="147">
        <v>-36.5</v>
      </c>
      <c r="Z248" s="148">
        <v>71.536373465888744</v>
      </c>
      <c r="AA248" s="149">
        <v>4.6672598291547533</v>
      </c>
      <c r="AC248" s="50">
        <f>Y12</f>
        <v>81.5</v>
      </c>
      <c r="AD248" s="63">
        <f t="shared" ref="AD248:AE248" si="848">Z12</f>
        <v>0.35860878198664442</v>
      </c>
      <c r="AE248" s="64">
        <f t="shared" si="848"/>
        <v>0.32848001781154373</v>
      </c>
    </row>
    <row r="249" spans="25:39">
      <c r="Y249" s="147">
        <v>-37</v>
      </c>
      <c r="Z249" s="148">
        <v>73.645730949050986</v>
      </c>
      <c r="AA249" s="149">
        <v>4.676172921469246</v>
      </c>
      <c r="AC249" s="50">
        <f>Y11</f>
        <v>82</v>
      </c>
      <c r="AD249" s="63">
        <f t="shared" ref="AD249:AE249" si="849">Z11</f>
        <v>0.35292016257544911</v>
      </c>
      <c r="AE249" s="64">
        <f t="shared" si="849"/>
        <v>0.32360657414133376</v>
      </c>
    </row>
    <row r="250" spans="25:39">
      <c r="Y250" s="147">
        <v>-37.5</v>
      </c>
      <c r="Z250" s="148">
        <v>75.819168465991453</v>
      </c>
      <c r="AA250" s="149">
        <v>4.6848707113109169</v>
      </c>
      <c r="AC250" s="50">
        <f>Y10</f>
        <v>82.5</v>
      </c>
      <c r="AD250" s="63">
        <f t="shared" ref="AD250:AE250" si="850">Z10</f>
        <v>0.34733666279943415</v>
      </c>
      <c r="AE250" s="64">
        <f t="shared" si="850"/>
        <v>0.31881328830971756</v>
      </c>
    </row>
    <row r="251" spans="25:39">
      <c r="Y251" s="147">
        <v>-38</v>
      </c>
      <c r="Z251" s="148">
        <v>78.058575905485839</v>
      </c>
      <c r="AA251" s="149">
        <v>4.6933569421753676</v>
      </c>
      <c r="AC251" s="50">
        <f>Y9</f>
        <v>83</v>
      </c>
      <c r="AD251" s="63">
        <f t="shared" ref="AD251:AE251" si="851">Z9</f>
        <v>0.34185609126724681</v>
      </c>
      <c r="AE251" s="64">
        <f t="shared" si="851"/>
        <v>0.31409879784935535</v>
      </c>
    </row>
    <row r="252" spans="25:39">
      <c r="Y252" s="147">
        <v>-38.5</v>
      </c>
      <c r="Z252" s="148">
        <v>80.365891017465884</v>
      </c>
      <c r="AA252" s="149">
        <v>4.7016353577266417</v>
      </c>
      <c r="AC252" s="50">
        <f>Y8</f>
        <v>83.5</v>
      </c>
      <c r="AD252" s="63">
        <f t="shared" ref="AD252:AE252" si="852">Z8</f>
        <v>0.33647630703610693</v>
      </c>
      <c r="AE252" s="64">
        <f t="shared" si="852"/>
        <v>0.30946176165674238</v>
      </c>
    </row>
    <row r="253" spans="25:39">
      <c r="Y253" s="147">
        <v>-39</v>
      </c>
      <c r="Z253" s="148">
        <v>82.743099985907321</v>
      </c>
      <c r="AA253" s="149">
        <v>4.7097096982678099</v>
      </c>
      <c r="AC253" s="50">
        <f>Y7</f>
        <v>84</v>
      </c>
      <c r="AD253" s="63">
        <f t="shared" ref="AD253:AE253" si="853">Z7</f>
        <v>0.33119521834913379</v>
      </c>
      <c r="AE253" s="64">
        <f t="shared" si="853"/>
        <v>0.30490085978699538</v>
      </c>
    </row>
    <row r="254" spans="25:39">
      <c r="Y254" s="147">
        <v>-39.5</v>
      </c>
      <c r="Z254" s="148">
        <v>85.192237955333596</v>
      </c>
      <c r="AA254" s="149">
        <v>4.7175836973648337</v>
      </c>
      <c r="AC254" s="50">
        <f>Y6</f>
        <v>84.5</v>
      </c>
      <c r="AD254" s="63">
        <f t="shared" ref="AD254:AE254" si="854">Z6</f>
        <v>0.32601078140660411</v>
      </c>
      <c r="AE254" s="64">
        <f t="shared" si="854"/>
        <v>0.3004147932434546</v>
      </c>
    </row>
    <row r="255" spans="25:39">
      <c r="Y255" s="147">
        <v>-40</v>
      </c>
      <c r="Z255" s="148">
        <v>87.715389505627513</v>
      </c>
      <c r="AA255" s="149">
        <v>4.7252610786225935</v>
      </c>
      <c r="AC255" s="50">
        <f>Y5</f>
        <v>85</v>
      </c>
      <c r="AD255" s="63">
        <f t="shared" ref="AD255:AE255" si="855">Z5</f>
        <v>0.3209209991701934</v>
      </c>
      <c r="AE255" s="64">
        <f t="shared" si="855"/>
        <v>0.29600228376259158</v>
      </c>
    </row>
  </sheetData>
  <mergeCells count="5">
    <mergeCell ref="A1:C2"/>
    <mergeCell ref="I1:K2"/>
    <mergeCell ref="Q1:S2"/>
    <mergeCell ref="Y1:AA2"/>
    <mergeCell ref="AG1:AI2"/>
  </mergeCells>
  <phoneticPr fontId="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50"/>
  <sheetViews>
    <sheetView workbookViewId="0">
      <selection activeCell="B17" sqref="B17"/>
    </sheetView>
  </sheetViews>
  <sheetFormatPr defaultColWidth="8.7109375" defaultRowHeight="12.75"/>
  <cols>
    <col min="1" max="1" width="17" style="50" bestFit="1" customWidth="1"/>
    <col min="2" max="2" width="52" style="50" bestFit="1" customWidth="1"/>
    <col min="3" max="3" width="35.85546875" style="50" bestFit="1" customWidth="1"/>
    <col min="4" max="4" width="13" style="50" bestFit="1" customWidth="1"/>
    <col min="5" max="5" width="10.140625" style="50" customWidth="1"/>
    <col min="6" max="16384" width="8.7109375" style="50"/>
  </cols>
  <sheetData>
    <row r="1" spans="1:3" s="299" customFormat="1" ht="13.5">
      <c r="A1" s="300" t="s">
        <v>1454</v>
      </c>
      <c r="B1" s="300" t="s">
        <v>276</v>
      </c>
      <c r="C1" s="299" t="s">
        <v>836</v>
      </c>
    </row>
    <row r="2" spans="1:3">
      <c r="A2" s="55" t="s">
        <v>210</v>
      </c>
      <c r="B2" s="55" t="s">
        <v>259</v>
      </c>
      <c r="C2" s="50" t="s">
        <v>839</v>
      </c>
    </row>
    <row r="3" spans="1:3">
      <c r="A3" s="55" t="s">
        <v>242</v>
      </c>
      <c r="B3" s="55" t="s">
        <v>260</v>
      </c>
      <c r="C3" s="50" t="s">
        <v>839</v>
      </c>
    </row>
    <row r="4" spans="1:3">
      <c r="A4" s="55" t="s">
        <v>211</v>
      </c>
      <c r="B4" s="55" t="s">
        <v>261</v>
      </c>
      <c r="C4" s="50" t="s">
        <v>838</v>
      </c>
    </row>
    <row r="5" spans="1:3">
      <c r="A5" s="55" t="s">
        <v>212</v>
      </c>
      <c r="B5" s="55" t="s">
        <v>262</v>
      </c>
      <c r="C5" s="50" t="s">
        <v>838</v>
      </c>
    </row>
    <row r="6" spans="1:3">
      <c r="A6" s="55" t="s">
        <v>241</v>
      </c>
      <c r="B6" s="55" t="s">
        <v>257</v>
      </c>
      <c r="C6" s="50" t="s">
        <v>842</v>
      </c>
    </row>
    <row r="7" spans="1:3">
      <c r="A7" s="55" t="s">
        <v>247</v>
      </c>
      <c r="B7" s="55" t="s">
        <v>256</v>
      </c>
      <c r="C7" s="50" t="s">
        <v>844</v>
      </c>
    </row>
    <row r="8" spans="1:3">
      <c r="A8" s="55" t="s">
        <v>243</v>
      </c>
      <c r="B8" s="55" t="s">
        <v>283</v>
      </c>
      <c r="C8" s="50" t="s">
        <v>840</v>
      </c>
    </row>
    <row r="9" spans="1:3">
      <c r="A9" s="55" t="s">
        <v>246</v>
      </c>
      <c r="B9" s="55" t="s">
        <v>255</v>
      </c>
      <c r="C9" s="50" t="s">
        <v>843</v>
      </c>
    </row>
    <row r="10" spans="1:3">
      <c r="A10" s="55" t="s">
        <v>253</v>
      </c>
      <c r="B10" s="55" t="s">
        <v>254</v>
      </c>
      <c r="C10" s="50" t="s">
        <v>841</v>
      </c>
    </row>
    <row r="11" spans="1:3">
      <c r="A11" s="55" t="s">
        <v>244</v>
      </c>
      <c r="B11" s="55" t="s">
        <v>263</v>
      </c>
      <c r="C11" s="50" t="s">
        <v>845</v>
      </c>
    </row>
    <row r="12" spans="1:3">
      <c r="A12" s="55" t="s">
        <v>245</v>
      </c>
      <c r="B12" s="55" t="s">
        <v>264</v>
      </c>
      <c r="C12" s="50" t="s">
        <v>845</v>
      </c>
    </row>
    <row r="13" spans="1:3">
      <c r="A13" s="55" t="s">
        <v>214</v>
      </c>
      <c r="B13" s="55" t="s">
        <v>258</v>
      </c>
      <c r="C13" s="50" t="s">
        <v>848</v>
      </c>
    </row>
    <row r="14" spans="1:3">
      <c r="A14" s="55" t="s">
        <v>252</v>
      </c>
      <c r="B14" s="55" t="s">
        <v>265</v>
      </c>
      <c r="C14" s="50" t="s">
        <v>846</v>
      </c>
    </row>
    <row r="15" spans="1:3">
      <c r="A15" s="55" t="s">
        <v>209</v>
      </c>
      <c r="B15" s="55" t="s">
        <v>284</v>
      </c>
    </row>
    <row r="16" spans="1:3">
      <c r="A16" s="55" t="s">
        <v>266</v>
      </c>
      <c r="B16" s="55" t="s">
        <v>285</v>
      </c>
    </row>
    <row r="17" spans="1:3">
      <c r="A17" s="55" t="s">
        <v>409</v>
      </c>
      <c r="B17" s="55" t="s">
        <v>267</v>
      </c>
    </row>
    <row r="18" spans="1:3" ht="25.5">
      <c r="A18" s="55" t="s">
        <v>205</v>
      </c>
      <c r="B18" s="210" t="s">
        <v>1763</v>
      </c>
    </row>
    <row r="19" spans="1:3">
      <c r="A19" s="55" t="s">
        <v>418</v>
      </c>
      <c r="B19" s="55" t="s">
        <v>1455</v>
      </c>
    </row>
    <row r="20" spans="1:3">
      <c r="A20" s="55" t="s">
        <v>847</v>
      </c>
      <c r="B20" s="55" t="s">
        <v>1456</v>
      </c>
      <c r="C20" s="50" t="s">
        <v>837</v>
      </c>
    </row>
    <row r="21" spans="1:3">
      <c r="A21" s="55"/>
      <c r="B21" s="55"/>
    </row>
    <row r="22" spans="1:3">
      <c r="A22" s="55"/>
      <c r="B22" s="55"/>
    </row>
    <row r="23" spans="1:3">
      <c r="A23" s="55"/>
      <c r="B23" s="55"/>
    </row>
    <row r="24" spans="1:3">
      <c r="A24" s="55"/>
      <c r="B24" s="55"/>
    </row>
    <row r="25" spans="1:3">
      <c r="A25" s="55"/>
      <c r="B25" s="55"/>
    </row>
    <row r="26" spans="1:3">
      <c r="A26" s="55"/>
      <c r="B26" s="55"/>
    </row>
    <row r="27" spans="1:3">
      <c r="A27" s="55"/>
      <c r="B27" s="55"/>
    </row>
    <row r="28" spans="1:3">
      <c r="A28" s="55"/>
      <c r="B28" s="55"/>
    </row>
    <row r="29" spans="1:3">
      <c r="A29" s="55"/>
      <c r="B29" s="55"/>
    </row>
    <row r="30" spans="1:3">
      <c r="A30" s="55"/>
      <c r="B30" s="55"/>
    </row>
    <row r="31" spans="1:3">
      <c r="A31" s="55"/>
      <c r="B31" s="55"/>
    </row>
    <row r="32" spans="1:3">
      <c r="A32" s="55"/>
      <c r="B32" s="55"/>
    </row>
    <row r="33" spans="1:2">
      <c r="A33" s="55"/>
      <c r="B33" s="55"/>
    </row>
    <row r="34" spans="1:2">
      <c r="A34" s="55"/>
      <c r="B34" s="55"/>
    </row>
    <row r="35" spans="1:2">
      <c r="A35" s="55"/>
      <c r="B35" s="55"/>
    </row>
    <row r="36" spans="1:2">
      <c r="A36" s="55"/>
      <c r="B36" s="55"/>
    </row>
    <row r="37" spans="1:2">
      <c r="A37" s="55"/>
      <c r="B37" s="55"/>
    </row>
    <row r="38" spans="1:2">
      <c r="A38" s="55"/>
      <c r="B38" s="55"/>
    </row>
    <row r="39" spans="1:2">
      <c r="A39" s="55"/>
      <c r="B39" s="55"/>
    </row>
    <row r="40" spans="1:2">
      <c r="A40" s="55"/>
      <c r="B40" s="55"/>
    </row>
    <row r="41" spans="1:2">
      <c r="A41" s="55"/>
      <c r="B41" s="55"/>
    </row>
    <row r="42" spans="1:2">
      <c r="A42" s="55"/>
      <c r="B42" s="55"/>
    </row>
    <row r="43" spans="1:2">
      <c r="A43" s="55"/>
      <c r="B43" s="55"/>
    </row>
    <row r="44" spans="1:2">
      <c r="A44" s="55"/>
      <c r="B44" s="55"/>
    </row>
    <row r="45" spans="1:2">
      <c r="A45" s="55"/>
      <c r="B45" s="55"/>
    </row>
    <row r="46" spans="1:2">
      <c r="A46" s="55"/>
      <c r="B46" s="55"/>
    </row>
    <row r="47" spans="1:2">
      <c r="A47" s="55"/>
      <c r="B47" s="55"/>
    </row>
    <row r="48" spans="1:2">
      <c r="A48" s="55"/>
      <c r="B48" s="55"/>
    </row>
    <row r="49" spans="1:2">
      <c r="A49" s="55"/>
      <c r="B49" s="55"/>
    </row>
    <row r="50" spans="1:2">
      <c r="A50" s="55"/>
      <c r="B50" s="55"/>
    </row>
  </sheetData>
  <phoneticPr fontId="9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5F35B31FABF6C9498A53A8E244C071E8" ma:contentTypeVersion="4" ma:contentTypeDescription="새 문서를 만듭니다." ma:contentTypeScope="" ma:versionID="7376bb0cac580d31cb2002509588d360">
  <xsd:schema xmlns:xsd="http://www.w3.org/2001/XMLSchema" xmlns:xs="http://www.w3.org/2001/XMLSchema" xmlns:p="http://schemas.microsoft.com/office/2006/metadata/properties" xmlns:ns2="eead6073-176e-49de-abdf-af691e3e0900" targetNamespace="http://schemas.microsoft.com/office/2006/metadata/properties" ma:root="true" ma:fieldsID="ce415c12cd29facd8dbe1babf9ded5d1" ns2:_="">
    <xsd:import namespace="eead6073-176e-49de-abdf-af691e3e090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ad6073-176e-49de-abdf-af691e3e090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6434C09-CAF8-4A73-AB54-FA543A3A03AB}">
  <ds:schemaRefs>
    <ds:schemaRef ds:uri="http://schemas.microsoft.com/office/2006/metadata/properties"/>
    <ds:schemaRef ds:uri="http://schemas.microsoft.com/office/infopath/2007/PartnerControls"/>
    <ds:schemaRef ds:uri="0086bec6-4190-4de3-bdc0-72642071add9"/>
    <ds:schemaRef ds:uri="9505ae8b-eb57-4886-abc8-e38b007d745c"/>
  </ds:schemaRefs>
</ds:datastoreItem>
</file>

<file path=customXml/itemProps2.xml><?xml version="1.0" encoding="utf-8"?>
<ds:datastoreItem xmlns:ds="http://schemas.openxmlformats.org/officeDocument/2006/customXml" ds:itemID="{44FFEFC8-48E0-4749-91E6-FE61549D96B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4092EFE-A7DD-4070-B480-85082DF761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ead6073-176e-49de-abdf-af691e3e09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326</vt:i4>
      </vt:variant>
    </vt:vector>
  </HeadingPairs>
  <TitlesOfParts>
    <vt:vector size="332" baseType="lpstr">
      <vt:lpstr>History</vt:lpstr>
      <vt:lpstr>Test Setup</vt:lpstr>
      <vt:lpstr>Test Case</vt:lpstr>
      <vt:lpstr>Tables</vt:lpstr>
      <vt:lpstr>Sensor</vt:lpstr>
      <vt:lpstr>용어</vt:lpstr>
      <vt:lpstr>AAFOpen</vt:lpstr>
      <vt:lpstr>Tables!AC_INTAKE_EN_DIS</vt:lpstr>
      <vt:lpstr>Tables!AcDisp</vt:lpstr>
      <vt:lpstr>AcnECompCnsmptPwrVal</vt:lpstr>
      <vt:lpstr>Tables!AcnReqSwi</vt:lpstr>
      <vt:lpstr>Tables!Act_Def</vt:lpstr>
      <vt:lpstr>Tables!Act_DrMode</vt:lpstr>
      <vt:lpstr>Tables!Act_DrTemp</vt:lpstr>
      <vt:lpstr>Tables!Act_Intake</vt:lpstr>
      <vt:lpstr>Tables!Act_PsMode</vt:lpstr>
      <vt:lpstr>Tables!Act_PsTemp</vt:lpstr>
      <vt:lpstr>Tables!Act_RrTemp_Cool</vt:lpstr>
      <vt:lpstr>Tables!Act_RrTemp_Warm</vt:lpstr>
      <vt:lpstr>Tables!ADS_Max</vt:lpstr>
      <vt:lpstr>Tables!ADS_Min</vt:lpstr>
      <vt:lpstr>Tables!ADSOnOffSet</vt:lpstr>
      <vt:lpstr>Tables!AfterBlower_ICU</vt:lpstr>
      <vt:lpstr>Tables!AfterBlower_OR</vt:lpstr>
      <vt:lpstr>Tables!AfterBlower_OS</vt:lpstr>
      <vt:lpstr>Tables!AfterBlower_OTA_mode</vt:lpstr>
      <vt:lpstr>Tables!AfterBlower_PDC</vt:lpstr>
      <vt:lpstr>Tables!AfterBlower_Symbol</vt:lpstr>
      <vt:lpstr>Tables!AfterBlower_USMSet</vt:lpstr>
      <vt:lpstr>Tables!AfterBlower_USMSta</vt:lpstr>
      <vt:lpstr>Tables!AirconPressureSensorValue</vt:lpstr>
      <vt:lpstr>Tables!AirconPrsRns</vt:lpstr>
      <vt:lpstr>Tables!Amb_IN</vt:lpstr>
      <vt:lpstr>Tables!Amb_OUT</vt:lpstr>
      <vt:lpstr>ATS_FrDrBlowerUpDn</vt:lpstr>
      <vt:lpstr>Tables!AutoBlowerHi_1</vt:lpstr>
      <vt:lpstr>Tables!AutoBlowerHi_2</vt:lpstr>
      <vt:lpstr>Tables!AutoBlowerHi_3</vt:lpstr>
      <vt:lpstr>Tables!AutoBlowerLow_1</vt:lpstr>
      <vt:lpstr>Tables!AutoBlowerLow_2</vt:lpstr>
      <vt:lpstr>Tables!AutoBlowerLow_3</vt:lpstr>
      <vt:lpstr>Tables!AutoCutMode</vt:lpstr>
      <vt:lpstr>Tables!AutoDefog_EN_DIS</vt:lpstr>
      <vt:lpstr>Tables!AutoDefogBlink</vt:lpstr>
      <vt:lpstr>Tables!AutoDefogSysOff_Disp</vt:lpstr>
      <vt:lpstr>Tables!AutoDisp</vt:lpstr>
      <vt:lpstr>Tables!AutoFre_EN_DIS</vt:lpstr>
      <vt:lpstr>Tables!AutoFresh_USM_Set</vt:lpstr>
      <vt:lpstr>Tables!AutoFrshUSMSta</vt:lpstr>
      <vt:lpstr>Tables!AUTOStep</vt:lpstr>
      <vt:lpstr>Tables!AutoWashMode</vt:lpstr>
      <vt:lpstr>Tables!AVN_CluUSMReset</vt:lpstr>
      <vt:lpstr>Tables!AVN_TempUnit_Set</vt:lpstr>
      <vt:lpstr>Tables!AVN_UnitReset</vt:lpstr>
      <vt:lpstr>Tables!BAT_ON_Initialize</vt:lpstr>
      <vt:lpstr>BatChllrTgtRpm</vt:lpstr>
      <vt:lpstr>BatEwpFltSta</vt:lpstr>
      <vt:lpstr>BATT_V</vt:lpstr>
      <vt:lpstr>BattChlrVlv_FltCode</vt:lpstr>
      <vt:lpstr>BattChlrVlvSta</vt:lpstr>
      <vt:lpstr>BattCompPwrCnsmptn</vt:lpstr>
      <vt:lpstr>BatteryEWPOper</vt:lpstr>
      <vt:lpstr>BattEvapVlv_FltCode</vt:lpstr>
      <vt:lpstr>BattEvapVlvSta</vt:lpstr>
      <vt:lpstr>BattPwrSum</vt:lpstr>
      <vt:lpstr>Blower_Motor_Relay</vt:lpstr>
      <vt:lpstr>Tables!BLW_Front</vt:lpstr>
      <vt:lpstr>Tables!BLW_IS_IN</vt:lpstr>
      <vt:lpstr>Tables!BLW_MAX</vt:lpstr>
      <vt:lpstr>BMS_Interlock_Req</vt:lpstr>
      <vt:lpstr>Tables!Button_CAN_Signal_EN_DIS</vt:lpstr>
      <vt:lpstr>Tables!Cell_Humidity</vt:lpstr>
      <vt:lpstr>Tables!Cell_Temp</vt:lpstr>
      <vt:lpstr>Tables!Celo_Auto</vt:lpstr>
      <vt:lpstr>Tables!Celo_Blower_Max</vt:lpstr>
      <vt:lpstr>Tables!Celo_Blower_Min</vt:lpstr>
      <vt:lpstr>Tables!Celo_DEF</vt:lpstr>
      <vt:lpstr>Tables!Celo_Mix</vt:lpstr>
      <vt:lpstr>Tables!CELOModeSta</vt:lpstr>
      <vt:lpstr>CHRG_ChargeStatus</vt:lpstr>
      <vt:lpstr>Tables!CionDiag_V</vt:lpstr>
      <vt:lpstr>Tables!CLEAN_Sign</vt:lpstr>
      <vt:lpstr>CLI_eComp_Interlock_Status</vt:lpstr>
      <vt:lpstr>ClmtLimOpSta</vt:lpstr>
      <vt:lpstr>ClmtPwrCnsmptn</vt:lpstr>
      <vt:lpstr>ClmtPwrSum</vt:lpstr>
      <vt:lpstr>Tables!ClmtTxtPopupOSD</vt:lpstr>
      <vt:lpstr>Tables!CLU_TempUnitSetReq</vt:lpstr>
      <vt:lpstr>Tables!CLU_USM_StaRst1Req</vt:lpstr>
      <vt:lpstr>Tables!CO2_EN_DIS</vt:lpstr>
      <vt:lpstr>Tables!CO2_OnOffSta</vt:lpstr>
      <vt:lpstr>Tables!CO2_OUT</vt:lpstr>
      <vt:lpstr>Tables!CO2_PPM_V</vt:lpstr>
      <vt:lpstr>Tables!CO2_Set</vt:lpstr>
      <vt:lpstr>Tables!CO2_Warning</vt:lpstr>
      <vt:lpstr>Tables!col_country</vt:lpstr>
      <vt:lpstr>Tables!Command_Blw</vt:lpstr>
      <vt:lpstr>Tables!Compressor</vt:lpstr>
      <vt:lpstr>Tables!CompSpd_rpm</vt:lpstr>
      <vt:lpstr>Tables!Const_mild_blower_v</vt:lpstr>
      <vt:lpstr>Tables!const_TempMd</vt:lpstr>
      <vt:lpstr>Tables!const_TempUnit</vt:lpstr>
      <vt:lpstr>Tables!const_TempUnit_1</vt:lpstr>
      <vt:lpstr>Tables!const_TempUnit_2</vt:lpstr>
      <vt:lpstr>Tables!const_Tset_default</vt:lpstr>
      <vt:lpstr>Tables!const_Tset_default_1</vt:lpstr>
      <vt:lpstr>Tables!const_Tset_default_2</vt:lpstr>
      <vt:lpstr>Tables!const_Tset_invalid</vt:lpstr>
      <vt:lpstr>Tables!const_Tset_invalid_1</vt:lpstr>
      <vt:lpstr>Tables!const_Tset_invalid_2</vt:lpstr>
      <vt:lpstr>Tables!const_Tset_max</vt:lpstr>
      <vt:lpstr>Tables!const_Tset_max_1</vt:lpstr>
      <vt:lpstr>Tables!const_Tset_max_2</vt:lpstr>
      <vt:lpstr>Tables!const_Tset_min</vt:lpstr>
      <vt:lpstr>Tables!const_Tset_min_1</vt:lpstr>
      <vt:lpstr>Tables!const_Tset_min_2</vt:lpstr>
      <vt:lpstr>Tables!const_Tset_off</vt:lpstr>
      <vt:lpstr>Tables!const_Tset_off_1</vt:lpstr>
      <vt:lpstr>Tables!const_Tset_off_2</vt:lpstr>
      <vt:lpstr>Tables!const_Tset_resolution</vt:lpstr>
      <vt:lpstr>Tables!const_Tset_resolution_1</vt:lpstr>
      <vt:lpstr>Tables!const_Tset_resolution_2</vt:lpstr>
      <vt:lpstr>Coolingfan_Duty</vt:lpstr>
      <vt:lpstr>CstPwrDr_W</vt:lpstr>
      <vt:lpstr>CstPwrPs_W</vt:lpstr>
      <vt:lpstr>DATC_CtrlablSta</vt:lpstr>
      <vt:lpstr>DATC_OpSta</vt:lpstr>
      <vt:lpstr>Tables!DEF_Logic</vt:lpstr>
      <vt:lpstr>Tables!DEFDisp</vt:lpstr>
      <vt:lpstr>Tables!DefLogic_USM_Set</vt:lpstr>
      <vt:lpstr>Tables!DfgLgcUSMSta</vt:lpstr>
      <vt:lpstr>DiagCodeDis</vt:lpstr>
      <vt:lpstr>Tables!DriverOnlyDisp</vt:lpstr>
      <vt:lpstr>DrOnly_Max</vt:lpstr>
      <vt:lpstr>DrOnly_Min</vt:lpstr>
      <vt:lpstr>Tables!DrTempDispC</vt:lpstr>
      <vt:lpstr>Tables!DrTempDispF</vt:lpstr>
      <vt:lpstr>Tables!DrvngModSwSta</vt:lpstr>
      <vt:lpstr>DTC_Clear_Service</vt:lpstr>
      <vt:lpstr>DTC_Code</vt:lpstr>
      <vt:lpstr>DTC_Read_Service</vt:lpstr>
      <vt:lpstr>DTC_Resp</vt:lpstr>
      <vt:lpstr>Tables!Duct_ALL_V</vt:lpstr>
      <vt:lpstr>Duct_DEF_OUT</vt:lpstr>
      <vt:lpstr>Duct_DEF_V</vt:lpstr>
      <vt:lpstr>Duct_FrFloor_OUT</vt:lpstr>
      <vt:lpstr>Duct_FrFloor_V</vt:lpstr>
      <vt:lpstr>Duct_FrVent_OUT</vt:lpstr>
      <vt:lpstr>Duct_FrVent_V</vt:lpstr>
      <vt:lpstr>Duct_PsFloor_OUT</vt:lpstr>
      <vt:lpstr>Duct_PsFloor_V</vt:lpstr>
      <vt:lpstr>Duct_PsVent_OUT</vt:lpstr>
      <vt:lpstr>Duct_PsVent_V</vt:lpstr>
      <vt:lpstr>EcoClmtLimSet</vt:lpstr>
      <vt:lpstr>EcoClmtLimSta</vt:lpstr>
      <vt:lpstr>Ecomp_CompCst_W</vt:lpstr>
      <vt:lpstr>eComp_Interlock_Sta</vt:lpstr>
      <vt:lpstr>EMS_Vehicle_Speed</vt:lpstr>
      <vt:lpstr>Tables!Eng_ACRS</vt:lpstr>
      <vt:lpstr>Tables!Eng_IdleRpm</vt:lpstr>
      <vt:lpstr>Tables!EngColTemp</vt:lpstr>
      <vt:lpstr>Tables!EngColTemp_ECT</vt:lpstr>
      <vt:lpstr>Tables!EngDsplceTyp</vt:lpstr>
      <vt:lpstr>Tables!ENGINE_rpm</vt:lpstr>
      <vt:lpstr>Tables!EngStartReq</vt:lpstr>
      <vt:lpstr>Tables!EngTyp1</vt:lpstr>
      <vt:lpstr>Tables!EngTyp2</vt:lpstr>
      <vt:lpstr>EV_Ready</vt:lpstr>
      <vt:lpstr>Tables!EvaDr_IN</vt:lpstr>
      <vt:lpstr>Tables!EvaDr_OUT</vt:lpstr>
      <vt:lpstr>Tables!EvaPs_IN</vt:lpstr>
      <vt:lpstr>Tables!EvaPs_OUT</vt:lpstr>
      <vt:lpstr>FATC_Interlock_Req</vt:lpstr>
      <vt:lpstr>Tables!FLAG_Country</vt:lpstr>
      <vt:lpstr>Tables!FrChgReqDis</vt:lpstr>
      <vt:lpstr>Tables!FrontBlwDisp</vt:lpstr>
      <vt:lpstr>hev_HEU_Per</vt:lpstr>
      <vt:lpstr>HEV_Ready</vt:lpstr>
      <vt:lpstr>HP_ModSta</vt:lpstr>
      <vt:lpstr>HTCU_Vehicle_Speed</vt:lpstr>
      <vt:lpstr>HtrEwpForecedOpt</vt:lpstr>
      <vt:lpstr>HU_MainBlowerUpDn</vt:lpstr>
      <vt:lpstr>HvBat_ADOS</vt:lpstr>
      <vt:lpstr>HVPP_CstPwrDr_W</vt:lpstr>
      <vt:lpstr>HVPP_CstPwrPs_W</vt:lpstr>
      <vt:lpstr>HVPPTargetDutyDr_Perc</vt:lpstr>
      <vt:lpstr>HVPPTargetDutyPs_Perc</vt:lpstr>
      <vt:lpstr>Tables!IBU_WasherSw</vt:lpstr>
      <vt:lpstr>Tables!Incar_IN</vt:lpstr>
      <vt:lpstr>Tables!Incar_OUT</vt:lpstr>
      <vt:lpstr>Tables!IntakeDisp</vt:lpstr>
      <vt:lpstr>Tables!IntakeSta</vt:lpstr>
      <vt:lpstr>Tables!ION_Sign</vt:lpstr>
      <vt:lpstr>Tables!IsgStat</vt:lpstr>
      <vt:lpstr>Tables!IsgStopReq</vt:lpstr>
      <vt:lpstr>Tables!K4_Max</vt:lpstr>
      <vt:lpstr>Tables!K4_Min</vt:lpstr>
      <vt:lpstr>Tables!LHD_RHD</vt:lpstr>
      <vt:lpstr>Tables!list_Country</vt:lpstr>
      <vt:lpstr>LtrEwpFltSt</vt:lpstr>
      <vt:lpstr>Main_Relay_Sta</vt:lpstr>
      <vt:lpstr>Tables!MAX_COOL</vt:lpstr>
      <vt:lpstr>Tables!MAX_HOT</vt:lpstr>
      <vt:lpstr>MCU_Interlock_Req</vt:lpstr>
      <vt:lpstr>Tables!MFSW_WasherSw</vt:lpstr>
      <vt:lpstr>Mg1_TV</vt:lpstr>
      <vt:lpstr>Mg1HeatsinkTemperatureValue</vt:lpstr>
      <vt:lpstr>Mg2HeatsinkTemperatureValue</vt:lpstr>
      <vt:lpstr>Tables!MIX_Logic</vt:lpstr>
      <vt:lpstr>Tables!MltAutBlrTxt</vt:lpstr>
      <vt:lpstr>Tables!ModDisp</vt:lpstr>
      <vt:lpstr>Tables!Navi_AirConditionWarning</vt:lpstr>
      <vt:lpstr>OBC_Interlock_Req</vt:lpstr>
      <vt:lpstr>OpSta</vt:lpstr>
      <vt:lpstr>OPU_Interlock_Req</vt:lpstr>
      <vt:lpstr>P_SIGNAL_BCHILLER</vt:lpstr>
      <vt:lpstr>P_SIGNAL_COMP_OUT</vt:lpstr>
      <vt:lpstr>Partial_Cool</vt:lpstr>
      <vt:lpstr>Partial_HOT</vt:lpstr>
      <vt:lpstr>PeEwpRPMReq</vt:lpstr>
      <vt:lpstr>PeEwpRPMReq_EN_DIS</vt:lpstr>
      <vt:lpstr>Tables!Photo_L_V</vt:lpstr>
      <vt:lpstr>Tables!Photo_R_V</vt:lpstr>
      <vt:lpstr>Tables!PM_Blower_Max</vt:lpstr>
      <vt:lpstr>Tables!PM_Blower_Min</vt:lpstr>
      <vt:lpstr>Tables!PM_MassConcentration_2p5</vt:lpstr>
      <vt:lpstr>Tables!PM_PMSnsrRespErr</vt:lpstr>
      <vt:lpstr>Tables!PM_PMSnsrSts</vt:lpstr>
      <vt:lpstr>PreCharging_Sta</vt:lpstr>
      <vt:lpstr>Tables!PsTempDispC</vt:lpstr>
      <vt:lpstr>Tables!PsTempDispF</vt:lpstr>
      <vt:lpstr>Tables!PTC_EN_DIS</vt:lpstr>
      <vt:lpstr>Tables!PTC_RELAY_Sta</vt:lpstr>
      <vt:lpstr>PtcOprPrm</vt:lpstr>
      <vt:lpstr>PtcPrmPwr_W</vt:lpstr>
      <vt:lpstr>PtcPwrCnsmptnVal</vt:lpstr>
      <vt:lpstr>Tables!PTGM_Status</vt:lpstr>
      <vt:lpstr>Tables!PTGM_Type</vt:lpstr>
      <vt:lpstr>Tables!RAC_AcnCtrlReq</vt:lpstr>
      <vt:lpstr>Tables!RAC_DfrstCtrlReq</vt:lpstr>
      <vt:lpstr>Tables!RAC_TempModTyp</vt:lpstr>
      <vt:lpstr>Tables!RAC_TempSetVal</vt:lpstr>
      <vt:lpstr>Tables!RLY_AC</vt:lpstr>
      <vt:lpstr>SchedRmtFcn_OpSta</vt:lpstr>
      <vt:lpstr>Tables!SelfDiagCode</vt:lpstr>
      <vt:lpstr>SelfDiagDisp</vt:lpstr>
      <vt:lpstr>Service_Lamp_Req</vt:lpstr>
      <vt:lpstr>Tables!SmartVent_Set</vt:lpstr>
      <vt:lpstr>Tables!SmartVent_Status</vt:lpstr>
      <vt:lpstr>Tables!SmartVent_Symbol</vt:lpstr>
      <vt:lpstr>Tables!SunRoof_Open</vt:lpstr>
      <vt:lpstr>Tables!SyncDisp</vt:lpstr>
      <vt:lpstr>T_SIGNAL_BCHILLER</vt:lpstr>
      <vt:lpstr>T_SIGNAL_COMP_OUT</vt:lpstr>
      <vt:lpstr>Tables!T_windshield</vt:lpstr>
      <vt:lpstr>Tables!Tbl_ADS_blower_Dn</vt:lpstr>
      <vt:lpstr>Tables!Tbl_ADS_blower_Up</vt:lpstr>
      <vt:lpstr>Tbl_Amb_Sensor</vt:lpstr>
      <vt:lpstr>Tables!Tbl_AUTOStep</vt:lpstr>
      <vt:lpstr>Tbl_Blower_DrOnly_Offset</vt:lpstr>
      <vt:lpstr>Tables!Tbl_Blower_Volt</vt:lpstr>
      <vt:lpstr>Tables!Tbl_BlowerDn_Display</vt:lpstr>
      <vt:lpstr>Tables!Tbl_BlowerLimit_AmbDn_Volt</vt:lpstr>
      <vt:lpstr>Tables!Tbl_BlowerLimit_AmbUp_Volt</vt:lpstr>
      <vt:lpstr>Tables!Tbl_BlowerUp_Display</vt:lpstr>
      <vt:lpstr>Tbl_Blw_Step_Ctl</vt:lpstr>
      <vt:lpstr>Tbl_Button_Display_ASSTS</vt:lpstr>
      <vt:lpstr>Tables!Tbl_CO2_Snr</vt:lpstr>
      <vt:lpstr>Tables!Tbl_DefFB_Volt</vt:lpstr>
      <vt:lpstr>Tbl_Duct_Sensor</vt:lpstr>
      <vt:lpstr>Tables!Tbl_ECT_blower</vt:lpstr>
      <vt:lpstr>Tbl_Eva_Sensor</vt:lpstr>
      <vt:lpstr>Tbl_GlassTemp_Sensor</vt:lpstr>
      <vt:lpstr>Tbl_HP_Cycle</vt:lpstr>
      <vt:lpstr>Tbl_Incar_Sensor</vt:lpstr>
      <vt:lpstr>Tables!Tbl_IntakeFB_Volt</vt:lpstr>
      <vt:lpstr>Tables!Tbl_K4MinBlowerLimit_V</vt:lpstr>
      <vt:lpstr>Tables!Tbl_MltAutBlrTxt</vt:lpstr>
      <vt:lpstr>Tables!Tbl_ModeFB_Volt</vt:lpstr>
      <vt:lpstr>Tables!Tbl_PM_blower_Dn</vt:lpstr>
      <vt:lpstr>Tables!Tbl_PM_blower_Up</vt:lpstr>
      <vt:lpstr>Tables!Tbl_RrTempFB_Volt_Floor</vt:lpstr>
      <vt:lpstr>Tables!Tbl_RrTempFB_Volt_Vent</vt:lpstr>
      <vt:lpstr>Tables!Tbl_TempFB_Volt</vt:lpstr>
      <vt:lpstr>Tbl_WaterVlvSta</vt:lpstr>
      <vt:lpstr>Tables!TempChange_degCF</vt:lpstr>
      <vt:lpstr>Tables!TempDispUnit</vt:lpstr>
      <vt:lpstr>Tables!TqStndValExt</vt:lpstr>
      <vt:lpstr>TunnelFuncOff4AutoDfgReq</vt:lpstr>
      <vt:lpstr>Tables!User_Profile</vt:lpstr>
      <vt:lpstr>Tables!User_Profile2</vt:lpstr>
      <vt:lpstr>V01_DiagFunctnValue</vt:lpstr>
      <vt:lpstr>V01_EXV</vt:lpstr>
      <vt:lpstr>V01_EXV_DP</vt:lpstr>
      <vt:lpstr>V01_SystemState</vt:lpstr>
      <vt:lpstr>V02_DiagFunctnValue</vt:lpstr>
      <vt:lpstr>V02_EXV</vt:lpstr>
      <vt:lpstr>V02_EXV_DP</vt:lpstr>
      <vt:lpstr>V02_SystemState</vt:lpstr>
      <vt:lpstr>V04_3way</vt:lpstr>
      <vt:lpstr>V04_3way_DP</vt:lpstr>
      <vt:lpstr>V04_DiagFunctnValue</vt:lpstr>
      <vt:lpstr>V04_SystemState</vt:lpstr>
      <vt:lpstr>V05_2way</vt:lpstr>
      <vt:lpstr>V05_2way_DP</vt:lpstr>
      <vt:lpstr>V05_DiagFunctnValue</vt:lpstr>
      <vt:lpstr>V05_SystemState</vt:lpstr>
      <vt:lpstr>Tables!VC_IVRActivity</vt:lpstr>
      <vt:lpstr>Tables!VC_VRActivity</vt:lpstr>
      <vt:lpstr>VCU_HvBat_ADOS</vt:lpstr>
      <vt:lpstr>Vehicle_Startup</vt:lpstr>
      <vt:lpstr>Tables!VS_VehSpd_Kmh</vt:lpstr>
      <vt:lpstr>Tables!Washer_EN_DIS</vt:lpstr>
      <vt:lpstr>WaterCooling_ROTV</vt:lpstr>
      <vt:lpstr>WaterVlvSta</vt:lpstr>
      <vt:lpstr>WheelSpeed_FL</vt:lpstr>
      <vt:lpstr>WheelSpeed_FR</vt:lpstr>
      <vt:lpstr>WheelSpeed_RL</vt:lpstr>
      <vt:lpstr>WheelSpeed_RR</vt:lpstr>
      <vt:lpstr>Tables!WhlHeat_Ast</vt:lpstr>
      <vt:lpstr>Tables!WhlHeat_Drv</vt:lpstr>
      <vt:lpstr>Tables!WhlHeat_Heat_Set</vt:lpstr>
      <vt:lpstr>Tables!WhlHeat_Heat_Sta</vt:lpstr>
      <vt:lpstr>Tables!WhlHeat_ICU</vt:lpstr>
      <vt:lpstr>Tables!WhlHeat_LH_Step</vt:lpstr>
      <vt:lpstr>Tables!WhlHeat_RH_Step</vt:lpstr>
      <vt:lpstr>Tables!WhlHeat_Whl_Set</vt:lpstr>
      <vt:lpstr>Tables!WhlHeat_Whl_Sta</vt:lpstr>
      <vt:lpstr>Tables!WhlHeat_Whl_Step</vt:lpstr>
      <vt:lpstr>Tables!WshFldUSMSet</vt:lpstr>
      <vt:lpstr>Tables!WshFldUSMSta</vt:lpstr>
      <vt:lpstr>Tables!통합_DISP_사양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최기정</dc:creator>
  <cp:lastModifiedBy>Windows 사용자</cp:lastModifiedBy>
  <cp:lastPrinted>2013-09-05T00:05:19Z</cp:lastPrinted>
  <dcterms:created xsi:type="dcterms:W3CDTF">2001-07-13T09:23:54Z</dcterms:created>
  <dcterms:modified xsi:type="dcterms:W3CDTF">2026-01-06T02:48:48Z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0x0101005F35B31FABF6C9498A53A8E244C071E8</vt:lpwstr>
  </property>
</Properties>
</file>